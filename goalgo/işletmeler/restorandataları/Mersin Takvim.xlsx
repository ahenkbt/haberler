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def Liste" sheetId="1" r:id="rId4"/>
    <sheet state="visible" name="takvim" sheetId="2" r:id="rId5"/>
    <sheet state="visible" name="import" sheetId="3" r:id="rId6"/>
    <sheet state="visible" name="Durum Parametreler" sheetId="4" r:id="rId7"/>
    <sheet state="visible" name="özet" sheetId="5" r:id="rId8"/>
  </sheets>
  <definedNames>
    <definedName hidden="1" localSheetId="0" name="_xlnm._FilterDatabase">'Hedef Liste'!$A$1:$AQ$1020</definedName>
    <definedName hidden="1" localSheetId="2" name="_xlnm._FilterDatabase">import!$A$1:$Q$1167</definedName>
    <definedName hidden="1" localSheetId="0" name="Z_40679580_73D5_41B4_BBC8_18F019E5B693_.wvu.FilterData">'Hedef Liste'!$S$1:$S$574</definedName>
    <definedName hidden="1" localSheetId="0" name="Z_DE3364AB_B339_4446_807F_65367EACBDCC_.wvu.FilterData">'Hedef Liste'!$W$247:$W$250</definedName>
    <definedName hidden="1" localSheetId="0" name="Z_0CD4BF66_61D4_41DD_BF88_FDC472D6315C_.wvu.FilterData">'Hedef Liste'!$W$325:$W$328</definedName>
    <definedName hidden="1" localSheetId="0" name="Z_6E50DD65_92A6_478C_9928_8C7B9231046B_.wvu.FilterData">'Hedef Liste'!$T$35:$T$440</definedName>
    <definedName hidden="1" localSheetId="0" name="Z_F3C9A537_F769_4BF6_B058_99D14A751A28_.wvu.FilterData">'Hedef Liste'!$X$130:$Y$134</definedName>
    <definedName hidden="1" localSheetId="0" name="Z_13A4DF29_5B29_43E6_AC6D_4DA2CFF6443C_.wvu.FilterData">'Hedef Liste'!$X$130:$Y$132</definedName>
    <definedName hidden="1" localSheetId="0" name="Z_721354E9_4C9C_4435_9AD8_EE9DD0551ED4_.wvu.FilterData">'Hedef Liste'!$A$1:$AO$747</definedName>
    <definedName hidden="1" localSheetId="0" name="Z_F661F73A_24AD_4431_A341_96F929761282_.wvu.FilterData">'Hedef Liste'!$A$1:$AA$419</definedName>
    <definedName hidden="1" localSheetId="0" name="Z_734260C1_C8A6_4F42_8F27_C6D42C71439E_.wvu.FilterData">'Hedef Liste'!$T$37:$T$451</definedName>
    <definedName hidden="1" localSheetId="0" name="Z_C06BAEE7_6D50_4CC2_9440_9BCCB77F5EFA_.wvu.FilterData">'Hedef Liste'!$X$79:$Y$80</definedName>
    <definedName hidden="1" localSheetId="0" name="Z_D64D946E_D398_4C58_B5E4_7CB08903080A_.wvu.FilterData">'Hedef Liste'!$AH$8</definedName>
    <definedName hidden="1" localSheetId="0" name="Z_88640532_789B_45F6_87BB_D8DBB3BB5A08_.wvu.FilterData">'Hedef Liste'!$W$325:$W$328</definedName>
    <definedName hidden="1" localSheetId="0" name="Z_1594DD59_FFF9_4095_87DD_FDEBFB7FE2EA_.wvu.FilterData">'Hedef Liste'!$X$169:$Y$169</definedName>
    <definedName hidden="1" localSheetId="0" name="Z_17BBFDE8_4DC3_47D6_9B2A_382C38617387_.wvu.FilterData">'Hedef Liste'!$A$1:$AO$697</definedName>
    <definedName hidden="1" localSheetId="0" name="Z_2D98275A_297B_4B7E_B5ED_1995C9545EE5_.wvu.FilterData">'Hedef Liste'!$A$1:$AO$771</definedName>
    <definedName hidden="1" localSheetId="0" name="Z_8A948A72_C498_4F33_A24F_3A48F750AFCC_.wvu.FilterData">'Hedef Liste'!$X$169:$Y$169</definedName>
    <definedName hidden="1" localSheetId="0" name="Z_34FCDDD1_7922_4D67_B40E_25F7A7038B17_.wvu.FilterData">'Hedef Liste'!$X$169:$Y$169</definedName>
    <definedName hidden="1" localSheetId="0" name="Z_DE9D7DD6_229C_472E_A6D4_14F5A5B4B73E_.wvu.FilterData">'Hedef Liste'!$W$311</definedName>
    <definedName hidden="1" localSheetId="0" name="Z_EEB208D1_43D9_4FB6_843D_4B3152F48150_.wvu.FilterData">'Hedef Liste'!$AJ$10</definedName>
    <definedName hidden="1" localSheetId="0" name="Z_FA8BA213_7869_41A0_AECE_444C25D6BF51_.wvu.FilterData">'Hedef Liste'!$T$1:$T$439</definedName>
    <definedName hidden="1" localSheetId="0" name="Z_5D392BE3_16B8_4FF3_8B61_282795B4F764_.wvu.FilterData">'Hedef Liste'!$A$1:$AA$337</definedName>
    <definedName hidden="1" localSheetId="2" name="Z_5D392BE3_16B8_4FF3_8B61_282795B4F764_.wvu.FilterData">import!$A$1:$Q$1167</definedName>
    <definedName hidden="1" localSheetId="0" name="Z_DCB140B4_A763_470C_8758_82B09744DDCD_.wvu.FilterData">'Hedef Liste'!$W$325:$W$328</definedName>
    <definedName hidden="1" localSheetId="0" name="Z_CA2C7EEC_3363_45D7_8894_C693FC94511D_.wvu.FilterData">'Hedef Liste'!$AJ$10</definedName>
    <definedName hidden="1" localSheetId="0" name="Z_4264FFFA_3B7B_495F_A98D_D28474E7FBD6_.wvu.FilterData">'Hedef Liste'!$A$1:$AO$822</definedName>
    <definedName hidden="1" localSheetId="0" name="Z_0B9C297E_0DC7_44E4_B213_E6DD51B16800_.wvu.FilterData">'Hedef Liste'!$AH$8</definedName>
    <definedName hidden="1" localSheetId="0" name="Z_800FC62A_0186_4991_A13C_7BF950AA4631_.wvu.FilterData">'Hedef Liste'!$W$325:$W$328</definedName>
    <definedName hidden="1" localSheetId="0" name="Z_1BD4E991_83F7_4C7D_980D_0015110EE627_.wvu.FilterData">'Hedef Liste'!$A$1:$AA$461</definedName>
    <definedName hidden="1" localSheetId="0" name="Z_11EE25A7_266C_4D1E_8C7B_2AE89BBE9005_.wvu.FilterData">'Hedef Liste'!$V$18</definedName>
    <definedName hidden="1" localSheetId="0" name="Z_DC1818F9_0BBD_4E72_A988_D020C3822137_.wvu.FilterData">'Hedef Liste'!$A$1:$AA$540</definedName>
    <definedName hidden="1" localSheetId="0" name="Z_2F8C13A9_6A5D_40B6_89C5_908DDEF8C148_.wvu.FilterData">'Hedef Liste'!$A$1:$AI$337</definedName>
    <definedName hidden="1" localSheetId="0" name="Z_215C5152_F4E9_41CF_9CFD_327F9E3F6451_.wvu.FilterData">'Hedef Liste'!$AA$724:$AO$729</definedName>
    <definedName hidden="1" localSheetId="0" name="Z_9D33451F_1B5E_4916_A1DC_1D6D17443072_.wvu.FilterData">'Hedef Liste'!$W$325:$W$328</definedName>
    <definedName hidden="1" localSheetId="0" name="Z_697BAABE_1FBD_4B3B_81C1_3ED7566140E6_.wvu.FilterData">'Hedef Liste'!$W$311</definedName>
    <definedName hidden="1" localSheetId="0" name="Z_FB1F08D7_3075_491A_8E24_8208EBA2F792_.wvu.FilterData">'Hedef Liste'!$W$311</definedName>
    <definedName hidden="1" localSheetId="0" name="Z_821DEC20_A85A_42D2_8F2D_D04CE9AB9239_.wvu.FilterData">'Hedef Liste'!$A$1:$AO$718</definedName>
    <definedName hidden="1" localSheetId="0" name="Z_59D9EDD7_222E_489D_B6DF_A4C38FD5A1CD_.wvu.FilterData">'Hedef Liste'!$W$311:$W$313</definedName>
    <definedName hidden="1" localSheetId="0" name="Z_A3E6D4F6_3EB0_45DC_BFC6_A276237452FD_.wvu.FilterData">'Hedef Liste'!$A$1:$AO$655</definedName>
    <definedName hidden="1" localSheetId="2" name="Z_37AAE5D5_3FF0_444E_82AE_4054E5FC0B93_.wvu.FilterData">import!$A$1:$Q$1111</definedName>
    <definedName hidden="1" localSheetId="0" name="Z_ABE11A69_E549_48E8_98D4_2AD701329D10_.wvu.FilterData">'Hedef Liste'!$A$1:$AO$655</definedName>
    <definedName hidden="1" localSheetId="0" name="Z_8A573261_7E85_43E0_8EE4_BB340FE7C08C_.wvu.FilterData">'Hedef Liste'!$W$212:$W$213</definedName>
    <definedName hidden="1" localSheetId="0" name="Z_6F4E752A_4FB1_4289_AD58_B63CC58DDACD_.wvu.FilterData">'Hedef Liste'!$X$129:$Y$131</definedName>
  </definedNames>
  <calcPr/>
  <customWorkbookViews>
    <customWorkbookView activeSheetId="0" maximized="1" windowHeight="0" windowWidth="0" guid="{37AAE5D5-3FF0-444E-82AE-4054E5FC0B93}" name="Import"/>
    <customWorkbookView activeSheetId="0" maximized="1" windowHeight="0" windowWidth="0" guid="{DC1818F9-0BBD-4E72-A988-D020C3822137}" name="Filtre 30"/>
    <customWorkbookView activeSheetId="0" maximized="1" windowHeight="0" windowWidth="0" guid="{5D392BE3-16B8-4FF3-8B61-282795B4F764}" name="Filtre 1"/>
    <customWorkbookView activeSheetId="0" maximized="1" windowHeight="0" windowWidth="0" guid="{F3C9A537-F769-4BF6-B058-99D14A751A28}" name="Filtre 5"/>
    <customWorkbookView activeSheetId="0" maximized="1" windowHeight="0" windowWidth="0" guid="{734260C1-C8A6-4F42-8F27-C6D42C71439E}" name="Filtre 28"/>
    <customWorkbookView activeSheetId="0" maximized="1" windowHeight="0" windowWidth="0" guid="{6F4E752A-4FB1-4289-AD58-B63CC58DDACD}" name="Filtre 4"/>
    <customWorkbookView activeSheetId="0" maximized="1" windowHeight="0" windowWidth="0" guid="{2F8C13A9-6A5D-40B6-89C5-908DDEF8C148}" name="Filtre 3"/>
    <customWorkbookView activeSheetId="0" maximized="1" windowHeight="0" windowWidth="0" guid="{17BBFDE8-4DC3-47D6-9B2A-382C38617387}" name="Filtre 2"/>
    <customWorkbookView activeSheetId="0" maximized="1" windowHeight="0" windowWidth="0" guid="{F661F73A-24AD-4431-A341-96F929761282}" name="Filtre 9"/>
    <customWorkbookView activeSheetId="0" maximized="1" windowHeight="0" windowWidth="0" guid="{DE3364AB-B339-4446-807F-65367EACBDCC}" name="Filtre 8"/>
    <customWorkbookView activeSheetId="0" maximized="1" windowHeight="0" windowWidth="0" guid="{8A573261-7E85-43E0-8EE4-BB340FE7C08C}" name="Filtre 7"/>
    <customWorkbookView activeSheetId="0" maximized="1" windowHeight="0" windowWidth="0" guid="{13A4DF29-5B29-43E6-AC6D-4DA2CFF6443C}" name="Filtre 6"/>
    <customWorkbookView activeSheetId="0" maximized="1" windowHeight="0" windowWidth="0" guid="{6E50DD65-92A6-478C-9928-8C7B9231046B}" name="Filtre 21"/>
    <customWorkbookView activeSheetId="0" maximized="1" windowHeight="0" windowWidth="0" guid="{D64D946E-D398-4C58-B5E4-7CB08903080A}" name="Filtre 43"/>
    <customWorkbookView activeSheetId="0" maximized="1" windowHeight="0" windowWidth="0" guid="{CA2C7EEC-3363-45D7-8894-C693FC94511D}" name="Filtre 42"/>
    <customWorkbookView activeSheetId="0" maximized="1" windowHeight="0" windowWidth="0" guid="{FA8BA213-7869-41A0-AECE-444C25D6BF51}" name="Filtre 20"/>
    <customWorkbookView activeSheetId="0" maximized="1" windowHeight="0" windowWidth="0" guid="{1594DD59-FFF9-4095-87DD-FDEBFB7FE2EA}" name="Filtre 23"/>
    <customWorkbookView activeSheetId="0" maximized="1" windowHeight="0" windowWidth="0" guid="{1BD4E991-83F7-4C7D-980D-0015110EE627}" name="Filtre 22"/>
    <customWorkbookView activeSheetId="0" maximized="1" windowHeight="0" windowWidth="0" guid="{0B9C297E-0DC7-44E4-B213-E6DD51B16800}" name="Filtre 44"/>
    <customWorkbookView activeSheetId="0" maximized="1" windowHeight="0" windowWidth="0" guid="{8A948A72-C498-4F33-A24F-3A48F750AFCC}" name="Filtre 25"/>
    <customWorkbookView activeSheetId="0" maximized="1" windowHeight="0" windowWidth="0" guid="{34FCDDD1-7922-4D67-B40E-25F7A7038B17}" name="Filtre 24"/>
    <customWorkbookView activeSheetId="0" maximized="1" windowHeight="0" windowWidth="0" guid="{11EE25A7-266C-4D1E-8C7B-2AE89BBE9005}" name="Filtre 26"/>
    <customWorkbookView activeSheetId="0" maximized="1" windowHeight="0" windowWidth="0" guid="{EEB208D1-43D9-4FB6-843D-4B3152F48150}" name="Filtre 41"/>
    <customWorkbookView activeSheetId="0" maximized="1" windowHeight="0" windowWidth="0" guid="{DCB140B4-A763-470C-8758-82B09744DDCD}" name="Filtre 18"/>
    <customWorkbookView activeSheetId="0" maximized="1" windowHeight="0" windowWidth="0" guid="{0CD4BF66-61D4-41DD-BF88-FDC472D6315C}" name="Filtre 17"/>
    <customWorkbookView activeSheetId="0" maximized="1" windowHeight="0" windowWidth="0" guid="{C06BAEE7-6D50-4CC2-9440-9BCCB77F5EFA}" name="Filtre 19"/>
    <customWorkbookView activeSheetId="0" maximized="1" windowHeight="0" windowWidth="0" guid="{ABE11A69-E549-48E8-98D4-2AD701329D10}" name="Filtre 32"/>
    <customWorkbookView activeSheetId="0" maximized="1" windowHeight="0" windowWidth="0" guid="{DE9D7DD6-229C-472E-A6D4-14F5A5B4B73E}" name="Filtre 10"/>
    <customWorkbookView activeSheetId="0" maximized="1" windowHeight="0" windowWidth="0" guid="{40679580-73D5-41B4-BBC8-18F019E5B693}" name="Filtre 31"/>
    <customWorkbookView activeSheetId="0" maximized="1" windowHeight="0" windowWidth="0" guid="{FB1F08D7-3075-491A-8E24-8208EBA2F792}" name="Filtre 12"/>
    <customWorkbookView activeSheetId="0" maximized="1" windowHeight="0" windowWidth="0" guid="{821DEC20-A85A-42D2-8F2D-D04CE9AB9239}" name="Filtre 34"/>
    <customWorkbookView activeSheetId="0" maximized="1" windowHeight="0" windowWidth="0" guid="{697BAABE-1FBD-4B3B-81C1-3ED7566140E6}" name="Filtre 11"/>
    <customWorkbookView activeSheetId="0" maximized="1" windowHeight="0" windowWidth="0" guid="{A3E6D4F6-3EB0-45DC-BFC6-A276237452FD}" name="Filtre 33"/>
    <customWorkbookView activeSheetId="0" maximized="1" windowHeight="0" windowWidth="0" guid="{88640532-789B-45F6-87BB-D8DBB3BB5A08}" name="Filtre 14"/>
    <customWorkbookView activeSheetId="0" maximized="1" windowHeight="0" windowWidth="0" guid="{2D98275A-297B-4B7E-B5ED-1995C9545EE5}" name="Filtre 36"/>
    <customWorkbookView activeSheetId="0" maximized="1" windowHeight="0" windowWidth="0" guid="{721354E9-4C9C-4435-9AD8-EE9DD0551ED4}" name="Filtre 35"/>
    <customWorkbookView activeSheetId="0" maximized="1" windowHeight="0" windowWidth="0" guid="{59D9EDD7-222E-489D-B6DF-A4C38FD5A1CD}" name="Filtre 13"/>
    <customWorkbookView activeSheetId="0" maximized="1" windowHeight="0" windowWidth="0" guid="{4264FFFA-3B7B-495F-A98D-D28474E7FBD6}" name="Filtre 38"/>
    <customWorkbookView activeSheetId="0" maximized="1" windowHeight="0" windowWidth="0" guid="{9D33451F-1B5E-4916-A1DC-1D6D17443072}" name="Filtre 16"/>
    <customWorkbookView activeSheetId="0" maximized="1" windowHeight="0" windowWidth="0" guid="{800FC62A-0186-4991-A13C-7BF950AA4631}" name="Filtre 15"/>
    <customWorkbookView activeSheetId="0" maximized="1" windowHeight="0" windowWidth="0" guid="{215C5152-F4E9-41CF-9CFD-327F9E3F6451}" name="Filtre 37"/>
  </customWorkbookViews>
  <pivotCaches>
    <pivotCache cacheId="0" r:id="rId9"/>
  </pivotCaches>
  <extLst>
    <ext uri="GoogleSheetsCustomDataVersion1">
      <go:sheetsCustomData xmlns:go="http://customooxmlschemas.google.com/" r:id="rId10" roundtripDataSignature="AMtx7mihUe55V1/PNmGOh1otop7iSmFXiQ=="/>
    </ext>
  </extLst>
</workbook>
</file>

<file path=xl/sharedStrings.xml><?xml version="1.0" encoding="utf-8"?>
<sst xmlns="http://schemas.openxmlformats.org/spreadsheetml/2006/main" count="34559" uniqueCount="7676">
  <si>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</si>
  <si>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</si>
  <si>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</si>
  <si>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</si>
  <si>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</si>
  <si>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</si>
  <si>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</si>
  <si>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</si>
  <si>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</si>
  <si>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</si>
  <si>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</si>
  <si>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</si>
  <si>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</si>
  <si>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</si>
  <si>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ADRES</t>
  </si>
  <si>
    <t>Geleneksel
Zincir</t>
  </si>
  <si>
    <t>FOTOĞRAF
SEGMENT</t>
  </si>
  <si>
    <t>Aradık Mı?</t>
  </si>
  <si>
    <t>Kendi Fotosu
Var</t>
  </si>
  <si>
    <t xml:space="preserve">    Randevu Durumu</t>
  </si>
  <si>
    <t>Randevu
Alan</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</si>
  <si>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</si>
  <si>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</si>
  <si>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</si>
  <si>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</si>
  <si>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</si>
  <si>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</si>
  <si>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</si>
  <si>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</si>
  <si>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</si>
  <si>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</si>
  <si>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</si>
  <si>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</si>
  <si>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</si>
  <si>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</si>
  <si>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</si>
  <si>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</si>
  <si>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</si>
  <si>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</si>
  <si>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</si>
  <si>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</si>
  <si>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</si>
  <si>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</si>
  <si>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6011db81bb98bb6dff370268</t>
  </si>
  <si>
    <t>@'li Burger, Erdemli (Merkez Mah.)</t>
  </si>
  <si>
    <t>Burger</t>
  </si>
  <si>
    <t>Seviye Durma</t>
  </si>
  <si>
    <t>Erdemli</t>
  </si>
  <si>
    <t>Merkez 1. Bölge</t>
  </si>
  <si>
    <t>Merkez Mah.Erdemoğlu Bulvarı, Erdemli Kültür Merlezi No/44 Erdemli, Mersin</t>
  </si>
  <si>
    <t>0-15</t>
  </si>
  <si>
    <t>Randevu Alındı</t>
  </si>
  <si>
    <t>Hatem Soyaslan</t>
  </si>
  <si>
    <t>Burçin Sezer</t>
  </si>
  <si>
    <t xml:space="preserve">merkez mah nova city avm 3.kat </t>
  </si>
  <si>
    <t>Ulaşılamadı</t>
  </si>
  <si>
    <t>Görüşüldü</t>
  </si>
  <si>
    <t>Deneme</t>
  </si>
  <si>
    <t>Serkan Kutlutürk</t>
  </si>
  <si>
    <t>6002f166e2740f0a9319bef3</t>
  </si>
  <si>
    <t>01 Mis Börek, Mezitli (Fatih Mah.)</t>
  </si>
  <si>
    <t>Börek</t>
  </si>
  <si>
    <t>Serhat Kırçiçek</t>
  </si>
  <si>
    <t>Mezitli</t>
  </si>
  <si>
    <t>Fatih</t>
  </si>
  <si>
    <t>Fatih Mah. 30016 Sokak No/2-C Mezitli,Mersin</t>
  </si>
  <si>
    <t>Hikmet Avcı</t>
  </si>
  <si>
    <t xml:space="preserve">önemli fotoğraflar panelde ekli </t>
  </si>
  <si>
    <t>5ffcabd15757432cd8db3247</t>
  </si>
  <si>
    <t>12:15 Tantuni &amp; Döner &amp; Sakatat, Yenişehir (Güvenevler Mah.)</t>
  </si>
  <si>
    <t>Döner</t>
  </si>
  <si>
    <t>Emirhan Ergül</t>
  </si>
  <si>
    <t>Yenişehir</t>
  </si>
  <si>
    <t>Güvenevler</t>
  </si>
  <si>
    <t>Güvenevler Mah.1904 Sokak No/6-A Yenişehir,Mersin</t>
  </si>
  <si>
    <t>26-35</t>
  </si>
  <si>
    <t>Emre Dalgıç</t>
  </si>
  <si>
    <t xml:space="preserve">meşgul //meşgul </t>
  </si>
  <si>
    <t>601af201499bfc3d0aab2620</t>
  </si>
  <si>
    <t>1991 Tarihi Ortaköy Kumpircisi, Yenişehir (Çiftlikköy Mah.)</t>
  </si>
  <si>
    <t>Sokak Lezzetleri</t>
  </si>
  <si>
    <t>Özkan Arıkan</t>
  </si>
  <si>
    <t>Çiftlikköy</t>
  </si>
  <si>
    <t>Çiftlikköy Mah.Üniversite Cad.No/42-D Yenişehir,Mersin</t>
  </si>
  <si>
    <t>35+</t>
  </si>
  <si>
    <t xml:space="preserve">05355691111 meşgul // kndılerı cekıp paylasılcak / kalan ürünlerini kendisi mail atacakmış </t>
  </si>
  <si>
    <t>Tekrar Aranacak</t>
  </si>
  <si>
    <t>Selcan Topçu</t>
  </si>
  <si>
    <t>Hatice Özer</t>
  </si>
  <si>
    <t>Betül Demir</t>
  </si>
  <si>
    <t>60900b0d800b49719bcac447</t>
  </si>
  <si>
    <t>33 Orhan Usta Tantuni, Mezitli (Akdeniz Mah.)</t>
  </si>
  <si>
    <t>Orhan Pelin</t>
  </si>
  <si>
    <t>Merkez</t>
  </si>
  <si>
    <t>Akdeniz Mah.Zeytinli Cad. No/5-A Mezitli,Mersin</t>
  </si>
  <si>
    <t>Ravza Eğilmez</t>
  </si>
  <si>
    <t>5326210445 kendi numarası</t>
  </si>
  <si>
    <t>61e6cb8253b020c4c8ae77bb</t>
  </si>
  <si>
    <t>33 Öz Mersin Döner, Mezitli (Viranşehir Mah.)</t>
  </si>
  <si>
    <t>Ali Dinçel</t>
  </si>
  <si>
    <t>Viranşehir</t>
  </si>
  <si>
    <t>Viranşehir Mah.Milli Egemenlik Cad.No:11-F Mezitli,Mersin</t>
  </si>
  <si>
    <t>duygu / 5523901989</t>
  </si>
  <si>
    <t>Sude Alkan</t>
  </si>
  <si>
    <t>601954628ecbe9f3ef5c861c</t>
  </si>
  <si>
    <t>33 Öz Mersin Tantuni, Mezitli (Viranşehir Mah.)</t>
  </si>
  <si>
    <t>Tavuk</t>
  </si>
  <si>
    <t>Viranşehir mh.milli egemenlik caddesi no11/F - Eski Mezitli Belediye Binası Ve Teb Bankası Arasında 100 mtre aşagıda</t>
  </si>
  <si>
    <t>Tuğba Buyur</t>
  </si>
  <si>
    <t>çekim yapılmış \\tamamı çekilmiş.</t>
  </si>
  <si>
    <t>6155b04f0f840cd101625ed8</t>
  </si>
  <si>
    <t>421 Burger, Yenişehir (İnönü Mah.)</t>
  </si>
  <si>
    <t>Fatma Dilara İnan</t>
  </si>
  <si>
    <t>İnönü</t>
  </si>
  <si>
    <t>İnönü Mah.1407 Sokak No/13-A Yenişehir,Mersin</t>
  </si>
  <si>
    <t xml:space="preserve">mail paylasıldı / öğle ara / 12 gibi ara / mail adresine atacak bugün </t>
  </si>
  <si>
    <t>601fd7b7d7f75e71dfdbdc56</t>
  </si>
  <si>
    <t>63 Ciğer Kebap , Yenişehir (Barboros Mah.)</t>
  </si>
  <si>
    <t>Kebap</t>
  </si>
  <si>
    <t>Hacı Ahmet Uyar</t>
  </si>
  <si>
    <t>Barbaros</t>
  </si>
  <si>
    <t>Barboros Mah.Gazi Mustafa Kemal Bulvarı No/482-B Yenişehir,Mersin</t>
  </si>
  <si>
    <t>ÇEKİM YAPILDI DİYOR AMA NEREDE YAPILMIŞ ARKADAŞLAR BUNLARI SORALIM LÜTFEN, ÇEKİM YAPILAN BAŞKA ŞUBE YOK ÇÜNKÜ // Çekim bu şubede yapılmış tüm ürünleri çekilmiş</t>
  </si>
  <si>
    <t>Derya Tatlı</t>
  </si>
  <si>
    <t>Nazmiye Yuka</t>
  </si>
  <si>
    <t>604c813fcc98d71d93a662aa</t>
  </si>
  <si>
    <t>Abidin Tantuni, Yenişehir (Aydınlıkevler Mah.)</t>
  </si>
  <si>
    <t>Mehmet Sungu</t>
  </si>
  <si>
    <t>Aydınlıkevler</t>
  </si>
  <si>
    <t>Aydınlıkevler Mah.Gazi Mustafa Kemal Bulvarı No/416-A Yenişehir,Mersin</t>
  </si>
  <si>
    <t>İleride Randevu Alınacak</t>
  </si>
  <si>
    <t>Nilay Kaplan</t>
  </si>
  <si>
    <t xml:space="preserve">teyit için aranıldığında çekim olmadığını ve istediğini söyledi </t>
  </si>
  <si>
    <t>Zeliha Özer</t>
  </si>
  <si>
    <t>61d7f93fb1d37d9493fdf1ff</t>
  </si>
  <si>
    <t>Acı Tantuni, Akdeniz (Camişerif Mah.)</t>
  </si>
  <si>
    <t>Süleyman Acı</t>
  </si>
  <si>
    <t>Akdeniz</t>
  </si>
  <si>
    <t>Cami Şerif</t>
  </si>
  <si>
    <t>Camiserif Mah. İstiklal Cad Çınar İşhanı Altı No :24 Akdeniz/Mersin</t>
  </si>
  <si>
    <t>Başka Şubeden Çekilecek</t>
  </si>
  <si>
    <t>3281999- / 5394242480 / 6026dd5755fa61c439fcfb44	Acı Tantuni, Akdeniz (Kiremithane Mah.) alınacak</t>
  </si>
  <si>
    <t>6026dd5755fa61c439fcfb44</t>
  </si>
  <si>
    <t>Acı Tantuni, Akdeniz (Kiremithane Mah.)</t>
  </si>
  <si>
    <t>Kiremithane</t>
  </si>
  <si>
    <t>Kiremithane Mah.Dr.Cemalettin Tanrıöver Sokak No/9-C Akdeniz,Mersin</t>
  </si>
  <si>
    <t>16-25</t>
  </si>
  <si>
    <t>telekom karşısı gazişehir mah no337 işletmesi için de çekim ister</t>
  </si>
  <si>
    <t>617943787f837320f378cefb</t>
  </si>
  <si>
    <t>Acı Tantuni, Yenişehir (Gazi Mah.)</t>
  </si>
  <si>
    <t>Gazi</t>
  </si>
  <si>
    <t>Gazi Mah.G.M.K Bulvarı No/337 Yenişehir,Mersin</t>
  </si>
  <si>
    <t>çekim yapılmış</t>
  </si>
  <si>
    <t>61d5f0ab342ac96ba015df68</t>
  </si>
  <si>
    <t>Acılı İskenderun Döner, Tarsus (Caminur Mah.)</t>
  </si>
  <si>
    <t>Osman Aydar</t>
  </si>
  <si>
    <t>Tarsus</t>
  </si>
  <si>
    <t>Caminur</t>
  </si>
  <si>
    <t>Caminur Mah.801 sokak No:1-A Tarsus,Mersin</t>
  </si>
  <si>
    <t>603028708364b83200993c49</t>
  </si>
  <si>
    <t>Acıpare Fast &amp; Food, Yenişehir (Aydınlıkevler Mah.)</t>
  </si>
  <si>
    <t>Fatih Şentürk</t>
  </si>
  <si>
    <t>Aydınlıkevler Mah.G.M.K Bulvarı No/402-B Yenişehir,Mersin</t>
  </si>
  <si>
    <t>İpek Aytaç</t>
  </si>
  <si>
    <t>eksikleri studyoda yaptırmış. onları mail atacakmış.</t>
  </si>
  <si>
    <t>614eab7b73bb3d6c3ed878ef</t>
  </si>
  <si>
    <t>Acıyörem Çiğ Köfte, Yenişehir (Çiftlikköy Mah.)</t>
  </si>
  <si>
    <t>Çiğ Köfte</t>
  </si>
  <si>
    <t>Selçuk Vakitbilir</t>
  </si>
  <si>
    <t>Çiftlikköy Mah.32133 sokak No/1-B Yenişehir,Mersin</t>
  </si>
  <si>
    <t xml:space="preserve">açmadı  </t>
  </si>
  <si>
    <t>Gül Değirmenci</t>
  </si>
  <si>
    <t>6198872fa140e20233da85e4</t>
  </si>
  <si>
    <t>Ad-Mun Döner, Akdeniz (Mahmudiye Mah.)</t>
  </si>
  <si>
    <t>Hüseyin Güzel</t>
  </si>
  <si>
    <t>Mahmudiye</t>
  </si>
  <si>
    <t>Mahmudiye Mah.108.Cad No/14-A Akdeniz,Mersin</t>
  </si>
  <si>
    <t xml:space="preserve">mehmet  bey // açmadı  / çekime gidilmemeiş tekrardan randevu alındı </t>
  </si>
  <si>
    <t>5fe63c3571e89c393095c2fa</t>
  </si>
  <si>
    <t>Ada Et Döner, Yenişehir (Cumhuriyet Mah.)</t>
  </si>
  <si>
    <t>Hikmet Hakan Başkan</t>
  </si>
  <si>
    <t>Cumhuriyet</t>
  </si>
  <si>
    <t>Cumhuriyet Mah.İsmet İnönü Bulvarı 254/B Yenişehir Mersin</t>
  </si>
  <si>
    <t>açmadı \\randevu oluşturuldu//5 ürünü kalmış sadece</t>
  </si>
  <si>
    <t>621cfa0f0cf860fb14ef3a1d</t>
  </si>
  <si>
    <t>Adana Ocakbaşı, Silifke (Göksu Mah.)</t>
  </si>
  <si>
    <t>Mahmut Arslan</t>
  </si>
  <si>
    <t>Silifke</t>
  </si>
  <si>
    <t>Göksu</t>
  </si>
  <si>
    <t>Göksu Mah.Fatih Sultan Mehmet Cad.No:15-A Silifke,Mersin</t>
  </si>
  <si>
    <t>61e054500aa66b3de81593f0</t>
  </si>
  <si>
    <t>Adanalı Bekir Usta, Mezitli (Viranşehir Mah.)</t>
  </si>
  <si>
    <t>Bekir Ekici</t>
  </si>
  <si>
    <t>Viranşehir Mah.3451 Sokak No/8-A Mezitli,Mersin</t>
  </si>
  <si>
    <t xml:space="preserve">ibrahim bey sadece isim değişikliği oldu eski panelden alın der </t>
  </si>
  <si>
    <t>5ff358d8ce622f2f40cd2e9b</t>
  </si>
  <si>
    <t>Adım 46 Kebap, Mezitli (Merkez Mah.)</t>
  </si>
  <si>
    <t>Yıldız Uzcüce</t>
  </si>
  <si>
    <t>Merkez Mah.52060 Sokak Özkan Yılmaz Apt.NO/ 18 A Mezitli, Mersin</t>
  </si>
  <si>
    <t>Çekim İstemiyor</t>
  </si>
  <si>
    <t xml:space="preserve">şuan istemiyorum belki daha sonra \\ çekim istemiyor.\\şu an ihtiyacım yok dedi./ürünlerin hepsini hazırlamak gerekiyo bize maliyetli geliyo dediler / cenazem var şuan uygun değilim dedi </t>
  </si>
  <si>
    <t>60562dab6bf3018ad33586e4</t>
  </si>
  <si>
    <t>Adıyaman Çiğ Köfte Hayri Usta, Tarsus (Ergenekon Mah.)</t>
  </si>
  <si>
    <t>Hayri Karakoç</t>
  </si>
  <si>
    <t>Ergenekon</t>
  </si>
  <si>
    <t>Ergenekon Mah.Fatih Sultan Mehmet Bulvarı No/37-C Tarsus, Erdemli</t>
  </si>
  <si>
    <t>618d58f6cdedebd544e666a4</t>
  </si>
  <si>
    <t>Adıyaman Çiğ Köfte, Akdeniz (Çankaya Mah.-Çarşı)</t>
  </si>
  <si>
    <t>Yunus Emre Pamukçu</t>
  </si>
  <si>
    <t>Çankaya</t>
  </si>
  <si>
    <t>Çankaya Mah.Atatürk 1 Cad.No/26 Akdeniz,Mersin</t>
  </si>
  <si>
    <t>çekim sağlanmış</t>
  </si>
  <si>
    <t>6036aa1b05dd29c17cfede64</t>
  </si>
  <si>
    <t>Adıyaman Çiğ Köftecisi Servet Usta, Toroslar (Kurdali Mah.)</t>
  </si>
  <si>
    <t>Tarık Han Düşünüklü</t>
  </si>
  <si>
    <t>Toroslar</t>
  </si>
  <si>
    <t>Kurdali</t>
  </si>
  <si>
    <t>Kurdali Mah.100125 Sokak No/21 Toroslar,Mersin</t>
  </si>
  <si>
    <t>eksik yok</t>
  </si>
  <si>
    <t>61f5274f704da279242021af</t>
  </si>
  <si>
    <t>Adıyaman Çiğ Köftesi, Tarsus (Şehitler Tepesi Mah.)</t>
  </si>
  <si>
    <t>Ömer Faruk Koyuncu</t>
  </si>
  <si>
    <t>Şehitler Tepesi</t>
  </si>
  <si>
    <t>Şehitler Tepesi Mah.Kasım Ekenler Bulvarı No:207-B Tarsus,Mersin</t>
  </si>
  <si>
    <t>616daadb1b2b12101fbc719c</t>
  </si>
  <si>
    <t>Adıyaman Çiğköfte Evi, Toroslar (Zeki Ayan Mah.)</t>
  </si>
  <si>
    <t>Muhammet Gazali Arslan</t>
  </si>
  <si>
    <t>Zeki Ayan</t>
  </si>
  <si>
    <t>Zeki Ayan Mah.Kuvayi Milliye Bulvarı No/261-C Toroslar,Mersin</t>
  </si>
  <si>
    <t>5378779213  mesgul</t>
  </si>
  <si>
    <t>Yetkili Yok</t>
  </si>
  <si>
    <t>609a744d9dabfad14f81496a</t>
  </si>
  <si>
    <t>Adıyaman Çiğköfte Salih Usta, Tarsus (Gazipaşa Mah.)</t>
  </si>
  <si>
    <t>Halime Altay</t>
  </si>
  <si>
    <t>Gazipaşa</t>
  </si>
  <si>
    <t>Gazipaşa Mah.M.Akif Ersoy Cad.No/107-F Tarsus,Mersin</t>
  </si>
  <si>
    <t>61c4b19704cd9dcf2ac81453</t>
  </si>
  <si>
    <t>Adıyamanlı Çiğ Köfte, Toroslar (Osmaniye Mah.)</t>
  </si>
  <si>
    <t>Nuran Kamer</t>
  </si>
  <si>
    <t>Osmaniye</t>
  </si>
  <si>
    <t>OSMANİYE MAH. AV. AHMET BOZ CAD. NO:8 K:1 D:4 TOROSLAR / MERSİN</t>
  </si>
  <si>
    <t>602ad0999710c010c1d1dfc5</t>
  </si>
  <si>
    <t>Adıyamanlı Çiğ Köfteci Hasan Aybak, Akdeniz (Çankaya Mah.)</t>
  </si>
  <si>
    <t>Şükrü Erdoğan</t>
  </si>
  <si>
    <t>Çankaya Mah.İstiklal Cad.No/63-C Akdeniz,Mersin</t>
  </si>
  <si>
    <t>602acb366a39b523b96ae197</t>
  </si>
  <si>
    <t>Adıyamanlı Çiğ Köfteci Hasan Aybak, Mezitli (Merkez Mah.)</t>
  </si>
  <si>
    <t>Merkez Mah.G.M.K Bulvarı No/800-G Mezitli,Mersin</t>
  </si>
  <si>
    <t>Franchise</t>
  </si>
  <si>
    <t>60466fa40a4ea4073fb2b2b0</t>
  </si>
  <si>
    <t>Adıyamanlı Çiğ Köfteci Hasan Aybak, Tarsus (Öğretmenler Mah.)</t>
  </si>
  <si>
    <t>Rukiye Bağcı</t>
  </si>
  <si>
    <t>Öğretmenler</t>
  </si>
  <si>
    <t>Öğretmenler Mah.Dumlupınar Bulvarı No/5-D Tarsus,Mersin</t>
  </si>
  <si>
    <t>60089558f9bae48434535aa8</t>
  </si>
  <si>
    <t>Adıyamanlı Çiğ Köftecim, Akdeniz (Mahmudiye Mah.-Çarşı Şube)</t>
  </si>
  <si>
    <t>Emre Kaya</t>
  </si>
  <si>
    <t>Mahmudiye Mah.Zeytinli Bahçe Cad.No/103-B Akdeniz,Mersin</t>
  </si>
  <si>
    <t>Funda Ünlü</t>
  </si>
  <si>
    <t>kendi fotoğrafları var yollayacaklarmış</t>
  </si>
  <si>
    <t>6183c05d8b3c8cc7d7acff21</t>
  </si>
  <si>
    <t>Adıyamanlı Çiğ Köftecim, Toroslar (Sağlık Mah.)</t>
  </si>
  <si>
    <t>Hacer Demir</t>
  </si>
  <si>
    <t>Sağlık</t>
  </si>
  <si>
    <t>Sağlık Mah.Kuvayi Milliye Bulvarı No/178-A Toroslar,Mersin</t>
  </si>
  <si>
    <t>Dönüş Yapacak</t>
  </si>
  <si>
    <t>kendileri dönüş yapacaklar henüz paneli açmamışlar</t>
  </si>
  <si>
    <t>Ayşegül Kır</t>
  </si>
  <si>
    <t>616e8ff56c1a4d2de2c771db</t>
  </si>
  <si>
    <t>Adıyamanlı Çiğ Köftecim, Yenişehir (Aydınlıkevler Mah.)</t>
  </si>
  <si>
    <t>Elburuz Çözel</t>
  </si>
  <si>
    <t>Aydınlıkevler Mah.2009 sokak No/11-B Yenişehir,Mersin</t>
  </si>
  <si>
    <t>Randevu İptal</t>
  </si>
  <si>
    <t xml:space="preserve">devam çekimi  </t>
  </si>
  <si>
    <t>60139c0fbb98bb5216377bb6</t>
  </si>
  <si>
    <t>Adıyamanlı Çiğ Köftecim, Yenişehir (Güvenevler Mah.-Pozcu.)</t>
  </si>
  <si>
    <t>Şevket Çetin</t>
  </si>
  <si>
    <t>İnönü Mah.Gazi Mustafa Kemal Bulvarı No/369-B Yenişehir,Mersin</t>
  </si>
  <si>
    <t>Aykut Gülaslan</t>
  </si>
  <si>
    <t xml:space="preserve">panelde tüm fotoğrafları var </t>
  </si>
  <si>
    <t>6034127beeb805b0274dfb4e</t>
  </si>
  <si>
    <t>Adıyamanlı Çiğköfteci Ahmet Usta, (Altaylılar Mah.-Ülküköy)</t>
  </si>
  <si>
    <t>Pakize Aslan</t>
  </si>
  <si>
    <t>Altaylılar</t>
  </si>
  <si>
    <t>Gaziler Mah.Gazi Paşa Bulvarı No/68-B Tarsus, Mersin</t>
  </si>
  <si>
    <t>6155b7955833eea31f13d649</t>
  </si>
  <si>
    <t>Adıyamanlı Çiğköfteci Ali Baba, Toroslar (Halkkent Mah.)</t>
  </si>
  <si>
    <t>Ömer Utku Armut</t>
  </si>
  <si>
    <t>Halkkent</t>
  </si>
  <si>
    <t>Halkkent Mah.Köroğlu Cad.No/7 HE Toroslar,Mersin</t>
  </si>
  <si>
    <t>6046680319345fcddd41a395</t>
  </si>
  <si>
    <t>Adıyamanlı Çiğköfteci Hasan Aybak, (Altaylılar Mah.-Ülküköy)</t>
  </si>
  <si>
    <t>Ahmet Bağcı</t>
  </si>
  <si>
    <t>Ergenekon Mah.Fatih Sultan Mehmet Bulvarı No/7B Tarsus,Mersin</t>
  </si>
  <si>
    <t>62433ecb55b5dbf7d4e0443e</t>
  </si>
  <si>
    <t>Adıyamanlı Çiğköfteci Hasan Aybak, Tarsus (İsmetpaşa Mah.)</t>
  </si>
  <si>
    <t>HATİCE DAL</t>
  </si>
  <si>
    <t>İsmetpaşa Mah. Rasim Dokur Blv. No:39D Tarsus/Mersin</t>
  </si>
  <si>
    <t>6255beed4cc11c0ca3ca9b8e</t>
  </si>
  <si>
    <t>Adıyamanlı Çiğköfteci Hasan Aybak, Tarsus (Mithatpaşa Mah.)</t>
  </si>
  <si>
    <t>Onur Samancı</t>
  </si>
  <si>
    <t>Anıt</t>
  </si>
  <si>
    <t>Mithatpaşa Mah.Mehmet Akif Ersoy Cad.No:26-E Tarsus,Mersin</t>
  </si>
  <si>
    <t>61fab4a70ef815418f4aafa2</t>
  </si>
  <si>
    <t>Adıyamanlı Çiğköfteci Hasan Aybak, Tarsus (Şehitishak Mah.)</t>
  </si>
  <si>
    <t>Fevziye Çimen</t>
  </si>
  <si>
    <t>Şehitishak</t>
  </si>
  <si>
    <t>Şehitishak Mah.Nene Hatun Cad.Mo:8-A Tarsus, Mersin</t>
  </si>
  <si>
    <t>616713e2ab37a839c410d79e</t>
  </si>
  <si>
    <t>Adıyamanlı İkram Çiğköfteci, Akdeniz (Kiremithane Mah.)</t>
  </si>
  <si>
    <t>Mustafa Çelik</t>
  </si>
  <si>
    <t>Barış</t>
  </si>
  <si>
    <t>Barış Mah.İstiklal Cad.No/123-A Akdeniz,Mersin</t>
  </si>
  <si>
    <t>panelde ürünleri var / yetkili daha sonra dönüş yapacaklar/ 15 dk sonra ara yetkili yok.</t>
  </si>
  <si>
    <t>Kübra Toprak</t>
  </si>
  <si>
    <t>61aba68e0d214a838b25358e</t>
  </si>
  <si>
    <t>Adıyamanlı İkram Çiğköfteci, Akdeniz (Yeni Mah.)</t>
  </si>
  <si>
    <t>Beyza Ercan</t>
  </si>
  <si>
    <t>Yeni</t>
  </si>
  <si>
    <t>Yeni Mah.5351 Sokak Atatürk Lisesi ,Akdeniz,Mersin</t>
  </si>
  <si>
    <t>5 gibi  gelir yt</t>
  </si>
  <si>
    <t>Yurdagül Kulaksız</t>
  </si>
  <si>
    <t>6172520b26a37d0def0b6348</t>
  </si>
  <si>
    <t>Adıyamanlı İkram Çiğköfteci, Toroslar (Demirtaş Mah.)</t>
  </si>
  <si>
    <t>Merve Babacan</t>
  </si>
  <si>
    <t>Demirtaş</t>
  </si>
  <si>
    <t>Demirtaş Mah.77043 sokak No/1-A Toroslar,Mersin</t>
  </si>
  <si>
    <t>Sistemden Çıkmak İstiyor</t>
  </si>
  <si>
    <t xml:space="preserve">istemedi  </t>
  </si>
  <si>
    <t>Serap Apaydın</t>
  </si>
  <si>
    <t>621cfec626ef38339ed2f935</t>
  </si>
  <si>
    <t>Adıyamanlı İkram Çiğköfteci, Yenişehir (Gazi Mah.)</t>
  </si>
  <si>
    <t>Ümmügülsüm Nur</t>
  </si>
  <si>
    <t>Palmiye</t>
  </si>
  <si>
    <t>Gazi Mah.2.Cad Burhan Apt No:35-C Yenişehir,Mersin</t>
  </si>
  <si>
    <t>61e942892f86de6bc2ddc537</t>
  </si>
  <si>
    <t>Adıyörem Çiğ Köfte, Tarsus (Yeni Ömerli Mah.)</t>
  </si>
  <si>
    <t>Songül Erdoğdu</t>
  </si>
  <si>
    <t>Yeni Ömerli</t>
  </si>
  <si>
    <t>Yeni Ömerli Mah.Kardeş Langen Bulvarı No:4-C Tarsus,Mersin</t>
  </si>
  <si>
    <t>624863415636241ece994a5d</t>
  </si>
  <si>
    <t>Adoss Restaurant &amp; Cafe, Yenişehir (Güvenevler Mah.)</t>
  </si>
  <si>
    <t>Adem Kırtıl</t>
  </si>
  <si>
    <t>Güvenevler Mah.G.M.K Bulvarı No:370-B Yenişehir,Mersin</t>
  </si>
  <si>
    <t>601c42000339e65ea8bcd14f</t>
  </si>
  <si>
    <t>Afiyet Döner &amp; Fast Food, Yenişehir (İnönü Mah.)</t>
  </si>
  <si>
    <t>AHMET ÖZBEY</t>
  </si>
  <si>
    <t>İnönü Mahallesi . 1406 sokak . No 15/B YENİŞEHİR /Mersin</t>
  </si>
  <si>
    <t>en fazla 3-4 ürün çıkarırım dedi \\şu an düşünmüyorum dedi.\\yetkilinizden şikayetçiyim o yüzden düşünmüyorum önce onları halledeyim dedi.//5418811249 /getirden kurye talep etmiş dönüş olmamış</t>
  </si>
  <si>
    <t>619e5e58266cf46d98fdcbc6</t>
  </si>
  <si>
    <t>Ahmet Usta Börekçilik, Yenişehir (Batıkent Mah.)</t>
  </si>
  <si>
    <t>Gökay Yentür</t>
  </si>
  <si>
    <t>Batıkent</t>
  </si>
  <si>
    <t>Batıkent Mah.İstemihan Talay Cad.No/169-AC Yenişehir,Mersin</t>
  </si>
  <si>
    <t>6027d8996c06ceef08791d93</t>
  </si>
  <si>
    <t>Ailem Ev Yemekleri, Yenişehir (Çiftlikköy Mah.)</t>
  </si>
  <si>
    <t>Ev Yemekleri</t>
  </si>
  <si>
    <t>Aynur Fatma Gür</t>
  </si>
  <si>
    <t>Çiflikköy Mah.Üniversite Cad.No/51-A Yenişehir,Mersin</t>
  </si>
  <si>
    <t xml:space="preserve">ergün bey ile devam çekimi oluşturuldu / devam çekimi iptal olmuş tekrar istemiyor </t>
  </si>
  <si>
    <t>Eylem Ünal</t>
  </si>
  <si>
    <t>61ebcab437511f6340c21c01</t>
  </si>
  <si>
    <t>Akdo Dondurmahane, Erdemli (Akdeniz Mah.)</t>
  </si>
  <si>
    <t>Pasta &amp; Tatlı</t>
  </si>
  <si>
    <t>Gülşen Karayılan</t>
  </si>
  <si>
    <t>Akdeniz 2. Bölge</t>
  </si>
  <si>
    <t>Akdeniz Mah.Alparslan Türkeş Bulvarı No:124-C Erdemli,Mersin</t>
  </si>
  <si>
    <t>Ferhat Köksal</t>
  </si>
  <si>
    <t>Mücahit Topçu</t>
  </si>
  <si>
    <t xml:space="preserve">opetin karşısı </t>
  </si>
  <si>
    <t>6023cf711ac2f5625125969f</t>
  </si>
  <si>
    <t>Akmanlar 3 Lahmacun &amp; Pizza &amp; Pide, Akdeniz (Mesudiye Mah.)</t>
  </si>
  <si>
    <t>Pizza</t>
  </si>
  <si>
    <t>deniz yeğin</t>
  </si>
  <si>
    <t>Mesudiye</t>
  </si>
  <si>
    <t>Mesudiye Mahallesi 5111 Sokak Maliye Binası Alt Sokağı</t>
  </si>
  <si>
    <t>Şura Özcan</t>
  </si>
  <si>
    <t>hepsi çekildi dedi//yoğunuz 1 saat sonra ara</t>
  </si>
  <si>
    <t>61dc5644252ae4a7ac60e479</t>
  </si>
  <si>
    <t>Aksay Baklavaları, Tarsus (Kırklarsırtı Mah.)</t>
  </si>
  <si>
    <t>Hatice Aksay</t>
  </si>
  <si>
    <t>Akşemsettin</t>
  </si>
  <si>
    <t>Kırklarsırtı Mah.Yüzbaşı Yaşar Cad.No:7-1 Tarsus,Mersin</t>
  </si>
  <si>
    <t>6143497b378b9969ec6ee047</t>
  </si>
  <si>
    <t>Ala Restaurant, Yenişehir (İnönü Mah.)</t>
  </si>
  <si>
    <t>Ali Ceylan</t>
  </si>
  <si>
    <t>İnönü Mah.6.Cadde No/8-A Yenişehir,Mersin</t>
  </si>
  <si>
    <t xml:space="preserve">5423237833// açmadı  yetkili </t>
  </si>
  <si>
    <t>5fdf5fcc0345d26b727f465a</t>
  </si>
  <si>
    <t>Ala Tantuni, Yenişehir (Çiftlikköy Mah.)</t>
  </si>
  <si>
    <t>Kadriye Yılmaz</t>
  </si>
  <si>
    <t>çiftlikkıöy mahallesi universite caddesi univercity park 47/A, 33140 yenişehir/Mersin</t>
  </si>
  <si>
    <t>engellemiş /çekimler yapıldı yeterli diyor d.ç. istemiyor</t>
  </si>
  <si>
    <t>5fe6b71c3458672d21458cea</t>
  </si>
  <si>
    <t>Alaaddin Gurme Antakya Döner, Yenişehir (Çiftlikköy Mah.)</t>
  </si>
  <si>
    <t>Mehmet Yücel</t>
  </si>
  <si>
    <t>Çiftlikköy Mah.Üniversite Cad.Akademi Plaza 41 AC Yenişehir Mersin</t>
  </si>
  <si>
    <t xml:space="preserve">5388823148- elimizde fotograflarımız var dedi ben size dönüş yaparım </t>
  </si>
  <si>
    <t>615efa9543b5a3c401b72f80</t>
  </si>
  <si>
    <t>Alaçatı Muhallebicisi, Mezitli (Fatih Mah.)</t>
  </si>
  <si>
    <t>Levent Dağlı</t>
  </si>
  <si>
    <t>Fatih Mah.Adnan Menderes Bulvarı No/234-D Mezitli,Mersin</t>
  </si>
  <si>
    <t xml:space="preserve">dönecek  / devam çekimi alındı </t>
  </si>
  <si>
    <t>60897755588eb081814b89a0</t>
  </si>
  <si>
    <t>Alanya Unlu Mamülleri, Mezitli (Merkez Mah.)</t>
  </si>
  <si>
    <t>Azat Kenli</t>
  </si>
  <si>
    <t>Merkez Mah.Zeytinli Cad.No/34-E Mezitli,Mersin</t>
  </si>
  <si>
    <t>5342322121 / viranşehirdeki işletmede çekım saglanmıs</t>
  </si>
  <si>
    <t>60897c64d69d45bbd352ff1b</t>
  </si>
  <si>
    <t>Alanya Unlu Mamülleri, Mezitli (Viranşehir Mah.)</t>
  </si>
  <si>
    <t>Viranşehir Mah.34336 Sokak Mezitli,Mersin</t>
  </si>
  <si>
    <t xml:space="preserve">ürünlerimin hepsi çekildi dedi </t>
  </si>
  <si>
    <t>60675a246d836b7e4da482e8</t>
  </si>
  <si>
    <t>Aldo Özkaymak, Yenişehir (Menteş Mah.)</t>
  </si>
  <si>
    <t>Süleyman Yiğit</t>
  </si>
  <si>
    <t>Menteş</t>
  </si>
  <si>
    <t>Menteş Mah.Barboros Bulvarı No/89-A Yenişehir,Mersin</t>
  </si>
  <si>
    <t xml:space="preserve">5325439730 yetkili no// açmadı  </t>
  </si>
  <si>
    <t>6161e99e5bfa2b85384268da</t>
  </si>
  <si>
    <t>Ali Amca Ankara Kokoreç &amp; Sıcak Midye, Yenişehir/Çiftlikköy Mah.</t>
  </si>
  <si>
    <t>Hasan Ali Börçek</t>
  </si>
  <si>
    <t>Çiftlikköy Mah.İstemihan Talay Cad.No/229 BC Yenişehir,Mersin</t>
  </si>
  <si>
    <t xml:space="preserve">paneli kapalı </t>
  </si>
  <si>
    <t>624031d073980c853acdd9fd</t>
  </si>
  <si>
    <t>Alice Tantuni &amp; Kebap Salonu, Akdeniz (Nusratiye Mah.)</t>
  </si>
  <si>
    <t>NİLAY GEZİCİ</t>
  </si>
  <si>
    <t>Nusratiye</t>
  </si>
  <si>
    <t>Nusratiye Mah. Mehmet Akif Ersoy Cad. No:57/C Akdeniz/Mersin</t>
  </si>
  <si>
    <t>612102f163c2dc9257725973</t>
  </si>
  <si>
    <t>Alpi Közde Piliç, Mezitli (Yeni Mah.)</t>
  </si>
  <si>
    <t>Serhat Alkaya</t>
  </si>
  <si>
    <t>Yeni Mah.Babil Cad.No/16-A Mezitli,Mersin</t>
  </si>
  <si>
    <t>dç istiyor ama musaıt degıl ılerde/yarım saat sonra arnılcak</t>
  </si>
  <si>
    <t>6001f937fd3d0e7752030f37</t>
  </si>
  <si>
    <t>Alsancak Izgara, Tarsus (Şehitler Tepesi Mah.)</t>
  </si>
  <si>
    <t>İsmail Çopur</t>
  </si>
  <si>
    <t>Şehitler Tepesi Mah.Kasım Ekenler Bulvarı No/227-B Tarsus,Mersin</t>
  </si>
  <si>
    <t>Kadriye Polat</t>
  </si>
  <si>
    <t>Ürünlerin hepsini çıkaramam ramazandan dolayı o yüzden ramazan bitince arayın duruma göre bakalım der.</t>
  </si>
  <si>
    <t>610d42351cebd11d73f7cd17</t>
  </si>
  <si>
    <t>Altı Kardeşler Kebap &amp; Tantuni, Toroslar (Yalınayak Mah.)</t>
  </si>
  <si>
    <t>Bülent Uzun</t>
  </si>
  <si>
    <t>Yalınayak</t>
  </si>
  <si>
    <t>Yalınayak Mah.Çiftçiler Cad.No/165-B Toroslar,Mersin</t>
  </si>
  <si>
    <t>60d45e4719768b65af61c29b</t>
  </si>
  <si>
    <t>Amanos Dürüm Center, Tarsus (Şehitmustafa Mah. Merkez)</t>
  </si>
  <si>
    <t>Fatma Bahçacı</t>
  </si>
  <si>
    <t>Şehitkerim</t>
  </si>
  <si>
    <t>Şehitkerim Mah.3427 Sokak No/8 Tarsus,Mersin</t>
  </si>
  <si>
    <t>619fbe8750f740d4ab2a8dec</t>
  </si>
  <si>
    <t>Anadolu Kebap &amp; Lahmacun &amp; Pide, Yenişehir (Çiftlikköy Mah.)</t>
  </si>
  <si>
    <t>Pide</t>
  </si>
  <si>
    <t>Ali Çiftlik</t>
  </si>
  <si>
    <t>Çiftlikköy Mah.3209 Sokak Hayal Apt.13 nolu Bağımsız No/14 A Yenişehir, Mersin</t>
  </si>
  <si>
    <t xml:space="preserve">önceden  çekim yapılmış bireyselmiş sonra kurumsal olmuş şimdi tekrar fotoğraflarının yüklenmesini istiyor </t>
  </si>
  <si>
    <t>602109d56d12e9fd884907e1</t>
  </si>
  <si>
    <t>Anatolia Pizza, Mezitli (Merkez Mah.)</t>
  </si>
  <si>
    <t>İSA GÖNEN</t>
  </si>
  <si>
    <t>mezitli merkez mahallesi 52060 sokak no9/A
 MEZİTLİ/MERSİN</t>
  </si>
  <si>
    <t xml:space="preserve">bütün çekimleri yapıldı. / devir olmuş devrettiği kişinin numarası yok </t>
  </si>
  <si>
    <t>61ddbbe6c988c9b2f73c24ba</t>
  </si>
  <si>
    <t>Andoy Piliçistan, Akdeniz (Müfide İlhan Mah.)</t>
  </si>
  <si>
    <t>Nejla Güreşci Özalp</t>
  </si>
  <si>
    <t>Müfide İlhan</t>
  </si>
  <si>
    <t>Müfide İlhan Mah.6102 sokak No:37-A Akdeniz,Mersin</t>
  </si>
  <si>
    <t>yarım saat sonra ara der (14:25 gibi)</t>
  </si>
  <si>
    <t>61ebf9cfe66f62a559e1c0ea</t>
  </si>
  <si>
    <t>Annemin Mutfağı, Yenişehir (Güvenevler Mah.-Pozcu)</t>
  </si>
  <si>
    <t>Deniz Doğan</t>
  </si>
  <si>
    <t>Güvenevler Mah. 1914. Sk. Boss Point İş Merkezi A Blok zemin kat No:17, 33140 Yenişehir/Mersin</t>
  </si>
  <si>
    <t>mail göndericek\</t>
  </si>
  <si>
    <t>5fe25653a8ae935542baa9be</t>
  </si>
  <si>
    <t>Antakya Döner, Yenişehir (Güvenevler Mah.)</t>
  </si>
  <si>
    <t>Suphi Süt</t>
  </si>
  <si>
    <t>Güvenevler, Güvenevler Mahallesi, Dumlupınar Cd. Dogan yıldız iş merkezi c blokNo:14, D:C, 33140 Yenişehir/Mersin</t>
  </si>
  <si>
    <t xml:space="preserve">dönecek  </t>
  </si>
  <si>
    <t>619bbcce4020edf8c8c7e447</t>
  </si>
  <si>
    <t>Antakya Express Döner &amp; Kebap, Erdemli (Akdeniz Mah.)</t>
  </si>
  <si>
    <t>Burak Turhan</t>
  </si>
  <si>
    <t>Akdeniz 1. Bölge</t>
  </si>
  <si>
    <t>Akdeniz Mah.Alparslan Türkeş Bulvarı No/186-B Erdemli,Mersin</t>
  </si>
  <si>
    <t>61b2031470bb7f4a8c34ebb3</t>
  </si>
  <si>
    <t>Antakya Şef Döner, Erdemli (Akdeniz Mah.)</t>
  </si>
  <si>
    <t>Hakan Mansuroğlu</t>
  </si>
  <si>
    <t>Akdeniz Mah.Yunus Emre Cad.No:95 Erdemli,Mersin</t>
  </si>
  <si>
    <t>Lokasyon Uzak</t>
  </si>
  <si>
    <t>6081a2ad22a2d62ed68d11db</t>
  </si>
  <si>
    <t>Antakyalı Kral Künefe, Erdemli (Merkez Mah.)</t>
  </si>
  <si>
    <t>Özgür Yıldızoğlu</t>
  </si>
  <si>
    <t>Merkez 2. Bölge</t>
  </si>
  <si>
    <t>Merkez Mah.Sabahattin Çakmakoğlu Cad.No/24-C Erdemli,Mersin</t>
  </si>
  <si>
    <t>özgür bey yok annesi iletecek</t>
  </si>
  <si>
    <t>60742ca418f85db3119c644b</t>
  </si>
  <si>
    <t>Arabica Coffee House, Yenişehir (İnönü Mah.)</t>
  </si>
  <si>
    <t>Berna Ersöz</t>
  </si>
  <si>
    <t>İnönü Mah.1401 Sokak No/32-B Yenişehir Mersin</t>
  </si>
  <si>
    <t>60d9e0979aeceb46809f15b0</t>
  </si>
  <si>
    <t>Arka Bahçe Kahvaltı, Silifke (Göksu Mah.)</t>
  </si>
  <si>
    <t>Kahvaltı</t>
  </si>
  <si>
    <t>Cemre Pekel</t>
  </si>
  <si>
    <t>Göksu Mah.Ali Önder Sokak No/34-D Silifke,Mersin</t>
  </si>
  <si>
    <t>624f1ac851392c6ec8db7497</t>
  </si>
  <si>
    <t>Arpaç Tantuni &amp; Kebap, Toroslar (Arpaçsakarlar Mah.)</t>
  </si>
  <si>
    <t>Nazmi Kayacan</t>
  </si>
  <si>
    <t>Merkez Köyü 2. Bölge</t>
  </si>
  <si>
    <t>arpaç sakallar mahallesi çiftçiler caddesi no:151/b toroslar/mersin</t>
  </si>
  <si>
    <t>6033881baa09e0a37e2b409e</t>
  </si>
  <si>
    <t>Askar Künefe &amp; Dondurma, Yenişehir (Fuat Morel Mah.)</t>
  </si>
  <si>
    <t>SONGÜL AŞKAR</t>
  </si>
  <si>
    <t>Fuatmorel</t>
  </si>
  <si>
    <t>FUAT MOREL MAH. 28105 SOKAK NO:58/A YENİŞEHİR , MERSİN YAHYA GÜNSUR LİSESİ KARŞISI</t>
  </si>
  <si>
    <t xml:space="preserve">mehmet  5394059503 dç alındı </t>
  </si>
  <si>
    <t>6048d1f38aa12145b8713ce1</t>
  </si>
  <si>
    <t>Aslan Paça &amp; Izgara, Erdemli (Alata Mah.)</t>
  </si>
  <si>
    <t>İlkay Yavuklu</t>
  </si>
  <si>
    <t>Alata 2. Bölge</t>
  </si>
  <si>
    <t>Alata Mah.Alparslan Türkeş Bulvarı No/298-B Erdemli,Mersin</t>
  </si>
  <si>
    <t>5fe6cac797764a03545a7474</t>
  </si>
  <si>
    <t>Aspava Kebap &amp; Lahmacun, Yenişehir (Çiftlikköy Mah.)</t>
  </si>
  <si>
    <t>Mehmet Durdu</t>
  </si>
  <si>
    <t>Çiftlikköy Mah.Üniversite Cad.No 34 A Yenişehir Mersin</t>
  </si>
  <si>
    <t>BlackList</t>
  </si>
  <si>
    <t xml:space="preserve"> mail gonderildi /fotoğraflar gönderilmemiş çünkü menümüz baya değişecek oyüzden okulaçıldıktan sonrası için göndeririz daha iyi olur dedi./ ortakları ile görüşüp dönüş sağlayacak </t>
  </si>
  <si>
    <t>61234bb614f75845be481295</t>
  </si>
  <si>
    <t>Asrın Pide &amp; Lahmacun Fırını, Akdeniz (İhsaniye Mah.)</t>
  </si>
  <si>
    <t>Mehmet Raşit Kaçar</t>
  </si>
  <si>
    <t>İhsaniye</t>
  </si>
  <si>
    <t>İhsaniye Mah.Havuzlar Cad.No/40-E Akdeniz, Mersin</t>
  </si>
  <si>
    <t>Devir</t>
  </si>
  <si>
    <t>telefonu açmadı/devretmiş</t>
  </si>
  <si>
    <t>5fe4fe8a4669ba622d463092</t>
  </si>
  <si>
    <t>Asrın Tantunisi, Yenişehir (Menteş Mah.)</t>
  </si>
  <si>
    <t>Duygu İmamoğlu</t>
  </si>
  <si>
    <t>Menteş Mah.2535 sokak Argün Plaza A blok Altı No/14 C Yenişehir Mersin</t>
  </si>
  <si>
    <t xml:space="preserve">çekim yapılmış </t>
  </si>
  <si>
    <t>5ff62d9fa1e3212d5887542c</t>
  </si>
  <si>
    <t>Atakule Kumpir &amp; Pizza, Yenişehir (Limonluk Mah.)</t>
  </si>
  <si>
    <t>Teoman Çetindağ</t>
  </si>
  <si>
    <t>Limonluk</t>
  </si>
  <si>
    <t>Limonluk Mah.Vali Hüseyin Aksoy Cad.No/2-124 Yenişehir,Mersin</t>
  </si>
  <si>
    <t xml:space="preserve">5327945475 Akkent mahallesi Hüseyin okan merzeci bulvarı No:12 teoman bey bu adrese istedi.// devam çekimi istemedi  </t>
  </si>
  <si>
    <t>6001fee8f1067e07ff50ce2c</t>
  </si>
  <si>
    <t>Atakule Kumpir, Tarsus (Anıt Mah.)</t>
  </si>
  <si>
    <t>Hasan Günay</t>
  </si>
  <si>
    <t>Anıt Mah.Kale Burcu Cad.No/2-2 Tarsus,Mersin</t>
  </si>
  <si>
    <t>Senanur Çınar</t>
  </si>
  <si>
    <t>5ff6332965ba5259742b37c3</t>
  </si>
  <si>
    <t>Atakule Kumpir, Yenişehir (Akkent Mah.)</t>
  </si>
  <si>
    <t>Akkent</t>
  </si>
  <si>
    <t>Akkent Mah.H.Okan Merzeci Bulvarı No/206-207 (Sayapark Avm) Yenişehir,Mersin</t>
  </si>
  <si>
    <t>açmıyor\\açmıyor</t>
  </si>
  <si>
    <t>60632e123730cf1dd15397c3</t>
  </si>
  <si>
    <t>AtaPlus Pizza &amp; Kumpir &amp; Döner, Akdeniz (İhsaniye Mah.-Merkez)</t>
  </si>
  <si>
    <t>Selma Sarı</t>
  </si>
  <si>
    <t>Nusratiye Mah.5026 Sokak Yiğit Apt.No/48-B Akdeniz,Mersin</t>
  </si>
  <si>
    <t>devam çekimi alındı/kndım cekseydım daha duzgun olurdu dedı ,fotograflar konulunca daha bı musterım gıttı dedı</t>
  </si>
  <si>
    <t>6217cc9cba4c45ed61382603</t>
  </si>
  <si>
    <t>Atlantik Coffee Roastery, Toroslar (Portakal Mah.)</t>
  </si>
  <si>
    <t>İçecek</t>
  </si>
  <si>
    <t>Muhammet Emnacar</t>
  </si>
  <si>
    <t>Portakal</t>
  </si>
  <si>
    <t>Portakal Mah.203 sokak 1.Cad No:241-B Toroslar,Mersin</t>
  </si>
  <si>
    <t>600d8c9b12a3f1000d264670</t>
  </si>
  <si>
    <t>Atom Cafe, Mezitli (Menderes Mah.)</t>
  </si>
  <si>
    <t>Tost &amp; Sandviç</t>
  </si>
  <si>
    <t>Teybe Korkmaz</t>
  </si>
  <si>
    <t>Menderes</t>
  </si>
  <si>
    <t>Menderes Mah.Bakanlık Cad.No/8 -B Mezitli,Mersin</t>
  </si>
  <si>
    <t xml:space="preserve">çok ygunuz bu aralar ocakta tekrar aranabılır/DONUS SAGLIYCAKLAR / müsait olduğu zaman haber verecekm,ş biz tarafından aranmasın / devam çekimi alındı </t>
  </si>
  <si>
    <t>601f7aeaa3e4010051001bdc</t>
  </si>
  <si>
    <t>Atomcu Einstein, Mezitli (Akdeniz Mah.)</t>
  </si>
  <si>
    <t>Mehmet Sait Bozkuş</t>
  </si>
  <si>
    <t>Akdeniz Mah.Zeytinli Cad.No/3-B Mezitli,Mersin</t>
  </si>
  <si>
    <t xml:space="preserve">5529383213 randevu oluşturulmustu fakat yetkılı restoranda bulunmayacagı ıcın ıptal ettıler./ osmanıyedekı subesı ıcın ıstedı- nmumara mesgul / OSMANİYEDEN İSTİYOR </t>
  </si>
  <si>
    <t>620e98d1edcf8a5cb6eeafd9</t>
  </si>
  <si>
    <t>Atomcu Sadık Usta, Mezitli (Atatürk Mah.)</t>
  </si>
  <si>
    <t>Nurcan Sumer</t>
  </si>
  <si>
    <t>Atatürk Mah.G.M.K Bulvarı No/684 Mezitli,Mersin</t>
  </si>
  <si>
    <t>6202cfabdb3c2ab3674ada18</t>
  </si>
  <si>
    <t>Atomcu Sadık Usta, Yenişehir (Barbaros Mah.)</t>
  </si>
  <si>
    <t>Barbaros Mah.G.M.K Bulvarı No:484-A Yenişehir,Mersin</t>
  </si>
  <si>
    <t>sadık bey yetkili</t>
  </si>
  <si>
    <t>601ed51398337b025a4d3318</t>
  </si>
  <si>
    <t>ATS İstanbul Kafe &amp; Restoran, Toroslar (Zeki Ayan Mah.)</t>
  </si>
  <si>
    <t>Ahmet Hilmi Göçer</t>
  </si>
  <si>
    <t>Zeki Ayan Mah.82029 Sokak No/6-B Toroslar,Mersin</t>
  </si>
  <si>
    <t xml:space="preserve">şuan müsait değiller sonra ara\\onlar arayacakmış-NUMARAMIZ VARMIS ARAYACKLAR/müsait olunca ben arıycam dediler//defalarca söyledim ben geri dönüş sağlicam diye / randevu oluşturdu daha sonra aradı iptal etti hiçbir zaman istemiyoruz diye </t>
  </si>
  <si>
    <t>61f2d37442b5faae58984d5b</t>
  </si>
  <si>
    <t>Aure Cafe, Yenişehir (İnönü Mah.)</t>
  </si>
  <si>
    <t>Beritan Kızıl</t>
  </si>
  <si>
    <t>İnönü Mah.1405 Sokak No:14-1 Yenişehir,Mersin</t>
  </si>
  <si>
    <t>Restoran Silindi</t>
  </si>
  <si>
    <t>işletme kapandı</t>
  </si>
  <si>
    <t>5fef569dcf33769320b53456</t>
  </si>
  <si>
    <t>Ayak Üstü Burger, Tarsus (Şehitmustafa Mah.-Merkez.)</t>
  </si>
  <si>
    <t>Burçak Seyis</t>
  </si>
  <si>
    <t>Şehitmustafa</t>
  </si>
  <si>
    <t>Şehit Mustafa Mah.Cengiz Topel Cad.Solmaz İşHanı No/4 Tarsus ,Mersin</t>
  </si>
  <si>
    <t>5fef4789f351dc261c67ae8f</t>
  </si>
  <si>
    <t>Ayak Üstü Burger, Yenişehir (İnönü Mah.)</t>
  </si>
  <si>
    <t>İnönü Mah.1405 Sokak Nigar Mutlu Apt.</t>
  </si>
  <si>
    <t>eksik ürün yok aranmayacak.</t>
  </si>
  <si>
    <t>624fd6d41f0b1b4b21800a9e</t>
  </si>
  <si>
    <t>EDA BAYRAM</t>
  </si>
  <si>
    <t>İnönü Mah. 1405 Sok. No:5B Yenişehir Mersin</t>
  </si>
  <si>
    <t>6257297d41ce262fab220143</t>
  </si>
  <si>
    <t>Aydın Pişirim Fırını, Erdemli (Tömük Mah.)</t>
  </si>
  <si>
    <t>Resul Uygez</t>
  </si>
  <si>
    <t>Kargıpınarı 2. Bölge</t>
  </si>
  <si>
    <t>Tömük Mah.Kale Cad.Akdeniz Şok Ziya Erden Sitesi 2 blok No:30 Erdemli,Mersin</t>
  </si>
  <si>
    <t>60b4c528288ff74b1fb91ed3</t>
  </si>
  <si>
    <t>Aysa Kebap, Toroslar (Mithat Toroğlu Mah.)</t>
  </si>
  <si>
    <t>Tekin Büyükboğa</t>
  </si>
  <si>
    <t>Mithat Toroğlu</t>
  </si>
  <si>
    <t>Mithat Toroğlu Mah.Hüseyin Okan Merzeci Bulvarı No/329-B Toroslar,Mersin</t>
  </si>
  <si>
    <t>vodafone kayıtlı böyle bir numara yoktur/0541 749 32 33/hakan bey / 0324) 321 03 03</t>
  </si>
  <si>
    <t>Hemen Randevu İstiyorum</t>
  </si>
  <si>
    <t>61e835e14c8d3be253130610</t>
  </si>
  <si>
    <t>Ayvalık Tosthub, Yenişehir (Akkent Mah.)</t>
  </si>
  <si>
    <t>Hasan Basri Aslan</t>
  </si>
  <si>
    <t>Akkent Mah.2357 Sokak No:51-B Yenişehir,Mersin</t>
  </si>
  <si>
    <t>5feccaf2345867fe5946437a</t>
  </si>
  <si>
    <t>Ayyıldız Kebap, Tarsus (Altaylılar Mah.- Ülküköy)</t>
  </si>
  <si>
    <t>Asım Turgut</t>
  </si>
  <si>
    <t>Altaylılar Mah.Orhun Cad.No/67/1-A Tarsus,Mersin</t>
  </si>
  <si>
    <t>yetkılı yok.yarın aranacak</t>
  </si>
  <si>
    <t>5ff8a740def5a025a455d3ae</t>
  </si>
  <si>
    <t>Ayyıldız Pasta &amp; Fırın, Mezitli (Akdeniz Mah.)</t>
  </si>
  <si>
    <t>Sedat Batur</t>
  </si>
  <si>
    <t>Akdeniz Mah.Zeytinli Cad.Barış Plaza No/3 Mezitli,Mersin</t>
  </si>
  <si>
    <t xml:space="preserve">cenazeden dolayı ertelemek istiyor \\ haftaya aranacak// ÇEKİLMİŞ - devam çekimi olusturuldu </t>
  </si>
  <si>
    <t>61f6484ad22f357f92ddead7</t>
  </si>
  <si>
    <t>Aziz Ocakbaşı, Toroslar (Akbelen Mah.)</t>
  </si>
  <si>
    <t>Aziz Cengiz</t>
  </si>
  <si>
    <t>Akbelen</t>
  </si>
  <si>
    <t>Akbelen Mahallesi Sabahattin Çakmakoglu Caddesi No33/B, Toroslar, Mersin</t>
  </si>
  <si>
    <t>6238d8ea17072271e94fb211</t>
  </si>
  <si>
    <t>B Burger, Yenişehir (Limonluk Mah.)</t>
  </si>
  <si>
    <t>HAKAN OKAN</t>
  </si>
  <si>
    <t>Limonluk Mah. 18. Cad. İndigo Flat No:86E Yenişehir/Mersin</t>
  </si>
  <si>
    <t>kendisi arayacak</t>
  </si>
  <si>
    <t>622305f81b903af1334de201</t>
  </si>
  <si>
    <t>Bab's Döner, Yenişehir (İnönü Mah.)</t>
  </si>
  <si>
    <t>Senem Elataş</t>
  </si>
  <si>
    <t>İnönü Mah.1405 Sokak No:41-A Yenişehir,Mersin</t>
  </si>
  <si>
    <t>600c5aaf0354af3ca8848c8e</t>
  </si>
  <si>
    <t>Babosh Kebap, Toroslar (Alsancak Mah.)</t>
  </si>
  <si>
    <t>Kadir Gökalp</t>
  </si>
  <si>
    <t>Alsancak</t>
  </si>
  <si>
    <t>Alsancak Mah.76004 Sokak No/1-A Toroslar,Mersin</t>
  </si>
  <si>
    <t>60089a0ee4ab4eb865924a4b</t>
  </si>
  <si>
    <t>Baca Antakya Döner &amp; Fast Food, Akdeniz (Camişerif Mah.)</t>
  </si>
  <si>
    <t>Mehmet Bahar</t>
  </si>
  <si>
    <t>Camişerif Mah.5240 Sokak No/2 Akdeniz Mersin</t>
  </si>
  <si>
    <t>Enes</t>
  </si>
  <si>
    <t>6178e7b1f0ecc41ccf000aa8</t>
  </si>
  <si>
    <t>Bacanaklar Tantuni &amp; Döner, Toroslar (Portakal Mah.)</t>
  </si>
  <si>
    <t>Emre Öksüz</t>
  </si>
  <si>
    <t>Hüseyin Okan Merzeci</t>
  </si>
  <si>
    <t>Portakal Mah.Karaisalı Cad.Savan Evleri No/17-AB Toroslar,Mersin</t>
  </si>
  <si>
    <t xml:space="preserve">çekim yapıldı dedi  / devam çekimi şuan grekli görmüyorum götütsem ararım dedi </t>
  </si>
  <si>
    <t>624fd0145cfde8a867485498</t>
  </si>
  <si>
    <t>Baklavacı Hacı Seyit, Tarsus (Ergenekon Mah.)</t>
  </si>
  <si>
    <t>Burak Tutuk</t>
  </si>
  <si>
    <t>Ergenekon Mah.Atatürk Bulvarı No:201-B Tarsus,Mersin</t>
  </si>
  <si>
    <t>61ac5ec5ad353b6070a375f4</t>
  </si>
  <si>
    <t>Baklavasan, Mezitli (Merkez Mah.)</t>
  </si>
  <si>
    <t>Mehmet Koç</t>
  </si>
  <si>
    <t>Merkez Mah.Fındıkpınarı Cad.No:16 Mezitli,Mersin</t>
  </si>
  <si>
    <t>61abc040898b1b6fcf904c92</t>
  </si>
  <si>
    <t>Baklavasan, Toroslar (Tozkoparan Mah.)</t>
  </si>
  <si>
    <t>Tozkoparan</t>
  </si>
  <si>
    <t>Tozkoparan Mah.Kuvayi Milliye Bulvarı No/232-234, Toroslar,Mersin</t>
  </si>
  <si>
    <t xml:space="preserve">5434329951/ 61ac5ec5ad353b6070a375f4        Baklavasan, Mezitli (Merkez Mah.) </t>
  </si>
  <si>
    <t>60952f87249e92892f846069</t>
  </si>
  <si>
    <t>Balıkçı Hasan Reis, Mezitli (Tece Mah.)</t>
  </si>
  <si>
    <t>Balık &amp; Deniz Ürünleri</t>
  </si>
  <si>
    <t>Şehriban Özdemir</t>
  </si>
  <si>
    <t>Seymenli</t>
  </si>
  <si>
    <t>Seymenli Mah.Çaltana Cad.Çaltana Sitesi No/10-C Mezitli,Mersin</t>
  </si>
  <si>
    <t>Hasan Bey çekim sağlanmış eksik ürünü yok</t>
  </si>
  <si>
    <t>619243a46232aa59c0f83bd2</t>
  </si>
  <si>
    <t>Balıkçı Kemali`nin Yeri, Erdemli ( Kargıpınarı Mah.)</t>
  </si>
  <si>
    <t>Abuzer Özbilen</t>
  </si>
  <si>
    <t>Kargıpınarı 1. Bölge</t>
  </si>
  <si>
    <t>Kargıpınarı Mah. Sabahattin Çakmakoğlu Cad.No/260-A Erdemli,Mersin</t>
  </si>
  <si>
    <t xml:space="preserve">Ben ürünlerimin hepsini çıkartamam 1 porsiyonum zaten 90-100 tl bunu çıkartıp kime vereceğim boşa masraf o yüzden hiç gerek yok bu masrafa der ne dediysem ikna olmadı </t>
  </si>
  <si>
    <t>619fb96b06cdc82eb01aca7b</t>
  </si>
  <si>
    <t>Balıkçı Levent, Akdeniz (Mesudiye Mah.)</t>
  </si>
  <si>
    <t>Yasemin Tunçöz</t>
  </si>
  <si>
    <t>Mesudıye mah. Mehmet Akif Ersoy Cad. Doğanay Apt. No:15/B Akdeniz/MERSİN</t>
  </si>
  <si>
    <t>5382701505 yetkili bu hafta işletmede olamayacağım demiş randevu iptal edildi  /vaktımız olmuor cekım ıstemıyoruz dedı</t>
  </si>
  <si>
    <t>602d3418e77af67cdb145446</t>
  </si>
  <si>
    <t>Balıkçı Polat, Yenişehir (Cumhuriyet Mah.)</t>
  </si>
  <si>
    <t>Kasım Polat</t>
  </si>
  <si>
    <t>Cumhuriyet Mah.16.cadde No/18-A Yenişehir,Mersin</t>
  </si>
  <si>
    <t>fotoğrafları var mı yok mu kontrol edecek tekrar aranacak // 5443843281 ilhan\\aranmış.</t>
  </si>
  <si>
    <t>5fe397d9d3f42ba97baf449d</t>
  </si>
  <si>
    <t>Balıkçı Şükrü, Mezitli (Atatürk Mah.)</t>
  </si>
  <si>
    <t>Şükrü Çiftçi</t>
  </si>
  <si>
    <t>Atatürk</t>
  </si>
  <si>
    <t>Atatürk atatürk mah.31047.sk vali egin şenol cad, 33340 Mezitli/Mersin</t>
  </si>
  <si>
    <t>Şükrü Bey / 5306123033 / eksik urunlerı saydım onların hepsı cekıldı dedı</t>
  </si>
  <si>
    <t>61a504994cb7b3701d751395</t>
  </si>
  <si>
    <t>Banbo Döner &amp; Tantuni, Yenişehir (Cumhuriyet Mah.)</t>
  </si>
  <si>
    <t>Çisem Türkmen</t>
  </si>
  <si>
    <t>Cumhuriyet Mah.İsmet İnönü Bulvarı No:266-D Yenişehir,Mersin</t>
  </si>
  <si>
    <t>devam için kendileri arayacaklar</t>
  </si>
  <si>
    <t>600d90d6104d8be4f7f2c1b6</t>
  </si>
  <si>
    <t>Banvit Antakya Döner &amp; Tantuni, Mezitli (Viranşehir Mah.)</t>
  </si>
  <si>
    <t>Aydın Özen</t>
  </si>
  <si>
    <t>Viranşehir Mah.Cengiz Topel Cad.34224 Sokak No/22 Viranşehir,Mezitli</t>
  </si>
  <si>
    <t>randevu alınış ama gidilmemiş tekrar alındı  /kndı fotograflarını paylasacak</t>
  </si>
  <si>
    <t>5ffdead4f21cfb18ed9913df</t>
  </si>
  <si>
    <t>Barbeque Burger, Yenişehir (Hürriyet Mah.)</t>
  </si>
  <si>
    <t>Doğan Yılmaz</t>
  </si>
  <si>
    <t>Hürriyet</t>
  </si>
  <si>
    <t>Hürriyet Mah.İsmet İnönü Bulvarı No/123-A Yenişehir,Mersin</t>
  </si>
  <si>
    <t>601190ba61fea793271e2e3d</t>
  </si>
  <si>
    <t>Barista Brother, Yenişehir (Güvenevler Mah.)</t>
  </si>
  <si>
    <t>Mustafa Yılmaz</t>
  </si>
  <si>
    <t>Güvenevler Mah.1915 Sokak No/14-A Yenişehir,Mersin</t>
  </si>
  <si>
    <t>meşgul / 5323484839/ meşgul//ulaşlmyr//cevapsız/fotoğraflar için arandı mail adresi verildi.mail adresi verildi fotoğrafları gönderecek mustafa bey eksik olanlar için çekim randvusu oluşturulabilir fotoğraflar yüklenince.</t>
  </si>
  <si>
    <t>600f2b3fb19691a7633d9c43</t>
  </si>
  <si>
    <t>Başak Fırın Pide &amp; Lahmacun, Mezitli (Atatürk Mah.)</t>
  </si>
  <si>
    <t>Abdulkadir Tuncel</t>
  </si>
  <si>
    <t>Atatürk Mah.31087 Sokak B blok No/9-A Mezitli,Mersin</t>
  </si>
  <si>
    <t xml:space="preserve">takvımde ıptal gozukuyor. arandı ıstemedıklerını belırttıler/ MÜŞTERİ GELİNCE KAPATTI / 1 saat sonra ara / açıp dinleyip kapattı HAFTAYA ARANSIN RANDEVUYA olumlu bakıyor.meşgul. /fotoğraf işine sıcak bakmıyorum dedi </t>
  </si>
  <si>
    <t>61b42dd6a4d0b1e1cfad3271</t>
  </si>
  <si>
    <t>Batıkent Lahmacun, Yenişehir (Batıkent Mah.)</t>
  </si>
  <si>
    <t>Bedri Batur</t>
  </si>
  <si>
    <t>Batıkent Mah.2635 sokak No:28-A Yenişehir ,Mersin</t>
  </si>
  <si>
    <t>60118d0b94d17a88aea70386</t>
  </si>
  <si>
    <t>Battalbey Çiğköfte, Mezitli (Menderes Mah.)</t>
  </si>
  <si>
    <t>Fehmi Özen</t>
  </si>
  <si>
    <t>Menderes Mah.Şehit Fatih Soydan Cad.No/9-F Mezitli, Mersin</t>
  </si>
  <si>
    <t>sadece 3-4 ürün çıkarabiliirim diyor// FRANCHES</t>
  </si>
  <si>
    <t>60c0f69ce8b45a94e5b3f47c</t>
  </si>
  <si>
    <t>Battalbey Çiğköfte, Tarsus (Eski Ömerli Mah.)</t>
  </si>
  <si>
    <t>İsmet Karataylı</t>
  </si>
  <si>
    <t>Eski Ömerli</t>
  </si>
  <si>
    <t>Eski Ömerli Mah.1337 Sokak No/15 -B Tarsus,Mersin</t>
  </si>
  <si>
    <t>6182bde9420dd30d6f2b09b8</t>
  </si>
  <si>
    <t>Bayram Usta Tantuni &amp; Biftek Salonu, Toroslar (Çağdaşkent Mah.)</t>
  </si>
  <si>
    <t>Gamze Demir</t>
  </si>
  <si>
    <t>Çağdaşkent</t>
  </si>
  <si>
    <t>Çağdaşkent Mah.Fatih Sultan Mehmet Bulvarı No/50-C Toroslar,Mersin</t>
  </si>
  <si>
    <t>616e888b3dfe10e02c2164f8</t>
  </si>
  <si>
    <t>Benim Döner İskenderun Usulü, Yenişehir (Çiftlikköy Mah.)</t>
  </si>
  <si>
    <t>Sezer Peltek</t>
  </si>
  <si>
    <t>Çiftlikköy Mah.Üniversite Cad.No/5-E Yenişehir,Mersin</t>
  </si>
  <si>
    <t>5304233631 devam çekimi</t>
  </si>
  <si>
    <t>601453ec4492cd32afb7b79e</t>
  </si>
  <si>
    <t>Bereket Lahmacun Fırını, Erdemli (Alata Mah.)</t>
  </si>
  <si>
    <t>Lahmacun</t>
  </si>
  <si>
    <t>Ahmet Özkan</t>
  </si>
  <si>
    <t>Alata 1. Bölge</t>
  </si>
  <si>
    <t>Alata Mah.Alparslan Türkeş Bulvarı No/276-B Erdemli,Mersin</t>
  </si>
  <si>
    <t>61deee9b15db9b8e00a1d1af</t>
  </si>
  <si>
    <t>Beslen Tantuni &amp; Döner, Mezitli (Menderes Mah.)</t>
  </si>
  <si>
    <t>Filiz Kurtdoğmuş</t>
  </si>
  <si>
    <t>Menderes Mah.Şehit Fatih Soydan Cad.No:3-A Mezitli,Mersin</t>
  </si>
  <si>
    <t xml:space="preserve">devam çekimi iptal oldu </t>
  </si>
  <si>
    <t>6214aad150f495e14385e5ed</t>
  </si>
  <si>
    <t>Beslen Tantuni, Akdeniz (Çankaya Mah.- Çarşı )</t>
  </si>
  <si>
    <t>Bilal Yılmaz</t>
  </si>
  <si>
    <t>Çankaya Mah.4721 Sokak No:9-A Akdeniz,Mersin</t>
  </si>
  <si>
    <t>6058f86e407cdbd8f0968696</t>
  </si>
  <si>
    <t>Bey Döner &amp; Tantuni, Mezitli (Kuyuluk Mah.)</t>
  </si>
  <si>
    <t>Abdulkadir Bakır</t>
  </si>
  <si>
    <t>Çamlıca</t>
  </si>
  <si>
    <t>Çamlıca Mah.Fındık Pınarı Cad.No/145-A Mezitli,Mersin</t>
  </si>
  <si>
    <t>60156b363a7478ddc760b657</t>
  </si>
  <si>
    <t>Bey Döner, Toroslar (Tozkoparan Mah.)</t>
  </si>
  <si>
    <t>Kenan Tatlı</t>
  </si>
  <si>
    <t>saat 3ten sonra aranacak \\ randevu oluşturuldu.//eksik yok</t>
  </si>
  <si>
    <t>61cee41317d62db5c1627158</t>
  </si>
  <si>
    <t>Bey Kebap , Toroslar (Çağdaşkent Mah.)</t>
  </si>
  <si>
    <t>Süleyman Dağ</t>
  </si>
  <si>
    <t>Mevlana</t>
  </si>
  <si>
    <t>Çağdaşkent Mah.Gazi Osman Paşa Cad.No:95 Toroslar,Mersin</t>
  </si>
  <si>
    <t>süphan bey</t>
  </si>
  <si>
    <t>60279fb77cc399aae05545ef</t>
  </si>
  <si>
    <t>Beyaz Tantuni, Akdeniz (Nusratiye Mah.)</t>
  </si>
  <si>
    <t>Ahmet Kent</t>
  </si>
  <si>
    <t>Nusratiye Mah.5021 Sokak No/33-C Akdeniz,Mersin</t>
  </si>
  <si>
    <t>617d83874f4f4979597e9ca4</t>
  </si>
  <si>
    <t>Beyzadem Çigköfte &amp; Tantuni, Toroslar (Turgut Türkalp Mah.)</t>
  </si>
  <si>
    <t>Yüksel Aktaş</t>
  </si>
  <si>
    <t>Turgut Türkalp</t>
  </si>
  <si>
    <t>Turgut Türkalp Mah.79033 sokak No/9-A Toroslar,Mersin</t>
  </si>
  <si>
    <t>bahriye ilköğretim karşısı  Reşit bey / çekim sağlanmış eksik ürün yok</t>
  </si>
  <si>
    <t>620e91c51f690c72e47a11e6</t>
  </si>
  <si>
    <t>Bi Dürüm Çiğ Köfte, Tarsus (Altaylılar Mah.- Ülküköy.)</t>
  </si>
  <si>
    <t>Rabia Dündar</t>
  </si>
  <si>
    <t>Altaylılar Mah.0208 Sokak No:1-B Tarsus,Mersin</t>
  </si>
  <si>
    <t>61725782f0ecc485492f70b1</t>
  </si>
  <si>
    <t>Bi Pide'm Pide &amp; Lahmacun, Toroslar (M. Kemal Mah.)</t>
  </si>
  <si>
    <t>Vedat Oysal</t>
  </si>
  <si>
    <t>Mustafa Kemal</t>
  </si>
  <si>
    <t>Mustafa Kemal Mah.98020 Sokak B blok No/3-D Toroslar,Mersin</t>
  </si>
  <si>
    <t xml:space="preserve">diğer şubedeki ürünler buraya eklencek  </t>
  </si>
  <si>
    <t>600b16c4e940197cb5eb3206</t>
  </si>
  <si>
    <t>Bi Takviye Tantuni &amp; Döner, Toroslar (Tozkoparan Mah.)</t>
  </si>
  <si>
    <t>Metin Eskin</t>
  </si>
  <si>
    <t>Tozkoparan Mah.Kuvayi Milliye Cad.No/216-C Toroslar,Mersin</t>
  </si>
  <si>
    <t>getir yemek kullanmıyormuş//yetkili yokmuş numara aldı iletip geri dönüş sağlicaklar</t>
  </si>
  <si>
    <t>622c389eb4daa5f2a8c03bbd</t>
  </si>
  <si>
    <t>Bi'yer Cafe &amp; Restaurant, Yenişehir (Dumlupınar Mah.)</t>
  </si>
  <si>
    <t>Kerim Kayan</t>
  </si>
  <si>
    <t>Dumlupınar</t>
  </si>
  <si>
    <t>Dumlupınar Mah.1507 Sokak No:10-A Yenişehir,Mersin</t>
  </si>
  <si>
    <t>5ffc92665f0ab4b544e7da57</t>
  </si>
  <si>
    <t>Biber Tantuni, Mezitli (Menderes Mah.)</t>
  </si>
  <si>
    <t>İbrahim Mert</t>
  </si>
  <si>
    <t>Menderes Mah.Milli Egemenlik Cad.No/34-A Mezitli,Mersin</t>
  </si>
  <si>
    <t>çekim yapılmış \\hepsi çekilmiş.</t>
  </si>
  <si>
    <t>617adf64354b4e69e626b8fd</t>
  </si>
  <si>
    <t>Biberzade Adıyaman Çiğköftecisi, Yenişehir (Çiftlikköy Mah.)</t>
  </si>
  <si>
    <t>Şuayp Ekinci</t>
  </si>
  <si>
    <t>Çiftlikköy Mah.34.Cadde No/43 Yenişehir,Mersin</t>
  </si>
  <si>
    <t>6141caef88a74f3a64dc01a9</t>
  </si>
  <si>
    <t>Bir Tat 33 Tantuni, Toroslar (Çağdaşkent Mah.)</t>
  </si>
  <si>
    <t>Ahmet Dalkılıç</t>
  </si>
  <si>
    <t>Çağdaşkent Mah.213.Cadde No/157-A Toroslar,Mersin</t>
  </si>
  <si>
    <t>61d2eb0c59fc59e9c6cf8359</t>
  </si>
  <si>
    <t>Bir Tek 33 Ciğer &amp; Kebap &amp; Lahmacun, Akdeniz (Çankaya Mah.)</t>
  </si>
  <si>
    <t>Muhammed Enes Taşçı</t>
  </si>
  <si>
    <t>Çankaya Mah.108 Cad.No:11-B Akdeniz,Mersin</t>
  </si>
  <si>
    <t>5fff4d4a62a03e7e75a26212</t>
  </si>
  <si>
    <t>Bir Tek 33 Tantuni, Akdeniz (İhsaniye Mah.-Merkez)</t>
  </si>
  <si>
    <t>Mustafa Taşcı</t>
  </si>
  <si>
    <t>Barış Mah.Gazi Mustafa Kemal Bulvarı No/215-A ,Akdeniz, Mersin</t>
  </si>
  <si>
    <t>5327477809 benim param yatmadı 2 aydır açmıyorum der\\yetkli yok//yarım saat sonra arayın /müsait değilim yarın arayın dediler-//yetkili yok 1 saat sonra gelcek</t>
  </si>
  <si>
    <t>62482668fd40bb15ca300ecc</t>
  </si>
  <si>
    <t>Bir Tek 33 Tantuni, Mezitli (Akdeniz Mah.)</t>
  </si>
  <si>
    <t>Akdeniz Mah.G.M.K Bulvarı No:932-E Mezitli,Mersin</t>
  </si>
  <si>
    <t>613f2827aec06927672d2e30</t>
  </si>
  <si>
    <t>Bir Tek 33 Tantuni, Yenişehir (İnönü Mah.)</t>
  </si>
  <si>
    <t>Kalender Albıyık</t>
  </si>
  <si>
    <t>İnönü Mah.4.Cad No/9-A Yenişehir,Mersin</t>
  </si>
  <si>
    <t>tekrar randevu alınabilir erteleme talebinde bulunmus.  enes bey :05467253363  Yetkili Enes beyden randevu alındı / sürekli iptal ediyor randevuyu bağırarak istemiyorum ben dedi.</t>
  </si>
  <si>
    <t>610cf69e8324cf96e3f6ca1e</t>
  </si>
  <si>
    <t>Bitost, Akdeniz (Kültür Mah.)</t>
  </si>
  <si>
    <t>Gizem Özkan</t>
  </si>
  <si>
    <t>Kültür</t>
  </si>
  <si>
    <t>Kültür Mah.İclal Tan Sokak No/2-B Akdeniz,Mersin</t>
  </si>
  <si>
    <t xml:space="preserve">elimde prof. fotograflarım var dedi mail adresi verildi </t>
  </si>
  <si>
    <t>601304a54e3bdf491366b10f</t>
  </si>
  <si>
    <t>Bizim Ev Yemekleri, Yenişehir (Güvenevler Mah.)</t>
  </si>
  <si>
    <t>Selçuk Tanju Kumtepe</t>
  </si>
  <si>
    <t>Güvenevler Mah.1907 Sokak No/35-B Yenişehir,Mersin</t>
  </si>
  <si>
    <t>5324332878// istemedi  /çekım ıstemıyorlar</t>
  </si>
  <si>
    <t>5fe4f6804743e1ced351b244</t>
  </si>
  <si>
    <t>Bizim Kebap, Yenişehir (Güvenevler Mah.)</t>
  </si>
  <si>
    <t>Hasan Kilisli</t>
  </si>
  <si>
    <t>Aydınlıkevler, Dumlupınar Cd. No:9, 33140 Yenişehir/Mersin</t>
  </si>
  <si>
    <t xml:space="preserve">eksik yok / panelde fotoğrafları var </t>
  </si>
  <si>
    <t>607f232879796f399e5a4291</t>
  </si>
  <si>
    <t>Bizim Kuzu Kokoreç, Toroslar (Çopurlu Mah.)</t>
  </si>
  <si>
    <t>Ahmet Haris Levent</t>
  </si>
  <si>
    <t>Çopurlu</t>
  </si>
  <si>
    <t>Çopurlu Mah.Merkez Sokak No/118-B Toroslar,Mersin</t>
  </si>
  <si>
    <t>MAİL ATACAK // YENİDEN MAİL VERİLDİ GÖNDERİM SAĞLAYACAK - paneli kapalı</t>
  </si>
  <si>
    <t>62279c412b92ae7db5d546cb</t>
  </si>
  <si>
    <t>Bizim Pide &amp; Lahmacun Salonu, Mezitli (Merkez Mah.)</t>
  </si>
  <si>
    <t>Mouaz Khamireh</t>
  </si>
  <si>
    <t>Merkez Mah.52070 Sokak No:3-BE Mezitli,Mersin</t>
  </si>
  <si>
    <t>5fdf470361e7ff7ac8fbccf4</t>
  </si>
  <si>
    <t>Black Meat Burger &amp; Grill , Yenişehir (Güvenevler Mah.)</t>
  </si>
  <si>
    <t>Hüseyin Karaca</t>
  </si>
  <si>
    <t>Güvenevler, 1914. Sk. Boss Point İş Merkezi B Blok No:5 FORUM CİVARI, 33140 Yenişehir/Mersin</t>
  </si>
  <si>
    <t>pınar hanım ile görüşüldü sıfırdan çekim yapılacak.menü güncellenmiş.</t>
  </si>
  <si>
    <t>60c6fa9d8454244e8db178d3</t>
  </si>
  <si>
    <t>Blue Et Blanc Cafe, Silifke (Göksu Mah.)</t>
  </si>
  <si>
    <t>Şirvan Şen</t>
  </si>
  <si>
    <t>Göksu Mah.Abdi İpekçi Cad No/11-A Silifke,Mersin</t>
  </si>
  <si>
    <t>611cf9a2b3ae9e3df630e3e3</t>
  </si>
  <si>
    <t>Blues House Kafe, Yenişehir (Aydınlıkevler Mah.)</t>
  </si>
  <si>
    <t>Zeynep Vafa</t>
  </si>
  <si>
    <t>Aydınlıkevler Mah.G.M.K Bulvarı No/444-B Yenişehir,Mersin</t>
  </si>
  <si>
    <t xml:space="preserve">dönecek </t>
  </si>
  <si>
    <t>60302be66f409c1e9ed0f143</t>
  </si>
  <si>
    <t>Blush Flower &amp; Coffee, Yenişehir (Güvenevler Mah.)</t>
  </si>
  <si>
    <t>Kahve</t>
  </si>
  <si>
    <t>Yena Yener Tatar</t>
  </si>
  <si>
    <t>Güvenevler Mah.18.Cadde No/33-D Yenişehir,Mersin</t>
  </si>
  <si>
    <t xml:space="preserve">nuara kullanılmıyor </t>
  </si>
  <si>
    <t>614333f454ce8aaed6349995</t>
  </si>
  <si>
    <t>Boğaziçi Pide &amp; Lahmacun &amp; Pizza, Akdeniz (Nusratiye Mah.)</t>
  </si>
  <si>
    <t>Hasan Bulut</t>
  </si>
  <si>
    <t>Nusratiye Mah.Çakmak Cad.No/86-A Akdeniz,Mersin</t>
  </si>
  <si>
    <t xml:space="preserve">5348381208 mail verildi- fotograflar yüklenmiş / paneli kapalı </t>
  </si>
  <si>
    <t>6005f1c835cc593316fd4596</t>
  </si>
  <si>
    <t>Bolulu Hasan Usta, Yenişehir (Akkent Mah.)</t>
  </si>
  <si>
    <t>Akgün Aksoy</t>
  </si>
  <si>
    <t>Akkent Mah.Hüseyin Okan Merzeci Bulvarı (Sayapark Avm)No/152-A Yenişehir,Mersin</t>
  </si>
  <si>
    <t>yetkili kişi yok geldiğinde dönüş sağlanacak</t>
  </si>
  <si>
    <t>Beray Güllü</t>
  </si>
  <si>
    <t>61671b87ab5019845dc90296</t>
  </si>
  <si>
    <t>Boss Çiğköfte &amp; Kumru &amp; Waffle, Anamur (İskele Mah.)</t>
  </si>
  <si>
    <t>Murat Bahadır Toslak</t>
  </si>
  <si>
    <t>Anamur</t>
  </si>
  <si>
    <t>İskele</t>
  </si>
  <si>
    <t>İskele Mah.Mareşal Fevzi Çakmak Cad.No/71 Anamur,Mersin</t>
  </si>
  <si>
    <t>60c89177e94523fb6b26d11e</t>
  </si>
  <si>
    <t>Bozan Usta Tantuni, Yenişehir (Aydınlıkevler Mah.)</t>
  </si>
  <si>
    <t>Osman Adsoy</t>
  </si>
  <si>
    <t>Aydınlıkevler Mah.2001 Sokak No/57 A Yenişehir ,Mersin</t>
  </si>
  <si>
    <t>62122a315c18454e35194be0</t>
  </si>
  <si>
    <t>Ramazan Öner</t>
  </si>
  <si>
    <t>6076f4f81b062706923cdc37</t>
  </si>
  <si>
    <t>Brasserie 1890, Yenişehir (Eğriçam Mah.)</t>
  </si>
  <si>
    <t>Dünya Mutfağı</t>
  </si>
  <si>
    <t>Nusret Taş</t>
  </si>
  <si>
    <t>Eğriçam</t>
  </si>
  <si>
    <t>Eğriçam Mah.Adnan Menderes Bulvarı Marina Avm No/33 Yenişehir,Mersin</t>
  </si>
  <si>
    <t>6220c5d72c081592ade0bfe5</t>
  </si>
  <si>
    <t>Brewser Coffee House, Yenişehir (Barbaros Mah.)</t>
  </si>
  <si>
    <t>Zeynep Sera Hocalar</t>
  </si>
  <si>
    <t>Barbaros Mah.Adnan Menderes Bulvarı No:156 Yenişehir,Mersin</t>
  </si>
  <si>
    <t>602bf716965500ca550e1617</t>
  </si>
  <si>
    <t>Buğday Cafe, Yenişehir (Barboros Mah.)</t>
  </si>
  <si>
    <t>Senem Karaöğen</t>
  </si>
  <si>
    <t>Barboros Mah.2182 Sokak No/2-A Yenişehir,Mersin</t>
  </si>
  <si>
    <t>devam alınabilir haftaya</t>
  </si>
  <si>
    <t>Edanur Türkkan</t>
  </si>
  <si>
    <t>600890bc26a65a52ae334c49</t>
  </si>
  <si>
    <t>Buse Golden Chicken Barbecue, Toroslar (Sağlık Mah.)</t>
  </si>
  <si>
    <t>İsmail Güdek</t>
  </si>
  <si>
    <t>Sağlık Mah.202.Cadde No/3-5 Toroslar Mersin</t>
  </si>
  <si>
    <t>Tadilat Var</t>
  </si>
  <si>
    <t xml:space="preserve">12de tekrar ara \\daha geniş bir zamanda düşünüp arayacakmış//gerek yok\\istemiyor./yetkili yokmuş//açmadı/siparişlere zaten yetişemiyorum dedi getirdende çok talep yokmuş/personel ve kurye sıkıntısından dolayı ıstemıyor daha sonra grusulcek/tadilat bittikten sonra istiyor </t>
  </si>
  <si>
    <t>61f64262ce72a5052debc1f6</t>
  </si>
  <si>
    <t>Butfly, Yenişehir (Güvenevler Mah.)</t>
  </si>
  <si>
    <t>Serdal Sezer</t>
  </si>
  <si>
    <t>Güvenevler Mah.1945 Sokak No:2-C Yenişehir,Mersin</t>
  </si>
  <si>
    <t>biz aramadan aranmasın kendisi dönüş saglayacvak ürünlweri tam olunca</t>
  </si>
  <si>
    <t>6195cbe3adfb064b2f870606</t>
  </si>
  <si>
    <t>Bülent Usta Tantuni &amp; Döner Salonu, Toroslar (Yalınayak Mah.)</t>
  </si>
  <si>
    <t>Bülent Akarsu</t>
  </si>
  <si>
    <t>Yalınayak Mah.Çiftçiler Cad.No/215-A Toroslar,Mersin</t>
  </si>
  <si>
    <t>5fdf6a0135987ab9bc5edb40</t>
  </si>
  <si>
    <t>By Tacos, Yenişehir (Çiftlikköy Mah.)</t>
  </si>
  <si>
    <t>Hakan Esen</t>
  </si>
  <si>
    <t>Çiftlikköy, Akademi plaza 41/AB, 33110 Yenişehir/Mersin</t>
  </si>
  <si>
    <t>5ff0b9295118f15e328deccd</t>
  </si>
  <si>
    <t>By Tiryaki Döner &amp; Köfte, Akdeniz (İhsaniye Mah.)</t>
  </si>
  <si>
    <t>Köfte</t>
  </si>
  <si>
    <t>Ziya Badelli</t>
  </si>
  <si>
    <t>İhsaniye Mah.Kuvayi Milliye Cad.No/115 A Akdeniz,Mersin</t>
  </si>
  <si>
    <t>6009e3d9b4fcb4246d76285d</t>
  </si>
  <si>
    <t>Cadde 33 Tantuni &amp; Döner, Akdeniz (Çankaya Mah.-Çarşı)</t>
  </si>
  <si>
    <t>Yafes Dinç</t>
  </si>
  <si>
    <t>Çankaya Mah.Kuvayi Milliye Cad.No/69-C Akdeniz,Mersin</t>
  </si>
  <si>
    <t>açmadı //bütün ürünleri çekilmiş</t>
  </si>
  <si>
    <t>61d7a882a739433e0c048a8c</t>
  </si>
  <si>
    <t>Cadde 38 Tantuni Biftek &amp; Döner, Yenişehir (Menteş Mah.)</t>
  </si>
  <si>
    <t>Gamze Yükkol</t>
  </si>
  <si>
    <t>Menteş Mah.38 Cadde No:47 Yenişehir,Mersin</t>
  </si>
  <si>
    <t xml:space="preserve">ürünlerinin tamamı çekilmiş </t>
  </si>
  <si>
    <t>6240963e6919db117352eab8</t>
  </si>
  <si>
    <t>Cadde Çiğ Köfteci, Mezitli (Merkez Mah.)</t>
  </si>
  <si>
    <t>MAZLUM KOÇU</t>
  </si>
  <si>
    <t>Merkez Mah. 52003 Sok No:5A Mezitli/Mersin</t>
  </si>
  <si>
    <t>6021716650118c0747ab87f0</t>
  </si>
  <si>
    <t>Cadde Etiler, Yenişehir (Çiftlikköy Mah.)</t>
  </si>
  <si>
    <t>Yakup Karakulak</t>
  </si>
  <si>
    <t>Çiftlikköy Mah.Üniversite Cad.No/33-29 Yenişehir,Mersin</t>
  </si>
  <si>
    <t xml:space="preserve">yarın aranacak//açmadı//devam çekimi için haftaya aranacak / alındı </t>
  </si>
  <si>
    <t>5fe6590c4f55ab4bbd9c73b5</t>
  </si>
  <si>
    <t>Cadde Katık Döner , Yenişehir (İnönü Mah.)</t>
  </si>
  <si>
    <t>Selman Kaya (Vekaletname Mehmet Karaca)</t>
  </si>
  <si>
    <t>İnönü Mah.1405 Sokak Yenişehir ,Mersin</t>
  </si>
  <si>
    <t>5336933301 ilk çekimleri begenmemiş sıfır çekim yaptıracaklar.</t>
  </si>
  <si>
    <t>611a7a47ebdacb3112d1682f</t>
  </si>
  <si>
    <t>Cadde Katık Döner, Mezitli (Akdeniz Mah.)</t>
  </si>
  <si>
    <t>Mustafa Isınlık</t>
  </si>
  <si>
    <t>Akdeniz Mah.Gazi Mustafa Kemal Mah.No/902-D Mezitli,Mersin</t>
  </si>
  <si>
    <t xml:space="preserve">5386086742 mustafa bey </t>
  </si>
  <si>
    <t>62486d4fa06ee93d52bebd8b</t>
  </si>
  <si>
    <t>Cadde Meze, Yenişehir (Çiftlikköy Mah.)</t>
  </si>
  <si>
    <t>Murat Can Selçuk</t>
  </si>
  <si>
    <t>Mersin Üniversitesi Çiftlikköy Merkez Kampüsü</t>
  </si>
  <si>
    <t>Çiftlikköy Mah.Üniversite Cad.No/3 Yenişehir,Mersin</t>
  </si>
  <si>
    <t>62586d6f7481909b2adf825f</t>
  </si>
  <si>
    <t>Cadde Pizza, Yenişehir (Çiftlikköy Mah.)</t>
  </si>
  <si>
    <t>5ff8ad273b0c6d0d6a0de500</t>
  </si>
  <si>
    <t>Cafe Betül, Yenişehir (Fuat Morel Mah.)</t>
  </si>
  <si>
    <t>Barış Baykul</t>
  </si>
  <si>
    <t>Fuat Morel Mah.Kanal Yolu 2819 Sokak No/23 Yenişehir,Mersin</t>
  </si>
  <si>
    <t>devam çekimi için arandı benim ürünlerim yeterli çekim istemiyorum dedi.</t>
  </si>
  <si>
    <t>600c568e276d0f72157a5da0</t>
  </si>
  <si>
    <t>Cafe Burger 85, Yenişehir (Barboros Mah.)</t>
  </si>
  <si>
    <t>Mehmet Kirkiz</t>
  </si>
  <si>
    <t>Barboros Mah.Menderes Bulvarı No/144-C Yenişehir,Mersin</t>
  </si>
  <si>
    <t xml:space="preserve">5443848585 mehmet bey// açmadı  yarım aaat sonra gelirmiş  </t>
  </si>
  <si>
    <t>61687b6b5e2ddf6be592dddf</t>
  </si>
  <si>
    <t>Cafe Kampüs, Tarsus (Kırklarsırtı Mah.)</t>
  </si>
  <si>
    <t>Fatih Özer</t>
  </si>
  <si>
    <t>Kırklarsırtı</t>
  </si>
  <si>
    <t>Kırklarsırtı Mah.2613 sokak No/9-B Tarsus,Mersin</t>
  </si>
  <si>
    <t>açmadı</t>
  </si>
  <si>
    <t>5fde286ebf67ee8869770c01</t>
  </si>
  <si>
    <t>Cafe Meritalia , Yenişehir (İnönü Mah.)</t>
  </si>
  <si>
    <t>Ali Erhan Yıldız</t>
  </si>
  <si>
    <t>İnönü, Kushimoto Sk., 33130 Yenişehir/Mersin</t>
  </si>
  <si>
    <t>devam alındı</t>
  </si>
  <si>
    <t>5ff4ca3a333ef5625db0982c</t>
  </si>
  <si>
    <t>Cafe Meritalia, Akdeniz (Çankaya Mah.-Çarşı)</t>
  </si>
  <si>
    <t>Faruk Sarica</t>
  </si>
  <si>
    <t>Çankaya Mah.4702 Sokak No/13 A Akdeniz, Mersin</t>
  </si>
  <si>
    <t>devam çekimi  / devam çekimi için bu hafta uygun omazmış ilerleyen haftalarda görüşelim dedi /daha sonra iletişime geçelim derler.</t>
  </si>
  <si>
    <t>Ayşegül Dulkadir</t>
  </si>
  <si>
    <t>620f6d4afd74147f0778293e</t>
  </si>
  <si>
    <t>Cafe Mia Bakery &amp; Chocolate, Yenişehir (Çiftlikköy Mah.)</t>
  </si>
  <si>
    <t>Sibel Yüksel</t>
  </si>
  <si>
    <t>Çiftlikköy Mah.34.Cad.No:83-D Yenişehir,Mersin</t>
  </si>
  <si>
    <t>6075973c1b91d06747eeb547</t>
  </si>
  <si>
    <t>Cafe Motto, Tarsus (Şehitishak Mah.)</t>
  </si>
  <si>
    <t>Murat Durdu</t>
  </si>
  <si>
    <t>Şehitishak Mah.Atatürk Cad.No/114-A Tarsus,Mersin</t>
  </si>
  <si>
    <t>622c3c70d5b9ab4e3dec0e0a</t>
  </si>
  <si>
    <t>Cafe Pilav, Yenişehir (Aydınlıkevler Mah.)</t>
  </si>
  <si>
    <t>Bünyamin Şeref</t>
  </si>
  <si>
    <t>Aydınlıkevler Mah.2004 Sokak No:13-A Yenişehir,Mersin</t>
  </si>
  <si>
    <t>624563d2a2292d21a28ca4e0</t>
  </si>
  <si>
    <t>Cafe-Deyiz, Erdemli (Merkez Mah.)</t>
  </si>
  <si>
    <t>Ali İlvan</t>
  </si>
  <si>
    <t>Merkez Mah.Celil Kiya Sokak No:6-D Erdemli,Mersin</t>
  </si>
  <si>
    <t xml:space="preserve">elimizde fotoğraflarımız var mail atalım dedi </t>
  </si>
  <si>
    <t>6228fe792c2a7ede597d1171</t>
  </si>
  <si>
    <t>Cafe.R.Lia Pizza, Mezitli (Yeni Mah.)</t>
  </si>
  <si>
    <t>Hafize Gönen</t>
  </si>
  <si>
    <t>Yeni Mahalle Mah.33166 Sokak No:46 Mezitli,Mersin</t>
  </si>
  <si>
    <t>60edbc5e2881cc51037ea5f3</t>
  </si>
  <si>
    <t>Cajun Corner, Yenişehir (Güvenevler Mah.)</t>
  </si>
  <si>
    <t>Ali Karslı</t>
  </si>
  <si>
    <t>Güvenevler Mah.1910 Sokak N0/17-B Yenişehir,Mersin</t>
  </si>
  <si>
    <t>602bfe04f376832a689e5b36</t>
  </si>
  <si>
    <t>Camuzlar Balık Evi, Yenişehir (Cumhuriyet Mah.)</t>
  </si>
  <si>
    <t>Dila Kaya</t>
  </si>
  <si>
    <t>Cumhuriyet Mah.İsmet İnönü Bulvarı No/99-A Yenişehir,Mersin</t>
  </si>
  <si>
    <t>Ece Bayındır</t>
  </si>
  <si>
    <t xml:space="preserve">kendisi şıkayetçi benim sorunum giderilmediği sürece fotoğraf istemiyorum dedi  </t>
  </si>
  <si>
    <t>619f56b1bc70d91622964dc4</t>
  </si>
  <si>
    <t>Camuzlar Deniz Ürünleri, Yenişehir (Fuat Morel Mah.)</t>
  </si>
  <si>
    <t>Nurçe Yeniçıkan</t>
  </si>
  <si>
    <t>Fuat Morel Mah.İsmet İnönü Bulvarı 2818 Sokak No/330-A Yenişehir,Mersin</t>
  </si>
  <si>
    <t xml:space="preserve">kendi fotoğraflarını mail adresine atmış neden hala konulmadı dedi eğer bir sıkıntısı varsa bana heber verilsin dedi ben sizin çektiğiniz fotoğraflarla ilerlemek istemiyorum dedi </t>
  </si>
  <si>
    <t>61ae4902e925bc62e1aaa30e</t>
  </si>
  <si>
    <t>Can Tantuni, Toroslar (Yusuf Kılıç Mah.)</t>
  </si>
  <si>
    <t>Bekir Can Kılıç</t>
  </si>
  <si>
    <t>Yusuf Kılıç</t>
  </si>
  <si>
    <t>Yusuf Kılıç Mah.Kuvayi Milliye Cad.No:381-A Toroslar,Mersin</t>
  </si>
  <si>
    <t>şuan değil daha sonra görüşelim dedi .yetkili yok no vermediler.</t>
  </si>
  <si>
    <t>618ea3914d6cd5e65662ef45</t>
  </si>
  <si>
    <t>Canciğer Kebap Salonu, Yenişehir (Güvenevler Mah.)</t>
  </si>
  <si>
    <t>Satılmış Can</t>
  </si>
  <si>
    <t>Güvenevler Mah.1904 Sokak No/22 Yenişehir,Mersin</t>
  </si>
  <si>
    <t xml:space="preserve">çekim sağlanmış </t>
  </si>
  <si>
    <t>60c8f6cca504f7ff827bda96</t>
  </si>
  <si>
    <t>Cann Dondurma, Erdemli (Alata Mah.)</t>
  </si>
  <si>
    <t>Dondurma</t>
  </si>
  <si>
    <t>Emine Solmaz</t>
  </si>
  <si>
    <t>Alata Mah.Erdemoğlu Mah.No/207-A Erdemli,Mersin</t>
  </si>
  <si>
    <t xml:space="preserve"> cekım gerceklesmıs ama yuklenmemıs</t>
  </si>
  <si>
    <t>5ff4bf1ce5886ac1319637ec</t>
  </si>
  <si>
    <t>Caps Burger, Yenişehir (Çiftlikköy Mah.)</t>
  </si>
  <si>
    <t>Ali Dağlıoğlu</t>
  </si>
  <si>
    <t>Çiftlikköy Mah.İstemihan Talay Cad.Özlem 1 Üniversite Konutları B blok No/229 Yenişehir,Mersin</t>
  </si>
  <si>
    <t>ali bey:05356898380//açmıyor/numara aldılar size geri dönüş yapıcam dediler/İptal sebebi:Biz randevuyu ali bey ile oluşturduk. Ali bey çok fazla işletmede bulunmadıgı ıcın ortagına yonlendırmıs. Ortagı da bız yogunuz su anda elımızde de fotograflar mevcut. onları gonderelım demıs.</t>
  </si>
  <si>
    <t>60130e750a16ee0591e0f108</t>
  </si>
  <si>
    <t>Casa Mia Donut &amp; Berliner &amp; Bakery Yenişehir (İnönü Mah.)</t>
  </si>
  <si>
    <t>Tutku Polat</t>
  </si>
  <si>
    <t>İnönü Mah.1403 Sokak No/31-A Yenişehir,Mersin</t>
  </si>
  <si>
    <t>cenazeden dolayı devam çekimi istemiyor gerekte duymuyor\\devam çekimi istemiyor.</t>
  </si>
  <si>
    <t>5ff89c904a4dfa852daad285</t>
  </si>
  <si>
    <t>Cebrail Usta Tantuni, Yenişehir (Çiftlikköy Mah.)</t>
  </si>
  <si>
    <t>Mikail Şeker</t>
  </si>
  <si>
    <t>Çiftlikköy Mah.Üniversite Cad.İhsan Yıldırım Apt.No/14 B Yenişehir,Mersin</t>
  </si>
  <si>
    <t xml:space="preserve">Çekim istemiyor neden belirtmedi \\görüşülmüş./5458917818 cebrail bey arandı açmadılar/meşgul/ açmadı yetkili yok. ÖĞLEDEN SONRA ARA.açmadı. / yetkili yok  / yetkili öğleden sonra gelecek </t>
  </si>
  <si>
    <t>6102a596803da1c3d325d8fb</t>
  </si>
  <si>
    <t>Cennet'im Kelle Söğüş, Akdeniz (Kiremithane Mah.)</t>
  </si>
  <si>
    <t>Abdulkerim Orhan</t>
  </si>
  <si>
    <t>Kiremithane Mah.İstiklal Cad.No/9-A Akdeniz,Mersin</t>
  </si>
  <si>
    <t xml:space="preserve">ulaşım sağlanılamadı// mail adresi verildi fotoğraflarımı atarım ben uygun olmazsa çekim için arayabilirsiniz dedi. / panelde gerekli fotoğrafları var </t>
  </si>
  <si>
    <t>60b08a388d255513457ccaf1</t>
  </si>
  <si>
    <t>Cevheroğlu Su Börekcisi, Yenişehir (50.Yıl Mah.)</t>
  </si>
  <si>
    <t>Semra Çetintaş</t>
  </si>
  <si>
    <t>50. Yıl</t>
  </si>
  <si>
    <t>50.Yıl Mah.20 Cad.Zigana Plus No/53-BD Yenişehir,Mersin</t>
  </si>
  <si>
    <t>daha önce çekim saglanmış 0 dan sonra çekim saglamak için randevu alındı</t>
  </si>
  <si>
    <t>6008629de4ab4e729b924769</t>
  </si>
  <si>
    <t>Cevheroğlu Su Börekçisi, Akdeniz (Yenimahalle Mah.)</t>
  </si>
  <si>
    <t>Medine Gürsoy</t>
  </si>
  <si>
    <t>Yenimahalle Mah.Çakmak Cad.Starpet No/6-B Akdeniz,Mersin</t>
  </si>
  <si>
    <t>d.ç alındı/devam çekimi içinde gelindi sürekli sürekli uğraşamam sizlerle diyerek azarlayıp kapattı.</t>
  </si>
  <si>
    <t>62453e5f3aadf142fbac7b98</t>
  </si>
  <si>
    <t>Cevheroğlu Su Börekçisi, Toroslar (H.Okan Merzeci Mah.)</t>
  </si>
  <si>
    <t>Jiyan Yılmaz</t>
  </si>
  <si>
    <t>Hüseyin Okan Merzeci Mah.Akbelen Bulvarı No:133 Toroslar,Mersin</t>
  </si>
  <si>
    <t>61801d370941d25cb366c23d</t>
  </si>
  <si>
    <t>Chef Ahmet Usta, Akdeniz (Çilek Mah.)</t>
  </si>
  <si>
    <t>Yücel Memiş</t>
  </si>
  <si>
    <t>Çilek</t>
  </si>
  <si>
    <t>Çilek Mah.63196 sokak Sanayi Sitesi No/3-43 Akdeniz,Mersin</t>
  </si>
  <si>
    <t>çekim sağlanmış/ÇEKİM SAĞLANMIŞ YÜKLENMEDİĞİ İÇİN RANDEVU İPTAL</t>
  </si>
  <si>
    <t>606dfa0bc42d19905a2765fa</t>
  </si>
  <si>
    <t>Chef Börek, Erdemli (Merkez Mah.)</t>
  </si>
  <si>
    <t>Ahmet Yeter</t>
  </si>
  <si>
    <t>Merkez Mah.Alparslan Türkeş Bulvarı No/63-F Erdemli, Mersin</t>
  </si>
  <si>
    <t>61ebf6014aacfceb71dc082d</t>
  </si>
  <si>
    <t>Chef Chicken, Tarsus (Öğretmenler Mah.)</t>
  </si>
  <si>
    <t>Arslan İltekin</t>
  </si>
  <si>
    <t>Öğretmenler Mah.Şehit İsmet Akın Cad.No:3-AD Tarsus,Mersin</t>
  </si>
  <si>
    <t>60892eda8dbc26671d8a4fb9</t>
  </si>
  <si>
    <t>Chef Kebap&amp; Kaburga &amp; Büryan, Erdemli (Akdeniz Mah.)</t>
  </si>
  <si>
    <t>Nezir Kurt</t>
  </si>
  <si>
    <t>Akdeniz Mah.Alparslan Türkeş Bulvarı No/168-D Erdemli,Mersin</t>
  </si>
  <si>
    <t xml:space="preserve">bu hafta müsait değilim dedi </t>
  </si>
  <si>
    <t>601ecb5e71c5457b1a019232</t>
  </si>
  <si>
    <t>Chef Kokoreç, Yenişehir (Menteş Mah.)</t>
  </si>
  <si>
    <t>Evren Kaya</t>
  </si>
  <si>
    <t>Menteş Mah.İstemihan Talay Cad.No/84-A Yenişehir,Mersin</t>
  </si>
  <si>
    <t>6172825d785351a056ee7caa</t>
  </si>
  <si>
    <t>Chef Rock's , Yenişehir (Güvenevler Mah.)</t>
  </si>
  <si>
    <t>Bektaş Elçi</t>
  </si>
  <si>
    <t>Güvenevler Mah.Dumlupınar Cad.No/18-C Yenişehir,Mersin</t>
  </si>
  <si>
    <t>5fe4f95bb928c48b6a8a7daa</t>
  </si>
  <si>
    <t>Chef Rosso, Yenişehir (Güvenevler Mah.)</t>
  </si>
  <si>
    <t>İsmail Turan</t>
  </si>
  <si>
    <t>Güvenevler, 1910. Sk. 13/A, 33140 Yenişehir/Mersin</t>
  </si>
  <si>
    <t>Mail verildi resimleri atacak</t>
  </si>
  <si>
    <t>604cd6d8e8226cb11e752617</t>
  </si>
  <si>
    <t>Chef Sabo &amp; Chinese Food, Yenişehir (Limonluk Mah.)</t>
  </si>
  <si>
    <t>Uzak Doğu</t>
  </si>
  <si>
    <t>Halime Yalçın</t>
  </si>
  <si>
    <t>Limonluk Mah.18.Cadde Moda Park Butik No/76-A Yenişehir,Mersin</t>
  </si>
  <si>
    <t>MALİYETLİ OLACAKTIR ÇEKİM DEDİ MAİL VERELİM DEDİM BENİM HİÇ VAKTIM YOK DEDİ</t>
  </si>
  <si>
    <t>61ab866477539c6dfda1dbc2</t>
  </si>
  <si>
    <t>Chef's City Burger, Mezitli ( Merkez Mah.)</t>
  </si>
  <si>
    <t>Yusuf Polat</t>
  </si>
  <si>
    <t>Merkez Mah.Vatan Cad.No:21-D Mezitli,Mersin</t>
  </si>
  <si>
    <t xml:space="preserve">devam çekimi alındı </t>
  </si>
  <si>
    <t>613c4b9b954ae5c19662fe2f</t>
  </si>
  <si>
    <t>Cheff Boss 27 Cafe &amp; Restaurant, Mezitli (Deniz Mah.)</t>
  </si>
  <si>
    <t>Kader Alataş</t>
  </si>
  <si>
    <t>Deniz</t>
  </si>
  <si>
    <t>Deniz Mah.Sahil yolu cad.Marvelous Evleri altı No/104-A Mezitli,Mersin</t>
  </si>
  <si>
    <t xml:space="preserve">15 dk sonra aranacak /Açmadı/şuan öyle bi düşüncesi yokmuş7 DÜŞÜNMÜYORUZ </t>
  </si>
  <si>
    <t>5ffde4f165ba5209202caad8</t>
  </si>
  <si>
    <t>Cheff'in Yeri, Yenişehir (Hürriyet Mah.)</t>
  </si>
  <si>
    <t>Peyrüze Dal</t>
  </si>
  <si>
    <t>Hürriyet Mah.İsmet İnönü Bulvarı N0/280-D Yenişehir,Mersin</t>
  </si>
  <si>
    <t>devam çekimi istemiyo/esı ıstemıyor</t>
  </si>
  <si>
    <t>60c1003fcc16a68ee2032caf</t>
  </si>
  <si>
    <t>Chicken Stop, Anamur (İskele Mah.)</t>
  </si>
  <si>
    <t>Fadimana Küçükuğurlu</t>
  </si>
  <si>
    <t>İskele Mah.1704 Sokak No/2-1 Mersin,Anamur</t>
  </si>
  <si>
    <t>61dc4e46f1bdc4a7c7105c71</t>
  </si>
  <si>
    <t>Chicken Stop, Erdemli (Akdeniz Mah.)</t>
  </si>
  <si>
    <t>Aleyna Kaya</t>
  </si>
  <si>
    <t>Akdeniz Mah.Alparslan Türkeş Bulvarı No:124-B Erdemli,Mersin</t>
  </si>
  <si>
    <t>60ccda5ab1569187cd672908</t>
  </si>
  <si>
    <t>Chiko Döner, Tarsus (Şehitmustafa Mah.-Merkez.)</t>
  </si>
  <si>
    <t>Hüseyin Torun</t>
  </si>
  <si>
    <t>Şehit Mustafa Mah.3501 Sokak No/7-C Tarsus,Mersin</t>
  </si>
  <si>
    <t>612cb02d29ab9b270cf0ed28</t>
  </si>
  <si>
    <t>Chocolate Club, Akdeniz (Kültür Mah.)</t>
  </si>
  <si>
    <t>Bahri Can Yalçın</t>
  </si>
  <si>
    <t>Kültür Mah.İsmet İnönü Bulvarı No/132-B Akdeniz,Mersin</t>
  </si>
  <si>
    <t xml:space="preserve">mail verildi / kalan ürünleri için yılbaşından sonra aranacak </t>
  </si>
  <si>
    <t>5ff7847ddef3887b26df142c</t>
  </si>
  <si>
    <t>Cıllı Tantuni &amp; Döner, Mezitli (Menderes Mah.)</t>
  </si>
  <si>
    <t>Osman Darende</t>
  </si>
  <si>
    <t>Menderes Mahallesi Şehit Fatih Soydan Cad. No.3A Mezitli/Mersin</t>
  </si>
  <si>
    <t>1 hafta sonra ara\\10-15 gün sonra arayın dedi.</t>
  </si>
  <si>
    <t>5fdfa40d3e964bf538e98b51</t>
  </si>
  <si>
    <t>Ciğerci Bahattin , Yenişehir (Çiftlikköy Mah.)</t>
  </si>
  <si>
    <t>Mehmet Şahin Altınsoy</t>
  </si>
  <si>
    <t>Çiftlikköy, Üniversite Cd., 33110 Yenişehir/Mersin</t>
  </si>
  <si>
    <t xml:space="preserve">yetkili akşam gelirmiş  </t>
  </si>
  <si>
    <t>6202cc95964d395f018892b8</t>
  </si>
  <si>
    <t>Ciğerci Bülent, Toroslar (Çağdaşkent Mah.)</t>
  </si>
  <si>
    <t>Levent Butev</t>
  </si>
  <si>
    <t>Çağdaşkent Mah.Mimar Sinan Bulvarı No:65-A Toroslar,Mersin</t>
  </si>
  <si>
    <t>61c07601eea087de54154df1</t>
  </si>
  <si>
    <t>Ciğerci Bülent, Toroslar (Çukurova Mah.)</t>
  </si>
  <si>
    <t>Müslüm Deniz Butev</t>
  </si>
  <si>
    <t>Çukurova</t>
  </si>
  <si>
    <t>Çukurova Mah.223 Cad.No:233-A Toroslar,Mersin</t>
  </si>
  <si>
    <t>YT YOK</t>
  </si>
  <si>
    <t>621d026022a8cd406b40f311</t>
  </si>
  <si>
    <t>Ciğerci Cengiz, Toroslar (Arpaçsakarlar Mah.)</t>
  </si>
  <si>
    <t>Cengiz Özcan</t>
  </si>
  <si>
    <t>Arpaçsakarlar Mah.Çiftçiler Cad.No:334-B Toroslar,Mersin</t>
  </si>
  <si>
    <t>yetkili uyuyor dedi daha gelmezmiş</t>
  </si>
  <si>
    <t>6080050c5d6f24b0119dc51c</t>
  </si>
  <si>
    <t>Ciğerci Dede, Mezitli (Atatürk Mah.)</t>
  </si>
  <si>
    <t>Aykut Akbaş</t>
  </si>
  <si>
    <t>Atatürk Mah.Sanayi Cad.No/38-L Mezitli,Mersin</t>
  </si>
  <si>
    <t xml:space="preserve">kendi fotoğrafları var ama randevuda labilir yoğunluğum var daha sonra araryın dedi- ulasılamadı / MAİL ATMIŞ BAKILMASINI İSTİYOR </t>
  </si>
  <si>
    <t>6066f902306c3514b7e66c3e</t>
  </si>
  <si>
    <t>Ciğerci Doğan, Akdeniz (Üçocak Mah.)</t>
  </si>
  <si>
    <t>Ahmet Özgişi</t>
  </si>
  <si>
    <t>Üçocak</t>
  </si>
  <si>
    <t>Üçocak Mah.M.Ahmet Cad.No/35-C Akdeniz,Mersin</t>
  </si>
  <si>
    <t>dönüş yapacak</t>
  </si>
  <si>
    <t>60929dff709514875611973d</t>
  </si>
  <si>
    <t>Ciğerci Doğan, Toroslar (Çukurova Mah.)</t>
  </si>
  <si>
    <t>Engin Karaer</t>
  </si>
  <si>
    <t>Çukurova Mah.Akbelen Bulvarı No/214-A Toroslar,Mersin</t>
  </si>
  <si>
    <t>5398556404/yarın arancak</t>
  </si>
  <si>
    <t>604a247d60f6a2b577b46b63</t>
  </si>
  <si>
    <t>Ciğerci Doğan, Toroslar (Osmaniye Mah.)</t>
  </si>
  <si>
    <t>Furkan Gezer</t>
  </si>
  <si>
    <t>Osmaniye Mah.Kuvayi Milliye Cad.No/241-A Toroslar,Mersin</t>
  </si>
  <si>
    <t>Sıla Göksunaz Esen</t>
  </si>
  <si>
    <t>3 te aranacak//0537229521//dönecek//sonra aranacak</t>
  </si>
  <si>
    <t>618d50ce4405f43091c3cca6</t>
  </si>
  <si>
    <t>Ciğerci Doğan, Yenişehir (Limonluk Mah.)</t>
  </si>
  <si>
    <t>Özgür Oğan</t>
  </si>
  <si>
    <t>Limonluk Mah.Hüseyin Okan Merzeci Bulvarı No/412-C Yenişehir,Mersin</t>
  </si>
  <si>
    <t xml:space="preserve">meşgul  </t>
  </si>
  <si>
    <t>610693c59fec2d2e19f71605</t>
  </si>
  <si>
    <t>Ciğerci Emin Usta, Toroslar (Çukurova Mah.)</t>
  </si>
  <si>
    <t>Abdullah Karagöz</t>
  </si>
  <si>
    <t>Çukurova Mah.Gözne Cad.No/125-A Toroslar,Mersin</t>
  </si>
  <si>
    <t xml:space="preserve">çekim sağlanmış  </t>
  </si>
  <si>
    <t>61424234f208657bbea128f4</t>
  </si>
  <si>
    <t>Ciğerci Fırat, Toroslar (Turuçlu Mah.)</t>
  </si>
  <si>
    <t>Fırat Kaya</t>
  </si>
  <si>
    <t>Turunçlu</t>
  </si>
  <si>
    <t>Turunçlu Mah.G.M.K Bulvarı No/158-A Toroslar,Mersin</t>
  </si>
  <si>
    <t xml:space="preserve">döneceklermiş  / cenaze i,şleri varmış kendisi dönecek /yt yok </t>
  </si>
  <si>
    <t>5ffdf4cef1123556deafeb08</t>
  </si>
  <si>
    <t>Ciğerci Hulusi, Yenişehir (50.Yıl Mah.)</t>
  </si>
  <si>
    <t>Cafer Sadık Ecevit</t>
  </si>
  <si>
    <t>50.Yıl Mah.2742 Sokak No/5-1 Yenişehir,Mersin</t>
  </si>
  <si>
    <t xml:space="preserve">fotoğraf varmış gönderim sağlayacak mail verildi.05542356786 / tüm ürünlerim çekildi dedi </t>
  </si>
  <si>
    <t>6076bdf18d60243cffce3c51</t>
  </si>
  <si>
    <t>Ciğerci İbo, Akdeniz (Yeni Mah.)</t>
  </si>
  <si>
    <t>Murat Özdemir</t>
  </si>
  <si>
    <t>Yeni Mah.5340 Sokak No/12-A Akdeniz,Mersin</t>
  </si>
  <si>
    <t>meşgul// randevu alındı</t>
  </si>
  <si>
    <t>6093d54481067337b9f57d85</t>
  </si>
  <si>
    <t>Ciğerci İbo, Yenişehir (Çiftlikköy Mah.)</t>
  </si>
  <si>
    <t>Lezgin Şiban</t>
  </si>
  <si>
    <t>Çiftlikköy Mah.Üniversite Cad.No/57-A Yenişehir,Mersin</t>
  </si>
  <si>
    <t>Adem Sezer</t>
  </si>
  <si>
    <t>Ürün fotoğrafta ki gibi çıkmıyor o yüzden hiç gerek yok çok şikayet alırım gerçekten hiç gerek yok diyor istemiyorum</t>
  </si>
  <si>
    <t>Mavi aslan</t>
  </si>
  <si>
    <t>5fdfd39120df6e0601c18440</t>
  </si>
  <si>
    <t>Ciğerci İsmail Usta, Mezitli (Atatürk Mah.)</t>
  </si>
  <si>
    <t>İsmail Cide</t>
  </si>
  <si>
    <t>Atatürk, Vali Şenol Engin Cd., 33340 Mezitli/Mersin</t>
  </si>
  <si>
    <t xml:space="preserve">fotoğrafçı gitmediği için birdahada istemiyor  / ürünleri çıkartacak kadar bir siparişim gelmiyor dedi </t>
  </si>
  <si>
    <t>61d7b66aa3d93e78748b0dc8</t>
  </si>
  <si>
    <t>Ciğerci Kardeşler, Akdeniz (Mithatpaşa Mah.)</t>
  </si>
  <si>
    <t>Halil Akbulut</t>
  </si>
  <si>
    <t>Mithatpaşa</t>
  </si>
  <si>
    <t>Mithatpaşa Mah. Mersinli Ahmet Cad.No:43-A Akdeniz,Mersin</t>
  </si>
  <si>
    <t>yazın çekim düşünüyorlarmış</t>
  </si>
  <si>
    <t>600b26460909cf92cc57b33d</t>
  </si>
  <si>
    <t>Ciğerci Ramazan, Erdemli (Akdeniz Mah.)</t>
  </si>
  <si>
    <t>Keziban Kocakaplan</t>
  </si>
  <si>
    <t>Akdeniz Mah.Alparslan Türkeş Bulvarı No/148-C Erdemli,Mersin</t>
  </si>
  <si>
    <t xml:space="preserve">yarım saat sonra arayın dedi </t>
  </si>
  <si>
    <t>6181845ced77df0bf283031f</t>
  </si>
  <si>
    <t>Ciğerci Süleyman Usta, Yenişehir (Eğriçam Mah.)</t>
  </si>
  <si>
    <t>Süleyman Urjav</t>
  </si>
  <si>
    <t>Eğriçam Mah.2224 Sokak No/13-C Yenişehir,Mersin</t>
  </si>
  <si>
    <t>ercan bey mail atmış</t>
  </si>
  <si>
    <t>602589d85bb03e5adf4e33d1</t>
  </si>
  <si>
    <t>Ciğerci Yakup, Yenişehir (Pirireis Mah.)</t>
  </si>
  <si>
    <t>Veysel Narin</t>
  </si>
  <si>
    <t>Pirireis</t>
  </si>
  <si>
    <t>Pirireis Mah.İsmet İnönü Bulvarı No/22-A Yenişehir,Mersin</t>
  </si>
  <si>
    <t xml:space="preserve">tekrar arandı istemiyor/1 saat sonra aranılck / ortağıyla görüşüp dönüş yapacağını söyledi  HAFTAYA ARANSIN / dün yemek sepeti ile çekim olmuş siz biraz bekleyin dedi  / böyle kalsın fazla paket servisi de olmaz dedi </t>
  </si>
  <si>
    <t>6203d3444a1464e9241053d0</t>
  </si>
  <si>
    <t>Ciğerci Yusuf, Akdeniz (Turgutreis Mah.)</t>
  </si>
  <si>
    <t>İkrami Çiçek</t>
  </si>
  <si>
    <t>Turgutreis</t>
  </si>
  <si>
    <t>Turgutreis Mah.4132 Sokak No:2-A Akdeniz,Mersin</t>
  </si>
  <si>
    <t>6001e3ab0d6f5951419bdc46</t>
  </si>
  <si>
    <t>Ciğerci Yusuf, Tarsus (Altaylılar Mah.-Ülküköy)</t>
  </si>
  <si>
    <t>Yusuf Özen</t>
  </si>
  <si>
    <t>Altaylılar Mah.Turan Cad.No/1 A Tarsus,Mersin</t>
  </si>
  <si>
    <t>önce kabul etti sonra daha sonra görüşelim diye geçiştirdi//sizin sisteminiz hatalı daha onu oturtamamışsınız hala fotograf diyorsunuzRandevu istemiyor sürekli arandığım için kabul ettim ama gerek duymuyorum der.</t>
  </si>
  <si>
    <t>61fa89289feb5e657c97ef19</t>
  </si>
  <si>
    <t>Ciğercim Murat Usta, Akdeniz (Çankaya Mah.)</t>
  </si>
  <si>
    <t>Handan Günalp</t>
  </si>
  <si>
    <t>Çankaya Mah.Atatürk 1 Cad.Mersin Çarşısı No:26 Akdeniz,Mersin</t>
  </si>
  <si>
    <t xml:space="preserve">mail verildi </t>
  </si>
  <si>
    <t>600c40ce0354afe6aa848a83</t>
  </si>
  <si>
    <t>Cihangir Antep, Yenişehir (Bahçelievler Mah.)</t>
  </si>
  <si>
    <t>Elif Baykara</t>
  </si>
  <si>
    <t>Bahçelievler</t>
  </si>
  <si>
    <t>Bahçelievler Mah.1804 Sokak No/17-A Yenişehir,Mersin</t>
  </si>
  <si>
    <t>devir durumu var 2 haftaya belli olur dedi \\yetkili yokmuş gelince arayacaklar.//devir durumu devam ediyor/ yetkili yok yarın arayın dendi.devir olma durumu varmış hala.</t>
  </si>
  <si>
    <t>61ddc0138ac5466122369c46</t>
  </si>
  <si>
    <t>Citrus Lounge, Yenişehir (Barbaros Mah.)</t>
  </si>
  <si>
    <t>Murat Çetinel</t>
  </si>
  <si>
    <t>Barbaros Mah.Adnan Menderes Bulvarı No:164-A Yenişehir, Mersin</t>
  </si>
  <si>
    <t>60a37f23346c9a820222ba08</t>
  </si>
  <si>
    <t>City Express Pizza, Erdemli (Merkez Mah.)</t>
  </si>
  <si>
    <t>Gülçin Neylim</t>
  </si>
  <si>
    <t>Merkez Mah.Yunus Bey Cad.No/87-C Erdemli,Mersin</t>
  </si>
  <si>
    <t>ayşegül hanım</t>
  </si>
  <si>
    <t>60534e66bd0550b752da239e</t>
  </si>
  <si>
    <t>Coffee House, Tarsus (Merkez-Şehitmustafa Mah.)</t>
  </si>
  <si>
    <t>Handan Tok</t>
  </si>
  <si>
    <t>Şehitmustafa Mah.Muvaffak Uygur Bulvarı No/9 -B Tarsus,Mersin</t>
  </si>
  <si>
    <t>yasak var  ramazandan sonra görüşelim</t>
  </si>
  <si>
    <t>6054f4ea98acb279ea86c6ca</t>
  </si>
  <si>
    <t>Creppy, Mezitli (Merkez Mah.)</t>
  </si>
  <si>
    <t>Uğur Akın Kavak</t>
  </si>
  <si>
    <t>Merkez Mah.Vatan Cad.No/11-C Mezitli,Mersin</t>
  </si>
  <si>
    <t xml:space="preserve">cevapsız//açmadı//(0324) 326 57 37//kendisi dönüş yapacak//çekim yapılmış pazartesi günü </t>
  </si>
  <si>
    <t>5fdf4c33cd2760c2ca9f766c</t>
  </si>
  <si>
    <t>Creppy, Yenişehir (Güvenevler Mah.)</t>
  </si>
  <si>
    <t>Güvenevler Mah. 1914. Sok. Bosspoint İş Merkezi, 33140 Yenişehir/Mersin</t>
  </si>
  <si>
    <t>618bb9f71370eb9caf09a328</t>
  </si>
  <si>
    <t>Crunchy's Pizza &amp; Burger, Yenişehir (Çiftlikköy Mah.)</t>
  </si>
  <si>
    <t>Ali Karakılıç</t>
  </si>
  <si>
    <t>Çiftlikköy Mah.Hüseyin Okan Merzeci Bulvarı No/692-AA Yenişehir,Mersin</t>
  </si>
  <si>
    <t>6202bdda00f12602aada42ef</t>
  </si>
  <si>
    <t>Crunchy's Pizza &amp; Burger, Yenişehir (Furatmurel Mah.)</t>
  </si>
  <si>
    <t>Furatmorel Mah.Hüseyin Okan Merzeci Bulvarı No/692-AA Yenişehir,Mersin</t>
  </si>
  <si>
    <t>61b24915ee597b9f6a61c531</t>
  </si>
  <si>
    <t>Cumhuriyet 2 Lahmacun &amp; Etli Pide, Yenişehir (Cumhuriyet Mah.)</t>
  </si>
  <si>
    <t>Kerim Kesen</t>
  </si>
  <si>
    <t>Bahçelievler Mah.1809 sokak No/13-B Yenişehir,Mersin</t>
  </si>
  <si>
    <t>açmadı.05327619970 kerim beyden randevu alındı.Teyit için arandı çekim gerçekleşmiş.</t>
  </si>
  <si>
    <t>62517123e32832b74e46adbb</t>
  </si>
  <si>
    <t>Cup Of Coffee, Mezitli (Menderes Mah.)</t>
  </si>
  <si>
    <t>HANİFE HOCAOĞLU</t>
  </si>
  <si>
    <t>Menderes Mah. Limon Cad. No:9A Mezitli Mersin</t>
  </si>
  <si>
    <t>614b52bfdeb539c3805f3c35</t>
  </si>
  <si>
    <t>Cupkofi, Yenişehir (Aydınlıkevler Mah.)</t>
  </si>
  <si>
    <t>Ertuğrul Akarçeşme</t>
  </si>
  <si>
    <t>Aydınlıkevler Mah.2012 Sokak No/11-C Yenişehir,Mersin</t>
  </si>
  <si>
    <t xml:space="preserve">kendilerinin çekimleri varmış onun için mail verildi. yeni ürünler,n çekimi için randevu alındı.açmadı. / teyit için arandı ulaşılamadı </t>
  </si>
  <si>
    <t>61f2b98b1d78142bb89f39da</t>
  </si>
  <si>
    <t>Cuprıce, Yenişehir (Pirireis Mah.)</t>
  </si>
  <si>
    <t>Enes Egemen Oflaz</t>
  </si>
  <si>
    <t>Pirireis Mah.1116 Sokak No:16-B Yenişehir,Mersin</t>
  </si>
  <si>
    <t>61fd5cce441eff6cea685e38</t>
  </si>
  <si>
    <t>Çağlar Et &amp; Tavuk, Toroslar (Mevlana Mah.)</t>
  </si>
  <si>
    <t>Mualla Kuyu</t>
  </si>
  <si>
    <t>Mevlana Mah.Mersinli Ahmet Bulvarı No:107-C Toroslar,Mersin</t>
  </si>
  <si>
    <t xml:space="preserve">eleman eksik dedi </t>
  </si>
  <si>
    <t>61c4ad64d03667230f1513cf</t>
  </si>
  <si>
    <t>Çalıkuşu Çiçeği &amp; Waffle, Silifke (Göksu Mah.)</t>
  </si>
  <si>
    <t>Mümine Büyüktatlı</t>
  </si>
  <si>
    <t>Göksu Mah.Uyar Sokak No:5-B Silifke,Mersin</t>
  </si>
  <si>
    <t>5fdf41970654ee6da6e8a3b5</t>
  </si>
  <si>
    <t>Çapa Waffle , Yenişehir (Çiftlikköy Mah.)</t>
  </si>
  <si>
    <t>Mehmet Gazen</t>
  </si>
  <si>
    <t>Özlem Üniversite konutları 2 B Blok no:63, Üniversite Cd., 33110 Yenişehir</t>
  </si>
  <si>
    <t>açmıyor//devam çekimi gerek yok</t>
  </si>
  <si>
    <t>61fa354e9c46ddafa310e9e8</t>
  </si>
  <si>
    <t>Çatapatso, Tarsus (Yeni Ömerli Mah.)</t>
  </si>
  <si>
    <t>Yasin Güventürk</t>
  </si>
  <si>
    <t>İsmetpaşa</t>
  </si>
  <si>
    <t>Yeni Ömerli Mah.4114 sokak No:1-B Tarsus,Mersin</t>
  </si>
  <si>
    <t>62189d30cd6c0d5429ba9f23</t>
  </si>
  <si>
    <t>Çiçek Döner, Mezitli (Atatürk Mah.)</t>
  </si>
  <si>
    <t>Mehmet Yigit</t>
  </si>
  <si>
    <t>Atatürk Mah.31050 sokak No:2 Mezitli,Mersin</t>
  </si>
  <si>
    <t>5fe23beed3f42b1acbaf1b12</t>
  </si>
  <si>
    <t>Çifte Kumru, Yenişehir (Güvenevler Mah.)</t>
  </si>
  <si>
    <t>Bencemin Uzun</t>
  </si>
  <si>
    <t>Güvenevler Mahallesi 1910 sokak no:7/B Yenişehir / Mersin</t>
  </si>
  <si>
    <t xml:space="preserve">bütün ürünler çekilmiş  EN COK SATILAN ÜRÜNLER CEKİMLERİ SAGLANMIS / benim için önemli olan kumru çekimiydi diğerlerine gerek yok dedi </t>
  </si>
  <si>
    <t>5fe9691871e89c6c8b95fb8d</t>
  </si>
  <si>
    <t>Çiftlik Cızzgara Közde Piliç &amp; Et Köfte</t>
  </si>
  <si>
    <t>Emre Akçiçek</t>
  </si>
  <si>
    <t>Çiftlikköy Mah.Üniversite Cad.Ziraat Bankası Karşısı 44 A Yenişehir Mersin</t>
  </si>
  <si>
    <t>10 dk sonra aranacak//devam çekimi istemiyo/pzretı aranılck salı gunu ıcın randevusu olustrulck/musaıt degılım dedı n sızı ararım dedı</t>
  </si>
  <si>
    <t>5fe373e523ff89158ea7b6b4</t>
  </si>
  <si>
    <t>Çiftlik Döner &amp; Tantuni , Yenişehir (İnönü Mah.)</t>
  </si>
  <si>
    <t>Yunus Akdemir</t>
  </si>
  <si>
    <t>Gmk Bulvarı İnönü Mahallesi 387/b (mega Platin Karşısı) Pozcu Yenişehir Mersin</t>
  </si>
  <si>
    <t>devam çekimi/yetkili bir kaç saate gelirmiş.yetkili yok./pzrtesı gunnu aranılcak baska bır gun ıcın randevu olusturulcak</t>
  </si>
  <si>
    <t>6193f0138b8b2a80e5f1d3ed</t>
  </si>
  <si>
    <t>Çiftyol Ocakbaşı, Yenişehir (Eğriçam Mah.)</t>
  </si>
  <si>
    <t>Halit Bürdanküçin</t>
  </si>
  <si>
    <t>Eğriçam Mah.2256 Sokak No/24-A Yenişehir,Mersin</t>
  </si>
  <si>
    <t>6130617d5b62c75615e4e5da</t>
  </si>
  <si>
    <t>Çiğ Köfteci Ömer Usta, Akdeniz (Mithatpaşa Mah.)</t>
  </si>
  <si>
    <t>Müslüm Yapan</t>
  </si>
  <si>
    <t>Mithatpaşa Mah.Çiftçiler Cad.No/24-C Akdeniz,Mersin</t>
  </si>
  <si>
    <t>6203d5c32ea4fe8851ebbb1b</t>
  </si>
  <si>
    <t>Filiz Karaca</t>
  </si>
  <si>
    <t>Mithatpaşa Mah.Çiftçiler Cad.No:24-A Akdeniz,Mersin</t>
  </si>
  <si>
    <t>619bd5f9ed72467e3b374b73</t>
  </si>
  <si>
    <t>Çiğ Köfteci Ömür Usta, Erdemli (Merkez Mah.)</t>
  </si>
  <si>
    <t>Mine Ongun</t>
  </si>
  <si>
    <t>Merkez Mah.Şehit Ömer Serin Sokak No/5-C Erdemli,Mersin</t>
  </si>
  <si>
    <t xml:space="preserve">burhanettin bey </t>
  </si>
  <si>
    <t>613064e9fb46a3b0c731e15a</t>
  </si>
  <si>
    <t>Çiğ Köfteci Ömür Usta, Toroslar (Akbelen Mah.)</t>
  </si>
  <si>
    <t>Mert Can Çiftçier</t>
  </si>
  <si>
    <t>Akbelen Mah.84115 Sokak No/9-A Toroslar,Mersin</t>
  </si>
  <si>
    <t>6255b8994e0ef9a6bb29ae2f</t>
  </si>
  <si>
    <t>Çiğköfte Evi, Erdemli (Akdeniz Mah.)</t>
  </si>
  <si>
    <t>Yıldız Akpınar</t>
  </si>
  <si>
    <t>Akdeniz Mah.Serinler Cad.No:41-E Erdemli,Mersin</t>
  </si>
  <si>
    <t xml:space="preserve">yetkili bankaya gitmiş 30 dk ya tekrardan aranack </t>
  </si>
  <si>
    <t>61ebc667de52b07d0b8b24be</t>
  </si>
  <si>
    <t>Çiğköfteci Emrah Usta, Silifke (Göksu Mah.)</t>
  </si>
  <si>
    <t>Emrah Karageçili</t>
  </si>
  <si>
    <t>Göksu Mah.Ali Öner Sokak No:4-A Silifke,Mersin</t>
  </si>
  <si>
    <t>6151f574d2336339351ec3c6</t>
  </si>
  <si>
    <t>Çiğköfteci Halil Usta, Erdemli (Merkez Mah.)</t>
  </si>
  <si>
    <t>Serkan Arslan</t>
  </si>
  <si>
    <t>Merkez Mah.Türbe Cad.No/76-E Erdemli,Mersin</t>
  </si>
  <si>
    <t>61d7bc9b778c6ced818c338e</t>
  </si>
  <si>
    <t>Çiğköfteci Ömer Usta, Erdemli (Akdeniz Mah.)</t>
  </si>
  <si>
    <t>Remzi Akın Akdemir</t>
  </si>
  <si>
    <t>Akdeniz Mah.1002 Sokak No:4-D Erdemli,Mersin</t>
  </si>
  <si>
    <t>5ff4d26812b715a45ba61ff3</t>
  </si>
  <si>
    <t>Çiğköfteci Ömer Usta, Yenişehir (Güvenevler Mah.)</t>
  </si>
  <si>
    <t>Emine Yılmaz</t>
  </si>
  <si>
    <t>Güvenevler Mah.Barboros Bulvarı İrfan Gök Apt.94/ C Yenişehir,Mersin</t>
  </si>
  <si>
    <t>61d854fef31fd0609bc4b057</t>
  </si>
  <si>
    <t>Çiğköfteci Ömür Usta, Mezitli (Deniz Mah.)</t>
  </si>
  <si>
    <t>Arif Tuncer</t>
  </si>
  <si>
    <t>Deniz Mah.Balaban Cad.No:22-B Mezitli,Mersin</t>
  </si>
  <si>
    <t>6197f0174c13b41213e76bfa</t>
  </si>
  <si>
    <t>Çiğköfteci Ömür Usta, Tarsus (Yeni Ömerli Mah.)</t>
  </si>
  <si>
    <t>Aslıhan Tuncer</t>
  </si>
  <si>
    <t>Yeni Ömerli Mah.Hilmi Seçkin Blv.No/21-B Tarsus, Mersin</t>
  </si>
  <si>
    <t>6195375fce71df7a5758176e</t>
  </si>
  <si>
    <t>Çiğköfteci Ömür Usta, Toroslar (Mithat Toroğlu Mah.)</t>
  </si>
  <si>
    <t>Mithat Toroğlu Mah.Kuvayi Milliye Bulvarı No/320-B Toroslar,Mersin</t>
  </si>
  <si>
    <t xml:space="preserve">bizden çok kazanıyorsunuz anasını satım dedi azarladı  </t>
  </si>
  <si>
    <t>5fea0b5505d6ff2caace9540</t>
  </si>
  <si>
    <t>Çiğköfteci Rıdvan Usta, Yenişehir (Çiftlikköy Mah.)</t>
  </si>
  <si>
    <t>Nayıf Arslan</t>
  </si>
  <si>
    <t>Çiftlikköy Mah.Hüseyin Okan Merzeci Bulvarı Turk - Sat Sİtesi B blok No/688 İç Kapı No/1 Yenişehir Mersin</t>
  </si>
  <si>
    <t xml:space="preserve">mail paylasıldı </t>
  </si>
  <si>
    <t>60e85916b4bc54430c8aa575</t>
  </si>
  <si>
    <t>Çiğköftem, Mezitli (Tece Mah.)</t>
  </si>
  <si>
    <t>Ali Furkan Kuru</t>
  </si>
  <si>
    <t>Tece</t>
  </si>
  <si>
    <t>Deniz Mah.49304 Sokak Ablok No/8-B Mezitli,Mersin</t>
  </si>
  <si>
    <t>muzaffer bey/5055464700 Ali Bey/5372716005 randevu muzaffer bey ile oluşturuldu</t>
  </si>
  <si>
    <t>Erkan Demirel</t>
  </si>
  <si>
    <t>60218c081f27d5219a8845aa</t>
  </si>
  <si>
    <t>Çiğköftem, Tarsus (Şehit Mustafa Mah.-Merkez)</t>
  </si>
  <si>
    <t>Izzettin tumsal</t>
  </si>
  <si>
    <t>Şahit mustafa mh muvaffak uygur blv. No 27/D kültür merkezin sağ çaprazında ciğerci apo yanı.</t>
  </si>
  <si>
    <t>604f65fceb5cb5362fc0cfce</t>
  </si>
  <si>
    <t>Çiğköftem, Tarsus (Şehitler Tepesi Mah.)</t>
  </si>
  <si>
    <t>Burhan Dal</t>
  </si>
  <si>
    <t>Şehitler Tepesi mah. Atatürk Bulvarı Zeynep apt altı no: 216C</t>
  </si>
  <si>
    <t>05375526668:burhan bey//şuan misafirlikteymiş sonra ara</t>
  </si>
  <si>
    <t>6094f97c4b60a1b18865c12c</t>
  </si>
  <si>
    <t>Çiğköftem, Toroslar (Çağdaşkent Mah.)</t>
  </si>
  <si>
    <t>Sevgi Şahin</t>
  </si>
  <si>
    <t>Çağdaşkent Mah.229.Cad N0/8-2A</t>
  </si>
  <si>
    <t>YARIN SABAH ARA //getir yemekten çok fazla sipariş almıyorum eğer sipariş oranları artarsa sitemden takip edilip ona göre aranacak//başkasıyla konuşuyor</t>
  </si>
  <si>
    <t>Simge Tüçay</t>
  </si>
  <si>
    <t>607d9e8b1dc0b088050a3086</t>
  </si>
  <si>
    <t>Çiğköftem, Yenişehir (Aydınlıkevler Mah.)</t>
  </si>
  <si>
    <t>Derya Taş</t>
  </si>
  <si>
    <t>Aydınlıkevler Mah.Dumlupınar Mah.No/19 Yenişehir, Mersin</t>
  </si>
  <si>
    <t>Ezgi Turan</t>
  </si>
  <si>
    <t>609144522bf28920b58050c5</t>
  </si>
  <si>
    <t>Çiğköftem, Yenişehir (Pirireis Mah.)</t>
  </si>
  <si>
    <t>Musa Anter Özçelik</t>
  </si>
  <si>
    <t>Pirireis Mah.Silifke Cad.No/197 Yenişehir,Mersin</t>
  </si>
  <si>
    <t>-ulasılamadı</t>
  </si>
  <si>
    <t>62163cd1e648cab4be1105f6</t>
  </si>
  <si>
    <t>Çikolata Durağı, Yenişehir (Aydınlıkevler Mah.)</t>
  </si>
  <si>
    <t>Özge Bahar</t>
  </si>
  <si>
    <t>Aydınlıkevler Mah.Gazi Mustafa Kemal No:396-B Yenişehir,Mersin</t>
  </si>
  <si>
    <t>61e26fdf4acbd10fb4a8de7e</t>
  </si>
  <si>
    <t>Çikolook, Anamur (Yeşilyurt Mah.)</t>
  </si>
  <si>
    <t>İlter Ceren</t>
  </si>
  <si>
    <t>Yeşilyurt</t>
  </si>
  <si>
    <t>Yeşilyurt Mah.23 Nisan Cad.No:43 Anamur,Mersin</t>
  </si>
  <si>
    <t>605231c4e7317c52ee8ab29f</t>
  </si>
  <si>
    <t>Çingil Kafe &amp; Restaurant, Tarsus (Anıt Mah.)</t>
  </si>
  <si>
    <t>Yahya Okat</t>
  </si>
  <si>
    <t>Anıt Mah.Şehitler Cad.No/5-A Tarsus,Mersin</t>
  </si>
  <si>
    <t>o kadar ürünü çıkartamam daha ilerde düşünelim// kendisi atıcak</t>
  </si>
  <si>
    <t>6019d66a4b02ad037ec8e71f</t>
  </si>
  <si>
    <t>Çoban Katık Döner, Erdemli (Merkez Mah.)</t>
  </si>
  <si>
    <t>Yaşar Keskin</t>
  </si>
  <si>
    <t>Merkez Mah.Alparslan Türkeş Bulvarı No/262 Erdemli,Mersin</t>
  </si>
  <si>
    <t>erdemli blgsi açılınca randevu verilecek</t>
  </si>
  <si>
    <t>5fe030d3798e59498934701f</t>
  </si>
  <si>
    <t>Çorbacım , Yenişehir (Çitflikköy Mah.)</t>
  </si>
  <si>
    <t>Zehra Belge</t>
  </si>
  <si>
    <t>Çiftlikköy, İsmet İnönü Blv. 688 B, 33110 Yenişehir/Mersin</t>
  </si>
  <si>
    <t>cekım ıstemıyorlar HASTALARI OLDUGUNDAN DOLAYI CEKİM İSTEMİYORLAR</t>
  </si>
  <si>
    <t>62224ae6eb4d366635d2e51d</t>
  </si>
  <si>
    <t>Çoşkun Usta Kebap, Akdeniz (Camişerif Mah.)</t>
  </si>
  <si>
    <t>Kemal Yıldırım</t>
  </si>
  <si>
    <t>Camişerif Mah.Uray Cad.No:35 FG Akdeniz,Mersin</t>
  </si>
  <si>
    <t>61c1da4c2378a846ea7c9f2a</t>
  </si>
  <si>
    <t>D &amp; B Kumpir, Erdemli (Merkez Mah.)</t>
  </si>
  <si>
    <t>Yiğit Keskin</t>
  </si>
  <si>
    <t>Merkez Mah.Gezer Sokak No:5-D Erdemli,Mersin</t>
  </si>
  <si>
    <t>6161726bb8abc14145b5cbba</t>
  </si>
  <si>
    <t>D-Öner Mangal, Yenişehir (Barboros Mah.)</t>
  </si>
  <si>
    <t>Kadir Yardımcı</t>
  </si>
  <si>
    <t>Barboros Mah.Nevit Kodallı Cad.No/16 -A Yenişehir, Mersin</t>
  </si>
  <si>
    <t xml:space="preserve">5452653373 / devam çekimi alınabilir </t>
  </si>
  <si>
    <t>613b691b1eec6b0ee0709d4d</t>
  </si>
  <si>
    <t>Dağkapı Ciğercisi 21, Yenişehir (İnönü Mah.)</t>
  </si>
  <si>
    <t>Aydın Güneri</t>
  </si>
  <si>
    <t>İnönü Mah.1405 Sokak.Mersin Vektör Konaklama No/14-B Yenişehir,Mersin</t>
  </si>
  <si>
    <t>61654fb8537c3744edf9b2c4</t>
  </si>
  <si>
    <t>Dalgıç Tantuni, Yenişehir (Çiftlikköy Mah.)</t>
  </si>
  <si>
    <t>Hüseyin Dalgıç</t>
  </si>
  <si>
    <t>Çiftlikköy Mah.Hüseyin Okan Merzeci Bulvarı No/690 -A Yenişehir,Mersin</t>
  </si>
  <si>
    <t>60ddcaba47f9fc2a91705e48</t>
  </si>
  <si>
    <t>Damak Dondurma, Akdeniz (Siteler Mah.)</t>
  </si>
  <si>
    <t>Elif Usanmaz</t>
  </si>
  <si>
    <t>Siteler</t>
  </si>
  <si>
    <t>Siteler Mah.160.Cadde No/72-A Akdeniz,</t>
  </si>
  <si>
    <t xml:space="preserve">1 saate aranacak yetkili burda yok dedi /yt 7den sonra geliyomuş no vermediler ulaşamıyoruz/ istemiyoruz biz bilginiz olsun der  / paneli kapalı </t>
  </si>
  <si>
    <t>6129d23aa0c9298150525760</t>
  </si>
  <si>
    <t>Damak Döner, Silifke (Göksu Mah.)</t>
  </si>
  <si>
    <t>Tolga Kirar</t>
  </si>
  <si>
    <t>Göksu Mah.Atatürk Bulvarı No/18 -C Silifke,Mersin</t>
  </si>
  <si>
    <t>619b8a6d1a54f2ff90890418</t>
  </si>
  <si>
    <t>Damak Döner, Silifke (Taşucu Mah.)</t>
  </si>
  <si>
    <t>Taşucu</t>
  </si>
  <si>
    <t>Taşucu Mah.Atatürk Cad.No/210-A Silifke ,Mersin</t>
  </si>
  <si>
    <t>624b239e3a20a91c8b1e899a</t>
  </si>
  <si>
    <t>Damak Tantuni &amp; Döner, Akdeniz (Mesudiye Mah.)</t>
  </si>
  <si>
    <t>ERGÜL SÖYLEMEZ</t>
  </si>
  <si>
    <t>Mesudiye Mah. Kuvai Milliye Cad.Şenol Apt. No:64/B Akdeniz/Mersin</t>
  </si>
  <si>
    <t>6246d6b111bd17738ad8d671</t>
  </si>
  <si>
    <t>Datlım Patisserie, Erdemli (Merkez Mah.)</t>
  </si>
  <si>
    <t>Mustafa Aydoğdu</t>
  </si>
  <si>
    <t>Kocahasanlı Mah.Atatürk Bulvarı No:14-A Erdemli,Mersin</t>
  </si>
  <si>
    <t>ulaşılamadı</t>
  </si>
  <si>
    <t>61e554ae641b0b5c5d0d8276</t>
  </si>
  <si>
    <t>Dede Restaurant, Akdeniz (Camişerif Mah.)</t>
  </si>
  <si>
    <t>Yahya İnce</t>
  </si>
  <si>
    <t>Cami Şerif Mah.5222 Sokak No:5-A Akdeniz,Mersin</t>
  </si>
  <si>
    <t>Yasin bey/05397804339</t>
  </si>
  <si>
    <t>6009ca76056c792096c0cb4a</t>
  </si>
  <si>
    <t>Demirkesen Kebap, Yenişehir (Menteş Mah.)</t>
  </si>
  <si>
    <t>Ferhat Demirkesen</t>
  </si>
  <si>
    <t>Menteş Mah.Hüseyin Okan Merzeci Bulvarı No/550-A Yenişehir,Mersin</t>
  </si>
  <si>
    <t>mail atacak//açmıyor // YARIN BİRGÜN YOLLARIM DER/istemıyorum cekım</t>
  </si>
  <si>
    <t>608c1766ea6074b61414ac02</t>
  </si>
  <si>
    <t>Deniz Express Döner, Akdeniz (Mahmudiye Mah.)</t>
  </si>
  <si>
    <t>Nebihe Gökçe Görü</t>
  </si>
  <si>
    <t>Mahmudiye Mah.Bahçeler Cad.No/13-A Akdeniz,Mersin</t>
  </si>
  <si>
    <t xml:space="preserve"> saat tam 11.30da gelsin gecikmesin diyor/tamamı çekilmiş</t>
  </si>
  <si>
    <t>609a400500cbda66d9cecff6</t>
  </si>
  <si>
    <t>Deniz Kafe &amp; Ev Yemekleri , Mezitli (Yenimahalle Mah.)</t>
  </si>
  <si>
    <t>Abidin Dinçel</t>
  </si>
  <si>
    <t>Yeni Mah.33195 Sokak No/9-B Mezitli,Mersin</t>
  </si>
  <si>
    <t xml:space="preserve">çekim yapıp gönderimini sağlıycaklar- çekim istemiyorum dedi gerek yok dedi / kalan ürünleri mail atacakmış </t>
  </si>
  <si>
    <t>60ae1c614782709eb4b9d34e</t>
  </si>
  <si>
    <t>Deniz Kızı Pastanesi, Akdeniz (Çankaya Mah.)</t>
  </si>
  <si>
    <t>Tevfik Uzunboy</t>
  </si>
  <si>
    <t>Çankaya Mah.İsmet İnönü Bulvarı No/118 Akdeniz,Mersin</t>
  </si>
  <si>
    <t>adres: no18 bahadır bey/5306689053 ile devam çekimi randevusu oluşturuldu</t>
  </si>
  <si>
    <t>6157eef97c2f59196d43757d</t>
  </si>
  <si>
    <t>Deniz Su Börekçisi, Mezitli (Viranşehir Mah.)</t>
  </si>
  <si>
    <t>Dilay Şan</t>
  </si>
  <si>
    <t>Viranşehir Mah.34326 Sokak No/23-B Mezitli,Mersin</t>
  </si>
  <si>
    <t>6148c2b9fd671b5faea8e083</t>
  </si>
  <si>
    <t>Deniz Tantuni &amp; Döner, Akdeniz (Kiremithane Mah.)</t>
  </si>
  <si>
    <t>Cahide Deniz</t>
  </si>
  <si>
    <t>Kiremithane Mah.Silifke Cad.No/60-A Akdeniz,Mersin</t>
  </si>
  <si>
    <t xml:space="preserve">yetkili yok  </t>
  </si>
  <si>
    <t>61fe8308e0e4c600b62328be</t>
  </si>
  <si>
    <t>Deniz Usta Tantana Tantuni, Mezitli (Atatürk Mah.)</t>
  </si>
  <si>
    <t>Deniz Yılmaz</t>
  </si>
  <si>
    <t>Atatürk Mah.31035 sokak No:23-A Mezitli,Mersin</t>
  </si>
  <si>
    <t>6058f5d46bf301420935c5e2</t>
  </si>
  <si>
    <t>Deren's Kebap 2, Yenişehir (Çiftlikköy Mah.)</t>
  </si>
  <si>
    <t>Murat Çınar</t>
  </si>
  <si>
    <t>Çiftlikköy Mah.İstemihan Talay Cad.No/256-B Yenişehir,Mersin</t>
  </si>
  <si>
    <t>6001eebd48574700e4e6f69d</t>
  </si>
  <si>
    <t>Deren's Kebap, Yenişehir (Eğriçam Mah.-Göçmen)</t>
  </si>
  <si>
    <t>Hayrettin Çınar</t>
  </si>
  <si>
    <t>Eğriçam Mah.Nevit Kodallı Cad.No/41-A Yenişehir,Mersin</t>
  </si>
  <si>
    <t>çekim istiyorlar kendi fotoğrafları güzel değilmiş/7mail adresiverildi</t>
  </si>
  <si>
    <t>601a9538587d0e0735b6aaca</t>
  </si>
  <si>
    <t>Derin Cafe, Mezitli (Merkez Mah.)</t>
  </si>
  <si>
    <t>Mehmet ali Ruhcan</t>
  </si>
  <si>
    <t>Merkez mah. Eskiköy cad. Tigris 4 apt. No:32/D Altı gelecek okulları karşısı.</t>
  </si>
  <si>
    <t xml:space="preserve">gamze hanım ile iletişime geçtim pazartesi arayacağım geri \\fotoğrafları varmış.- acıyor ses vermiyor 7 şuanda müsaitlikleri yokmuş </t>
  </si>
  <si>
    <t>5fe5728c802fc0e59e3836de</t>
  </si>
  <si>
    <t>Develiler Seç Baklava, Yenişehir (Limonluk Mah.)</t>
  </si>
  <si>
    <t>Mustafa Barış Topçu</t>
  </si>
  <si>
    <t>ismet inönü blv. 147 A yenişehir</t>
  </si>
  <si>
    <t>603b5dfe33826773a9401a91</t>
  </si>
  <si>
    <t>Dilek Tantuni, Yenişehir (Bahçelievler Mah.)</t>
  </si>
  <si>
    <t>MüslümÖzdemir</t>
  </si>
  <si>
    <t>Bahçelievler mah.H.O.Merzeci bulvarı no:480/b Dilek Tantuni yenişehir/mersin</t>
  </si>
  <si>
    <t xml:space="preserve">açmıyor / panelde fotoğrafları var </t>
  </si>
  <si>
    <t>606f3b828725a4f1a11a64fd</t>
  </si>
  <si>
    <t>Dinçer Tantuni &amp; Döner, Mezitli (Akdeniz Mah.)</t>
  </si>
  <si>
    <t>Vahibe Dinçer</t>
  </si>
  <si>
    <t>Akdeniz Mah.Yaşar Dogu Cad.No/7-A Mezitli,Mersin</t>
  </si>
  <si>
    <t>fotoğrafları varmış mail atacaklar/tekrar mail verildi/mail adresi mevcut gönderim sağlarız dedi.- ulaşılamadı / yok teşekkür ederim dedi</t>
  </si>
  <si>
    <t>62434673cb9bfd6ff6a8ef52</t>
  </si>
  <si>
    <t>Doğa Çorba Kahvaltı, Toroslar (Korukent Mah.)</t>
  </si>
  <si>
    <t>CANAN DEMİRYÜREK POLAT</t>
  </si>
  <si>
    <t>Merkez Köyü 1. Bölge</t>
  </si>
  <si>
    <t>Korukent Mah. 243 Cad. No:18/1C Toroslar/Mersin</t>
  </si>
  <si>
    <t>60b5f5a3288ff75359ba401a</t>
  </si>
  <si>
    <t>Doğal Ekmek Fırında, Mezitli (Atatürk Mah.)</t>
  </si>
  <si>
    <t>Mehmet Selim Akay</t>
  </si>
  <si>
    <t>Atatürk Mah.Gazi Mustafa Kemal Bulvarı No/650-A Mezitli,Mersin</t>
  </si>
  <si>
    <t>60369578c9f056ad6f8f0b37</t>
  </si>
  <si>
    <t>Doğala Kebap, Mezitli (Merkez Mah.)</t>
  </si>
  <si>
    <t>Mehmet Kadri Doğala</t>
  </si>
  <si>
    <t>Merkez Mah.G.M.K Bulvarı No/810-A Mezitli,Mersin</t>
  </si>
  <si>
    <t xml:space="preserve">mail atacak- numara mesgul / meşgule attı </t>
  </si>
  <si>
    <t>60c472fe6e8b421588346095</t>
  </si>
  <si>
    <t>Doğan Kaymaklı, Yenişehir (Bahçelievler Mah.)</t>
  </si>
  <si>
    <t>Oktay Yılmaz</t>
  </si>
  <si>
    <t>Bahçelievler Mah.Hüseyin Okan Merzeci Bulvarı No/501-A Yenişehir,Mersin</t>
  </si>
  <si>
    <t>5453438762/kesin randevu alınsın// 2 hafta sonra ara/alındı</t>
  </si>
  <si>
    <t>Mertcan karaman</t>
  </si>
  <si>
    <t>61ab822c2c7e5b7e314c9a6e</t>
  </si>
  <si>
    <t>Doğan Usta Tantuni &amp; Biftek Salonu , Toroslar (Yalınayak Mah.)</t>
  </si>
  <si>
    <t>Nedime Atila</t>
  </si>
  <si>
    <t>Yalınayak Mah.102044 Sokak No:5-A Toroslar,Mersin</t>
  </si>
  <si>
    <t>CESİM BEYDEN RANDEVU ALINDI</t>
  </si>
  <si>
    <t>62567acf16586570b08308d7</t>
  </si>
  <si>
    <t>Dom Dom Tantuni &amp; Çiğköfte, Akdeniz (Kiremithane Mah.)</t>
  </si>
  <si>
    <t>EMRULLAH AKFIRAT</t>
  </si>
  <si>
    <t>Kiremithane Mah. İstiklal Cad. Taç Yıldız Apt. No:123B Akdeniz Mersin</t>
  </si>
  <si>
    <t>6222444b602e780abb17268c</t>
  </si>
  <si>
    <t>Donas, Yenişehir (Güvenevler Mah.)</t>
  </si>
  <si>
    <t>Cihan Höyüklüoğlu</t>
  </si>
  <si>
    <t>GÜVENEVLER MAH.DUMLUPINAR CAD. 22/E DOGAN YILDIZ APARTMANI ALTI YENİŞEHİR / MERSİN</t>
  </si>
  <si>
    <t>61648d152e51431b6b5ae849</t>
  </si>
  <si>
    <t>Dondurmacım, Mezitli (Merkez Mah.)</t>
  </si>
  <si>
    <t>Merkez Mah.Vatan Cad.No/12-A Mezitli,Mersin</t>
  </si>
  <si>
    <t>616479a477cb229f19630ea9</t>
  </si>
  <si>
    <t>Dondurmacım, Yenişehir (Hürriyet Mah.)</t>
  </si>
  <si>
    <t>Zeynep Acar</t>
  </si>
  <si>
    <t>Hürriyet Mah.İsmet İnönü bulvarı No/286-A Yenişehir,Mersin</t>
  </si>
  <si>
    <t>6234559748a285e58f942b58</t>
  </si>
  <si>
    <t>Dostlar Tantuni &amp; Döner, Erdemli (Merkez Mah.)</t>
  </si>
  <si>
    <t>Mümin Baş</t>
  </si>
  <si>
    <t>Merkez Mah.Ali Çavuş Sokak No:3-C Erdemli,Mersin</t>
  </si>
  <si>
    <t>615ed9c4567bc348cb6fe997</t>
  </si>
  <si>
    <t>Doymix, Akdeniz (Çankaya Mah.-Çarşı)</t>
  </si>
  <si>
    <t>Metin Höyüklüoğlu</t>
  </si>
  <si>
    <t>Çankaya Mah.İstiklal Cad.No/9-A Akdeniz,Mersin</t>
  </si>
  <si>
    <t xml:space="preserve">5355105425 yılmaz bey </t>
  </si>
  <si>
    <t>61432169a77003e6fabf05fe</t>
  </si>
  <si>
    <t>Dönerium, Erdemli (Merkez Mah.)</t>
  </si>
  <si>
    <t>Furkan Ak</t>
  </si>
  <si>
    <t>Akdeniz Mah.Kazım Karabekir Cad.No/15-A Erdemli,Mersin</t>
  </si>
  <si>
    <t xml:space="preserve">yt yok </t>
  </si>
  <si>
    <t>6172f1942f3f4b440f867f07</t>
  </si>
  <si>
    <t>Dönerzade Mersin Tantuni, Anamur (Esentepe Mah.)</t>
  </si>
  <si>
    <t>Burak Ateş</t>
  </si>
  <si>
    <t>Saray</t>
  </si>
  <si>
    <t>Esentepe Mah.Atatürk Bulvarı No/20-D Anamur,Mersin</t>
  </si>
  <si>
    <t>60210b9198337b48e94db3e3</t>
  </si>
  <si>
    <t>Dönıs, Mezitli (Akdeniz Mah.)</t>
  </si>
  <si>
    <t>Mehmet Fatih Bilginer</t>
  </si>
  <si>
    <t>Akdeniz mahallesi Cumhuriyet caddesi Mersinapark 3 sitesi altı no 12/E Mezitli MERSİN</t>
  </si>
  <si>
    <t>çekim yapılmış //ancak tüm resimler çekilmemiş devam çekimi için randevu verildi</t>
  </si>
  <si>
    <t>6258724707781c6755fe0fa7</t>
  </si>
  <si>
    <t>Dörtyol Çiğköfte, Akdeniz (Nusratiye Mah.)</t>
  </si>
  <si>
    <t>Hatice Derince</t>
  </si>
  <si>
    <t>Nusratiye Mah.Gazi Mustafa Kemal Bulvarı Çiftçiler Cad.No:73-A Akdeniz,Mersin</t>
  </si>
  <si>
    <t>611a7e62b93507c8c2d8a299</t>
  </si>
  <si>
    <t>Draft &amp; B.O.B Burger, Mezitli (Fatih Mah.)</t>
  </si>
  <si>
    <t>Betül Tekçe</t>
  </si>
  <si>
    <t>Fatih Mah.Adnan Menderes Bulvarı No/234-A Mezitli,Mersin</t>
  </si>
  <si>
    <t xml:space="preserve">randevu fotografcıdan kaynaklı  iptal /fotografcı ıptal ettıgı ıcın cekım ıstemıyor/ başkasıyla görüşüyordu /Başkasıyla görüşüyor./ diğer hafta aranabilir </t>
  </si>
  <si>
    <t>6081896a711e03c829e50a32</t>
  </si>
  <si>
    <t>5fdf309dd3f42b5253aea0a0</t>
  </si>
  <si>
    <t>Duru Patisserie , Yenişehir (Aydınlıkevler Mah.)</t>
  </si>
  <si>
    <t>Mahsum Ceylan</t>
  </si>
  <si>
    <t>Aydınlıkevler Mah. Gazi Mustafa Kemal Blv. 388/A Yenişehir, Mersin</t>
  </si>
  <si>
    <t>eksiklerini tamamlayıp gönderecekler. 05443474847 mahsum bey müsait değilim daha sonra arayın dedi.</t>
  </si>
  <si>
    <t>5fdf3a5edaff164c676db02a</t>
  </si>
  <si>
    <t>Duru Patisserie, Mezitli (Viranşehir Mah.)</t>
  </si>
  <si>
    <t>Zeyni Ceylan</t>
  </si>
  <si>
    <t>Viranşehir Mahallesi Cengiz Topel Caddesi Atay Sitesi A Blok altı No.17/A-B, 33340 Mezitli/Mersin</t>
  </si>
  <si>
    <t>eksiklerini tamamlayıp gönderecekler</t>
  </si>
  <si>
    <t>60cf34550190be4a5e162531</t>
  </si>
  <si>
    <t>Duru Tantuni &amp; Biftek, Yenişehir (Çiftlikköy Mah.)</t>
  </si>
  <si>
    <t>Serdal Müslüm Emlek</t>
  </si>
  <si>
    <t>Çiftlikköy Mah.Şakir Son Cad.No/20-BD Yenişehir,Mersin</t>
  </si>
  <si>
    <t>Ecem Ünal</t>
  </si>
  <si>
    <t>624587f0bc50d1f8cdb0770a</t>
  </si>
  <si>
    <t>TURHAN BUDAK</t>
  </si>
  <si>
    <t>Çiftlikköy Mah. Şakir Son Cad. No:20DB Yenişehir/Mersin</t>
  </si>
  <si>
    <t>61c04a86b39692bb8c2a31ef</t>
  </si>
  <si>
    <t>Duru Tavukçuluk, Toroslar (Tozkoparan Mah.)</t>
  </si>
  <si>
    <t>Mehmet Duru</t>
  </si>
  <si>
    <t>Tozkoparan Mah.Kuvayi Milliye Bulvarı No:180-A Toroslar,Mersin</t>
  </si>
  <si>
    <t>60e7507c591af8ceeaa8b383</t>
  </si>
  <si>
    <t>Duygulu Mutfak, Yenişehir (Eğriçam Mah.)</t>
  </si>
  <si>
    <t>Yıldız Rağbetli</t>
  </si>
  <si>
    <t>Eğriçam Mah.2275 Sokak Deniz Sitesi No/5-A Yenişehir,Mersin</t>
  </si>
  <si>
    <t>6193ed70e15469ca965ab046</t>
  </si>
  <si>
    <t>Dündar Büfe &amp; Fast Food, Tarsus (Altaylılar Mah.)</t>
  </si>
  <si>
    <t>Altaylılar Mah.0208 Sokak No-1 / B Tarsus,Mersin</t>
  </si>
  <si>
    <t>61d31e93abd2909b61e9e2d9</t>
  </si>
  <si>
    <t>Dünya Döner, Tarsus (Yeni Ömerli Mah.)</t>
  </si>
  <si>
    <t>Ali Torun</t>
  </si>
  <si>
    <t>Yeni Ömerli Mah.Atatürk Bulvarı No:56 Tarsus, Mersin</t>
  </si>
  <si>
    <t>606321eebf03aade4f31e827</t>
  </si>
  <si>
    <t>Dünya Döner, Yenişehir (Gazi Mah.)</t>
  </si>
  <si>
    <t>Orçun Solunoğlu</t>
  </si>
  <si>
    <t>Gazi Mah.G.M.K Bulvarı No/341-D Yenişehir,Mersin</t>
  </si>
  <si>
    <t xml:space="preserve">DEVAM CEKIMI </t>
  </si>
  <si>
    <t>6238d1016e655870d42f4dc9</t>
  </si>
  <si>
    <t>E Vitamin Bar, Anamur (Yalıevleri Mah.)</t>
  </si>
  <si>
    <t>EMİNE ÇETİNER</t>
  </si>
  <si>
    <t>Kocahasanlı 2. Bölge</t>
  </si>
  <si>
    <t>Yalıevleri Mah. Adnan Menderes Cad. No:1/10 Anamur/Mersin</t>
  </si>
  <si>
    <t>602e99fd43eb4c1cdebeb7b5</t>
  </si>
  <si>
    <t>Edip Usta, Mezitli (Viranşehir Mah.)</t>
  </si>
  <si>
    <t>Edip Girgin</t>
  </si>
  <si>
    <t>Viranşehir Mah.347 Sokak No/12 Mezitli,Mersin</t>
  </si>
  <si>
    <t>62433b0530ab3a7714462f8f</t>
  </si>
  <si>
    <t>Efendi's Izgara, Tarsus (Şehitishak Mah.)</t>
  </si>
  <si>
    <t>YUSUF POSTLU</t>
  </si>
  <si>
    <t>Şehitishak Mah. Nene Hatun Cad. No:15H Tarsus/Mersin</t>
  </si>
  <si>
    <t>61991baa7440a7e4ad3dc28f</t>
  </si>
  <si>
    <t>Efsane Antakya Döner, Erdemli (Merkez Mah.)</t>
  </si>
  <si>
    <t>Asilhan İlyaz</t>
  </si>
  <si>
    <t>Merkez Mah.Alparslan Türkeş Bulvarı No/248-B Erdemli,Mersin</t>
  </si>
  <si>
    <t>1 saat sonra aranacak</t>
  </si>
  <si>
    <t>62168284affe6905a98c3187</t>
  </si>
  <si>
    <t>Efsane Önal Kardeşler Pide &amp; Patisserie, Akdeniz (Kültür Mah.)</t>
  </si>
  <si>
    <t>Mühdi Önal</t>
  </si>
  <si>
    <t>Hamidiye</t>
  </si>
  <si>
    <t>Kültür Mah.Cengiz Topel Cad.No:28-A Akdeniz,Mersin</t>
  </si>
  <si>
    <t>Mehmet Mahmut dönüş yapacak</t>
  </si>
  <si>
    <t>619bc2ac74a1d149cbd10255</t>
  </si>
  <si>
    <t>Efsane Tantuni, Akdeniz (Çankaya Mah.)</t>
  </si>
  <si>
    <t>Dilaver Sandal</t>
  </si>
  <si>
    <t>Çankaya Mah.4702 Sokak No/4-A Akdeniz,Mersin</t>
  </si>
  <si>
    <t>5452605312 çekim sağlanmış</t>
  </si>
  <si>
    <t>6202c5377609f50da2ad2be0</t>
  </si>
  <si>
    <t>Ehl-i Antep Künefe &amp; Katmer, Mezitli (Deniz Mah.)</t>
  </si>
  <si>
    <t>Burhan Demir</t>
  </si>
  <si>
    <t>Deniz Mah.Gazi Paşa Cad.No:45-C Mezitli,Mersin</t>
  </si>
  <si>
    <t>60e75841eaf6552241d70712</t>
  </si>
  <si>
    <t>Ehl-i Antep Künefe &amp; Katmer, Tarsus (Ergenekon Mah.)</t>
  </si>
  <si>
    <t>Ergenekon Mah.Fatih Sultan Mehmet Bulvarı No/47-A Tarsus,Mersin</t>
  </si>
  <si>
    <t>60d604d0072a73f2aa382f7e</t>
  </si>
  <si>
    <t>Ekmek Teknesi, Akdeniz (Kiremithane Mah.)</t>
  </si>
  <si>
    <t>Abdulkadir Orğun</t>
  </si>
  <si>
    <t>Kiremithane Mah.Silifke Cad.No/68-A Akdeniz,Mersin</t>
  </si>
  <si>
    <t>5532100628 Muzaffer bey bir başkasıyla görüşüyor</t>
  </si>
  <si>
    <t>60daefcac27ccfb24f749e51</t>
  </si>
  <si>
    <t>Eko Tantuni, Silifke (Taşucu Mah.)</t>
  </si>
  <si>
    <t>Ekrem Gürbıyık</t>
  </si>
  <si>
    <t>Taşucu Mah.İsmet İnönü Mah.No/44-B Silifke,Mersin</t>
  </si>
  <si>
    <t>6019d1af8ecbe91d2c5c98f8</t>
  </si>
  <si>
    <t>Ekrem Çoşkun Döner, Akdeniz (İhsaniye Mah.)</t>
  </si>
  <si>
    <t>Funda Çelik</t>
  </si>
  <si>
    <t>İhsaniye Mah.Kuvayi Milliye Cad.No/109-E Akdeniz,Mersin (Akarsu Plaza)</t>
  </si>
  <si>
    <t>geri dönüş yapacak/merkeze bağlılarmış</t>
  </si>
  <si>
    <t>61163f0a0cbe706bb4eb7119</t>
  </si>
  <si>
    <t>Ekrem Çoşkun Döner, Mezitli (Merkez Mah.)</t>
  </si>
  <si>
    <t>Mehmet Karataş</t>
  </si>
  <si>
    <t>Merkez Mah.52136 Sokak No/2-A Mezitli,Mersin</t>
  </si>
  <si>
    <t>merkezden alınsın fotograflar dediler.</t>
  </si>
  <si>
    <t>6050ffde05149032e3194d13</t>
  </si>
  <si>
    <t>Elit 33 Tantuni, Yenişehir (Batıkent Mah.)</t>
  </si>
  <si>
    <t>Ahmet Toprak</t>
  </si>
  <si>
    <t>Batıkent Mah.İstemihan Talay Cad. No/143 Yenişehir,Mersin</t>
  </si>
  <si>
    <t>613c568ca1d221e34234ffb4</t>
  </si>
  <si>
    <t>Elit Tantuni, Toroslar (Osmaniye Mah.)</t>
  </si>
  <si>
    <t>Mehmet Kerimoğlu</t>
  </si>
  <si>
    <t>Osmaniye Mah.Cuma Ali Ağırman Sokak No/1-A Toroslar,Mersin</t>
  </si>
  <si>
    <t>60d5cdc1348f5b3b9d96331c</t>
  </si>
  <si>
    <t>Emir Izgara, Yenişehir (Hürriyet Mah.)</t>
  </si>
  <si>
    <t>Murat Kılıç</t>
  </si>
  <si>
    <t>Hürriyet Mah.1763 Sokak No/7-B Yenişehir,Mersin</t>
  </si>
  <si>
    <t>devam cekım</t>
  </si>
  <si>
    <t>605ef7029c5540b624b2c332</t>
  </si>
  <si>
    <t>Emir Tantuni, Erdemli (Kargıpınarı Mah.)</t>
  </si>
  <si>
    <t>Tolga Büyüksürücü</t>
  </si>
  <si>
    <t>Kargıpınarı Mah.Erdemli Cad.No/93-B Erdemli,Mersin</t>
  </si>
  <si>
    <t>5340558939 randevu alınmıştı hasta oldugu için iptal ettirdi. bölge uzak bölgeye gidilirse aransın.</t>
  </si>
  <si>
    <t>6214f27934e08c7ad1b94e42</t>
  </si>
  <si>
    <t>Emirgan Pastaneleri, Toroslar (Yusuf Kılıç Mah.)</t>
  </si>
  <si>
    <t>Erhan Çontar</t>
  </si>
  <si>
    <t>Akbelen mah.Akbelen Bulvarı, No :116/A, Toroslar, Mersin</t>
  </si>
  <si>
    <t>erhan bey 5334711077</t>
  </si>
  <si>
    <t>61266a668b11d7a04a0e590b</t>
  </si>
  <si>
    <t>Emmoğlum Gökhan Tatlı &amp; Dondurma, Mezitli (Çankaya Mah.)</t>
  </si>
  <si>
    <t>Gökhan Gökbudak</t>
  </si>
  <si>
    <t>Çankaya Mah.Fındıkpınarı Cad.No/152-A Mezitli,Mersin</t>
  </si>
  <si>
    <t>randevu olusturuldu</t>
  </si>
  <si>
    <t>6022d6c68efa606e1a9f4455</t>
  </si>
  <si>
    <t>En Cici Tantuni, Mezitli (Kuyuluk Mah.)</t>
  </si>
  <si>
    <t>Veli Can Çoşan</t>
  </si>
  <si>
    <t>Kuyuluk</t>
  </si>
  <si>
    <t>Kuyuluk Mah.Fındıkpınarı Cad.No/43-A Mezitli,Mersin</t>
  </si>
  <si>
    <t>no72d</t>
  </si>
  <si>
    <t>61f810515bb759cb926e9788</t>
  </si>
  <si>
    <t>Ender Kahvaltı, Erdemli (Merkez Mah.)</t>
  </si>
  <si>
    <t>Ayşe Keş</t>
  </si>
  <si>
    <t>Merkez Mah.Serinler Cad.No:80-A Erdemli,Mersin</t>
  </si>
  <si>
    <t xml:space="preserve">meşgul </t>
  </si>
  <si>
    <t>60bde363eb1f3ee0209f7a4c</t>
  </si>
  <si>
    <t>Enessa Patisserie &amp; Cafe, Toroslar (Çağdaşkent Mah.)</t>
  </si>
  <si>
    <t>Fatma Sümer</t>
  </si>
  <si>
    <t>Çağdaşkent Mah.Fatih Sultan Mehmet Bulvarı No/43-A Toroslar,Mersin</t>
  </si>
  <si>
    <t xml:space="preserve">devam çekimi   / pasta fotoğrafları fi çekilmiş ama yüklenmemiş </t>
  </si>
  <si>
    <t>61430da48593396685ad5ab6</t>
  </si>
  <si>
    <t>Enfes 33 Döner &amp; Tantuni, Yenişehir (Pirireis Mah.)</t>
  </si>
  <si>
    <t>Mahsun Ergin</t>
  </si>
  <si>
    <t>Prireis Mah.Silifke Cad.No/176-A Yenişehir,Mersin</t>
  </si>
  <si>
    <t>5fe74101e4a5e2e69a78cfba</t>
  </si>
  <si>
    <t>Enjoy Burger House, Erdemli (Merkez Mah.)</t>
  </si>
  <si>
    <t>Orçun Ummak</t>
  </si>
  <si>
    <t>Merkez Mah.Sabahattin Çakmakoğlu Cad.1 A Erdemli Mersin</t>
  </si>
  <si>
    <t xml:space="preserve">ortağı ile konuşup dönüş sağlayacak </t>
  </si>
  <si>
    <t>5fe21886bbf1bd4c15fae921</t>
  </si>
  <si>
    <t>Enjoy Burger House, Mezitli (Menderes Mah.)</t>
  </si>
  <si>
    <t>Halil Yıldızer</t>
  </si>
  <si>
    <t>A, Menderes Mahallesi, Limon Caddesi No:3, 33340 Mezitli/Mersin</t>
  </si>
  <si>
    <t>mail verildi/fotografları hazrlıorlarmıs bır haftaya atarız dedı</t>
  </si>
  <si>
    <t>5fe112d8a8ae93b4a1ba616b</t>
  </si>
  <si>
    <t>Enjoy Burger House, Yenişehir (Güvenevler Mah.)</t>
  </si>
  <si>
    <t>Güvenevler mahallesi 1914 sokak Boss Point İş Merkezi B blok no:5, 33110 Yenişehir/Mersin</t>
  </si>
  <si>
    <t>5054252651 halil bey.Dönüş sağlayacak./kadir bey ilgileniyormuş.irtibat 5326500265 fotografları gönderdim logoluydu yani hamburgeri sabit tutsun diye   İSLETME SAHİBİ ÖĞLEDEN SONRA GELECEKbatırılan copsticde logo varmık reklamcımla görüşeyim halledebilirsek tekrar göndereyim dedii. halledemezsek cekime gelirsiniz ediler.</t>
  </si>
  <si>
    <t>612389846213e4434c0c9565</t>
  </si>
  <si>
    <t>Er- Tür Piliç, Erdemli (Merkez Mah.)</t>
  </si>
  <si>
    <t>Rıza Düzgün</t>
  </si>
  <si>
    <t>Merkez Mah.Sabahattin Çakmakoğlu Cad.No/3-C Erdemli,Mersin</t>
  </si>
  <si>
    <t>açmadı  /başkasıyla görüşüyo</t>
  </si>
  <si>
    <t>624c7efb3b23384b143b0450</t>
  </si>
  <si>
    <t>Erdal Pizza, Anamur (İskele Mah.)</t>
  </si>
  <si>
    <t>Durhasan Kaan Erdal</t>
  </si>
  <si>
    <t>İskele Mah.İnönü Cad.No:15 Anamur,Mersin</t>
  </si>
  <si>
    <t>60dd83c48e09e07ae38a46b7</t>
  </si>
  <si>
    <t>Eren Künefe &amp; Baklava, Mezitli (Merkez Mah.)</t>
  </si>
  <si>
    <t>Pelin Berfin Akdeniz</t>
  </si>
  <si>
    <t>Merkez Mah.Gazi Mustafa Kemal Bulvarı No/814-B Mezitli,Mersin</t>
  </si>
  <si>
    <t>cekım saglanılmıs ama sısteme eklenmemıs bu yuzden tekrar cekım  ıstedı</t>
  </si>
  <si>
    <t>6009c0009611de95e5cd123a</t>
  </si>
  <si>
    <t>Eren Ocakbaşı &amp; Meze, Mezitli (Çankaya Mah.)</t>
  </si>
  <si>
    <t>Eren Tekerek</t>
  </si>
  <si>
    <t>.Fındıkpınarı Cad. No/252-B Mezitli,Mersin</t>
  </si>
  <si>
    <t>Cenazesi olduğu için dükkanı kapatmış. daha sonra tekrar aranıp alıncak. // yetkili yok 2 gibi ara \\ çekim istemiyor.//vakit yokmuş istemiyor/ onunla uğraşacak vakti yokmuş</t>
  </si>
  <si>
    <t>61e59bc93de7d90515107c3e</t>
  </si>
  <si>
    <t>Es Tantuni &amp; Döner, Tarsus (Şehitishak Mah.)</t>
  </si>
  <si>
    <t>Hayrettin İpekoğlu</t>
  </si>
  <si>
    <t>Şehitishak Mah.Nene Hatun Cad.No:3-B Tarsus,Mersin</t>
  </si>
  <si>
    <t>61afa3e780c46d596ea77fa3</t>
  </si>
  <si>
    <t>Eslem Pide &amp; Lahmacun, Yenişehir (Çiftlikköy Mah.)</t>
  </si>
  <si>
    <t>İBRAHİM EFETÜRK</t>
  </si>
  <si>
    <t>Çiftlikköy Mah.3272 Sokak Alone 9 Apt No:6-B Yenişehir ,Mersin</t>
  </si>
  <si>
    <t xml:space="preserve">biz bi düşünelim döneriz. ağırlıklı olarak lahmacun satıyoruz biraz menü olarak genişliyelim daha sonra olur dedi ben size dönüş yaparım dedi ibrahim bey. / fotoğraf işine sıcak bakmıyoruz dedi </t>
  </si>
  <si>
    <t>6246e59ce1172c85b6ca21f5</t>
  </si>
  <si>
    <t>Esnaf Tost, Silifke (Saray Mah.)</t>
  </si>
  <si>
    <t>Habibe Şenel</t>
  </si>
  <si>
    <t>Saray Mah.Fevzi Çakmak Cad.No:80-A Silifke,Mersin</t>
  </si>
  <si>
    <t>610bc5f5f16340ab63e6113d</t>
  </si>
  <si>
    <t>Etçim Tavuk &amp; Mangal, Toroslar (Çukurova Mah.)</t>
  </si>
  <si>
    <t>Ertan Kaya</t>
  </si>
  <si>
    <t>Çukurova Mah.Gözne Cad.no/27-B Toroslar,Mersin</t>
  </si>
  <si>
    <t xml:space="preserve">fatma hanım </t>
  </si>
  <si>
    <t>6116399ddd34f5d9c63f51bb</t>
  </si>
  <si>
    <t>Etlice Ocakbaşı &amp; Çorba, Yenişehir (Çiftlikköy Mah.)</t>
  </si>
  <si>
    <t>İsmail Cengiz</t>
  </si>
  <si>
    <t>Çiftlikköy Mah.Üniversite Cad.No/41AE Yenişehir,Mersin</t>
  </si>
  <si>
    <t xml:space="preserve">tek çalışıyorum pek uygun olamıyorum dediler pazartesi uygun olmuyormuş tekrar aransın uygunluga göre/cenazesi varmış memlekete gidiyorum haftaya yapalımö der / tadilata girmiş 10 gün sürermiş/ 1 hafta sonra bitermiş tadilat./ ufak bir tadilatım dha başladı 10 gün sonra görüşelim dedi.Şehir dışındayım ben olunca çekim daha iyi olur oyüzden daha sonra dedi. / 10 gün sonra dönecek şehir dışından / şuan için düşünmüyorum dedi / tadilat hala bitmemiş </t>
  </si>
  <si>
    <t>6011cd9f4e3bdf0f076671f6</t>
  </si>
  <si>
    <t>Etobur Barbecue, Erdemli (Novacity AVM-Merkez Mah.)</t>
  </si>
  <si>
    <t>Umut Güzeloğlu</t>
  </si>
  <si>
    <t>Merkez Mah.Alparslan Türkeş Bulvarı No/541 Erdemli ,Mersin</t>
  </si>
  <si>
    <t>6065db0f0fac63ed037171f3</t>
  </si>
  <si>
    <t>Etobur Tantuni, Erdemli (Novacity Avm-Merkez)</t>
  </si>
  <si>
    <t>603e835960cc467924887114</t>
  </si>
  <si>
    <t>Express Yaprak Döner, Yenişehir (Çiftlikköy Mah.)</t>
  </si>
  <si>
    <t>Özgür Özcan</t>
  </si>
  <si>
    <t>Çiftlikköy Mah.Üniversite Cad.Özdiker Corona No/42-DB Yenişehir,Mersin</t>
  </si>
  <si>
    <t>yt yok numarasınıda bılmıyoruz dedı</t>
  </si>
  <si>
    <t>61dc36488b09b77cdb88b534</t>
  </si>
  <si>
    <t>Extra Kebap &amp; Tantuni, Yenişehir (Limonluk Mah.)</t>
  </si>
  <si>
    <t>Abdulvahit Okumuş</t>
  </si>
  <si>
    <t>Limonluk Mah.İsmet İnönü Bulvarı No:314-B Yenişehir,Mersin</t>
  </si>
  <si>
    <t xml:space="preserve">kendisi uygun olduğunda dönüş yapacak </t>
  </si>
  <si>
    <t>5fdf715da8b06d2229a4860f</t>
  </si>
  <si>
    <t>Eyfel Pastanesi , Yenişehir (Bahçelievler Mah.)</t>
  </si>
  <si>
    <t>Burak Abakay</t>
  </si>
  <si>
    <t>Bahçelievler mh., no:72, yenişehir</t>
  </si>
  <si>
    <t>cuma aranacak//eksik yok</t>
  </si>
  <si>
    <t>5fde14fcfdea333118dec8b6</t>
  </si>
  <si>
    <t>Eyfel Tatlım Benim , Yenişehir (Bahçelievler Mah.)</t>
  </si>
  <si>
    <t>Bahçelievler Mah. 1.Cad. Can Aydoğan Apt. Altı No:37 Yenişehir/MERSİN</t>
  </si>
  <si>
    <t>mail atacak//ürünlerin fotolarının hepsini ulaştırmış</t>
  </si>
  <si>
    <t>5ff35dbfee0f720340a8eec4</t>
  </si>
  <si>
    <t>Eylül Dondurma &amp; Baklava &amp; Börek , Mezitli (Merkez Mah.)</t>
  </si>
  <si>
    <t>Burak Güldoğan</t>
  </si>
  <si>
    <t>Merkez Mah.Vatan Cad.Siyena21 Şehriyıldız Sitesi E blok 21 E , D Blok No/29 Mezitli, Mersin</t>
  </si>
  <si>
    <t>5fdf6cb40345d20df07f472d</t>
  </si>
  <si>
    <t>Eymen Et &amp; Mangal , Yenişehir (Menteş Mah.)</t>
  </si>
  <si>
    <t>Tufan Topaktaş</t>
  </si>
  <si>
    <t>Menteş mahallesi Nevit kodallı caddesi, 2541. Sk., 33150 Yenişehir</t>
  </si>
  <si>
    <t xml:space="preserve">hepsi çekilmiş. / gereli ürünler panelde ekli </t>
  </si>
  <si>
    <t>605a434e5e7ded0aada65b83</t>
  </si>
  <si>
    <t>Eymen Usta Biftek &amp; Tantuni, Mezitli (Tece Mah.)</t>
  </si>
  <si>
    <t>Muhammed Canata</t>
  </si>
  <si>
    <t>Deniz Mah.Kıbrıs Cad.No/16-B Mezitli,Mersin</t>
  </si>
  <si>
    <t>yarına ertelenmiş</t>
  </si>
  <si>
    <t>6177cb00bb5c99a86ef21066</t>
  </si>
  <si>
    <t>Fatih Et Lokantası, Akdeniz (Çankaya Mah.)</t>
  </si>
  <si>
    <t>Zahir Kısa</t>
  </si>
  <si>
    <t>Çankaya Mah.İstiklal Cad.No/65 Akdeniz, Mersin</t>
  </si>
  <si>
    <t>608c304c45155b365df0bdd7</t>
  </si>
  <si>
    <t>Fd Fast Good, Mezitli (Tece Mah.)</t>
  </si>
  <si>
    <t>Fırat Durak</t>
  </si>
  <si>
    <t>Deniz Mah.Uygur Cad.Adem Bilal Sitesi B blok N0/25 -B</t>
  </si>
  <si>
    <t xml:space="preserve">fotografları varmış mail verildi.- şehir dısındayım dedi ben donus saglarım dedi / kasım ayı için olur dedi / tadilata girmiş </t>
  </si>
  <si>
    <t>60953c09341caca6a6445563</t>
  </si>
  <si>
    <t>Ferhat Patisserie, Akdeniz (Nusratiye Mah.)</t>
  </si>
  <si>
    <t>Ali Omak</t>
  </si>
  <si>
    <t>Nusratiye Mah.Kuvayi Milliye Cad.No/126-E Akdeniz,Mersin</t>
  </si>
  <si>
    <t>öğleden sonra 3-4 gibi aranacak ali bey no:5333117048/açmadı// yarın arayın randevu oluşturalım dedi</t>
  </si>
  <si>
    <t>6074421cb71d5c5e27f93abc</t>
  </si>
  <si>
    <t>Fıstık Tantuni, Toroslar (Mustafa Kemal Mah.)</t>
  </si>
  <si>
    <t>Ferhat Erenkara</t>
  </si>
  <si>
    <t>5fe241e222f5bd501ed7512e</t>
  </si>
  <si>
    <t>Fiori, Yenişehir (Eğriçam Mah.)</t>
  </si>
  <si>
    <t>Ezgi Özyıldırım</t>
  </si>
  <si>
    <t>Eğriçam mah adnan menderes bulvarı Kıratlı apt no: 170/B Yenişehir/ Mersin</t>
  </si>
  <si>
    <t>5389540213 işletme numarası diğeri aranmayacak DEVAM CEKİMİ İÇİN TEKRAR ARANSIN HAFTA BASI SABAH SAATER İÇİN RANDEVU TALEBİ VAR/5324171836 aykut bey Dönüş yapacaklar/haftaya yeni menüye geçecek o zaman ister/yılbasından snra ıste</t>
  </si>
  <si>
    <t>5fe247d90654ee6397e8e94b</t>
  </si>
  <si>
    <t>Fiori, Yenişehir (Güvenevler Mah.)</t>
  </si>
  <si>
    <t>Güvenevler mah koray apt 1915 sk A2 Blok no: 10/B Yenişehir / Mersin</t>
  </si>
  <si>
    <t>5fdfaa4322f5bd69f9d6fa06</t>
  </si>
  <si>
    <t>Flash Tantuni &amp; Biftek (Bahçelievler Mah.)</t>
  </si>
  <si>
    <t>Steak</t>
  </si>
  <si>
    <t>Erol Dinçer (Vekaletname Hüseyin Akın )</t>
  </si>
  <si>
    <t>Bahçelievler, 16. Cadde No:47, 33120 Yenişehir/Mersin</t>
  </si>
  <si>
    <t>5394928247 daha önce çekime fotografcı gitmemiş. tekrar alındı</t>
  </si>
  <si>
    <t>61c498eef5376a3e03881a5c</t>
  </si>
  <si>
    <t>Flash Tantuni, Akdeniz (Mesudiye Mah.)</t>
  </si>
  <si>
    <t>Sedat Akan</t>
  </si>
  <si>
    <t>Mesudiye Mah.Çakmak Cad.N0:63-A Akdeniz,Mersin</t>
  </si>
  <si>
    <t>kendi fotoğraflarının gönderimini sağlayacaklar.</t>
  </si>
  <si>
    <t>60fbc48dce606f41e4cdaf11</t>
  </si>
  <si>
    <t>Flora Patisserie, Yenişehir (Eğriçam Mah.)</t>
  </si>
  <si>
    <t>Sinem Ekin Acar</t>
  </si>
  <si>
    <t>Eğriçam Mah.Nevit Kodallı Cad.No/27-C Yenişehir,Mersin</t>
  </si>
  <si>
    <t xml:space="preserve">RANDEVU OLUSTURULDU/bi sonraki haftaya d.ç alınabilir yt ali bey </t>
  </si>
  <si>
    <t>6012f47b3a7478c414603e03</t>
  </si>
  <si>
    <t>François Restaurant-Cafe, Akdeniz (Kültür Mah.)</t>
  </si>
  <si>
    <t>Leman Uyanık</t>
  </si>
  <si>
    <t>Kültür Mah.4314 Sokak No/1-1 Akdeniz,Mersin</t>
  </si>
  <si>
    <t>d.ç alındı</t>
  </si>
  <si>
    <t>6090e9c4de884e6268cdf829</t>
  </si>
  <si>
    <t>Fresh Chicken Közde Piliç, Akdeniz (Çankaya Mah.)</t>
  </si>
  <si>
    <t>Uğur Kaplan</t>
  </si>
  <si>
    <t>Çankaya Mah.Zeytinlibahçe Cad.No/22 -A Akdeniz,Mersin</t>
  </si>
  <si>
    <t xml:space="preserve">meşgul//haftaya tekrar aranacak//1haziarandan sonra aranacak//şuan şehir dışında/düşünmüyormuş şuan//açmadı.-ulaşılamadı /kendı çekim yapıp maıle gondercek / FOTOĞRAFI VAR MAİLE ATACAK </t>
  </si>
  <si>
    <t>6228f2cf5725ea9522029e00</t>
  </si>
  <si>
    <t>Funda'nın Mutfağı, Mezitli (Yeni Mah.)</t>
  </si>
  <si>
    <t>Funda Şenoğul</t>
  </si>
  <si>
    <t>Yeni Mah.Sanayi Cad.No:25-C Mezitli,Mersin</t>
  </si>
  <si>
    <t>60b4f59f1d8d00d734afe35f</t>
  </si>
  <si>
    <t>Furkan Tantuni, Mezitli (Menderes Mah.)</t>
  </si>
  <si>
    <t>Nilüfer Karatopak</t>
  </si>
  <si>
    <t>Menderes Mah.Bakanlık Cad.No/8-BC Mezitli,Mersin</t>
  </si>
  <si>
    <t xml:space="preserve">hatem hanımın numarası verildi/eşi ile görüşüp bizi arıycak- zaman ayıramam dedi / ona hiç vakit ayıramam dedi RANDEVU ALINDI / ürünlerim çekildi dedi </t>
  </si>
  <si>
    <t>60afb51e15f840846e8f710a</t>
  </si>
  <si>
    <t>Gaıa &amp; Co Coffee, Yenişehir (Güvenevler Mah.)</t>
  </si>
  <si>
    <t>Kerim Berk Dede</t>
  </si>
  <si>
    <t>Güvenevler Mah.1913 Sokak No/16-A Yenişehir,Mersin</t>
  </si>
  <si>
    <t>benım dıger ısletmemde dun çekim yapıldı burası ıcın gerek yok kahve zaten dedı</t>
  </si>
  <si>
    <t>6232cc3fd90d328cd3e34fe0</t>
  </si>
  <si>
    <t>Garden House Cafe &amp; Restaurant, Yenişehir (Çiftlikköy Mah.)</t>
  </si>
  <si>
    <t>Halil İbrahim Çoşkun</t>
  </si>
  <si>
    <t>Çiftlikköy Mah.Mersin Üniversitesi Kampüs Alanı Küme Evler Garden Off Dreams Cafe No:28 Yenişehir,Mersin</t>
  </si>
  <si>
    <t>haftaya alınabilir</t>
  </si>
  <si>
    <t>61cb5f29c7650baff1370f1d</t>
  </si>
  <si>
    <t>Gargi Magical Tastes, Yenişehir (Barbaros Mah.)</t>
  </si>
  <si>
    <t>Salata</t>
  </si>
  <si>
    <t>Musa Uğur</t>
  </si>
  <si>
    <t>Barbaros Mah.Adnan Menderes Bulvarı No:144-B Yenişehir,Mersin</t>
  </si>
  <si>
    <t>619b681cf68d6251945303f8</t>
  </si>
  <si>
    <t>Gaziantep Uzman Baklavaları, Akdeniz (Bahçe Mah.)</t>
  </si>
  <si>
    <t>Ebubekir Turgut</t>
  </si>
  <si>
    <t>Bahçe</t>
  </si>
  <si>
    <t>Bahçe mahallesi İstiklal caddesi no 90/B Nobel otel karşısı 7 noter bitişiği Akdeniz Mersin</t>
  </si>
  <si>
    <t xml:space="preserve">2-3 cıvarı gelmemızı ıster uygun yer olunca aranabılır/ 5317829647 Şehmuş bey yetkili  </t>
  </si>
  <si>
    <t>619b6be5e4cef6f645181b2e</t>
  </si>
  <si>
    <t>Gaziantep Uzman Baklavaları, Toroslar ( Kürdali Mah.)</t>
  </si>
  <si>
    <t>Kürdali Mah. Selçuklar Çiftçiler Cad N0: 206/ D 33250 Toroslar,Mersin</t>
  </si>
  <si>
    <t>619b70843bd6127d1fe64c56</t>
  </si>
  <si>
    <t>Gaziantep Uzman Baklavaları, Toroslar (Çavuşlu Mah.)</t>
  </si>
  <si>
    <t>Çavuşlu</t>
  </si>
  <si>
    <t>Çavuşlu Mah. Kuvayi Miliye Cad N0: 382 33220 Toroslar,Mersin</t>
  </si>
  <si>
    <t xml:space="preserve">devam çekimi </t>
  </si>
  <si>
    <t>61f80c1345fd4de9d1c65609</t>
  </si>
  <si>
    <t>Gaziantep Yörem Kebap, Akdeniz (Çankaya Mah.)</t>
  </si>
  <si>
    <t>Ahmet Aktaş</t>
  </si>
  <si>
    <t>Çankaya Mah.4726 Sokak No:6-A Akdeniz,Mersin</t>
  </si>
  <si>
    <t>615492fc1b93b176bdcfa714</t>
  </si>
  <si>
    <t>Gece Kuşu Kebap, Mezitli (Menderes Mah.)</t>
  </si>
  <si>
    <t>Zeynep Erdoğan</t>
  </si>
  <si>
    <t>Menderes Mah.35435 Sokak No/23-B Mezitli,Mersin</t>
  </si>
  <si>
    <t>baki beyden devam çekimi alındı.</t>
  </si>
  <si>
    <t>617ac7f8f0ecc4651d426cbc</t>
  </si>
  <si>
    <t>Gıybet Cafe Lounge, Tarsus (ŞehitMustafa Mah.)</t>
  </si>
  <si>
    <t>Ali Sinan Ak</t>
  </si>
  <si>
    <t>Şehit Mustafa Mah. Muvaffak Uygur Bulvarı No/23-A Tarsus,Mersin</t>
  </si>
  <si>
    <t>624544007fb712901dcc3cb8</t>
  </si>
  <si>
    <t>Gold Chicken, Mezitli (Tece Mah.)</t>
  </si>
  <si>
    <t>Efe Savaş</t>
  </si>
  <si>
    <t>Deniz Mah.Halil Giran Cad.Tece Center C blok No:6 / D Mezitli,Mersin</t>
  </si>
  <si>
    <t>603e93f756cff12cf0d7465d</t>
  </si>
  <si>
    <t>Göksel Ekstra, Tarsus (Şehit Mustafa Mah.)</t>
  </si>
  <si>
    <t>Yücel Kaplan</t>
  </si>
  <si>
    <t>Şehit Mustafa Mah.M.Uygur Bulvarı Semih Apt.No/21-A Tarsus,Mersin</t>
  </si>
  <si>
    <t xml:space="preserve">dönecek //5528317172 yetkili cep </t>
  </si>
  <si>
    <t>5fde3e352a802b2b35fc967c</t>
  </si>
  <si>
    <t>Göksel Tantuni , Yenişehir (Akkent Mah.)</t>
  </si>
  <si>
    <t>Beğüm Özbey</t>
  </si>
  <si>
    <t>Akkent mah hüseyin okan merzeci bulvarı Akdeniz avm No: 759 iç kapı no: 220/A Yenişehir/ Mersin</t>
  </si>
  <si>
    <t xml:space="preserve">yetkili yok </t>
  </si>
  <si>
    <t>60be60d7eb49656b46730648</t>
  </si>
  <si>
    <t>Göksel Tantuni + Plus, Yenişehir (50.Yıl Mah.)</t>
  </si>
  <si>
    <t>İshak Turgut</t>
  </si>
  <si>
    <t>50.Yıl Mah.Ali Mutlu Kaya Cad.No/14-D Yenişehir,Mersin</t>
  </si>
  <si>
    <t>ali kaya mutlu caddesi//21 haziran pazartesiye ertelendi/teyit için arandı yt yok daha sonra arancak</t>
  </si>
  <si>
    <t>6213e33c9dc76f7182aa5d6f</t>
  </si>
  <si>
    <t>Göksel Tantuni, Akdeniz (İhsaniye Mah.- Merkez)</t>
  </si>
  <si>
    <t>Ali Balamut</t>
  </si>
  <si>
    <t>İhsaniye Mah.4909 Sokak No:50 Akdeniz,Mersin</t>
  </si>
  <si>
    <t>5fdf53a0a8ae934007b9fcc1</t>
  </si>
  <si>
    <t>Göksel Tantuni, Mezitli (Merkez Mah.)</t>
  </si>
  <si>
    <t>Muzaffer Pilor</t>
  </si>
  <si>
    <t>Merkez Mahallesi 52006 Sokak 2/A</t>
  </si>
  <si>
    <t xml:space="preserve">ÇEKİM YAPILMIŞ </t>
  </si>
  <si>
    <t>6065d53a55059dd84ccb696b</t>
  </si>
  <si>
    <t>Göksel Tantuni, Silifke (Göksu Mah.)</t>
  </si>
  <si>
    <t>Hakan Soysal</t>
  </si>
  <si>
    <t>Göksu Mah.Abdi İpekçi Mah.Sütlüoğlu Apt.No/27-E Silifke,Mersin</t>
  </si>
  <si>
    <t>61ce06e6ebc7c596ecd4a2e1</t>
  </si>
  <si>
    <t>Göksel Tantuni, Tarsus (Fevzi Çakmak Mah.Tarsu Avm)</t>
  </si>
  <si>
    <t>Edibe Oğuz</t>
  </si>
  <si>
    <t>Fevzi Çakmak</t>
  </si>
  <si>
    <t>Fevzi Çakmak Mah.Adana Bulvarı No/57 Tarsus AVM ,Mersin</t>
  </si>
  <si>
    <t>600f133b0909cf310d585537</t>
  </si>
  <si>
    <t>Göksel Tantuni, Toroslar (Zeki Ayan Mah.- Merkez)</t>
  </si>
  <si>
    <t>Ali Recai Sezgin</t>
  </si>
  <si>
    <t>Zeki Ayan Mah.Kuvayi Milliye Bulvarı No/291-A Toroslar,Mersin</t>
  </si>
  <si>
    <t>5fe3af060654ee79e4e913a1</t>
  </si>
  <si>
    <t>Göksel Tantuni, Yenişehir (Dumlupınar Mah.)</t>
  </si>
  <si>
    <t>Melike Oğuz</t>
  </si>
  <si>
    <t>Dumlupınar, Adnan Menderes Blv. 122/A, 33130 Yenişehir/Mersin</t>
  </si>
  <si>
    <t>602ae1f6f37683535e9d8589</t>
  </si>
  <si>
    <t>Göksel Tantuni, Yenişehir (Güvenevler Mah.)</t>
  </si>
  <si>
    <t>Evren Balıkçı</t>
  </si>
  <si>
    <t>Güvenevler Mah.1910 Sokak No/23-A Yenişehir,Mersin</t>
  </si>
  <si>
    <t>6259c42e989a0f642fc06b0e</t>
  </si>
  <si>
    <t>Gönlübol 5 Yıldız Pide &amp; Lahmacun , (Hüseyin Okan Merzeci Mah.)</t>
  </si>
  <si>
    <t>Ramazan Asilkan</t>
  </si>
  <si>
    <t>Hüseyin Okan Merzeci Mah. 219_2.Cad No:40-A Toroslar,Mersin</t>
  </si>
  <si>
    <t>618130ba792553a2119e2039</t>
  </si>
  <si>
    <t>Gönlübol Kardeşler &amp; Lahmacun, Yenişehir (Güvenevler Mah.)</t>
  </si>
  <si>
    <t>Emre Asilkan</t>
  </si>
  <si>
    <t>Güvenevler Mah.1925 Sokak Pınar Apt.No/7-A Yenişehir,Mersin</t>
  </si>
  <si>
    <t xml:space="preserve">panelini değişmiş çekim istemiyor   Kradeşi ramazan beyle görüşme saglandı çekim istemiyorlar </t>
  </si>
  <si>
    <t>61115289ead9f771bee2f062</t>
  </si>
  <si>
    <t>Gönül Kahvesi, Yenişehir (Limonluk Mah.)</t>
  </si>
  <si>
    <t>Cemal Altan</t>
  </si>
  <si>
    <t>Limonluk Mah.Vali Hüseyin Aksoy Cad.Palm City Avm No/2-304 Yenişehir,Mersin</t>
  </si>
  <si>
    <t>mail verildi kendisi sisteme yüklemiş/wetranssfer uzerınden gondermıs 1 ay kadar önce</t>
  </si>
  <si>
    <t>61248dc945b70250f5b3228f</t>
  </si>
  <si>
    <t>Gören Adıyaman Çiğ Köfte, Tarsus (Öğretmenler Mah.)</t>
  </si>
  <si>
    <t>Yusuf Düzgören</t>
  </si>
  <si>
    <t>Öğretmenler Mah.Rasim Dokur Bulvarı No/10-C Tarsus,Mersin</t>
  </si>
  <si>
    <t>619d2423c52e2f2a5fc34692</t>
  </si>
  <si>
    <t>Gözde Tantuni &amp; Döner, Akdeniz (İhsaniye Mah.)</t>
  </si>
  <si>
    <t>Rahime Şengül</t>
  </si>
  <si>
    <t>İhsaniye Mah.Kuvayi Milliye Cad.No/167-A Akdeniz,Mersin</t>
  </si>
  <si>
    <t>5435282104 melik bey / çekim sağlanmış</t>
  </si>
  <si>
    <t>624c83f9243b4949c07428ed</t>
  </si>
  <si>
    <t>Grand Deniz Yıldızı, Mezitli (Akdeniz Mah.)</t>
  </si>
  <si>
    <t>Osman Özcan</t>
  </si>
  <si>
    <t>Akdeniz Mah.Gazi Mustafa Kemal Bulvarı No:805-A Mezitli,Mersin</t>
  </si>
  <si>
    <t>5fdfb2c022f5bdcedcd6fa31</t>
  </si>
  <si>
    <t>Granosa Makarna &amp; Pizza (Güvenevler Mah.)</t>
  </si>
  <si>
    <t>Fatma Gül</t>
  </si>
  <si>
    <t>Güvenevler, Dumlupınar Cd. No:18, 33140, 33140 Yenişehir/Mersin</t>
  </si>
  <si>
    <t>/gerıye kalan urunlerın cekımını ıstemedı</t>
  </si>
  <si>
    <t>5fe24dc923ff895f3ca771fb</t>
  </si>
  <si>
    <t>Gurme Döner , Mezitli (Yeni Mah.)</t>
  </si>
  <si>
    <t>Erdoğan Sarıdoğan</t>
  </si>
  <si>
    <t>Sanayi Cd. No:4,Yeni Mahallesi, 33330, 33400 Mezitli</t>
  </si>
  <si>
    <t>60463c2041a4912812974c59</t>
  </si>
  <si>
    <t>Gusto Kafe, Tarsus (ŞehitMustafa Mah.)</t>
  </si>
  <si>
    <t>Kemal Kaya</t>
  </si>
  <si>
    <t>Şehit Mustafa Mah.Muvaffak Uygur Bulvarı Güneş Apt.No:13-A Tarsus,Mersin</t>
  </si>
  <si>
    <t xml:space="preserve">yasaklar var kapalıyız dedi//cevapsız </t>
  </si>
  <si>
    <t>6026d563ff60ad8f5fc077b9</t>
  </si>
  <si>
    <t>Gül 'ün Ev Lezzetleri, Mezitli (Menderes Mah.)</t>
  </si>
  <si>
    <t>Hacer Dinçbay Cura</t>
  </si>
  <si>
    <t>Menderes Mah.35404 Sokak No/20-A Mezitli,Mersin</t>
  </si>
  <si>
    <t>devam cekımı</t>
  </si>
  <si>
    <t>604e2512d977096de84ebaf0</t>
  </si>
  <si>
    <t>Gül Et Restaurant, Mezitli (Çamlıca Mah.)</t>
  </si>
  <si>
    <t>Gülper Aydoğdu</t>
  </si>
  <si>
    <t>Çamlıca Mah.Koru Cad.No/4-1 B Mezitli,Mersin</t>
  </si>
  <si>
    <t xml:space="preserve">cekım ıstemıyor /getırdende cıkmak ıstemıyor/getırle anlasamıyoruz dedı </t>
  </si>
  <si>
    <t>5fdf3e8e24561e176695d04e</t>
  </si>
  <si>
    <t>Gül Kafe Plus , Mezitli (Fatih Mah.)</t>
  </si>
  <si>
    <t>Ercan Güzel</t>
  </si>
  <si>
    <t>Fatih Mah., Adnan Menderes Blv., No:210/B,</t>
  </si>
  <si>
    <t>mail atacak//numara eksik ya da hatalı</t>
  </si>
  <si>
    <t>6202d2f31d1b7f77f01665b6</t>
  </si>
  <si>
    <t>Gülbeden Sokak Lezzetleri, Tarsus (Eski Ömerli Mah.)</t>
  </si>
  <si>
    <t>Yılmaz Gülbeden</t>
  </si>
  <si>
    <t>Eski Ömerli Mah.Hilmi Şeçkin Bulvarı No:14-A Tarsus,Mersin</t>
  </si>
  <si>
    <t>6022c4c30737d6cfa910f66a</t>
  </si>
  <si>
    <t>Güllek Baklava &amp; Künefe , Toroslar (Kürdali Mah.)</t>
  </si>
  <si>
    <t>Mehmet Salih Topuz</t>
  </si>
  <si>
    <t>Kurdali Mah.100051 Sokak No/12 Toroslar,Mersin</t>
  </si>
  <si>
    <t>devam çekimi için arandı ama açmadı//bütün ürünlerin fotoları çekilmiş</t>
  </si>
  <si>
    <t>607997747481550b89de53b8</t>
  </si>
  <si>
    <t>Gülnarlı Yahya Usta Tantuni &amp; Döner, Toroslar (Tozkoparan Mah.)</t>
  </si>
  <si>
    <t>Sultan Ünal</t>
  </si>
  <si>
    <t>Tozkoparan Mah.Kuvayi Milliye Bulvarı No/238-B Toroslar,Mersin</t>
  </si>
  <si>
    <t>613b72717cc7852e91667d67</t>
  </si>
  <si>
    <t>Gülsoy Künefe , Toroslar (Yalınayak Mah.)</t>
  </si>
  <si>
    <t>Necat Gülsoy</t>
  </si>
  <si>
    <t>Yalınayak Mah.Çiftçiler Cad.No/322-BB Toroslar,Mersin</t>
  </si>
  <si>
    <t>61cc4c69f86a5fea5cc8282a</t>
  </si>
  <si>
    <t>Gümüş Tekin 2 Pide &amp; Lahmacun, Toroslar (Demirtaş Mah.)</t>
  </si>
  <si>
    <t>Abdulgafar Gümüştekin</t>
  </si>
  <si>
    <t>Demirtaş Mah.77014 sokak No:27 -A Toroslar,Mersin</t>
  </si>
  <si>
    <t>606ca74c84a0b15c5f7b64ca</t>
  </si>
  <si>
    <t>Gündoğdu İskender, Akdeniz (Çankaya Mah.)</t>
  </si>
  <si>
    <t>Ercan Gündoğdu</t>
  </si>
  <si>
    <t>Çankaya Mah.Silifke Cad.No/22 Akdeniz,Mersin</t>
  </si>
  <si>
    <t>daha sonra ara dedi// merkez numaramızı arayın dedi 2382374/5417842903 hüseyin açmadı</t>
  </si>
  <si>
    <t>60abdbf188417b7385a9d007</t>
  </si>
  <si>
    <t>Gündoğdu İskender, Erdemli (Merkez Mah.-Novacity Avm)</t>
  </si>
  <si>
    <t>Merkez Mah.Alparslan Türkeş Bulvarı No/541 Novacity Avm Erdemli,Mersin</t>
  </si>
  <si>
    <t>606cb5f584a0b1ceb47b65bf</t>
  </si>
  <si>
    <t>Gündoğdu İskender, Mezitli (Merkez Mah.)</t>
  </si>
  <si>
    <t>Merkez Mah.G.M.K Bulvarı No/814-A Mezitli,Mersin</t>
  </si>
  <si>
    <t>606caf4427d7eb518fe26600</t>
  </si>
  <si>
    <t>Gündoğdu İskender, Yenişehir (Güvenevler Mah.)</t>
  </si>
  <si>
    <t>Güvenevler Mah.G.M.K Bulvarı No/348-B Yenişehir,Mersin</t>
  </si>
  <si>
    <t>60abe2ab5dea45365472a2d1</t>
  </si>
  <si>
    <t>Gündoğdu İskender, Yenişehir (Güvenevler Mah.Forum Avm)</t>
  </si>
  <si>
    <t>Güvenevler Mah.1.Cad Forum Mersin Avm No/120-225 Yenişehir,Mersin</t>
  </si>
  <si>
    <t>60abd5e734a9a609528f25b6</t>
  </si>
  <si>
    <t>Gündoğdu Kebap Ocakbaşı, Yenişehir (Güvenevler Mah.)</t>
  </si>
  <si>
    <t>Güvenevler Mah.1.Cadde Forum Avm No/120-208 Yenişehir,Mersin</t>
  </si>
  <si>
    <t>teit için arandı panel suan kapaldı</t>
  </si>
  <si>
    <t>60fbfc02de747acddddae402</t>
  </si>
  <si>
    <t>Gürsu Sıkma &amp; Börek, Yenişehir (İnönü Mah.)</t>
  </si>
  <si>
    <t>Naciye Yaşa</t>
  </si>
  <si>
    <t>İnönü Mah.1406 Sokak No/22-A Yenişehir,Mersin</t>
  </si>
  <si>
    <t>6075d6057b5fd6704837cc71</t>
  </si>
  <si>
    <t>Güven Et &amp; Piliç Mangal, Toroslar (Selçuklar Mah.)</t>
  </si>
  <si>
    <t>Semra Ergüvan</t>
  </si>
  <si>
    <t>Selçuklar Mah.212 Cadde No/2-A Toroslar,Mersin</t>
  </si>
  <si>
    <t>MESGUL HAZIRANDAN SONRA ARAMA SAGLANCAK-MESGULE VERIYO//meşgul//resimleri kendi çekecekmiş çekemezse dönüş yapacak//kışa doğru der / yarın aranacak /o kadar vaktımız yok dedı ıstemıyorlr.biz ararız dedi uygun olunca biz aramayalım.</t>
  </si>
  <si>
    <t>5fe38ce222f5bd539ad77ad7</t>
  </si>
  <si>
    <t>Hacıbaba ,Yenişehir (İnönü Mah.)</t>
  </si>
  <si>
    <t>Şehmus Ceylan</t>
  </si>
  <si>
    <t>İnönü Mah. Gazi Mustafa Kemal Blv. M.Akarsu Apt. No:391 A Yenişehir /Mersin</t>
  </si>
  <si>
    <t>devam için görüştük şehmus beye sorup bize dönüş yapacaklar..</t>
  </si>
  <si>
    <t>5fe38989d3f42bc1c2af4329</t>
  </si>
  <si>
    <t>Hacıbaba Concept, Mezitli (Yenimahalle Mah.)</t>
  </si>
  <si>
    <t>Gazi Mustafa Kemal Bulvarı, 724, 33200 Yeni, Mersin, Türkiye</t>
  </si>
  <si>
    <t>5529250633 hasan  d.ç alındı</t>
  </si>
  <si>
    <t>604347fe133a29bc31416454</t>
  </si>
  <si>
    <t>Hacıbaba, Akdeniz (Çankaya Mah.)</t>
  </si>
  <si>
    <t>Zeki Ceylan</t>
  </si>
  <si>
    <t>Çankaya Mah.İstiklal Cad.No/82-A Akdeniz,Mersin</t>
  </si>
  <si>
    <t>kendileri çekip yollayacak/mail atacaklar// ÇEKİMİ GERÇEKLEŞMİŞ</t>
  </si>
  <si>
    <t>625ace2683823e7f3368993e</t>
  </si>
  <si>
    <t>Hacıbey Çiğköfte, Akdeniz (Çankaya Mah.)</t>
  </si>
  <si>
    <t>ALİ KARAKUŞ</t>
  </si>
  <si>
    <t>Çankaya Mah. Soğuksu Cad. No:19A Akdeniz Mersin</t>
  </si>
  <si>
    <t>62246383875dbf3b45419735</t>
  </si>
  <si>
    <t>Hacıbey Közde Döner &amp; İskender, Tarsus (Şehit Mustafa Mah.)</t>
  </si>
  <si>
    <t>Abdulkadir Aksu</t>
  </si>
  <si>
    <t>Şehit Mustafa Mah.Şehit Cengiz Topel Cad.A blok No:4 Tarsus,Mersin</t>
  </si>
  <si>
    <t>5fff64871f40a3d04091bcce</t>
  </si>
  <si>
    <t>Hacıbey Tantuni,Yenişehir (Çiftlikköy Mah.)</t>
  </si>
  <si>
    <t>Ümmü Tor</t>
  </si>
  <si>
    <t>Çiftlikköy Mah.Üniversite Cad.No/33-B Yenişehir,Mersin</t>
  </si>
  <si>
    <t>kendisi dönecek\\o kadar ürünü boşa veremem çekim istemiyorum dedi./üürnlerin hepsini  çıkartamazmış, uygulmanızın biteceği zamnalrda arayın bizde düşünelim dedi/10 dk sonra / MAİL ADREİS VERİLDİ</t>
  </si>
  <si>
    <t>62162d41f693541d8857015d</t>
  </si>
  <si>
    <t>Hakanka'fe, Yenişehir (İnönü Mah.)</t>
  </si>
  <si>
    <t>Mantı</t>
  </si>
  <si>
    <t>Hakan Demirci</t>
  </si>
  <si>
    <t>İnönü Mah.1404 Sokak No:18-C Yenişehir,Mersin</t>
  </si>
  <si>
    <t>6047751e8aa12166f670ebc0</t>
  </si>
  <si>
    <t>Halil İbrahim Kebap &amp; Tantuni Salonu, Toroslar (Halkkent Mah.)</t>
  </si>
  <si>
    <t>İsmail Dağ</t>
  </si>
  <si>
    <t>Halkkent Mah.Fatih Sultan Mehmet Bulvarı A blok No/25-8 Toroslar,Mersin</t>
  </si>
  <si>
    <t>5335618131//1 hafta sonra</t>
  </si>
  <si>
    <t>61ade1516141fb4ddb543e22</t>
  </si>
  <si>
    <t>Hallaç Tantuni &amp; Döner, Toroslar (Sağlık Mah.)</t>
  </si>
  <si>
    <t>Yakup Buğra Hallaç</t>
  </si>
  <si>
    <t>Sağlık Mah.Kuvayi Milliye Bulvarı No:158-B Toroslar,Mersin</t>
  </si>
  <si>
    <t xml:space="preserve">herhangi bir sebebi yok istemiyorum işte  sebep belirtmek zorunda mıyım der </t>
  </si>
  <si>
    <t>619b812d3e14ff041b099a4c</t>
  </si>
  <si>
    <t>Haluk Abi Fındık Lahmacun &amp; Kebap, Tarsus (Caminur Mah.)</t>
  </si>
  <si>
    <t>Vecihe Özer</t>
  </si>
  <si>
    <t>Caminur Mah. Cengiz Topel Cad. Işık Apt. No:40 Tarsus,Mersin</t>
  </si>
  <si>
    <t>Burak Bey / 5358367755 / fotoğrafçı tüm ürünleri çıkartın ben sizin için merkezden geliyorum demiş işletme yetkilisi barış bey ise hepsini çıakrtamam ama bir kısmı da olsa çıkartırım der  tarsusa gidildiği zaman tekrardan alınacak ama burçin özer için randevu alınacak</t>
  </si>
  <si>
    <t>620756027d99ae7c697b8f99</t>
  </si>
  <si>
    <t>Hamburg Burger Cafe, Toroslar (H.Okan Merzeci Mah.)</t>
  </si>
  <si>
    <t>Kader Çelik</t>
  </si>
  <si>
    <t>Hüseyin Okan Merzeci Mah.97020 Sokak No:4-A Toroslar,Mersin</t>
  </si>
  <si>
    <t>60119a09f55f403d6dc8f178</t>
  </si>
  <si>
    <t>Hamburworld, Erdemli (Merkez Mah.)</t>
  </si>
  <si>
    <t>Serdal Demir</t>
  </si>
  <si>
    <t>Akdeniz Mah.Alparslan Türkeş Bulvarı No/160-C Erdemli,Mersin</t>
  </si>
  <si>
    <t xml:space="preserve">pazartesi müsait değilim bir dahaki sefere olsun dedi </t>
  </si>
  <si>
    <t>60bfab9faf36eb6929858b46</t>
  </si>
  <si>
    <t>Hamur Patisseri, Yenişehir (Çiftlikköy Mah.)</t>
  </si>
  <si>
    <t>Canan Başlama</t>
  </si>
  <si>
    <t>Çiftlikköy Mah.Üniversite Cad.No/74-A Yenişehir,Mersin</t>
  </si>
  <si>
    <t>0533 298 06 12</t>
  </si>
  <si>
    <t>60b654c83226ccb3818e49a8</t>
  </si>
  <si>
    <t>Hamza Efendi Baklava, Akdeniz (Yeni Mah.)</t>
  </si>
  <si>
    <t>Mehmet Emin Çalışkan</t>
  </si>
  <si>
    <t>Yeni Mah.Çakmak Cad.No/30-D Akdeniz,Mersin</t>
  </si>
  <si>
    <t>BURASI ŞİRKETE BAĞLI BİR ŞUBEYMİŞ ŞİRKETTEN Bİ YETKİLİYLE GÖRÜŞMEK GEREKİYO</t>
  </si>
  <si>
    <t>60b68edbb2463a5737b3807e</t>
  </si>
  <si>
    <t>Hamza Efendi Baklava, Tarsus (Şehit İshak Mah.)</t>
  </si>
  <si>
    <t>Şehit İshak Mah. Atatürk Bulvarı No/128 Tarsus, Mersin</t>
  </si>
  <si>
    <t>60b68ba48324ac3196cfa133</t>
  </si>
  <si>
    <t>Hamza Efendi Baklava, Toroslar (Mithat Toroğlu Mah.)</t>
  </si>
  <si>
    <t>Mithat Toroğlu Mah.Kuvayi Milliye Bulvarı Biniciler Apt. No/342- A Toroslar,Mersin</t>
  </si>
  <si>
    <t>Adanadaki merkez şubeden alabilirsiniz dediler</t>
  </si>
  <si>
    <t>60b65b88d6b6214536e1baf0</t>
  </si>
  <si>
    <t>Hamza Efendi Baklava, Toroslar (Tozkoparan Mah.)</t>
  </si>
  <si>
    <t>Tozkoparan Mah.207. Cadde No/145-A Toroslar,Mersin</t>
  </si>
  <si>
    <t>60b647e73226cc447d8e47dc</t>
  </si>
  <si>
    <t>Hamza Efendi Baklava, Toroslar (Yalınayak Mah.)</t>
  </si>
  <si>
    <t>Yalınayak Mah.Çiftçiler Cad.No/338 Toroslar,Mersin</t>
  </si>
  <si>
    <t>6024335e799d210ac6c27674</t>
  </si>
  <si>
    <t>Han Künefe, Mezitli (Akdeniz Mah.)</t>
  </si>
  <si>
    <t>Meriç Cavunt</t>
  </si>
  <si>
    <t>Akdeniz Mah.Cumhuriyet Cad.No/12-B Mezitli,Mersin</t>
  </si>
  <si>
    <t>çekim gerçekleşmiş //tüm ürünler çekilmiş</t>
  </si>
  <si>
    <t>620e880267b01130818215f2</t>
  </si>
  <si>
    <t>Hancook Coffee &amp; Food Frıends, Yenişehir (Aydınlıkevler Mah.)</t>
  </si>
  <si>
    <t>Handan Büyükbaş</t>
  </si>
  <si>
    <t>Aydınlıkevler Mah.2021 sokak No:18-A Yenişehir,Mersin</t>
  </si>
  <si>
    <t>5395674346/yetkili hastaymış iyileşince dönecek/daha sonra yine arayın dedi</t>
  </si>
  <si>
    <t>61e55e3ae2b19cb4d7ca918b</t>
  </si>
  <si>
    <t>Happy People, Yenişehir (Güvenler Mah.)</t>
  </si>
  <si>
    <t>Gülcihan Gümüş</t>
  </si>
  <si>
    <t>Güvenevler Mah.Gazi Mustafa Kemal Bulvarı, 1901 sok, No:512-A Yenişehir,Mersin</t>
  </si>
  <si>
    <t>60da14790cec2d483cfd2eba</t>
  </si>
  <si>
    <t>Harabe Restaurant, Silifke (Saray Mah.)</t>
  </si>
  <si>
    <t>Ferhat Gürbıyık</t>
  </si>
  <si>
    <t>Saray Mah.İnönü Bulvarı No/106-A Silifke,Mersin</t>
  </si>
  <si>
    <t>623a278aad77ab1f9a3a12c0</t>
  </si>
  <si>
    <t>Has Adıyaman Çiğ Köfte, Toroslar (Korukent Mah.)</t>
  </si>
  <si>
    <t>EVREN AVÇİL</t>
  </si>
  <si>
    <t>Korukent Mah. 243 Sok. No:18B Toroslar/Mersin</t>
  </si>
  <si>
    <t>602c06c229d1d322338af545</t>
  </si>
  <si>
    <t>Has Adıyaman Çiğköfte, Akdeniz (Kiremithane Mah.)</t>
  </si>
  <si>
    <t>Alican Kaya</t>
  </si>
  <si>
    <t xml:space="preserve">d.ç alındı ismet bey </t>
  </si>
  <si>
    <t>61a4c895df79612091dd9f2b</t>
  </si>
  <si>
    <t>Has Beyzade Baklava &amp; Künefe &amp; Börek, Tarsus (Altaylılar Mah.)</t>
  </si>
  <si>
    <t>Ozan Akalper</t>
  </si>
  <si>
    <t>Altaylılar Mah.Turan Cad.No/28-A Tarsus,Mersin</t>
  </si>
  <si>
    <t>5ffdef8d35e580d24e4526d6</t>
  </si>
  <si>
    <t>Has Cevheroğlu Tereyağlı Su Börekçisi, Yenişehir (Hürriyet Mah.)</t>
  </si>
  <si>
    <t>Murat Çetintaş</t>
  </si>
  <si>
    <t>Hürriyet Mah.İsmet İnönü Bulvarı No/292-D Yenişehir,Mersin</t>
  </si>
  <si>
    <t>624e8feda2d048336c747ca2</t>
  </si>
  <si>
    <t>Has Çiğ Köfte Dünyası, Tarsus (Anıt Mah.)</t>
  </si>
  <si>
    <t>SERAY KOLACI</t>
  </si>
  <si>
    <t>Anıt Mah. Mehmet Akif Ersoy Cad. No:23D Tarsus Mersin</t>
  </si>
  <si>
    <t>6198acb0720a1ca04abbae69</t>
  </si>
  <si>
    <t>Has Çiğköfte Dünyası, Tarsus (Öğretmenler Mah.)</t>
  </si>
  <si>
    <t>Öğretmenler Mah.Şehit İsmet Akın Cad Tarsus, Mersin</t>
  </si>
  <si>
    <t>5ff759e75f23495099731ee9</t>
  </si>
  <si>
    <t>Has Develiler Baklava, Akdeniz (İhsaniye Mah.Merkez.)</t>
  </si>
  <si>
    <t>Bekir Topçu</t>
  </si>
  <si>
    <t>Çankaya Mahallesi İstiklal Caddesi No:62</t>
  </si>
  <si>
    <t>MAİL GELMEMİŞ // 5061563393 levent bey mail verıldı kendı urunlerın fotograflarını paylasacaktır</t>
  </si>
  <si>
    <t>61bc7cb3859f527d8b4eecb0</t>
  </si>
  <si>
    <t>Has Develiler Baklava, Toroslar (H.Okan Merzeci Mah.)</t>
  </si>
  <si>
    <t>H.Okan Merzeci Bulvarı Karaisalı Cad.No:1 -A Toroslar,Mersin</t>
  </si>
  <si>
    <t>5375294000 3 aydır kullanmıyorum kapattım der</t>
  </si>
  <si>
    <t>5ff75098e3751993c7da292c</t>
  </si>
  <si>
    <t>Has Develiler Künefe Dünyası,Yenişehir (Menteş Mah.)</t>
  </si>
  <si>
    <t>Menteş Mah.38.Cadde No/59 A Yenişehir,Mersin</t>
  </si>
  <si>
    <t>61ab7e708557e84b236230a6</t>
  </si>
  <si>
    <t>Has Künefe, Yenişehir (Güvenevler Mah.)</t>
  </si>
  <si>
    <t>Ali Yiğit</t>
  </si>
  <si>
    <t>Güvenevler Mah.G.M.K Bulvarı No:350-D Yenişehir,Mersin</t>
  </si>
  <si>
    <t>getırı kısa bır surelıgıne durdurduk</t>
  </si>
  <si>
    <t>61fe1453d31375b6c482becb</t>
  </si>
  <si>
    <t>Hasan Aybak Çiğköfte, Akdeniz (Nusratiye Mah.)</t>
  </si>
  <si>
    <t>Suat Özer</t>
  </si>
  <si>
    <t>Nusratiye Mah.Mehmet Akif Ersoy Cad.No:49-B Akdeniz,Mersin</t>
  </si>
  <si>
    <t>6224bf10068ef9c089c4a353</t>
  </si>
  <si>
    <t>Hasan Aybak Çiğköfte, Yenişehir (Hürriyet Mah.)</t>
  </si>
  <si>
    <t>Gülşen Özyalçın</t>
  </si>
  <si>
    <t>Hürriyet Mah.16.Cad. Aksoy Apt.No:84-C Yenişehir,Mersin</t>
  </si>
  <si>
    <t>6092641e337ea24fae6b461f</t>
  </si>
  <si>
    <t>Hasan Usta Tantuni &amp; Döner, Mezitli (Viranşehir Mah.)</t>
  </si>
  <si>
    <t>Mustafa Karagöz</t>
  </si>
  <si>
    <t>Viranşehir Mah.Viranşehir Cad.No/11-A Mezitli,Mersin</t>
  </si>
  <si>
    <t xml:space="preserve">kurye sıkıntısı var donus saglıycak  / kurye sıkıntısından dolayı ben çekim istemiyorum dedi </t>
  </si>
  <si>
    <t>Fotoğraflarım Var</t>
  </si>
  <si>
    <t>5feb753e630a76f4e9ff16c5</t>
  </si>
  <si>
    <t>Hasan Usta Tantuni, Yenişehir (Güvenevler Mah.)</t>
  </si>
  <si>
    <t>OSMAN KARPUZ</t>
  </si>
  <si>
    <t>Güvenevler Mah.1901 Sokak Okay Apt.No/10 C Yenişehir Mersin</t>
  </si>
  <si>
    <t xml:space="preserve">yetkili:şıvan sönmez(osman beyden devralmış)//bütün fotoları çekilmiş / panelde fotoğrafları var </t>
  </si>
  <si>
    <t>6214fdf8d3fd5e6b67e2058c</t>
  </si>
  <si>
    <t>Rojgül Özdemir</t>
  </si>
  <si>
    <t>Güvenevler Mah.1901 Sokak Gazi Apt.No:14-C Yenişehir,Mersin</t>
  </si>
  <si>
    <t>610e5bb2f1b83dff6bf066af</t>
  </si>
  <si>
    <t>Hasırcızade Baklava &amp; Künefe, Yenişehir (Çiftlikköy Mah.)</t>
  </si>
  <si>
    <t>Çiftlikköy Mah.34.Cadde Balkar Plaza No/43-AG Yenişehir,Mersin</t>
  </si>
  <si>
    <t>61d7a53ce117d1366184c657</t>
  </si>
  <si>
    <t>Hatay Et &amp; Piliç &amp; Mangal, Yenişehir (Bahçelievler Mah.)</t>
  </si>
  <si>
    <t>Ömer Ergüvan</t>
  </si>
  <si>
    <t>Bahçelievler Mah.1809 Sokak No:2-C Yenişehir,Mersin</t>
  </si>
  <si>
    <t xml:space="preserve">5443516359 ömer bey diiğer numara hatalı </t>
  </si>
  <si>
    <t>6053300dae18d77b5b6eeb5a</t>
  </si>
  <si>
    <t>Hayati Meyve Suları, Toroslar (Sağlık Mah.)</t>
  </si>
  <si>
    <t>Abdullah Çimen</t>
  </si>
  <si>
    <t>Sağlık Mah.Çiftçiler Cad.No/35-A Toroslar,Mersin</t>
  </si>
  <si>
    <t>tekrar aranacak//bütün ürünler çekilmiş</t>
  </si>
  <si>
    <t>60009e90f112357913b0844b</t>
  </si>
  <si>
    <t>Haydo Midye &amp; Kokoreç, Yenişehir (Çiftlikköy Mah.)</t>
  </si>
  <si>
    <t>Haydar Yıldırım</t>
  </si>
  <si>
    <t>Çiftlikköy Mah.İstemihan Talay Cad.Kardelen Sitesi No/237-C Yenişehir,Mersin</t>
  </si>
  <si>
    <t>DÖNECEK  \\meşgule atıyor.\\ben size ulaşırım.// Ramazandan sonra aranacak //açmadı/açmadı/açmadı/açmadı açılış saati 17:00 yazmakta/ulaşılamıyor. / AÇILIŞ SAATİ 16:00</t>
  </si>
  <si>
    <t>61efb1cd9216bd45713acbb6</t>
  </si>
  <si>
    <t>Hb Börek Gemisi, Yenişehir (Çiftlikköy Mah.)</t>
  </si>
  <si>
    <t>Bakil Dursun</t>
  </si>
  <si>
    <t>Çiftlikköy Mah.3225 Sokak No:10-B Yenişehir,Mersin</t>
  </si>
  <si>
    <t>60706bb48725a4ed4e1a7f94</t>
  </si>
  <si>
    <t>Helin Pide &amp; Lahmacun, Yenişehir (Menteş Mah.)</t>
  </si>
  <si>
    <t>Rıdvan Aşkan</t>
  </si>
  <si>
    <t>Menteş Mah.2554 Sokak No/9-A Yenişehir,Mersin</t>
  </si>
  <si>
    <t>60c0978908c08490cc75284a</t>
  </si>
  <si>
    <t>Helvacı Ali, Mezitli (Merkez Mah.)</t>
  </si>
  <si>
    <t>Gizem Dağ</t>
  </si>
  <si>
    <t>Merkez Mah.G.M.K Bulvarı No/808-A Mezitli,Mersin</t>
  </si>
  <si>
    <t xml:space="preserve">dönecekler </t>
  </si>
  <si>
    <t>60b86409a1e656404aff5600</t>
  </si>
  <si>
    <t>Helvacı Yakub Efendi, Yenişehir (İnönü Mah.)</t>
  </si>
  <si>
    <t>Mehmet Anıl Cebesoy</t>
  </si>
  <si>
    <t>İnönü Mah.1405 Sokak No/14-1 Yenişehir,Mersin</t>
  </si>
  <si>
    <t>eksikleride tamamlayıp gönderecekmiş.fotoğraflar için arandı ben gönderdim kabul olmadı sizin çektiklerinizi beğenmiyorum oyüzden istemiyorum dedi.</t>
  </si>
  <si>
    <t>60a66c3bd1cdf4bec38babba</t>
  </si>
  <si>
    <t>Helvacı Yakub Efendi, Yenişehir (Limonluk Mah.)</t>
  </si>
  <si>
    <t>Buşra Erkol</t>
  </si>
  <si>
    <t>5 DKKA ARA-5377237413 DEVAM CEKİMİ RANDEVUSU OLUSTURULDU</t>
  </si>
  <si>
    <t>607066c420210e567bbe71d9</t>
  </si>
  <si>
    <t>Himmet Künefe &amp; Baklava, Yenişehir (Barbaros Mah.)</t>
  </si>
  <si>
    <t>Alper Kılıç</t>
  </si>
  <si>
    <t>Barbaros Mah.Hüseyin Okan Merzeci Bulvarı No/617-A Yenişehir,Mersin</t>
  </si>
  <si>
    <t>numara aldılar geri dönüş yapıcaklar/(0324) 327 17 27 / 5454088838 maile atcak.mail adresi verildi atacak alper bey.</t>
  </si>
  <si>
    <t>6051082c962fbd123952b69e</t>
  </si>
  <si>
    <t>Hmbrgr Homemade Burgers,Yenişehir (Güvenevler Mah.)</t>
  </si>
  <si>
    <t>Halil Yazkan</t>
  </si>
  <si>
    <t>60c722ac4ea7e3d7f5ba8bbc</t>
  </si>
  <si>
    <t>House Burger, Silifke (Göksu Mah.)</t>
  </si>
  <si>
    <t>Baki Özel</t>
  </si>
  <si>
    <t>Göksu Mah.66 Sokak Neriman Hanım Apt.No/13-B Silifke,Mersin</t>
  </si>
  <si>
    <t>624d333c9f0b0d5c6524ff56</t>
  </si>
  <si>
    <t>Hs Döner Burger, Toroslar (Yalınayak Mah.)</t>
  </si>
  <si>
    <t>HAKAN DENİZ</t>
  </si>
  <si>
    <t>Korukent</t>
  </si>
  <si>
    <t>Yalınayak Mah. Çiftçiler Cad. No:136/AB Toroslar Mersin</t>
  </si>
  <si>
    <t>BAYRAMDAN SNRA ARANILCK</t>
  </si>
  <si>
    <t>61bc68e6f668876dd2fa9ac6</t>
  </si>
  <si>
    <t>Irmak Yatık Döner, Silifke (Göksu Mah.)</t>
  </si>
  <si>
    <t>Fatma Atar</t>
  </si>
  <si>
    <t>Göksu Mah.Abdi İpekçi Bulvarı No:25-A Silifke,Mersin</t>
  </si>
  <si>
    <t>6027f128de46fc2c4be394cb</t>
  </si>
  <si>
    <t>Iron Chef Pizza, Yenişehir (Hürriyet Mah.)</t>
  </si>
  <si>
    <t>Mehmet Reşit Demir</t>
  </si>
  <si>
    <t>Hürriyet Mah.1.Cadde A blok No/50-1 Yenişehir,Mersin</t>
  </si>
  <si>
    <t>d.ç ıstemez dha ılerıde olablr dedı/ilerleyen zamanda  ıster suan ıcın ıstemıyorlar</t>
  </si>
  <si>
    <t>615d7d9fb64635fc76a90ba2</t>
  </si>
  <si>
    <t>İçel Kebap &amp; Lahmacun, Yenişehir (Menteş Mah.)</t>
  </si>
  <si>
    <t>İmam Güneş</t>
  </si>
  <si>
    <t>Menteş Mah.2598 Sokak No/1-A Yenişehir,Mersin</t>
  </si>
  <si>
    <t>mail paylasıldı.açmadı.</t>
  </si>
  <si>
    <t>620bc3a896cb9086fcf7ff4a</t>
  </si>
  <si>
    <t>İkizler Ev Yemekleri &amp; Börek, Yenişehir (Fuat Morel Mah.)</t>
  </si>
  <si>
    <t>Engin Çetin</t>
  </si>
  <si>
    <t>Fuat Morel Mah.2894 Sokak No:24-A Yenişehir,Mersin</t>
  </si>
  <si>
    <t>6172ededc2962df84e68df82</t>
  </si>
  <si>
    <t>İnan Tantuni &amp; Biftek Salonu, Toroslar (Selçuklar Mah.)</t>
  </si>
  <si>
    <t>Yusuf İnan</t>
  </si>
  <si>
    <t>Selçuklar</t>
  </si>
  <si>
    <t>Selçuklar Mah.90055 sokak No/1-A Toroslar,Mersin</t>
  </si>
  <si>
    <t xml:space="preserve">mehmet bey5305657613 / haftaya ara </t>
  </si>
  <si>
    <t>606f4df718f078221f650d9d</t>
  </si>
  <si>
    <t>İnci Baba Kokoreç, Akdeniz (Siteler Mah.)</t>
  </si>
  <si>
    <t>Erdal Kaçar</t>
  </si>
  <si>
    <t>Siteler Mah.Gazi Mustafa Kemal Bulvarı No/28-C Akdeniz,Mersin</t>
  </si>
  <si>
    <t>61df2879e2b19c8060b3a4e4</t>
  </si>
  <si>
    <t>İnci Midye &amp; Kokoreç, Mezitli (Atatürk Mah.)</t>
  </si>
  <si>
    <t>Cesur Takak</t>
  </si>
  <si>
    <t>Atatürk Mah.G.M.K Bulvarı Medical Park Hastanesi Yanı Mezitli,Mersin</t>
  </si>
  <si>
    <t>603d33d69c50f5de86a0c4d7</t>
  </si>
  <si>
    <t>İnci Midye &amp; Kokoreç, Yenişehir (Aydınlıkevler Mah.)</t>
  </si>
  <si>
    <t>ibrahim salcan</t>
  </si>
  <si>
    <t>mersin il milli eğitim müdürlüğü karşısı</t>
  </si>
  <si>
    <t xml:space="preserve">5323104733/devam çekimi için aradım açmıyor / panelde fotoğrafları var </t>
  </si>
  <si>
    <t>62456a5085d9c2aa4a1d2e35</t>
  </si>
  <si>
    <t>İpek Kafeterya, Silifke (Sarıcılar Mah.)</t>
  </si>
  <si>
    <t>Veysel İpek</t>
  </si>
  <si>
    <t>Sarıcalar</t>
  </si>
  <si>
    <t>Sarıcılar Mah.Türkmenli Sokak No:12 Silifke,Mersin</t>
  </si>
  <si>
    <t>60e479149a637f1453055b39</t>
  </si>
  <si>
    <t>İrem Cafe &amp; Ev Yemekleri &amp; Döner &amp; Tantuni, Erdemli / Merkez Mah</t>
  </si>
  <si>
    <t>Nevzat Ünal</t>
  </si>
  <si>
    <t>Merkez Mah.Sabahattin Çakmakoğlu No/7-D Erdemli,Mersin</t>
  </si>
  <si>
    <t>5541753712/cekım gerceklesmıs ama yuklenmemıs</t>
  </si>
  <si>
    <t>6021843e5993bfa8f98fb83f</t>
  </si>
  <si>
    <t>İrfan Börek, Toroslar (Turgut Türkalp Mah.)</t>
  </si>
  <si>
    <t>Mehmet İmre</t>
  </si>
  <si>
    <t>Turgut Türkalp Mah.Akbelen Bulvarı No/49-C Toroslar,Mersin</t>
  </si>
  <si>
    <t>bütün ürünler çekilmiş</t>
  </si>
  <si>
    <t>6005ec7b3c420030aebedd0c</t>
  </si>
  <si>
    <t>İskenderci Rahmi Usta, Yenişehir (Güvenevler Mah.)</t>
  </si>
  <si>
    <t>Zübeyir Çelik</t>
  </si>
  <si>
    <t>Güvenevler Mah.18 Cadde 1707 Sokak Özlem Apt.N0/15-A Yenişehir,Mersin</t>
  </si>
  <si>
    <t xml:space="preserve">1907. sokak  / tüm ürünleri çekilmiş </t>
  </si>
  <si>
    <t>61dec2261d132530eb56be39</t>
  </si>
  <si>
    <t>İskenderun Antika Döner, Tarsus (Şehit Mustafa Mah.)</t>
  </si>
  <si>
    <t>Hakan Gören</t>
  </si>
  <si>
    <t>Antika Döner, Tarsus Mersin</t>
  </si>
  <si>
    <t>6162ab0b42e971d0b55582c6</t>
  </si>
  <si>
    <t>İskenderun Katık Döner, Tarsus (Yeni Ömerli Mah.)</t>
  </si>
  <si>
    <t>Ali Kısaçam</t>
  </si>
  <si>
    <t>Yeni Ömerli Mah.İstiklal Cad.No/5-A Tarsus,Mersin</t>
  </si>
  <si>
    <t>6033946ae87c9207e0875e00</t>
  </si>
  <si>
    <t>İsmail Usta Tantuni &amp; Biftek, Mezitli (Atatürk Mah.)</t>
  </si>
  <si>
    <t>İsmail Pelin</t>
  </si>
  <si>
    <t>atatürk mahallesi sanayi caddesi özzafer sitesi c blok altı İsmail Usta Tantuni ve Biftek salonu mezitli/mersin</t>
  </si>
  <si>
    <t xml:space="preserve">ürünlerinin tamamı ekli </t>
  </si>
  <si>
    <t>607db9d110bf223eb3b6753e</t>
  </si>
  <si>
    <t>İsotking Çiğköfte, Toroslar (Çağdaşkent Mah.)</t>
  </si>
  <si>
    <t>Esma Alçiçek</t>
  </si>
  <si>
    <t>Çağdaşkent Mah.Fatih Sultan Mehmet Bulvarı No/48-A Toroslar,Mersin</t>
  </si>
  <si>
    <t xml:space="preserve">gerek yok ona dedi istemiyor//wp numarası istedi vermeyince tersledi maili kabul etmiyor/ meşgule attı </t>
  </si>
  <si>
    <t>61a4c1220aedac86280c0eb3</t>
  </si>
  <si>
    <t>İsotkinğ Çiğköfte, Akdeniz (Kültür Mah.)</t>
  </si>
  <si>
    <t>Burak Akdemir</t>
  </si>
  <si>
    <t>Kültür Mah.Atatürk Caddesi Fuar Apartmanı altı No: 25 Akdeniz, Mersin</t>
  </si>
  <si>
    <t>62012bdff454381ce6c2122f</t>
  </si>
  <si>
    <t>İstanbul Börekçisi &amp; Kır Pidesi &amp; Tantuni (Çiftlikköy Mah.)</t>
  </si>
  <si>
    <t>Ramazan Ertan</t>
  </si>
  <si>
    <t>Çiftlikköy Mah.H.Okan Merzeci Bulvarı No:690-A Yenişehir,Mersin</t>
  </si>
  <si>
    <t>608fe48e68f4686a097baeee</t>
  </si>
  <si>
    <t>İstanbul Börekçisi, Akdeniz (Mesudiye Mah.)</t>
  </si>
  <si>
    <t>Mesudiye Mah.5113 Sokak No/46-B Akdeniz,Mersin</t>
  </si>
  <si>
    <t xml:space="preserve">5526960553// çekilmiş </t>
  </si>
  <si>
    <t>611cf4c851d7d8ca5d2668d3</t>
  </si>
  <si>
    <t>İstanbul Çiğ Köfte, Yenişehir (Aydınlıkevler Mah.)</t>
  </si>
  <si>
    <t>Orhan Söyler</t>
  </si>
  <si>
    <t>çekim istemiyorum/ ulaşılamıyor. orhan bey: 05435543338 orhan beyden randevu alındı.Daha önce randevu  oluşturdunuz gelmediniz çoçuk oyuncağımı istemiyorum dedi ama hiç randevu oluşturulmamış daha öncesinde.</t>
  </si>
  <si>
    <t>619546e677a79ec1e669756c</t>
  </si>
  <si>
    <t>İstanbul Sokak Lezzetleri, Mezitli (Yeni Mah.)</t>
  </si>
  <si>
    <t>Derya Bal</t>
  </si>
  <si>
    <t>Yeni Mah.33205 Sokak No/3-J Mezitli, Mersin</t>
  </si>
  <si>
    <t>613b61f0eac66c51d343684a</t>
  </si>
  <si>
    <t>İşidoğru Tatlıcılık, Tarsus (Caminur Mah.)</t>
  </si>
  <si>
    <t>Büşra İşidoğru</t>
  </si>
  <si>
    <t>Caminur Mah.0811 Sokak No/1-A Tarsus,Mersin</t>
  </si>
  <si>
    <t>Fahri Bey 5366075459</t>
  </si>
  <si>
    <t>5fde37e3e7ba498209a093e7</t>
  </si>
  <si>
    <t>İtalino Macarina , Yenişehir (Aydınlıkevler Mah.)</t>
  </si>
  <si>
    <t>Sergen Makal</t>
  </si>
  <si>
    <t>Aydınlıkevler mahallesi dumlupınar caddesi fırat apartmanı a blok no:7 c yenişehir mersin</t>
  </si>
  <si>
    <t>kendi fotoğrafları varmış yollayacaklarmış//numara eksik ya da hatalı// 1 HAFTAYA TACAĞIM DER/unuttuk atalım dediler.</t>
  </si>
  <si>
    <t>61b70c0d74e4debc2d13d177</t>
  </si>
  <si>
    <t>İzol Börek, Silifke (Göksu Mah.)</t>
  </si>
  <si>
    <t>Nimet Sarı</t>
  </si>
  <si>
    <t>Göksu Mah.Oğuz Kağan Cad.No:22-C Silifke,Mersin</t>
  </si>
  <si>
    <t>62167dfb38a68e1feb0ed251</t>
  </si>
  <si>
    <t>Julienne Butik Yemekçilik, Yenişehir (Limonluk Mah.)</t>
  </si>
  <si>
    <t>Cihan Kandan</t>
  </si>
  <si>
    <t>Limonluk Mah.İsmet İnönü Bulvarı No:143-C Yenişehir,Mersin</t>
  </si>
  <si>
    <t>6198e24106cdc8dfe72567a0</t>
  </si>
  <si>
    <t>Jungle Cafe, Yenişehir (Dumlupınar Mah.)</t>
  </si>
  <si>
    <t>Abdülkadir Bezek</t>
  </si>
  <si>
    <t>Dumlupınar Mah.1520 Sokak No/16-C Yenişehir,Mersin</t>
  </si>
  <si>
    <t>tesekkürler dedi kapattı</t>
  </si>
  <si>
    <t>601a70035ad05126c49863cd</t>
  </si>
  <si>
    <t>Kadir Usta Et &amp; Mangal, Yenişehir (Çiftlikköy Mah.)</t>
  </si>
  <si>
    <t>Albayrak</t>
  </si>
  <si>
    <t>Çiftlikköy Mahallesi, Şakirson Caddesi 57/A Yenişehir, Mersin ( Çiftlikköy Mahalle Muhtarlığı Karşısı)</t>
  </si>
  <si>
    <t>istemiyor aranmasın dedi</t>
  </si>
  <si>
    <t>6230eb609fd075e113f463e4</t>
  </si>
  <si>
    <t>Kadir Usta Ocakbaşı &amp; Lahmacun, Yenişehir (Çiftlikköy Mah.)</t>
  </si>
  <si>
    <t>Metehan Albayrak</t>
  </si>
  <si>
    <t>Çiftlikköy Mah.Şakir Son Cad.No:57-A Yenişehir,Mersin</t>
  </si>
  <si>
    <t>6213d0222d382ba448c06387</t>
  </si>
  <si>
    <t>Kadir Usta Tantuni, Mezitli (Akdeniz Mah.)</t>
  </si>
  <si>
    <t>Kadir Ekrem Toprak</t>
  </si>
  <si>
    <t>Akdeniz Mah.Akdeniz Cad.No:26 Mezitli,Mersin</t>
  </si>
  <si>
    <t>6177b9bf3486e07715d975b8</t>
  </si>
  <si>
    <t>Kafana Göre Coffee, Yenişehir (Çiftlikköy Mah.)</t>
  </si>
  <si>
    <t>Ali Kaan Kaya</t>
  </si>
  <si>
    <t>Çiftlikköy Mah.İstemihan Talay Cad.No/245-A Yenişehir,Mersin</t>
  </si>
  <si>
    <t>60886cdfee9c1fd2ddd043c9</t>
  </si>
  <si>
    <t>Kahve Çekirdeği, Mezitli (Merkez Mah.)</t>
  </si>
  <si>
    <t>Nalan Sakar</t>
  </si>
  <si>
    <t>Merkez Mah.Eskiköy Cad.No/20-D Mezitli,Mersin</t>
  </si>
  <si>
    <t>eksık urunlerı ıstemez</t>
  </si>
  <si>
    <t>6088720d1949c7566f255153</t>
  </si>
  <si>
    <t>Kahve Çekirdeği, Yenişehir (Eğriçam Mah.Marina Avm)</t>
  </si>
  <si>
    <t>Eğriçam Mah.Adnan Menderes Bulvarı No/33 Yenişehir,Mersin</t>
  </si>
  <si>
    <t>5366224080 marina avm devam istemiyor çekilenler birbirini tamamlar nitelikte dediler.</t>
  </si>
  <si>
    <t>624b3045243b4980fa498b21</t>
  </si>
  <si>
    <t>Kalenderbey Tantuni &amp; Döner, Yenişehir (İnönü Mah.)</t>
  </si>
  <si>
    <t>Orçun Ceylan</t>
  </si>
  <si>
    <t>6019a5c0093f1d4fb77074dd</t>
  </si>
  <si>
    <t>Kaptan Balıkçılık, Tarsus (Şehitler Tepesi Mah.)</t>
  </si>
  <si>
    <t>Yaşar Ömgen</t>
  </si>
  <si>
    <t>Şehitler Tepesi Mah.Kasım Ekenler Bulvarı No/207-C Tarsus. Mersin</t>
  </si>
  <si>
    <t xml:space="preserve">eylülde arayın dedi </t>
  </si>
  <si>
    <t>600c3cf20909cf776e57dd66</t>
  </si>
  <si>
    <t>Karamel Cafe, Yenişehir (Limonluk Mah.)</t>
  </si>
  <si>
    <t>Nuray Demiryürek Güreş</t>
  </si>
  <si>
    <t>Limonluk Mah.İsmet İnönü Bulvarı No/320-B Yenişehir,Mersin</t>
  </si>
  <si>
    <t>(0324) 325 14 64/ pzt sabah istiyor cuma tekrar aranacak//çalmıyor//1 saat sonra//cevapsız//05352910061 çalmıyor \\11-12 nisana randevu istiyor.</t>
  </si>
  <si>
    <t>5fe65f4ccf33764b3fb351c7</t>
  </si>
  <si>
    <t>Karataş Balıkçılık, Yenişehir (Çiftlikköy Mah.)</t>
  </si>
  <si>
    <t>Süleyman Silgeciler</t>
  </si>
  <si>
    <t>Çiftlikköy Mah.Üniversite Cad.Akademi Plaza 41 AG Yenişehir Mersin</t>
  </si>
  <si>
    <t>tüm fotoları çekilmiş</t>
  </si>
  <si>
    <t>60d35b06717e1b8551a4df6b</t>
  </si>
  <si>
    <t>Kardeşler Kebap Evi, Toroslar (Çavuşlu Mah.)</t>
  </si>
  <si>
    <t>Aydın Uçan</t>
  </si>
  <si>
    <t>Çavuşlu Mah.Gözne Cad.No/150 Toroslar,Mersin</t>
  </si>
  <si>
    <t>tekrar aranacak./5 te aranılcak yt ıle grusulecekü</t>
  </si>
  <si>
    <t>5fdf9ee624561e482d95d566</t>
  </si>
  <si>
    <t>Kastınmoni Kır Pidesi &amp; Börek Evi, Yenişehir (Çiftlikköy Mah.)</t>
  </si>
  <si>
    <t>Hüseyin Oduncu</t>
  </si>
  <si>
    <t>Çiftlikköy Mh. Üni. Cad. No:41 Akademi Plaza A, 33090 Yenişehir/Mersin</t>
  </si>
  <si>
    <t xml:space="preserve">gerek yok dedi  </t>
  </si>
  <si>
    <t>62585db51c5e6ef17e1a7a01</t>
  </si>
  <si>
    <t>Hakim Kaya</t>
  </si>
  <si>
    <t>615d976a6626511093650def</t>
  </si>
  <si>
    <t>Katık Döner, Akdeniz (Bahçe Mah.)</t>
  </si>
  <si>
    <t>Zanyar Anık</t>
  </si>
  <si>
    <t>Bahçe Mah.İstiklal Cad.Atlıhan Oteli No/138-A Akdeniz,Mersin</t>
  </si>
  <si>
    <t>sürekli randevuları iptal ediyor 5-6 kere oluşturuldu hepsini iptal etti bi daha oluşturulmasın</t>
  </si>
  <si>
    <t>6155f51cb17010407d27c183</t>
  </si>
  <si>
    <t>Katık Döner, Mezitli (Akdeniz Mah.)</t>
  </si>
  <si>
    <t>Bekir Hakverdi</t>
  </si>
  <si>
    <t>Akdeniz Mah.Zeytinli Cad.No/5-B Mezitli, Mersin</t>
  </si>
  <si>
    <t>5362261015 mustafa /aksam uxerı aranılcask</t>
  </si>
  <si>
    <t>5fdfd13a22f5bdb49cd6fb99</t>
  </si>
  <si>
    <t>Katık Döner, Pozcu (İnönü Mah.)</t>
  </si>
  <si>
    <t>Ercan Genç</t>
  </si>
  <si>
    <t>İnönü, 1405. Sk. No:25, 33130 Yenişehir/Mersin</t>
  </si>
  <si>
    <t>21 haziran pazartesiye ertelendi</t>
  </si>
  <si>
    <t>606e09766fb181a222ce9e0c</t>
  </si>
  <si>
    <t>Katık Döner, Yenişehir (Çiftlikköy Mah.Üniversite Cad.)</t>
  </si>
  <si>
    <t>Şahin Kış</t>
  </si>
  <si>
    <t>Çiftlikköy Mah.Üniversite Cad.No/5-B Yenişehir, Mersin</t>
  </si>
  <si>
    <t>30 Ağustosa ertelendi</t>
  </si>
  <si>
    <t>624fdc7eb1c55f32f54a9fd5</t>
  </si>
  <si>
    <t>Katık Döner, Yenişehir, (Çiftlikköy Mah.-Fakülte Cad.)</t>
  </si>
  <si>
    <t>MURAT AKBULUT</t>
  </si>
  <si>
    <t>Çiftlikköy Mah. Mimar Sinan Cad. No:26C Yenişehir Mersin</t>
  </si>
  <si>
    <t>600c4684104d8bee63f29f43</t>
  </si>
  <si>
    <t>Katık Döner, Yenişehir, (Çiftlikköy Mah.-Üniversite Cad.)</t>
  </si>
  <si>
    <t>Nazlı Kaya</t>
  </si>
  <si>
    <t>Çiftlikköy Mah.Mimar Sinan Cad.No/26-C Yenişehir,Mersin</t>
  </si>
  <si>
    <t>5550300231//birkan bey//fakülte şubesi</t>
  </si>
  <si>
    <t>5fe40e62879562f5a9cd02a2</t>
  </si>
  <si>
    <t>KatKat Döner&amp; Tantuni, Yenişehir (Çiftlikköy Mah.)</t>
  </si>
  <si>
    <t>Ferudun Taçyıldız</t>
  </si>
  <si>
    <t>Çiftlikköy, Üniversite Cd. No:31, 33110 Yenişehir/Mersin</t>
  </si>
  <si>
    <t>6037e8fa451e50807e797013</t>
  </si>
  <si>
    <t>Kaya Tantuni &amp; Döner Salonu, Akdeniz (İhsaniye Mah.)</t>
  </si>
  <si>
    <t>Hacı Ahmet Kaya</t>
  </si>
  <si>
    <t>İhsaniye Mah.Kuvayi Milliye Cad.No/127-B Akdeniz,Mersin</t>
  </si>
  <si>
    <t>iptal olan yerine5523343346</t>
  </si>
  <si>
    <t>6196383bda87953c7b2d4f71</t>
  </si>
  <si>
    <t>Kaya Tantuni, Toroslar (Yusuf Kılıç Mah.)</t>
  </si>
  <si>
    <t>Faruk Kaya</t>
  </si>
  <si>
    <t>Yusuf Kılıç Mah.Kuvayi Miliye Bulvarı No:373-B Toroslar,Mersin</t>
  </si>
  <si>
    <t>fotoğrafçının makinesi bozulduğu için erteleme / kendi çekimlerini yollayacakmıs MAİL VERİLDİ</t>
  </si>
  <si>
    <t>600883d2056c796527c08e56</t>
  </si>
  <si>
    <t>Kayhan Tantuni, Toroslar (Akbelen Mah.)</t>
  </si>
  <si>
    <t>Emre Kayhan</t>
  </si>
  <si>
    <t>Akbelen Mah.Kuvayi Milliye Bulvarı No/423-A</t>
  </si>
  <si>
    <t>diğer restoran3213356//  5541142630   //İSTEMİYORRR / yemek sepetinde çekim olmuş mail atacak .açmadı.</t>
  </si>
  <si>
    <t>600889b49873d842d68c460c</t>
  </si>
  <si>
    <t>Kayhan Tantuni, Toroslar (Zeki Ayan Mah.-Merkez)</t>
  </si>
  <si>
    <t>Zeki Ayan Mah.Kuvayi Milliye Bulvarı No/215-A Toroslar,Mersin</t>
  </si>
  <si>
    <t xml:space="preserve">5541142630// İSTEMİYORRR / yetkili öğleden sonra geliyor / yetkili malatyaya gitmiş ne zmn döneceği belli dedğil </t>
  </si>
  <si>
    <t>61c1d1727d272caf4205f96c</t>
  </si>
  <si>
    <t>Kayseri Döner, Erdemli (Merkez Mah.)</t>
  </si>
  <si>
    <t>Nihat Bozkır</t>
  </si>
  <si>
    <t>Merkez Mah.2004 Sokak N0:3 -D Erdemli,Mersin</t>
  </si>
  <si>
    <t>606f544c354eaae9e6ab7f33</t>
  </si>
  <si>
    <t>Kebapçı Adnan Usta, Toroslar (Portakal Mah.)</t>
  </si>
  <si>
    <t>Adem Acun</t>
  </si>
  <si>
    <t>Portakal Mah.Akbelen Bulvarı No/79-A Toroslar, Mersin</t>
  </si>
  <si>
    <t xml:space="preserve">numara aldılar geri dönücez size dediler//şuan müsait değilim öğleden sonra veya yarın arayın dedi/düşünmüyorum dediler// GÖNDERİP GÖNDERMEYECEĞİNE BAKIP DÖNÜŞ YAPAYIM SİZE DER/fotoğraflar için arandı ama açmadı. / her şey hakkında bilgim var ama istemiyorum dedi </t>
  </si>
  <si>
    <t>603e997eb2bbe6d2bfcc554b</t>
  </si>
  <si>
    <t>Kebapçı Erhan, Tarsus (Öğretmenler Mah.)</t>
  </si>
  <si>
    <t>Erhan Okur</t>
  </si>
  <si>
    <t>Öğretmenler Mah.Dumlupınar Bulvarı No/1-2B Tarsus,Mersin</t>
  </si>
  <si>
    <t>açmadı //gerek duymuyorum dedi</t>
  </si>
  <si>
    <t>6011c10ff179e4b2b02594ce</t>
  </si>
  <si>
    <t>Kebapçı Mahmut Usta, Erdemli (Merkez Mah.)</t>
  </si>
  <si>
    <t>Döne Özsan</t>
  </si>
  <si>
    <t>Merkez Mah.Ali Çavuş Sokak No/3-G Erdemli,Mersin</t>
  </si>
  <si>
    <t>5fece578f0267c3338134614</t>
  </si>
  <si>
    <t>Kebapçı Ökkeş,Tarsus (Yeni Ömerli Mah.)</t>
  </si>
  <si>
    <t>Ökkeş Demir</t>
  </si>
  <si>
    <t>Yeni Ömerli Mah.4113 Sokak No/2 Tarsus,Mersin</t>
  </si>
  <si>
    <t>yetkili yok pazartesi arancak.</t>
  </si>
  <si>
    <t>602ffcce6f409c9f51d0eadb</t>
  </si>
  <si>
    <t>Kemal Usta Kebap, Erdemli (Limonlu Mah.)</t>
  </si>
  <si>
    <t>Perihan siyahözengi</t>
  </si>
  <si>
    <t>Limonlu 1. Bölge</t>
  </si>
  <si>
    <t>limonlu mahallesi Milli egemenlik caddesi no:76A Erdemli/mersin</t>
  </si>
  <si>
    <t>61d7c00bc62f4988c247191e</t>
  </si>
  <si>
    <t>Kepirx Et Uzmanı, Yenişehir (Hürriyet Mah.)</t>
  </si>
  <si>
    <t>Hasan Karaer</t>
  </si>
  <si>
    <t>Hürriyet Mah.İsmet İnönü Bulvarı No:272-A Yenişehir,Mersin</t>
  </si>
  <si>
    <t xml:space="preserve">fotoğrafları varmış mail adresine atacaklar </t>
  </si>
  <si>
    <t>61449261b7b3651ef3954bb2</t>
  </si>
  <si>
    <t>Kepirx Et Uzmanı, Yenişehir(Çiftlikköy Mah.)</t>
  </si>
  <si>
    <t>Erdal Köçer</t>
  </si>
  <si>
    <t>erdal bey 5056741817 fotografları göndereyim dediler.</t>
  </si>
  <si>
    <t>622f6679c900da5b77d23715</t>
  </si>
  <si>
    <t>Kerebiçci Hayri Usta, Yenişehir ( Güvenevler Mah.)</t>
  </si>
  <si>
    <t>İbrahim Tosunoğlu</t>
  </si>
  <si>
    <t>Güvenevler Mah.G.M.K Bulvarı No:376-C Yenişehir,Mersin</t>
  </si>
  <si>
    <t>608befc5ee9c1f9915d0be6a</t>
  </si>
  <si>
    <t>Kerebiçci Hayri Usta, Yenişehir (Eğriçam Mah.)</t>
  </si>
  <si>
    <t>Pınar Tosunoğlu</t>
  </si>
  <si>
    <t>Eğriçam Mah.Nevit Kodallı Cad.No/35-E Yenişehir,Mersin</t>
  </si>
  <si>
    <t>61a63de57d818575eccf0a81</t>
  </si>
  <si>
    <t>Kerebiçci Oğuz, Akdeniz (Barış Mah.)</t>
  </si>
  <si>
    <t>Havva Mermi</t>
  </si>
  <si>
    <t>Barış Mah.4505 sokak No:9-B Akdeniz,Mersin</t>
  </si>
  <si>
    <t>6033a5938653ef28dbd2bb41</t>
  </si>
  <si>
    <t>Kerebiçci Oğuz, Mezitli (Merkez Mah.)</t>
  </si>
  <si>
    <t>ekrem yılmaz</t>
  </si>
  <si>
    <t>Gazi Mustafa Kemal bulvarı Mehmet ulaş işhanı kerebiçci Oğuz</t>
  </si>
  <si>
    <t xml:space="preserve">çekim gerçekleşti </t>
  </si>
  <si>
    <t>61d48ff5c180db9ad3141153</t>
  </si>
  <si>
    <t>Kerebiçci Oğuz, Mezitli (Merkez Mah.Fındıkpınarı Cad.)</t>
  </si>
  <si>
    <t>Ekrem Yılmaz</t>
  </si>
  <si>
    <t>Merkez Mah.Fındıkpınarı Cad.Kuyuluk Plaza No:59-B Mezitli,Mersin</t>
  </si>
  <si>
    <t xml:space="preserve">1 saat sonra ara </t>
  </si>
  <si>
    <t>60b218c136f23589fee91fa4</t>
  </si>
  <si>
    <t>Kerebiçci Oğuz, Yenişehir (Barbaros Mah.)</t>
  </si>
  <si>
    <t>İbrahim Burak Etiler</t>
  </si>
  <si>
    <t>Barbaros Mah.Nevit Kodallı Cad.No/36-A Yenişehir,Mersin</t>
  </si>
  <si>
    <t>612a36dfa30d791d2acd4fd5</t>
  </si>
  <si>
    <t>Kerebiçci Oğuz, Yenişehir (Çiftlikköy Mah.)</t>
  </si>
  <si>
    <t>Fatma Gayir</t>
  </si>
  <si>
    <t>Çiftlikköy Mah.İstemihan Talay Cad.No/223-A Yenişehir,Mersin</t>
  </si>
  <si>
    <t>bu hafta olmaz 2 hafta sonra goruselım</t>
  </si>
  <si>
    <t>602e1c318364b8297f98c137</t>
  </si>
  <si>
    <t>Kerebiçci Oğuz, Yenişehir (Hürriyet Mah.)</t>
  </si>
  <si>
    <t>Tutku Serin Dursun</t>
  </si>
  <si>
    <t>Kerebiççi Oğuz Hürriyet Şube (Ekmek konağı civarı, Yörüksüt yanı)</t>
  </si>
  <si>
    <t>6213dfa368cd085137cfc553</t>
  </si>
  <si>
    <t>Kerebiçci Sabahat, Yenişehir (Aydınlıkevler Mah.)</t>
  </si>
  <si>
    <t>Sabahat Kartal</t>
  </si>
  <si>
    <t>Aydınlıkevler Mah.2002 Sokak No:5-A Yenişehir,Mersin</t>
  </si>
  <si>
    <t>603a8896303c95276c2f8a6b</t>
  </si>
  <si>
    <t>Kerebiççim, Mezitli (Yeni Mah.)</t>
  </si>
  <si>
    <t>Yeni Mah.İsmet İnönü Bulvarı C blok altı No/46-E Mezitli,Mersin</t>
  </si>
  <si>
    <t>fotoğraflar yüklenmemiş \\kerebiççi oğuzdan fotoğraf çekimi yapılmış bu şubede kullanılacakmış.</t>
  </si>
  <si>
    <t>6112cb78a75efdb4e0d9d413</t>
  </si>
  <si>
    <t>Ketchap Burger, Erdemli (Alata Mah.)</t>
  </si>
  <si>
    <t>Soner Aygül</t>
  </si>
  <si>
    <t>Alata Mah.Alparslan Türkeş Bulvarı No336/A Erdemli, Mersin</t>
  </si>
  <si>
    <t>salı gununu ıster</t>
  </si>
  <si>
    <t>5ff4afc458f3ac23d7e7464d</t>
  </si>
  <si>
    <t>Ketchap Burger, Tarsus (Şehitler Tepesi Mah.)</t>
  </si>
  <si>
    <t>Alper Beray Günaştı</t>
  </si>
  <si>
    <t>Kasım Ekenler Bulvarı No/180 A Mahmut Şentut Apt Altı Tarsus,Mersin</t>
  </si>
  <si>
    <t>5ff4b54eac60e8c4446f4b5c</t>
  </si>
  <si>
    <t>Ketchap Burger, Tarsus (Şehitmustafa Mah.-Merkez.)</t>
  </si>
  <si>
    <t>Yeni Ömerli Mah.4113 Sokak No/12-A Tarsus,Mersin</t>
  </si>
  <si>
    <t>mail atacak</t>
  </si>
  <si>
    <t>61bb15d43b26a20d134ea136</t>
  </si>
  <si>
    <t>Keyf-i Mersin Tantuni, Mezitli (Viranşehir Mah.)</t>
  </si>
  <si>
    <t>Mehmet Sayan</t>
  </si>
  <si>
    <t>Viranşehir Mah.34301 Sokak No:12-A Mezitli,Mersin</t>
  </si>
  <si>
    <t>5436868784 mehmet bey açmadı/ÇEKIM GERCEKLESTI</t>
  </si>
  <si>
    <t>606f45e029574adaf1537fff</t>
  </si>
  <si>
    <t>Keyfi Sultan Künefe, Erdemli (Merkez Mah.)</t>
  </si>
  <si>
    <t>Gülçin Kankaya</t>
  </si>
  <si>
    <t>Akdeniz Mah.Alparslan Türkeş Bulvarı No/186-F Erdemli,Mersin</t>
  </si>
  <si>
    <t>getiryemek olarak çekimi gerçekleştirdiğini belirtiyorlar</t>
  </si>
  <si>
    <t>608185d40e33f3771df7ebc2</t>
  </si>
  <si>
    <t>Keyveni Sıkma Börek, Yenişehir (Bahçelievler Mah.)</t>
  </si>
  <si>
    <t>Zöhre Kalın</t>
  </si>
  <si>
    <t>Bahçelievler Mah.18.Cadde No/49-A Yenişehir,Mersin</t>
  </si>
  <si>
    <t xml:space="preserve">05538234419 mesgul/EV İŞELİ İLE UĞRAŞIYORUM  DÜKKANIN BAŞINDA OLAMIYCAM ÖNÜMÜZ HAFTA OLSUN DEDİ/müsait degildi konuşulamadı tekrar aranacak 1 gibi/açmadı / ürünlerinin tamamı çekilmiş </t>
  </si>
  <si>
    <t>62512be91912336e3e53e32c</t>
  </si>
  <si>
    <t>Kırmızı Beyaz Tantuni &amp; Döner Salaonu, Erdemli (Akdeniz Mah.)</t>
  </si>
  <si>
    <t>ÖMER BEDRİ ŞEN</t>
  </si>
  <si>
    <t>Akdeniz Mah. Atatürk Cad. No:132-1 Erdemli Mersin</t>
  </si>
  <si>
    <t>60158fe53d98ed4352ac83f5</t>
  </si>
  <si>
    <t>Kırmızı Döner, Tarsus (82 Evler Mah.)</t>
  </si>
  <si>
    <t>60632920aa4729706daa9808</t>
  </si>
  <si>
    <t>Kırmızı Lahmacun, Akdeniz (Yenimahalle Mah.)</t>
  </si>
  <si>
    <t>Gökan Bekar</t>
  </si>
  <si>
    <t>Yenimahalle Mah.5321 Sokak No/30-A Akdeniz,Mersin</t>
  </si>
  <si>
    <t xml:space="preserve">defalarca arandı istemiyorum/teşekkür ederim istemiyorum dediler/ilgilenmiyoruz dediler/ teşekkür ederim istemiyorum dedi / krdeşiyle konuşup dönüş sağlayacak / mail atacak </t>
  </si>
  <si>
    <t>61a8a60dbbe3168d1e47b07f</t>
  </si>
  <si>
    <t>Kırmızı Tantuni, Erdemli (Merkez Mah.)</t>
  </si>
  <si>
    <t>Mustafa Enç</t>
  </si>
  <si>
    <t>Merkez Mah.Alparslan Türkeş Bulvarı No:240-A Erdemli,Mersin</t>
  </si>
  <si>
    <t xml:space="preserve">yarım saat sonra </t>
  </si>
  <si>
    <t>61c95e955b3375db1a0cdcd1</t>
  </si>
  <si>
    <t>Kibrit Fast &amp; Food, Erdemli (Kargıpınarı Mah.)</t>
  </si>
  <si>
    <t>Saniye Can</t>
  </si>
  <si>
    <t>Kargıpınarı Mah.Uygur Sokak No:18-A Erdemli,Mersin</t>
  </si>
  <si>
    <t>600720295e157f0992d88ce9</t>
  </si>
  <si>
    <t>Kifidis Büyüksaat Kebapçısı, Akdeniz (Camişerif Mah.)</t>
  </si>
  <si>
    <t>Murat Uçuz</t>
  </si>
  <si>
    <t>Camişerif Mah.Çakmak Cad.No/19-A Akdeniz,Mersin</t>
  </si>
  <si>
    <t>yolluyorum şimdi fotoğrafları diyor // YOPĞUNLUKTAN GÖNDEREMEDİM KUSURA BAKMAYIN YARIN GÖNDERECEĞİM DER</t>
  </si>
  <si>
    <t>61a4b642ce62fadcbdda682d</t>
  </si>
  <si>
    <t>Kilo Tavuk &amp; Meze, Erdemli (Merkez Mah.)</t>
  </si>
  <si>
    <t>Tahir Özgür</t>
  </si>
  <si>
    <t>Merkez Mah.Türbe Cad.No/42-A Erdemli,Mersin</t>
  </si>
  <si>
    <t xml:space="preserve">mehmet bey </t>
  </si>
  <si>
    <t>61fa61f3361337eb08ce9890</t>
  </si>
  <si>
    <t>Koçaş Tantuni, Erdemli (Merkez Mah.)</t>
  </si>
  <si>
    <t>Muhittin Koçaş</t>
  </si>
  <si>
    <t>Merkez Mah.Türbe Cad.No:8-B Erdemli,Mersin</t>
  </si>
  <si>
    <t>62525b3d5cfde8830ca8a3a9</t>
  </si>
  <si>
    <t>Kokomusta, Tarsus (Eski Ömerli Mah.)</t>
  </si>
  <si>
    <t>Perihan Kaya</t>
  </si>
  <si>
    <t>Kızılmurat</t>
  </si>
  <si>
    <t>Kızılmurat Mah.Kemal Tursubay sokak No:4 Tarsus, Mersin</t>
  </si>
  <si>
    <t>619d1ef20b5c73526dba788f</t>
  </si>
  <si>
    <t>Kokoreç Dünyası, Erdemli (Alata Mah.)</t>
  </si>
  <si>
    <t>Kadriye Avağ</t>
  </si>
  <si>
    <t>Alata Mah Alparslan Türkeş Bulvarı No:699A- Erdemli,Mersin</t>
  </si>
  <si>
    <t>60259059fc9e27288db6c1cc</t>
  </si>
  <si>
    <t>Kokoreçci Ahmet, Yenişehir (Pirireis Mah.)</t>
  </si>
  <si>
    <t>Ahmet Esin</t>
  </si>
  <si>
    <t>Pirireis Mah.İsmet İnönü Bulvarı No/3-A Yenişehir,Mersin</t>
  </si>
  <si>
    <t>işletme ramazan boyunca kapalı/bayramdan sonra heryer bir açılsın duruma göre bakarız dediler//trafikteyim şuan da / açmıyor GORÜŞÜLDÜ EV TASIMA İŞLERİ VARMİS DAHA SONRA DÖNÜŞ SAĞLANSIN DEDİ</t>
  </si>
  <si>
    <t>62244b84e034d3cd6368873a</t>
  </si>
  <si>
    <t>Kolej Burger, Erdemli (Akdeniz Mah.)</t>
  </si>
  <si>
    <t>Cihan Barış Gökşen</t>
  </si>
  <si>
    <t>Akdeniz Mah.Alparslan Türkeş Bulvarı No:132-C Erdemli,Mersin</t>
  </si>
  <si>
    <t>616031b2197eb96c1ebad55e</t>
  </si>
  <si>
    <t>Korukent Pide &amp; Lahmacun Salonu, Toroslar (Korukent Mah.)</t>
  </si>
  <si>
    <t>Murat Gülsever</t>
  </si>
  <si>
    <t>Korukent Mah.96138 sokak No/2-A Toroslar,Mersin</t>
  </si>
  <si>
    <t>6005dae537de628c4fb36f8a</t>
  </si>
  <si>
    <t>Köfteci Ramiz, Erdemli (Arpaçbahşiş Mah.)</t>
  </si>
  <si>
    <t>Ayşe Koşar</t>
  </si>
  <si>
    <t>Arpaçbahşiş 1. Bölge</t>
  </si>
  <si>
    <t>Arpaçbahşiş Mah.201 Bulvar No/102-A Erdemli,Mersin</t>
  </si>
  <si>
    <t>61f02a9eb61f54a1785b0b7f</t>
  </si>
  <si>
    <t>Köfteci, Tarsus (Öğretmenler Mah.)</t>
  </si>
  <si>
    <t>Orhan Gazi Ergan</t>
  </si>
  <si>
    <t>Öğretmenler Mah.2923 Sokak No:15-B Tarsus,Mersin</t>
  </si>
  <si>
    <t>60ae4b505716ffbc40f81ea7</t>
  </si>
  <si>
    <t>Köksal Tantuni &amp; Döner, Akdeniz (Camişerif Mah.)</t>
  </si>
  <si>
    <t>Neva Ünal</t>
  </si>
  <si>
    <t>Cami Şerif Mah.Çakmak Cad.No/19-A Akdeniz,Mersin</t>
  </si>
  <si>
    <t>60897242c6f49179d43ceb19</t>
  </si>
  <si>
    <t>Köse, Akdeniz (Bahçe Mah.İstiklal Şube)</t>
  </si>
  <si>
    <t>Hürü Melek İplik</t>
  </si>
  <si>
    <t>Bahçe Mah.İstiklal Cad No/92-D Akdeniz,Mersin</t>
  </si>
  <si>
    <t xml:space="preserve">adanada ki şubesinden alınabilir dediler </t>
  </si>
  <si>
    <t>61d803da820ae0810fcd4540</t>
  </si>
  <si>
    <t>Köse, Tarsus (Anıt Mah.)</t>
  </si>
  <si>
    <t>Mesut Çam</t>
  </si>
  <si>
    <t>Anıt Mah.Atatürk Bulvarı No:71-A Tarsus,Mersin</t>
  </si>
  <si>
    <t>5fe39b7035987abb215f3a21</t>
  </si>
  <si>
    <t>Köseoğlu Fırın &amp; Mutfak &amp; Patiseri , Yenişehir (Çiftlikköy Mah.)</t>
  </si>
  <si>
    <t>Muhammet Ali Kaya</t>
  </si>
  <si>
    <t>Çiftlikköy Mah. Üniversite Cad. Akademi Plaza 37 nolu bağımsız NO:41 Ak Yenişehir/Mersin</t>
  </si>
  <si>
    <t>hepsi çekilmiş./GEREK YOK DEDI FIYATLARLA SIKINTIMIZ VAR ZTEN DEDI</t>
  </si>
  <si>
    <t>5fe02b88cd276002e49fa003</t>
  </si>
  <si>
    <t>Köşem Et Lokantası, Yenişehir (Barbaros Mah.)</t>
  </si>
  <si>
    <t>Serhat Atlan</t>
  </si>
  <si>
    <t>Barbaros Mahallesi Nevit Kodallı Caddesi (Nevit Kodallı)</t>
  </si>
  <si>
    <t>Devam çekimi</t>
  </si>
  <si>
    <t>61a9fc4cd832b39223110de5</t>
  </si>
  <si>
    <t>Köşk-ü Ala Restaurant, Silifke (Taşucu Mah.)</t>
  </si>
  <si>
    <t>Kudret Yüksel</t>
  </si>
  <si>
    <t>Taşucu Mah.İsmet İnönü Cad.No:38-A Silifke,Mersin</t>
  </si>
  <si>
    <t>61924869eab7553166af60a8</t>
  </si>
  <si>
    <t>Köylüm 33, Toroslar (Yusuf Kılıç Mah.)</t>
  </si>
  <si>
    <t>Seçkin Doğan</t>
  </si>
  <si>
    <t>Yusuf Kılıç Mahallesi 83023 Sokak numara no/1-A Toroslar,Mersin</t>
  </si>
  <si>
    <t>602ea60217a3762c7c363bfa</t>
  </si>
  <si>
    <t>Közde Izgara &amp; Kebap, Mezitli (75.Yıl Mah.)</t>
  </si>
  <si>
    <t>Mehmet Yıldız</t>
  </si>
  <si>
    <t>75.yıl</t>
  </si>
  <si>
    <t>75.Yıl Mah.G.M.K Bulvarı No/1058 BA Mezitli,Mersin</t>
  </si>
  <si>
    <t xml:space="preserve">panelle alakalı sorunları var biz tarafından aranınca alaycı şkilde kouşuyor elinizdeki standart fotograflardan koyun kapaga dediler. çekimde kesinlikle istemiyorlar. tekrar aranmasın./ öğleden sonra tekrar ara / iki saat sonra tekrar aranacak </t>
  </si>
  <si>
    <t>61f02e5a8f58ca57939715ce</t>
  </si>
  <si>
    <t>Közde Piliç, Tarsus (Caminur Mah.)</t>
  </si>
  <si>
    <t>Hüseyin Necat Gizlenci</t>
  </si>
  <si>
    <t>Caminur Mah.İsmet Paşa Bulvarı No:47-A Tarsus,Mersin</t>
  </si>
  <si>
    <t>6245dccaf2065d0b8a42dfda</t>
  </si>
  <si>
    <t>Kral Tantuni, Anamur (Saray Mah.)</t>
  </si>
  <si>
    <t>Nurettin Şan</t>
  </si>
  <si>
    <t>Saray Mah.Bankalar Cad.No:13-A Anamur,Mersin</t>
  </si>
  <si>
    <t>60bdeaab0355c7493937d2c5</t>
  </si>
  <si>
    <t>Kriti Kafe &amp; Mantı Evi, Toroslar (Osmaniye Mah.)</t>
  </si>
  <si>
    <t>Kudret Durna</t>
  </si>
  <si>
    <t>Osmaniye Mah.208 Cadde N0/33-3 Toroslar,Mersin</t>
  </si>
  <si>
    <t>6176adbf4f4f493af2a6f2c3</t>
  </si>
  <si>
    <t>Kukla İskender, Yenişehir (Akkent Mah.)</t>
  </si>
  <si>
    <t>Akkent Mah.Hüseyin Okan Merzeci Bulvarı No/759 Yenişehir,Mersin</t>
  </si>
  <si>
    <t xml:space="preserve">yetkili yokmuş numaramı aldı geldiği zaman yetkiliye aratacak / mail verildi </t>
  </si>
  <si>
    <t>6258691dd94ebd7bb425169e</t>
  </si>
  <si>
    <t>Kushi Sushi, Yenişehir (İnönü Mah.)</t>
  </si>
  <si>
    <t>İnönü Mah.1405 Sokak Nigar Mutlu Apt. Yenişehir,Mersin</t>
  </si>
  <si>
    <t>61af29d7a061500d8a504931</t>
  </si>
  <si>
    <t>Kuzey Tantuni, Yenişehir (Menteş Mah.)</t>
  </si>
  <si>
    <t>Ömer Erdem</t>
  </si>
  <si>
    <t>Menteş Mah.2598 Sokak No:33-A Yenişehir,Mersin</t>
  </si>
  <si>
    <t xml:space="preserve">kendi arıycak aramayın / açıp ses vermedi / sistemden çıkmak istiyormuş </t>
  </si>
  <si>
    <t>600b1ca4e94019dd5eeb32bc</t>
  </si>
  <si>
    <t>Künefeci Emin Usta, Akdeniz (Kiremithane Mah.)</t>
  </si>
  <si>
    <t>Emin Leylak</t>
  </si>
  <si>
    <t>Kiremithane Mah.Silifke Cad.No/101 Akdeniz,Mersin</t>
  </si>
  <si>
    <t>d.ç istemiyo</t>
  </si>
  <si>
    <t>619530fd635dc1da4437edbf</t>
  </si>
  <si>
    <t>Künefeci ilhamizade , Yenişehir (Deniz Mah.)</t>
  </si>
  <si>
    <t>İlhami Aydın Cömert</t>
  </si>
  <si>
    <t>Deniz Mah.3070 Sokak No/2-A Yenişehir,Mersin</t>
  </si>
  <si>
    <t>5ffe01024a4dfa0712aba0a5</t>
  </si>
  <si>
    <t>La Vanille Patisserie, Yenişehir (Çiftlikköy Mah.)</t>
  </si>
  <si>
    <t>Ümit Kısacık</t>
  </si>
  <si>
    <t>Çiftlikköy Mah.Ali Kaya Mutlu Cad.No/224-D Yenişehir,Mersin</t>
  </si>
  <si>
    <t xml:space="preserve">iptal olan devam çekimi alındı / iptal olmuş devam çekimi </t>
  </si>
  <si>
    <t>5fe0f0fedaff16445f6e1cbc</t>
  </si>
  <si>
    <t>La Vita Akdeniz Patiseri, Mezitli (Merkez Mah.)</t>
  </si>
  <si>
    <t>Benevşe Kayabaşı</t>
  </si>
  <si>
    <t>Merkez, Vatan Cd. 23 I, 33330 Mezitli/Mersin</t>
  </si>
  <si>
    <t>buranın çekimi daha önce yapıldı dediler. alınan randevu yok fotografçılara sorduk cevap bekleniyor diger işletmede göndermiş.</t>
  </si>
  <si>
    <t>61890205f5a47de5c5cc9290</t>
  </si>
  <si>
    <t>Lagün Park Cafe &amp; Restaurant, Erdemli (Alata Mah.)</t>
  </si>
  <si>
    <t>Murat Topal</t>
  </si>
  <si>
    <t>Alata Mah.Erdemoğlu Bulvarı No/94-A Erdemli,Mersin</t>
  </si>
  <si>
    <t xml:space="preserve">Eshabil bey 5347036842 / kalan ürünler için şuanlık gerek yok dedi </t>
  </si>
  <si>
    <t>60f05e12127af30624c45754</t>
  </si>
  <si>
    <t>Lahmacun Dünyası, Erdemli (Merkez Mah.)</t>
  </si>
  <si>
    <t>Cuma Ali Kartal</t>
  </si>
  <si>
    <t>Merkez Mah.Türbe Cad.2004 Sokak N0/3-A Erdemli,Mersin</t>
  </si>
  <si>
    <t>muhammed bey mail verildi</t>
  </si>
  <si>
    <t>60b0f0fd2e1abcc6e54531de</t>
  </si>
  <si>
    <t>Lamore Pizza, Mezitli (Merkez Mah.)</t>
  </si>
  <si>
    <t>Doğukan Üre</t>
  </si>
  <si>
    <t>Merkez Mah.Zeytinli Cad.No/41-A Mezitli,Mersin</t>
  </si>
  <si>
    <t xml:space="preserve">tekrar devam çekimi istemiyorum dedi </t>
  </si>
  <si>
    <t>61c16f5522356b62bb1935e3</t>
  </si>
  <si>
    <t>Lavinia Pasta &amp; Cafe, Akdeniz (Güneş Mah.)</t>
  </si>
  <si>
    <t>Serhat Taniş</t>
  </si>
  <si>
    <t>Güneş Mah. 5819 sok. No:22/A Akdeniz/MERSİN</t>
  </si>
  <si>
    <t xml:space="preserve">kapatmış  </t>
  </si>
  <si>
    <t>61890c5370d84bff26c00a9f</t>
  </si>
  <si>
    <t>Les Poulets, Yenişehir (Güvenevler Mah.)</t>
  </si>
  <si>
    <t>Kerim Berk Dere</t>
  </si>
  <si>
    <t>61bc5248dda99d71cda97f20</t>
  </si>
  <si>
    <t>Letafet Baklava &amp; Kadayıf, Yenişehir (Barboros Mah.)</t>
  </si>
  <si>
    <t>Merve Bozkurt</t>
  </si>
  <si>
    <t>Barboros Mah.G.M.K Bulvarı No:486-B Yenişehir,Mersin</t>
  </si>
  <si>
    <t>hüseyin bey eşi, hüseyin beyden randevu alındı. çekim gerçekleşmiş teyit için arandı.</t>
  </si>
  <si>
    <t>60951bcbdf86fb62d89bb26e</t>
  </si>
  <si>
    <t>Lezzet Durağı Ahmet Usta, Mezitli (Tece Mah.)</t>
  </si>
  <si>
    <t>Kardelen Koktay</t>
  </si>
  <si>
    <t>Deniz Mah.Kıbrıs Cad.No/8-A Mezitli,Mersin</t>
  </si>
  <si>
    <t xml:space="preserve">kardelen hanım tamam dedi ortakları yok demiş sistem kapalı demiş </t>
  </si>
  <si>
    <t>624b0dccf530774a458ee6b6</t>
  </si>
  <si>
    <t>Lezzet O, Yenişehir (Akkent Mah.)</t>
  </si>
  <si>
    <t>ARZU SİNEM SÖNMEZ</t>
  </si>
  <si>
    <t>Akkent Mah. 2636 Sok. No:24A Yenişehir/Mersin</t>
  </si>
  <si>
    <t>603d3bdf41ca7f765c6dc120</t>
  </si>
  <si>
    <t>Lezzet Saati Kafe &amp; Ev Yemekleri, Toroslar (Portakal Mah.)</t>
  </si>
  <si>
    <t>Baki Öztürk</t>
  </si>
  <si>
    <t>Portakal Mah.80023 Sokak No/14-A Toroslar,Mersin</t>
  </si>
  <si>
    <t xml:space="preserve">ürünlerinin çoğunluuğu olduğu zaman kendisi dönüş sağlayacak / açmadı </t>
  </si>
  <si>
    <t>6019948e669ec378e17523fa</t>
  </si>
  <si>
    <t>Lezzet Tantuni &amp; Döner &amp; Fast Food, Yenişehir (Hürriyet Mah.)</t>
  </si>
  <si>
    <t>Ufuk Torun</t>
  </si>
  <si>
    <t>Hürriyet Mah.16.Cadde No/54-C Yenişehir, Mersin</t>
  </si>
  <si>
    <t>61821f8bb84a05d0a206ace0</t>
  </si>
  <si>
    <t>Lezzet-İ Antep Sofrası, Akdeniz (Mesudiye Mah.)</t>
  </si>
  <si>
    <t>Mert Çakar</t>
  </si>
  <si>
    <t>Mesudiye Mah.5116 Sokak No/34 Akdeniz,Mersin</t>
  </si>
  <si>
    <t xml:space="preserve">çekim sağlanmış / eksik kalan ürünleri için kendisi dönüş yapmak istedi </t>
  </si>
  <si>
    <t>620e8305f9be3bb77737f42f</t>
  </si>
  <si>
    <t>Lidas Cafe, Toroslar (Osmaniye Mah.)</t>
  </si>
  <si>
    <t>Ayşe Bağ</t>
  </si>
  <si>
    <t>Osmaniye Mah.Kuvayi Milliye Bulvarı No:197 Toroslar,Mersin</t>
  </si>
  <si>
    <t>60393196be8cfda3b795f15e</t>
  </si>
  <si>
    <t>Lider Tantuni, Mezitli (Tece Mah.)</t>
  </si>
  <si>
    <t>Mehmet Aydoğan</t>
  </si>
  <si>
    <t>Seymenli Mah.Gazi Mustafa Kemal Bulvarı No/1186-A Mezitli,Mersin</t>
  </si>
  <si>
    <t xml:space="preserve">istemiyor \\görüştük bu konuyu istemiyoruz dedi./hala istemiyor sebebi yok istemiyorum tekrar aramayın dedii./ yarım saat sonra / her hangi bir sebebi yok gelmeyin istemiyorum dedi </t>
  </si>
  <si>
    <t>5fe885ffac60e870386ccc1c</t>
  </si>
  <si>
    <t>Lido Pizza, Mezitli (Merkez Mah.)</t>
  </si>
  <si>
    <t>Deniz Çürük</t>
  </si>
  <si>
    <t>Merkez Mah.G.M.K Bulvarı Üç Bal Sitesi Altı 882/F Mezitli Mersin</t>
  </si>
  <si>
    <t xml:space="preserve">çekim gerçekleşmiş //devam çekimi için patronuyla konuşacak\\istemiyor / devam çekimi alındı </t>
  </si>
  <si>
    <t>5fe889c8333ef5db00aec28f</t>
  </si>
  <si>
    <t>Lido Pizza,Yenişehir (Barboros Mah.)</t>
  </si>
  <si>
    <t>Barboros Mah.G.M.K Bulvarı Güvenç Apt.B blok No/473 C Yenişehir Mersin</t>
  </si>
  <si>
    <t>5327693773 coşkun bey / 5fe885ffac60e870386ccc1c	Lido Pizza, Mezitli (Merkez Mah.) eksik ürünleri bu şubeden alınacak</t>
  </si>
  <si>
    <t>6037de6c37deb54f936ec927</t>
  </si>
  <si>
    <t>Liman Restaurant, Yenişehir (Dumlupınar Mah.)</t>
  </si>
  <si>
    <t>Serap Özgür</t>
  </si>
  <si>
    <t>Dumlupınar Mah.Adnan Menderes Mah.No/42-A Yenişehir,Mersin</t>
  </si>
  <si>
    <t>fotograflar mail atılmıs onaylanmamıs randevu olusturulacak 1 hafta sonra ara/ AÇMADI.açmadı./yt işletmede yok dönecek</t>
  </si>
  <si>
    <t>5ffcb129bd264d8699532f94</t>
  </si>
  <si>
    <t>Limon Ev Yemekleri, Mezitli (Menderes Mah.)</t>
  </si>
  <si>
    <t>Saime Passız</t>
  </si>
  <si>
    <t>Menderes Mah.Limon Cad.No/33-A Mezitli,Mersin</t>
  </si>
  <si>
    <t xml:space="preserve">getirden memnun değil//çekim istemiyorlar/ 7 den 8 den sonra arayın dendi / getir yemek umranda değilmiş istemedi </t>
  </si>
  <si>
    <t>617669cc4a7131774c25c3a2</t>
  </si>
  <si>
    <t>Limon Tantuni, Yenişehir (Çiftlikköy Mah.)</t>
  </si>
  <si>
    <t>Mehmet Pınar</t>
  </si>
  <si>
    <t>Çiftlikköy Mah.Üniversite Cad.Özlem Konutları B blok No/36-BB Yenişehir,Mersin</t>
  </si>
  <si>
    <t>5524063616 çekim sağlanmış</t>
  </si>
  <si>
    <t>6176a989ea59b03d71fe410b</t>
  </si>
  <si>
    <t>Liva Restaurant Cafe , Anamur (Sağlık Mah.)</t>
  </si>
  <si>
    <t>Gülbin Baysal</t>
  </si>
  <si>
    <t>Sağlık Mah.Fahri Görgülü Cad.No/41-3 Anamur,Mersin</t>
  </si>
  <si>
    <t>60c10a089abe5c425f4ddaa5</t>
  </si>
  <si>
    <t>Lokmanya, Silifke (Saray Mah.)</t>
  </si>
  <si>
    <t>Sılahan Özarslan</t>
  </si>
  <si>
    <t>Saray Mah.Cavit Erden Sokak No/54-C Silifke,Mersin</t>
  </si>
  <si>
    <t>6001dd8544f1b44ebcb9f058</t>
  </si>
  <si>
    <t>Lomani Cafe, Yenişehir (Çiftlikköy Mah.)</t>
  </si>
  <si>
    <t>Beşir Bayat</t>
  </si>
  <si>
    <t>Çiftlikköy Mah.3257 Sokak Deren Sitesi C Blok No/1 C A Yenişehir Mersin</t>
  </si>
  <si>
    <t xml:space="preserve">şuan getiri kullanmıyomuş devam çekimi için bayramdan sonra arayın//getiri kullanmıyoruz dedi / devam çekimi için arayacaklar </t>
  </si>
  <si>
    <t>601447e6d9ee3c144a041a1e</t>
  </si>
  <si>
    <t>London Cafe, Yenişehir (Eğriçam Mah.)</t>
  </si>
  <si>
    <t>Ece Büşra İnci</t>
  </si>
  <si>
    <t>Eğriçam Mah.Adnan Menderes Bulvarı No/180-4 Yenişehir,Mersin</t>
  </si>
  <si>
    <t xml:space="preserve">devam çekimi istemiyor. / paket servisini durdurduğu için şuan çekim istemiyor </t>
  </si>
  <si>
    <t>619b862a720a1c859a1b0e20</t>
  </si>
  <si>
    <t>Lotus Tantuni, Toroslar (Sağlık Mah.)</t>
  </si>
  <si>
    <t>Ahmet Bağ</t>
  </si>
  <si>
    <t>Sağlık Mah.Çiftçiler Cad.No/51-A Toroslar,Mersin</t>
  </si>
  <si>
    <t>5425292133 / öğleden sonra ara /yemk sepetının fotograflarını alıp yolluyck bıze</t>
  </si>
  <si>
    <t>61fa5e7185de2ede75c4206f</t>
  </si>
  <si>
    <t>Lounge Sports Street Food, Yenişehir (Güvenevler Mah.)</t>
  </si>
  <si>
    <t>Yüksel Kaya</t>
  </si>
  <si>
    <t>Güvenevler Mah.1915 sokak No:1-A Yenişehir,Mersin</t>
  </si>
  <si>
    <t xml:space="preserve">halil bey yetkili haftaya randevu alınabilir / ben aramadan lütfen aramayın dedi </t>
  </si>
  <si>
    <t>61fbcdb56a81285756970d08</t>
  </si>
  <si>
    <t>Lova Garden Burger, Yenişehir (Afetevler Mah.)</t>
  </si>
  <si>
    <t>Halife Karakuş</t>
  </si>
  <si>
    <t>Afetevler</t>
  </si>
  <si>
    <t>Afetevler Mah.31134 sokak No:1-C Yenişehir,Mersin</t>
  </si>
  <si>
    <t>61afa8a07565e1a9b29293b0</t>
  </si>
  <si>
    <t>Mahsunzade Künefe &amp; Kadayıf, Yenişehir (Cumhuriyet Mah.)</t>
  </si>
  <si>
    <t>Muhammet Mahsun Doğan</t>
  </si>
  <si>
    <t>Cumhuriyet Mah.1 Cad.Zekeriya Bayık Apt.No/35-D Yenişehir,Mersin</t>
  </si>
  <si>
    <t>6096636d91f44761fbd93040</t>
  </si>
  <si>
    <t>Makarnacım Mix,Yenişehir (İnönü Mah.)</t>
  </si>
  <si>
    <t>Zehra Korkmaz</t>
  </si>
  <si>
    <t>İnönü Mah.1405 Sokak No/5-A Yenişehir,Mersin</t>
  </si>
  <si>
    <t>fotofrafcının numarası varmıs/5325468315 şuan müsait değilim daha sonra cepten arama sağlayın dedi/cok ygunuz suan ıcın dusunmuyoruz dedı</t>
  </si>
  <si>
    <t>5fdf1bc539426cb82d623eb7</t>
  </si>
  <si>
    <t>Mansuroğlu Döner , Yenişehir (Güvenevler Mah.)</t>
  </si>
  <si>
    <t>Mesrur Mansuroğlu</t>
  </si>
  <si>
    <t>Güvenevler Mahallesi Dumlupınar Caddesi No : 18, 33140 Yenişehir/Mersin</t>
  </si>
  <si>
    <t xml:space="preserve">panelde fotoğrafları var </t>
  </si>
  <si>
    <t>60c476d10e86510ef88ca337</t>
  </si>
  <si>
    <t>Mantız Kebap, Yenişehir (Çiftlikköy Mah.)</t>
  </si>
  <si>
    <t>Müzehher Yılmaz</t>
  </si>
  <si>
    <t>Bahçelievler Mah.Hüseyin Okan Merzeci Bulvarı No/501-B Yenişehir,Mersin</t>
  </si>
  <si>
    <t>Hatem hanımın numarası verildi bayramdan sonra dönüş yapacak. Erdem Bey oğlu suan personelde sıkıntı yaşıyorum sistemi açmıyorum dediler. Belki ileride dedi../ KURYE SORUNU VAR BENİ İK,İ HAFTA İDARE EDİN SONRA KONUŞALIM DEDİ / paneli kapalı /5327023733 mustafa bey tadılattalar kendılerı arıycak kendisi arayacak/ yetkili yok.</t>
  </si>
  <si>
    <t>61fa78f15bbc9a2ce5d159a3</t>
  </si>
  <si>
    <t>Marifetli Eller, Akdeniz (Nusratiye Mah.)</t>
  </si>
  <si>
    <t>Burak Kazancı</t>
  </si>
  <si>
    <t>Nusratiye Mah.5003 sokak No:57-B Akdeniz,Mersin</t>
  </si>
  <si>
    <t>60b91ad92d660e7fb1198a72</t>
  </si>
  <si>
    <t>Marka Çiğ Köfte, Yenişehir (Bahçelievler Mah.)</t>
  </si>
  <si>
    <t>Zahide İz</t>
  </si>
  <si>
    <t>Bahçelievler Mah.1808 Sokak No/1-A Yenişehir,Mersin</t>
  </si>
  <si>
    <t>maile atacak fotoğrafları/Mehmet Bey</t>
  </si>
  <si>
    <t>5fe251f6a8ae93f4cfbaa9a3</t>
  </si>
  <si>
    <t>Marka Közde Piliç, Mezitli (Menderes Mah.)</t>
  </si>
  <si>
    <t>Cumali Arslan</t>
  </si>
  <si>
    <t>Menderes, 35415. Sk., 33340 Mezitli/Mersin</t>
  </si>
  <si>
    <t>dönüş yapcak\\mail verildi./hatem hanımın numarası verildi// Mail gönderimi sağlamış/ fotoğrafı varmış atacak</t>
  </si>
  <si>
    <t>624e8d2bf6d138617df3d513</t>
  </si>
  <si>
    <t>Marka Tantuni &amp; Biftek, Mezitli (Akdeniz Mah.)</t>
  </si>
  <si>
    <t>BEDİRHAN HEDİYE</t>
  </si>
  <si>
    <t>Akdeniz Mah. Fatih Cad. No:13D Mezitli Mersin</t>
  </si>
  <si>
    <t>617ad328c8ea1e4c3a3489f7</t>
  </si>
  <si>
    <t>Matiat Fast Food, Yenişehir (İnönü Mah.Pozcu)</t>
  </si>
  <si>
    <t>Erhan Karakuş</t>
  </si>
  <si>
    <t>İnönü Mah.1405 Sokak No/13-B Yenişehir,Mersin</t>
  </si>
  <si>
    <t xml:space="preserve">ilerki tarihlerde insaalah dedi / ramazandan sonra olabilir ancak dedi </t>
  </si>
  <si>
    <t>61e446dc47ac9f759d67bac6</t>
  </si>
  <si>
    <t>Mavi Sofra, Erdemli (Merkez Mah.)</t>
  </si>
  <si>
    <t>Hilal Demirdoğan</t>
  </si>
  <si>
    <t>Merkez Mah.Binali Yıldırım Cad.No:3-A Erdemli,Mersin</t>
  </si>
  <si>
    <t>ben ararım sizi dedi</t>
  </si>
  <si>
    <t>6246df8562586de3952737bc</t>
  </si>
  <si>
    <t>Mcy Döner, Anamur ( Esentepe Mah.)</t>
  </si>
  <si>
    <t>Mustafa Yayla</t>
  </si>
  <si>
    <t>Esentepe Mah.23 Nisan Cad.No:20/B Anamur,Mersin</t>
  </si>
  <si>
    <t>61c057b47baa10ae6737f10b</t>
  </si>
  <si>
    <t>Meet Chicken, Erdemli (Merkez Mah.)</t>
  </si>
  <si>
    <t>Metin Bozkurt</t>
  </si>
  <si>
    <t>Merkez Mah.Erdemoğlu Bulvarı No:72-A Erdemli,Mersin</t>
  </si>
  <si>
    <t>623359c9cf63c24ecde3efda</t>
  </si>
  <si>
    <t>Mega Midye &amp; Kokoreç, Yenişehir (Çiftlikköy Mah.)</t>
  </si>
  <si>
    <t>Melek Bulut</t>
  </si>
  <si>
    <t>Çiftlikköy Mah.Üniversite Cad.No:62-A Yenişehir,Mersin</t>
  </si>
  <si>
    <t>ualaşılmıyor</t>
  </si>
  <si>
    <t>62192a0c395f2a6aa52e89e4</t>
  </si>
  <si>
    <t>Mehdi Usta Ehli Ciğer, Akdeniz (İhsaniye Mah.)</t>
  </si>
  <si>
    <t>Mehmet Mehdi Kulbay</t>
  </si>
  <si>
    <t>İhsaniye Mahallesi 4905 Sokak Karataş Apt No :18 Akdeniz ,Mersin</t>
  </si>
  <si>
    <t>6032952929d1d392c28c4b70</t>
  </si>
  <si>
    <t>Mehmet Usta'nın Yeri, Mezitli (Atatürk Mah.)</t>
  </si>
  <si>
    <t>Hanım Yıldırım</t>
  </si>
  <si>
    <t>Atatürk Mah.G.M.K Bulvarı No/650-B Mezitli,Mersin</t>
  </si>
  <si>
    <t>babası ürünlerin ziyan olmasını istememiş tekrardan bir randevu istemiyor//ürünlerin yarısını bile çıkaramam daha ileri dönemde olabilir/daha once aranmıs cekım ıstmıyoruz dedı / sistem üzerinde fotoğrafları mevcut FOTOGRAFCI KAYNAKLI İPTALI GERCEKLEŞMİŞ TEKRARDA CEKİM İSTEMİYORLAR</t>
  </si>
  <si>
    <t>5ff4c5e6f351dcb550689d91</t>
  </si>
  <si>
    <t>Melek Tantuni, Mezitli (Menderes Mah.)</t>
  </si>
  <si>
    <t>Osman Özdemir</t>
  </si>
  <si>
    <t>Menderes Mah.Doğaner Apt.Altı No/709 A blok Mezitli, Mersin</t>
  </si>
  <si>
    <t>604f1eaf2a6e315650d8d815</t>
  </si>
  <si>
    <t>Melek Tantuni, Yenişehir (Aydınlıkevler Mah.)</t>
  </si>
  <si>
    <t>Yusuf Cılız</t>
  </si>
  <si>
    <t>Aydımlıkevler Mah.2040 Sokak İslamoğlu Apt.No/2-B Yenişehir,Mersin</t>
  </si>
  <si>
    <t xml:space="preserve">iptal olan yerine / tüm ürünleri çekilmiş </t>
  </si>
  <si>
    <t>6035413a53d6fa715f7dcdcf</t>
  </si>
  <si>
    <t>Melek Tantuni, Yenişehir (Hürriyet Mah.)</t>
  </si>
  <si>
    <t>Ahmet Selçuk Özdemir</t>
  </si>
  <si>
    <t>Hürriyet Mah.1.Cad No/46-C Yenişehir, Mersin</t>
  </si>
  <si>
    <t>şuan çok yoğunuz 6-7 gibi arayın dedi//mail adresi atıldı foto var</t>
  </si>
  <si>
    <t>615dd85b8f102cc3915ca379</t>
  </si>
  <si>
    <t>Memetcan Tantuni, Yenişehir (Eğriçam Mah.)</t>
  </si>
  <si>
    <t>Gül Keleş</t>
  </si>
  <si>
    <t>Eğriçam Mah.Nevit Kodallı Cad.No/27-A Yenişehir,Mersin</t>
  </si>
  <si>
    <t>5feb69f987a63becfc3273b2</t>
  </si>
  <si>
    <t>Memoş Tantuni, Mezitli (Merkez Mah.)</t>
  </si>
  <si>
    <t>Fahri Örener</t>
  </si>
  <si>
    <t>Merkez Mahallesi Gazi Mustafa Kemal Bulvarı Berk Apartmanı No: 816 A Mezitli/Mersin</t>
  </si>
  <si>
    <t xml:space="preserve">çekim gerçekleşmiş </t>
  </si>
  <si>
    <t>622643c183e9720eeaacec38</t>
  </si>
  <si>
    <t>Memoş Tantuni, Yenişehir (Barbaros Mah.)</t>
  </si>
  <si>
    <t>Remzi Efe Yaşa</t>
  </si>
  <si>
    <t>Barbaros Mah.Adnan Menderes Bulvarı No:144-A Yenişehir,Mersin</t>
  </si>
  <si>
    <t>602192f0450e7fc163dfe7d7</t>
  </si>
  <si>
    <t>Memoş Tantuni, Yenişehir (Çiftlikköy Mah.)</t>
  </si>
  <si>
    <t>Merve Ceylan</t>
  </si>
  <si>
    <t>Çiftlikköy Mah.Üniversite Cad.No/42-C Yenişehir,Mersin</t>
  </si>
  <si>
    <t>604cd2f9c0b961f5996a2bb2</t>
  </si>
  <si>
    <t>Meri Paşa Antakya Döner, Akdeniz ( Bahçe Mah.)</t>
  </si>
  <si>
    <t>Rezzan Acar</t>
  </si>
  <si>
    <t>Bahçe Mah.İstiklal Cad.Kamer Apt.No/124-C Akdeniz,Mersin</t>
  </si>
  <si>
    <t>açıyor ses gelmiyor/sistem daha kurulmamış kurulunca iletişime geçelim diyor.//öğleeden sonra arancak// meşgul-YARIN 11 DE ARA SABH//getiryemek sitesini açmamo-ış daha 1haziran gibi açacakmış//yetkili yok numarasını vermedi//getir yemekten arıyorum dedim arkadaki kişi kapatmasını söyledi yüzüme kapattı</t>
  </si>
  <si>
    <t>605b8cb763464d21c7f3cb06</t>
  </si>
  <si>
    <t>Meri Paşa Antakya Döner, Yenişehir ( Aydınlıkevler Mah.)</t>
  </si>
  <si>
    <t>Yasemin Yaşar Şimşek</t>
  </si>
  <si>
    <t>Aydınlıkevler Mah.G.M.K Bulvarı Novana Otel Karşısı Yenişehir,Mersin</t>
  </si>
  <si>
    <t>mail verildi</t>
  </si>
  <si>
    <t>5fe795ba37c1dbe5425506c0</t>
  </si>
  <si>
    <t>Merkez Biftek &amp;Tantuni &amp; Döner (Davultepe Mah.)</t>
  </si>
  <si>
    <t>Halil Deniz</t>
  </si>
  <si>
    <t>Davultepe</t>
  </si>
  <si>
    <t>G.M.K Bulvarı Davultepe Mah.Sunguroğlu Kaan Apt. Altı Merkez Biftek Tantuni Davultepe /Mezitli</t>
  </si>
  <si>
    <t xml:space="preserve">akşam saatlerinde aranacak \\ kendi fotoğrafları varmış./gönderdi mi diye aradık yetkili yok / kuryesi kaza yaptığı için ertelenecek/saat 1 de tekrar aranılck / saat 3 gibi aranacak </t>
  </si>
  <si>
    <t>5fe79918ad8a3856f9251ffb</t>
  </si>
  <si>
    <t>Merkez Biftek Tantuni &amp; Döner , Mezitli (Fatih Mah.)</t>
  </si>
  <si>
    <t>Ali Deniz</t>
  </si>
  <si>
    <t>Fatih Mah.Gazi Mustafa Kemal Bulvarı Dikoğlu Apt.No/575 A Mezitli Mersin</t>
  </si>
  <si>
    <t xml:space="preserve">eksik kalan ürünler için daha sonra aranılabilir </t>
  </si>
  <si>
    <t>6240405a57f34cf2d007c0d7</t>
  </si>
  <si>
    <t>Merkez Tantuni Döner, Erdemli (Merkez Mah.)</t>
  </si>
  <si>
    <t>HALİL ACER</t>
  </si>
  <si>
    <t>Merkez Mah. Laleli Sok. No:10C Erdemli/Mersin</t>
  </si>
  <si>
    <t xml:space="preserve">5456838473  ben akşama kadar sizlere dönüş sağlarım dedi </t>
  </si>
  <si>
    <t>6110ccb7ead9f7d9d4ca114c</t>
  </si>
  <si>
    <t>Mersin Kerebiç &amp; Cezerye &amp; Lokum , Yenişehir (Çiftlikköy Mah.)</t>
  </si>
  <si>
    <t>Figen Yılmaz</t>
  </si>
  <si>
    <t>Çiftlikköy Mah.Üniversite Cad.No/82-AE Mezitli,Mersin</t>
  </si>
  <si>
    <t>en son çekim sağlanmamış tekrar alındı. teyit için arandı çekim gerçekleşmiş.</t>
  </si>
  <si>
    <t>614eb54e0783f8bf8a656700</t>
  </si>
  <si>
    <t>Mersin Murat Tantuni, Mezitli (Akdeniz Mah.)</t>
  </si>
  <si>
    <t>Abdulbaki Tapar</t>
  </si>
  <si>
    <t>Akdeniz Mah.Fatih Cad.No/30-A Mezitli,Mersin</t>
  </si>
  <si>
    <t xml:space="preserve">oğlu murat bey 1 saat sonra aranacak babasına soracak/tam 1 saat sonra ara der B/ YETKİLİ MÜSAİT DEĞİLMİŞ </t>
  </si>
  <si>
    <t>603fd87e4366fc3c88c8eaf5</t>
  </si>
  <si>
    <t>Mersin Special Tantuni, Mezitli (Davultepe Mah.)</t>
  </si>
  <si>
    <t>Aygün Çelik</t>
  </si>
  <si>
    <t>75.Yıl Mah.G.M.K Bulvarı Kent Sitesi C blok altı Davultepe,Mersin</t>
  </si>
  <si>
    <t xml:space="preserve">tüm ürünler çekilmiş </t>
  </si>
  <si>
    <t>605e07d106714e5001670856</t>
  </si>
  <si>
    <t>Mersin Şef Tantuni, Yenişehir (İnönü Mah.)</t>
  </si>
  <si>
    <t>Badeeh Khanı</t>
  </si>
  <si>
    <t>İnönü Mah.Kushımato Sokak Kayran Apt.No/4-A Yenişehir,Mersin</t>
  </si>
  <si>
    <t>açmıyor//05335947069 mahmut bey \</t>
  </si>
  <si>
    <t>608955d3d69d456afc52fd5e</t>
  </si>
  <si>
    <t>Mersin Tantuni &amp; Döner, Akdeniz (Çankaya Mah.)</t>
  </si>
  <si>
    <t>Seyhan Atman</t>
  </si>
  <si>
    <t>Çankaya Mah.4716 Sokak No/30-F Akdeniz,Mersin</t>
  </si>
  <si>
    <t>yarım saat sobra aramısız dedi// randevu oluşturuldu.</t>
  </si>
  <si>
    <t>602333f3215fd174b8daab7b</t>
  </si>
  <si>
    <t>Mersin Tantuni, Akdeniz (Hamidiye Mah.)</t>
  </si>
  <si>
    <t>Muhammet Takdemir</t>
  </si>
  <si>
    <t>Hamidiye Mah.Silifke Cad. No/147 -A Akdeniz,Mersin</t>
  </si>
  <si>
    <t>Şükriye Demir</t>
  </si>
  <si>
    <t>bütün ürünleri çekilmiş ama resimler menülerin yanlarına yanlış koyulmuş / kalan ürünlerinin çekimini istemedi /  cekım gerceklesmıs ama yuklenmemıs</t>
  </si>
  <si>
    <t>621d06830cf8603ad7f3ce43</t>
  </si>
  <si>
    <t>Mersinim Tantuni &amp; Döner, Akdeniz (Mahmudiye Mah.)</t>
  </si>
  <si>
    <t>Turgut Atman</t>
  </si>
  <si>
    <t>Mahmudiye Mah.Bahçeler Cad. No:37-A Akdeniz,Mersin</t>
  </si>
  <si>
    <t>61d9bfd00013502f78eee1b5</t>
  </si>
  <si>
    <t>Mersinli Hasan Usta Tantuni, Yenişehir (Hürriyet Mah.)</t>
  </si>
  <si>
    <t>Ayşe Gümüşbaş</t>
  </si>
  <si>
    <t>Hürriyet Mah.İsmet İnönü Bulvarı N0:292-A Yenişehir,Mersin</t>
  </si>
  <si>
    <t xml:space="preserve">fotoğrafları varmış mail atacaklar </t>
  </si>
  <si>
    <t>600d94530909cf3f715809e7</t>
  </si>
  <si>
    <t>Mert Tantuni, Yenişehir (Güvenevler Mah.)</t>
  </si>
  <si>
    <t>Tarık Durmuş</t>
  </si>
  <si>
    <t>Güvenevler Mah.1902 Sokak No/3-C Yenişehir,Mersin</t>
  </si>
  <si>
    <t xml:space="preserve">hepsi çekilmiş / bazı ürünler eksik ama panelde yokmuş </t>
  </si>
  <si>
    <t>61c36894847fcac3be29c5b8</t>
  </si>
  <si>
    <t>Meryy Chef, Yenişehir (Çiftlikköy Mah.)</t>
  </si>
  <si>
    <t>Meryem Ecer</t>
  </si>
  <si>
    <t>Çiftlikköy Mah.Üniversite Cad.No:48 -D Yenişehir,Mersin</t>
  </si>
  <si>
    <t>yılbaşından sonra aranacak</t>
  </si>
  <si>
    <t>60380b1e33826779db3f91c1</t>
  </si>
  <si>
    <t>Mesut Usta Baklava, Yenişehir (Cumhuriyet Mah.)</t>
  </si>
  <si>
    <t>Mesut Eley</t>
  </si>
  <si>
    <t>Cumhuriyet Mah.16.Cadde No/8-D Yenişehir,Mersin</t>
  </si>
  <si>
    <t xml:space="preserve">hepsı cekılmıs kılloluk olanları gerıye kalanlarla aynı olarak kullanılmasını ıstyor / tüm ürünleri yüklenmiş fakat bazı ürünler eklenmemiş eklenmesini istiyor </t>
  </si>
  <si>
    <t>620e9d56d94a78cb71df8d93</t>
  </si>
  <si>
    <t>Meşhur Adıyaman Çiğ Köftecisi Ömer Aybak, Mezitli (Akdeniz Mah.)</t>
  </si>
  <si>
    <t>Necati Aydın</t>
  </si>
  <si>
    <t>Akdeniz Mah.Yaşar Doğu Cad.No:23-C Mezitli,Mersin</t>
  </si>
  <si>
    <t>603a649e3bc290dd8d2c7297</t>
  </si>
  <si>
    <t>Meşhur Adıyaman Çiğköftecisi Ahmet Aybak, (Menderes Mah.)</t>
  </si>
  <si>
    <t>Umut Erol</t>
  </si>
  <si>
    <t>Menderes Mah.35417 Sokak Soylu Plaza Altı No/46-B Mezitli,Mersin</t>
  </si>
  <si>
    <t>622cd637a6d59c1a8c0d5bfc</t>
  </si>
  <si>
    <t>Meşhur Adıyaman Çiğköftecisi Ömer Aybak, Akdeniz (Çankaya Mah.)</t>
  </si>
  <si>
    <t>Gökhan Kavut</t>
  </si>
  <si>
    <t>Çankaya Mah.4701 sokak No:10 Akdeniz,Mersin</t>
  </si>
  <si>
    <t>615eddb183bf6564b90e1d8d</t>
  </si>
  <si>
    <t>Meşhur Adıyamanlı Çiğköfteci Ali Baba, Toroslar (Kurdali Mah.)</t>
  </si>
  <si>
    <t>Havza Kevser Yağız</t>
  </si>
  <si>
    <t>Kurdali Mah.100070 sokak No/18-A Toroslar,Mersin</t>
  </si>
  <si>
    <t>6058ea7b63464df43bf369ad</t>
  </si>
  <si>
    <t>Meşhur Pilavcı Emin Usta, Yenişehir (İnönü Mah.)</t>
  </si>
  <si>
    <t>Mehmet Emin Aydın</t>
  </si>
  <si>
    <t>İnönü Mah.1403 Sokak Durukan Apt.No/8-C Yenişehir,Mersin</t>
  </si>
  <si>
    <t xml:space="preserve">çekim sağlanmış kalan ürünü yok </t>
  </si>
  <si>
    <t>605dc373aa47293fe0a9592c</t>
  </si>
  <si>
    <t>Meteor Çiğ Köfte, Toroslar (Çağdaşkent Mah.)</t>
  </si>
  <si>
    <t>Mert Dedecan</t>
  </si>
  <si>
    <t>Çağdaşkent Mah.Fatih Sultan Mehmet Bulvarı A blok No/64-D Toroslar,Mersin</t>
  </si>
  <si>
    <t xml:space="preserve">yetkili yok\\fotoğraf yüklenmiş - mert bey no : 05539739382 numara mesgul </t>
  </si>
  <si>
    <t>603ea41a991a8fc09a195f0a</t>
  </si>
  <si>
    <t>Meydan Izgara, Tarsus (Öğretmenler Mah.)</t>
  </si>
  <si>
    <t>Selim Mert</t>
  </si>
  <si>
    <t>Öğretmenler Mah.Rasim Doker Bulvarı No/2-1 AC Tarsus,Mersin</t>
  </si>
  <si>
    <t>60fe6f9b807cd3242cdefc09</t>
  </si>
  <si>
    <t>Meyli Restaurant, Akdeniz ( Camişerif Mah.)</t>
  </si>
  <si>
    <t>Mehmet Özel</t>
  </si>
  <si>
    <t>Camişerif Mah.5211 Sokak No/11-A Akdeniz,Mersin</t>
  </si>
  <si>
    <t xml:space="preserve">549 200 33 02 mehmet bey şehir dışındaymış müdürüne yönlendirecek/mehmet beyle görüşmek istiyorum dedim "mehmet abi getiryemek'ten arıyorlar seninle görüşmek istiyorlarmış" diye ses geldi sonrasında bana dönüp mehmet abi burda yok ben yardımcı olayım der bende bilgi aktardım 3 4 dakika kadar bekletti birine sorup geleceğim diye sonra da istemiyormuşuz hiç gerek yokmuş deyip suratıma kapattı. / vodafone kayıtlı böylr bir numara yoktur dedi </t>
  </si>
  <si>
    <t>60156f34caa06161827f7078</t>
  </si>
  <si>
    <t>Mezecim, Yenişehir (Dumlupınar Mah.)</t>
  </si>
  <si>
    <t>Velit Tolga Musto</t>
  </si>
  <si>
    <t>Dumlupınar Mah.Adnan Menderes Bulvarı No/98-A Yenişehir,Mersin</t>
  </si>
  <si>
    <t>istemiyor. yetkili yok 3 den sonra aranacak./aksam arayuın dedi</t>
  </si>
  <si>
    <t>624e97b9b1916d00b886cff6</t>
  </si>
  <si>
    <t>Mezitalya Makarna &amp; Pizza &amp; Salata, Mezitli (Merkez Mah.)</t>
  </si>
  <si>
    <t>GÜRAY GÜRBÜZ</t>
  </si>
  <si>
    <t>Merkez Mah. Eskiköy Cad. No:36 Mezitli Mersin</t>
  </si>
  <si>
    <t>6218a81cc63d13944dbf11d0</t>
  </si>
  <si>
    <t>Mezitli Mangal, Mezitli (Menderes Mah.)</t>
  </si>
  <si>
    <t>Zeyneddin Kaya</t>
  </si>
  <si>
    <t>Menderes Mah.35406 Sokak No:3-A Mezitli,Mersin</t>
  </si>
  <si>
    <t>620a93242a4ff4625b3021dc</t>
  </si>
  <si>
    <t>Mığçıoğlu Ocakbaşı, Yenişehir (Güvenevler Mah.)</t>
  </si>
  <si>
    <t>Mustafa Öder</t>
  </si>
  <si>
    <t>Güvenevler Mah.1909 Sokak No:4-A Yenişehir,Mersin</t>
  </si>
  <si>
    <t>biz fotoğrafa gerek duymuyoruz der</t>
  </si>
  <si>
    <t>62345a9e9bd43d7613d956fa</t>
  </si>
  <si>
    <t>Midye Dünyam, Yenişehir (Çiftlikköy Mah.)</t>
  </si>
  <si>
    <t>Özgör Gümüş</t>
  </si>
  <si>
    <t>612917376a242fa11ef60b9e</t>
  </si>
  <si>
    <t>Midyeci Orhan, Mezitli (Merkez Mah.)</t>
  </si>
  <si>
    <t>Cansu Küçüker</t>
  </si>
  <si>
    <t>Merkez Mah.Vatan Cad.B Blok No/11-A Mezitli,Mersin</t>
  </si>
  <si>
    <t xml:space="preserve">saat beste burda olurlar dedi tekrar aranacak/yt yok 4 ten sonra gelır- ulasılamadı - getir yemekten daha önce çekim saglanmıs onları yüklemek istiyorum dedi çekim istemiyor </t>
  </si>
  <si>
    <t>61704da56c25810f555e9812</t>
  </si>
  <si>
    <t>Midyecim Benim, Akdeniz (Güneş Mah.)</t>
  </si>
  <si>
    <t>Sultan Takak</t>
  </si>
  <si>
    <t>Güneş</t>
  </si>
  <si>
    <t>Güneş Mah.142.Cad No/68-A Akdeniz,Mersin</t>
  </si>
  <si>
    <t>yetkili yok dönüş yapacaklar/ açmadı</t>
  </si>
  <si>
    <t>6019a29984e0f93f11198ffd</t>
  </si>
  <si>
    <t>Mina Patisserie, Mezitli (Davultepe Mah.)</t>
  </si>
  <si>
    <t>Ebru Çakır</t>
  </si>
  <si>
    <t>G.M.K Bulvarı No/130-H Mezitli,Mersin</t>
  </si>
  <si>
    <t xml:space="preserve">Çok kesin olarak çekim istemediğini söylemektedir.\\doğumu varmış birkaç güne,ramazanda arayın dedi. / amca çok yaşlıydı daha sonra aransın /ilçe tarım müdürlüğünün tam karşısı - yetkili şehir dışına çıkacakmış ürünleride eksikmiş tamamlayınca kendisi geri dönüş sağlayacak.açmadı. / ebru hanım yok babası çok yaşlı iletişim kuramadık </t>
  </si>
  <si>
    <t>606611c6d7217474741c1a71</t>
  </si>
  <si>
    <t>Minik Tantuni &amp; Döner Salonu, Akdeniz (İhsaniye Mah.)</t>
  </si>
  <si>
    <t>Eyüp Güner</t>
  </si>
  <si>
    <t>İhsaniye Mah.Sait Çiftçi Cad.No/25-B Akdeniz,Mersin</t>
  </si>
  <si>
    <t xml:space="preserve">mail atacak//tekrar mail adresi aldı fotoları yollicak/ BUGÜN YOLLICAM- ulasılamadı </t>
  </si>
  <si>
    <t>610ab2650cbd860767589455</t>
  </si>
  <si>
    <t>Miraç Marka Közde Piliç, Mezitli (Merkez Mah.)</t>
  </si>
  <si>
    <t>İsmet Hakverdi</t>
  </si>
  <si>
    <t>Merkez Mah.Zeytinli Cad.No/24-E Mezitli,Mersin</t>
  </si>
  <si>
    <t xml:space="preserve">devamçekimi alındı / çekim yapılmış fotoğraflar ekli değil / bu ara pek uygun değilim daha sonra dedi </t>
  </si>
  <si>
    <t>616e8cc6d8b95a763c3b7094</t>
  </si>
  <si>
    <t>Miray Döner, Yenişehir (Bahçelievler Mah.)</t>
  </si>
  <si>
    <t>Özer Kamalak</t>
  </si>
  <si>
    <t>Bahçelievler Mah.16 Cad.No/101-B Yenişehir,Mersin</t>
  </si>
  <si>
    <t>menü güncellemesi yapacağım işlerim bitsin ben size döneyim der/ yılbaşına yakın bi zamanda menü güncellemesi yapacağım oyüzden şuan olmaz daha sonra dedi.meşgule attı.işletmeyi kapayacaklar</t>
  </si>
  <si>
    <t>60192e9f44f8b43fc79c0327</t>
  </si>
  <si>
    <t>Miray Izgara &amp; Tavuk , Tarsus (Yeni Mahalle.)</t>
  </si>
  <si>
    <t>Recep İÇEN</t>
  </si>
  <si>
    <t>YENİ MAHALLE MÜCAHİTLER CADDESİ NO:7</t>
  </si>
  <si>
    <t>600094f25f2349fae0749e70</t>
  </si>
  <si>
    <t>Mis Çınar Mangal, Yenişehir (Eğriçam Mah.-Göçmen.)</t>
  </si>
  <si>
    <t>Tuncay Bekçi</t>
  </si>
  <si>
    <t>Eğriçam Mah.Gazi Mustafa Kemal Bulvarı A Blok No/500 C Yenişehir,Mersin</t>
  </si>
  <si>
    <t xml:space="preserve">ses gelmiyor \\randevu oluşturuldu//devam çekimi için şimdilik gerek yok/5464215621 kndı fotografları var eger ıhtıyacı olursa paylasacak / çekim yapılmış kalan ürünler için mail atacak </t>
  </si>
  <si>
    <t>60c72d7f5001d221c83a192c</t>
  </si>
  <si>
    <t>Misg'ilim Künefe &amp; Katmer, Silifke (Göksu Mah.)</t>
  </si>
  <si>
    <t>Esengül Koca</t>
  </si>
  <si>
    <t>Göksu Mah.Uyar Sokak No/1-A Silifke,Mersin</t>
  </si>
  <si>
    <t>620b3b19a2928d5767bd2c6d</t>
  </si>
  <si>
    <t>Misk-Et Restaurant, Yenişehir (Deniz Mah.)</t>
  </si>
  <si>
    <t>Aydın Kaplan</t>
  </si>
  <si>
    <t>Deniz Mah.19. Cad No:16-1 Yenişehir,Mersin</t>
  </si>
  <si>
    <t>kendisi mutfagın durumuna göre istiyor arayacak</t>
  </si>
  <si>
    <t>605623b4862a5504b6f0ec8f</t>
  </si>
  <si>
    <t>Miskin Fast Food, Erdemli (Merkez Mah.)</t>
  </si>
  <si>
    <t>Emre Çelik</t>
  </si>
  <si>
    <t>Merkez Mah.Erdemoğlu Bulvarı No/64-A Erdemli ,Mersin</t>
  </si>
  <si>
    <t>620a96f0cc3fb662d78c675e</t>
  </si>
  <si>
    <t>60476c5d17e42464330ddd80</t>
  </si>
  <si>
    <t>Mizan Dondurma, Yenişehir (Hürriyet Mah.)</t>
  </si>
  <si>
    <t>Savun Sezer Aykol</t>
  </si>
  <si>
    <t>Hürriyet mah. 1726 sokak no:38 Yenişehir Mersin mizan dondurma arçelik beko yanı çamlıca konutları karşısı</t>
  </si>
  <si>
    <t>gorusme saglanmıs urunler cekılmıs</t>
  </si>
  <si>
    <t>61b9e60449a699b8686fe240</t>
  </si>
  <si>
    <t>Mizan Tavukçuluk &amp; Piliç Dünyası, Yenişehir (Cumhuriyet Mah.)</t>
  </si>
  <si>
    <t>Sevgi Büyük</t>
  </si>
  <si>
    <t>Cumhuriyet Mah.16.Cad No:16-A Yenişehir,Mersin</t>
  </si>
  <si>
    <t>yt yok yarım saat sonra aranılck.osman beyden randevu alındı.</t>
  </si>
  <si>
    <t>603030261794319eb5076cd9</t>
  </si>
  <si>
    <t>Mola Tantuni, Akdeniz (Mahmudiye Mah.)</t>
  </si>
  <si>
    <t>Mehmet Dölen</t>
  </si>
  <si>
    <t>İhsaniye Mah.4914 Sokak No/26 Akdeniz,Mersin</t>
  </si>
  <si>
    <t xml:space="preserve">randevu oluşturulmuştu iptal istedi yeni çekim istemiyor / açılış saati 11:00 / işi çıktıpı için pazartesiye tekrar oluşturuldu </t>
  </si>
  <si>
    <t>62322e2ca01880562c0e7090</t>
  </si>
  <si>
    <t>Mono Craft Waffle, Erdemli (Merkez Mah.)</t>
  </si>
  <si>
    <t>Yavuz Akkaya</t>
  </si>
  <si>
    <t>Merkez Mah.Erdemoğlu Bulvarı No:153-EA Erdemli,Mersin</t>
  </si>
  <si>
    <t>60075c9fb4fcb4d14775c52e</t>
  </si>
  <si>
    <t>Mr.Salih Usta Tantuni &amp; Biftek, Mezitli (Yenimahalle Mah.)</t>
  </si>
  <si>
    <t>Hasan Deloğlu</t>
  </si>
  <si>
    <t>Yenimahalle Mah.33153 Sokak Gökay Konutları No/4-A Mezitli,Mersin</t>
  </si>
  <si>
    <t xml:space="preserve">açmadı sms gönderildi </t>
  </si>
  <si>
    <t>6007580bc795bd5431423842</t>
  </si>
  <si>
    <t>Mr.Salih Usta Tantuni &amp; Biftek, Yenişehir (Güvenevler Mah.)</t>
  </si>
  <si>
    <t>Hakan Tanrıkulu</t>
  </si>
  <si>
    <t>Güvenevler Mah.33140 Sokak Dumlupınar Cad.Yenişehir,Mersin</t>
  </si>
  <si>
    <t>mail verildi \çekim yapılmış</t>
  </si>
  <si>
    <t>600753c55918d614d8f31836</t>
  </si>
  <si>
    <t>Mr.Salih Usta Tantuni &amp; Biftek, Yenişehir (İnönü Mah.)</t>
  </si>
  <si>
    <t>İnönü Mah.Kushımato Sokak Kanarya Apt.No/15-A Yenişehir,Mersin</t>
  </si>
  <si>
    <t>623b5b8b46062174e062ad7d</t>
  </si>
  <si>
    <t>MT Yaprak Döner, Yenişehir (Gazi Mah.)</t>
  </si>
  <si>
    <t>NUH TAŞ</t>
  </si>
  <si>
    <t>Gazi Mah. 1314 Sok. No:22/A Yenişehir/Mersin</t>
  </si>
  <si>
    <t>61dc2f8549f2ae422adfb002</t>
  </si>
  <si>
    <t>Mualla Tatlı Krallığı, Mezitli (Yeni Mah.)</t>
  </si>
  <si>
    <t>Esra Şakir</t>
  </si>
  <si>
    <t>Yeni Mah.33172 Sokak Eylül Apt.No/3 Mezitli,Mersin</t>
  </si>
  <si>
    <t>61c20d5311cb0511dfa12401</t>
  </si>
  <si>
    <t>Multi Mutfak, Toroslar (Zeki Ayan Mah.)</t>
  </si>
  <si>
    <t xml:space="preserve">biz gerek duymuyoruz dedi </t>
  </si>
  <si>
    <t>5ff77f4a5f2349557873245c</t>
  </si>
  <si>
    <t>Murat Tantuni , Akdeniz (Hamidiye Mah.)</t>
  </si>
  <si>
    <t>Murat Akbal</t>
  </si>
  <si>
    <t>Hamidiye Mah.Silifke Cad.Atay Apt No/159 C Akdeniz,Mersin</t>
  </si>
  <si>
    <t xml:space="preserve">devam çekimi alındı. / yetkili çekim sağlanmadı dedi daha sonra tekrar aranacak </t>
  </si>
  <si>
    <t>61d7af88a3d93e19f28afde5</t>
  </si>
  <si>
    <t>Muy Tantuni, Akdeniz (Çankaya Mah.)</t>
  </si>
  <si>
    <t>Sedat Gökçe</t>
  </si>
  <si>
    <t>Çankaya Mah.4711 Sokak No:12-A Akdeniz,Mersin</t>
  </si>
  <si>
    <t>60157914d9ee3ceaad044bf4</t>
  </si>
  <si>
    <t>Mürşit Çayeli Kuru Fasulyecisi, Yenişehir (50.Yıl Mah.)</t>
  </si>
  <si>
    <t>Salim Şişmanoğlu</t>
  </si>
  <si>
    <t>50.Yıl Mah.Ali Mutlu Kaya Cad.No/61-A Yenişehir,Mersin</t>
  </si>
  <si>
    <t>61a634401f41adc73cbf472a</t>
  </si>
  <si>
    <t>Narin 2 Pide &amp; Pişirim Fırını, Mezitli (Viranşehir Mah.)</t>
  </si>
  <si>
    <t>Feyzi Olam</t>
  </si>
  <si>
    <t>Viranşehir Mah.Cengiz Topel Cad 331 Sokak No:23 Mezitli,Mersin</t>
  </si>
  <si>
    <t>15 dk sonra ara / çekım gerceklesmıs ama yuklenmemıs</t>
  </si>
  <si>
    <t>622f83903f649a6fc1ae1e42</t>
  </si>
  <si>
    <t>Naz Kebap &amp; Döner Salonu, Erdemli (Merkez Mah.)</t>
  </si>
  <si>
    <t>Özgür Sarın</t>
  </si>
  <si>
    <t>Merkez Mah.Laleli Sokak No:14-A Erdemli,Mersin</t>
  </si>
  <si>
    <t xml:space="preserve">fatih bey: 05546927722 - yarın kapalıyız bir daha bu bölgeye gelindiği zamn tekrardan randevu alınabilir 2-3 gün öncesinden haber verilerek alınacak </t>
  </si>
  <si>
    <t>611f6e05aa7da73602e3854d</t>
  </si>
  <si>
    <t>Necatibey Döner, Yenişehir (İnönü Mah.)</t>
  </si>
  <si>
    <t>devam istemiyor..</t>
  </si>
  <si>
    <t>60e75397591af8aaa8a92345</t>
  </si>
  <si>
    <t>Nefis 33 Tantuni &amp; Döner Salonu, Toroslar (Yusuf Kılıç Mah.)</t>
  </si>
  <si>
    <t>Ahmet Dağ</t>
  </si>
  <si>
    <t>Yusuf Kılıç Mah.Kuvayi Milliye Cad.No/299-D Yenişehir,Mersin</t>
  </si>
  <si>
    <t>605999e5eac9932667c6e846</t>
  </si>
  <si>
    <t>Neşe’n Tantuni, Mezitli (Menderes Mah.)</t>
  </si>
  <si>
    <t>Ramazan elmas</t>
  </si>
  <si>
    <t>Menderes mahallesi gmk bulvarı 777/B
 (Opel gedizler karşısı)
 Mezitli /Mersin</t>
  </si>
  <si>
    <t>5355951384//meşgul//kendisi dönüş yapacak</t>
  </si>
  <si>
    <t>608195e9afd96d7c99f6f3a3</t>
  </si>
  <si>
    <t>Net Maras Dondurma, Mezitli (Menderes Mah.)</t>
  </si>
  <si>
    <t>Mustafa Toprak Taşkesen</t>
  </si>
  <si>
    <t>Menderes Mah.Limon Cd.No/3-D Mezitli,Mersin</t>
  </si>
  <si>
    <t xml:space="preserve">menü güncellemesi yapacak 20 25 gün sonra istiyor / Diğer geldiğinizde olur dedi mustafa bey./kısa sürede devam çekimi olmaz / kalan ürünleri için aradığımda fotoğrafı duyunca kapatın dedi  / bir dahaki çekimi yazın başına düşünüyoruz dedi </t>
  </si>
  <si>
    <t>615c210f3939a88571f75731</t>
  </si>
  <si>
    <t>Nihat Pide &amp; Lahmacun Salonu, Toroslar (Sağlık Mah.)</t>
  </si>
  <si>
    <t>Vedat Kızılbuğ</t>
  </si>
  <si>
    <t>Sağlık Mah.86004 sokak No/12-A Toroslar,Mersin</t>
  </si>
  <si>
    <t>60db338cff292d047820209d</t>
  </si>
  <si>
    <t>Nizam Ustam, Tarsus (Şehitkerim Mah.-Mersin Cad.)</t>
  </si>
  <si>
    <t>Süheyla Polat</t>
  </si>
  <si>
    <t>Şehitkerim Mah.Adana Bulvarı No/58-D Tarsus,Mersin</t>
  </si>
  <si>
    <t>??? Nereden gelecek fotolar arkadaşlar ne bir şube bilgisi ne de franchise bilgisi var!!</t>
  </si>
  <si>
    <t>61c04e77d897495c97439ae9</t>
  </si>
  <si>
    <t>Nokta Döner Tantuni, Erdemli (Merkez Mah.)</t>
  </si>
  <si>
    <t>Mehmet Kara</t>
  </si>
  <si>
    <t>Merkez Mah.Türbe Cad.No:78-E Erdemli,Mersin</t>
  </si>
  <si>
    <t>61c9fd78ba5cfa89a768d51c</t>
  </si>
  <si>
    <t>Nova Cafe &amp; Restaurant, Tarsus (Altaylılar Mah.)</t>
  </si>
  <si>
    <t>Ali Ateş</t>
  </si>
  <si>
    <t>Altaylılar Mah.0239 Sokak No:2 Tarsus,Mersin</t>
  </si>
  <si>
    <t>605371afa213e8042a90f1bb</t>
  </si>
  <si>
    <t>Nuces Coffee &amp; Nuts, Yenişehir (Barbaros Mah.)</t>
  </si>
  <si>
    <t>Nuray Avşar</t>
  </si>
  <si>
    <t>Barbaros Mah.10.Cadde Çiftçioğlu Apt.No/2-B Yenişehir,Mersin</t>
  </si>
  <si>
    <t xml:space="preserve">ses yok/ses gelmedi / DEVAM ÇEKİMİ ALINABİLİR ÜÜNLER EKSİK </t>
  </si>
  <si>
    <t>606e03a0f1f29d0e7a6492f9</t>
  </si>
  <si>
    <t>Nusret Patisserie &amp; Tandır, Mezitli (Merkez Mah.)</t>
  </si>
  <si>
    <t>Muhammet Bozan</t>
  </si>
  <si>
    <t>Merkez Mah.Fındıkpınarı Cad.No/64-AB Mezitli,Mersin</t>
  </si>
  <si>
    <t xml:space="preserve">5531021152// daha sonra randevusu alınacak </t>
  </si>
  <si>
    <t>62504dcd1f0b1b267b93d7c8</t>
  </si>
  <si>
    <t>O Ses Çiğ Köfte Cetvel, Tarsus (Anıt Mah.)</t>
  </si>
  <si>
    <t>EBRU ARSLAN</t>
  </si>
  <si>
    <t>Yenice</t>
  </si>
  <si>
    <t>Anıt Mah. Atatürk Blv. No:105E Tarsus Mersin</t>
  </si>
  <si>
    <t>62403876e73c795030af3066</t>
  </si>
  <si>
    <t>O Tat Çiğköfte, Toroslar (Çavuşlu Mah.)</t>
  </si>
  <si>
    <t>METE BAĞCI</t>
  </si>
  <si>
    <t>ÇAVUŞLU MAH. GÖZNE CAD. NO:130-134C TOROSLAR/MERSİN</t>
  </si>
  <si>
    <t>5fecf2355118f10b248d38df</t>
  </si>
  <si>
    <t>Obur Makarna &amp; Salata , Tarsus (Yeni Ömerli Mah.)</t>
  </si>
  <si>
    <t>Çağlar Aldanbaş</t>
  </si>
  <si>
    <t>Yeni Ömerli Mah.4114 Sokak No/ 11- A Tarsus,Mersin</t>
  </si>
  <si>
    <t xml:space="preserve">yetkili yok 1 saate gelir //getirden hiç memnun değil / çağlar bey yok barış beyle görüşüldü görüşüp dönüş sağlayacak </t>
  </si>
  <si>
    <t>60a77b4df8e6e4c04a0bb543</t>
  </si>
  <si>
    <t>Obuzlar Tat Unlu Mamülleri Toroslar (Mevlana Mah.)</t>
  </si>
  <si>
    <t>Tahsin Obuz</t>
  </si>
  <si>
    <t>Mevlana Mah.Mersinli Ahmet Bulvarı No/140 Toroslar,Mersin</t>
  </si>
  <si>
    <t>6202110f996e877387092beb</t>
  </si>
  <si>
    <t>Oğuz Kokoreç, Toroslar (Çavuşlu Mah.)</t>
  </si>
  <si>
    <t>Abdullah Çöp</t>
  </si>
  <si>
    <t>Çavuşlu Mah.Gözne Cad.No:152 Toroslar,Mersin</t>
  </si>
  <si>
    <t>60236212468b4697fd6c6d2e</t>
  </si>
  <si>
    <t>Oliva Pizza, Erdemli (Kargıpınarı Mah.)</t>
  </si>
  <si>
    <t>Hurşit Tuncar</t>
  </si>
  <si>
    <t>Kargıpınarı Mah.Erdemli Cad.No/83-A Erdemli,Mersin</t>
  </si>
  <si>
    <t xml:space="preserve">teyit için aradık açmadı / tüm ürünler çekilmiş </t>
  </si>
  <si>
    <t>619e5760c52e2f5e44ea53c2</t>
  </si>
  <si>
    <t>Onur Kebap Salonu, Tarsus (Gazi Paşa Mah.)</t>
  </si>
  <si>
    <t>İbrahim Güzeler</t>
  </si>
  <si>
    <t>Gazipaşa Mahallesi 1907 Sokak No: 2/B Tarsus,Mersin</t>
  </si>
  <si>
    <t>6009e9488c17d695f3e2a8fd</t>
  </si>
  <si>
    <t>Onur Tantuni &amp; Biftek, Toroslar (Çağdaşkent Mah.)</t>
  </si>
  <si>
    <t>Çağdaşkent Mah.Fatih Sultan Mehmet Bulvarı No/95-A Toroslar,Mersin</t>
  </si>
  <si>
    <t>mail atacak/randevu alındı</t>
  </si>
  <si>
    <t>6249bf4f62586dd82c93c5dc</t>
  </si>
  <si>
    <t>Onur Tantuni, Toroslar (Mithat Toroğlu Mah.)</t>
  </si>
  <si>
    <t>Mehmet Acar</t>
  </si>
  <si>
    <t>Mithat Toroğlu Mah.207. Cad No:154-B Toroslar,Mersin</t>
  </si>
  <si>
    <t>YT YOK -</t>
  </si>
  <si>
    <t>611cc0a34394c37859397237</t>
  </si>
  <si>
    <t>Onur Tantuni, Yenişehir (İnönü Mah.)</t>
  </si>
  <si>
    <t>İnönü Mah.1403 Sokak No/32-B Yenişehir,Mersin</t>
  </si>
  <si>
    <t>606c989eaeffd77f583e00e5</t>
  </si>
  <si>
    <t>Orhan Usta Tantuni, Toroslar (Alsancak Mah.)</t>
  </si>
  <si>
    <t>Alsancak Mah.Cengiz Topel Cad.No/143 Toroslar,Mersin</t>
  </si>
  <si>
    <t xml:space="preserve">60900b0d800b49719bcac447        33 Orhan Usta Tantuni, Mezitli (Akdeniz Mah.) şubesinde fotoğraflar alınabilir </t>
  </si>
  <si>
    <t>5fe3848cea741e6fb9d9d7f6</t>
  </si>
  <si>
    <t>Oses Çiğ Köfte , Akdeniz (Hamidiye Mah.)</t>
  </si>
  <si>
    <t>Bahar Gülmez</t>
  </si>
  <si>
    <t>Hamidiye Mah.Silifke Cad.No/167-10 Akdeniz Mersin</t>
  </si>
  <si>
    <t>5432485639//merkeze bağlı</t>
  </si>
  <si>
    <t>Orkun Ölçekci</t>
  </si>
  <si>
    <t>5fe891f712a850a10dbb5481</t>
  </si>
  <si>
    <t>Oses Çiğ Köfte , Mezitli (Viranşehir Mah.)</t>
  </si>
  <si>
    <t>Güler Şensoy</t>
  </si>
  <si>
    <t>Viranşehir Mah.Cengiz Topel Caddesi Akdeniz Plaza No/31 H Mezitli Mersin</t>
  </si>
  <si>
    <t>5fdef4d7bc2d63dbb712a5e7</t>
  </si>
  <si>
    <t>Oses Çiğ Köfte , Toroslar (Mithat Toroğlu Mah.)</t>
  </si>
  <si>
    <t>Suat Çelik</t>
  </si>
  <si>
    <t>Mithat Toroğlu Mah. K.Milliye Cad. No:418/A</t>
  </si>
  <si>
    <t>5fde50132ef1233fba201b9c</t>
  </si>
  <si>
    <t>Oses Çiğ Köfte , Yenişehir (Çiftlikköy Mah.)</t>
  </si>
  <si>
    <t>Veysi Eskin</t>
  </si>
  <si>
    <t>Çiftlikköy Mah. Şakirson Cad. Zeybek Apt. No: 33</t>
  </si>
  <si>
    <t>5fe0dd74ea741ee053d981ab</t>
  </si>
  <si>
    <t>Oses Çiğ Köfte , Yenişehir (Eğriçam Mah.)</t>
  </si>
  <si>
    <t>Mehmet Çolak</t>
  </si>
  <si>
    <t>Hürriyet, 1. Cd., 33120 Yenişehir/Mersin</t>
  </si>
  <si>
    <t>5fe50dd356b07d5f4cf91ea5</t>
  </si>
  <si>
    <t>Oses Çiğ Köfte, Akdeniz (Çankaya Mah.-Çarşı )</t>
  </si>
  <si>
    <t>Gizem Huylu</t>
  </si>
  <si>
    <t>çankaya mah. silifke cad. no:36 C Akdeniz</t>
  </si>
  <si>
    <t>5fe5099c2ccf23434704d51b</t>
  </si>
  <si>
    <t>Oses Çiğ Köfte, Akdeniz (Çankaya Mah.)</t>
  </si>
  <si>
    <t>Çankaya Mah.Zeytinlibahçe Cad.Tansal İşhanı No/15 B Akdeniz Mersin</t>
  </si>
  <si>
    <t>5ff0bdfcac60e8010b6eae2f</t>
  </si>
  <si>
    <t>Oses Çiğ Köfte, Akdeniz (İhsaniye Mah-Metropol Şube)</t>
  </si>
  <si>
    <t>İsmail Metik</t>
  </si>
  <si>
    <t>İhsaniye Mah.Kuvayi Milliye Cad.No/109 C Akdeniz,Mersin</t>
  </si>
  <si>
    <t>5fef33f35118f141c78d9d06</t>
  </si>
  <si>
    <t>Oses Çiğ Köfte, Akdeniz (Mesudiye Mah.)</t>
  </si>
  <si>
    <t>Orhan Kulaç</t>
  </si>
  <si>
    <t>Mesudiye Mah.Çakmak Cad.Çukurova Apt.No/77 C Akdeniz Mersin</t>
  </si>
  <si>
    <t>6014579c4e3bdf66ff6736df</t>
  </si>
  <si>
    <t>Oses Çiğ Köfte, Erdemli (Merkez Mah.)</t>
  </si>
  <si>
    <t>Kemal Dur</t>
  </si>
  <si>
    <t>Akdeniz Mah.Kazım Karabekir Cad.No/37-D Erdemli,Mersin</t>
  </si>
  <si>
    <t>608bbe73f372e120dc257ca0</t>
  </si>
  <si>
    <t>Oses Çiğ Köfte, Erdemli (Tömük Mah.)</t>
  </si>
  <si>
    <t>Kudret Hasbolat</t>
  </si>
  <si>
    <t>Tömük 2. Bölge</t>
  </si>
  <si>
    <t>Tömük Mah.Kale Cad.No/9-D Erdemli,Mersin</t>
  </si>
  <si>
    <t>5fe21eebd3f42be29daf161d</t>
  </si>
  <si>
    <t>Oses Çiğ Köfte, Mezitli (Akdeniz Mah.)</t>
  </si>
  <si>
    <t>İsmail Gönüllü</t>
  </si>
  <si>
    <t>Akdeniz Mah. Soli Center Gazi Mustafa Kemal Blv No: 932/B Mezitli / Mersin</t>
  </si>
  <si>
    <t>60aa21394be77eac0e461338</t>
  </si>
  <si>
    <t>Oses Çiğ Köfte, Silifke (Göksu Mah.)</t>
  </si>
  <si>
    <t>Sercan Pempe</t>
  </si>
  <si>
    <t>Göksu Mah.Atatürk Bulvarı No/54-C Silifke,Mersin</t>
  </si>
  <si>
    <t>60660a581f3a0915f18bbe5b</t>
  </si>
  <si>
    <t>Oses Çiğ Köfte, Tarsus (Duatepe Mah.)</t>
  </si>
  <si>
    <t>Maksude Şahin</t>
  </si>
  <si>
    <t>Duatepe</t>
  </si>
  <si>
    <t>Duatepe Mah.İsmet Paşa Bulvarı No/55-G Tarsus,Mersin</t>
  </si>
  <si>
    <t>605103c2808b167a5dc1a3d1</t>
  </si>
  <si>
    <t>Oses Çiğ Köfte, Tarsus (Şehit Kerim Mah-Mersin Cad.)</t>
  </si>
  <si>
    <t>Halil Cengiz</t>
  </si>
  <si>
    <t>Şehitkerim Mah.Adana Bulvarı No/22-C Tarsus,Mersin</t>
  </si>
  <si>
    <t>605a491e7310775664c9ad1d</t>
  </si>
  <si>
    <t>Oses Çiğ Köfte, Tarsus (Yeni Ömerli Mah.)</t>
  </si>
  <si>
    <t>Ahmet Yılmaz</t>
  </si>
  <si>
    <t>Yeni Ömerli Mah.Atatürk Bulvarı No/78-A Tarsus,Mersin</t>
  </si>
  <si>
    <t>6058e8115d3a672c3cc77a68</t>
  </si>
  <si>
    <t>Oses Çiğ Köfte, Toroslar (Hüseyin Okan Merzeci Mah.)</t>
  </si>
  <si>
    <t>Hatice Deniz</t>
  </si>
  <si>
    <t>Hüseyin Okan Merzeci Mah.Lale Gıda Yanı Toroslar,Mersin</t>
  </si>
  <si>
    <t>60588a9f8054c523227f59bd</t>
  </si>
  <si>
    <t>Oses Çiğ Köfte, Toroslar (Sağlık Mah.)</t>
  </si>
  <si>
    <t>Tunahan Yıldırım</t>
  </si>
  <si>
    <t>Osmaniye Mah.Kuvayi Milliye Bulvarı No/213-A Toroslar,Mersin</t>
  </si>
  <si>
    <t>6022bb3f176fcc42a1ffc219</t>
  </si>
  <si>
    <t>Oses Çiğ Köfte, Yenişehir (Aydınlıkevler Mah.)</t>
  </si>
  <si>
    <t>Şahin Yüksekdağ</t>
  </si>
  <si>
    <t>5fe22403a8ae9303aabaa767</t>
  </si>
  <si>
    <t>Oses Çiğ Köfte, Yenişehir (Batıkent Mah.)</t>
  </si>
  <si>
    <t>Ertuğrul Yılmaz</t>
  </si>
  <si>
    <t>Batıkent Mah. İstemihan Talay Cad. Life Court Sitesi A blok No: 6</t>
  </si>
  <si>
    <t>60a3d85a02be5b69477bb9fb</t>
  </si>
  <si>
    <t>Oses Çiğ Köfte, Yenişehir (Çiftlikköy Mah.)</t>
  </si>
  <si>
    <t>Nezahat Göztaşı</t>
  </si>
  <si>
    <t>Çiftlikköy Mah.Şakir Son Cad.No/33-B Yenişehir,Mersin</t>
  </si>
  <si>
    <t>6058e53e889b9bd5543bfe66</t>
  </si>
  <si>
    <t>Oses Çiğ Köfte, Yenişehir (Fuat Morel Cad.)</t>
  </si>
  <si>
    <t>Fuatmorel Mah.2894 Sokak No/32-A Yenişehir,Mersin</t>
  </si>
  <si>
    <t>5fe0e3ea9a19ed517ee4852b</t>
  </si>
  <si>
    <t>Oses Çiğ Köfte, Yenişehir (Gazi Mah.)</t>
  </si>
  <si>
    <t>Nevriye Doğru</t>
  </si>
  <si>
    <t>Gazi Mah.G.M.K Bulvarı Orkide Apt.No/33 B Yenişehir, Mersin</t>
  </si>
  <si>
    <t>600b1081500762077c2ea83f</t>
  </si>
  <si>
    <t>Oses Çiğ Köfte, Yenişehir (Güvenevler Mah.)</t>
  </si>
  <si>
    <t>Ahmet Sevinç</t>
  </si>
  <si>
    <t>Güvenevler Mah.1904 Sokak No/8-B Yenişehir,Mersin</t>
  </si>
  <si>
    <t>5fe22a6b39426c4b0862a726</t>
  </si>
  <si>
    <t>Oses Çiğ Köfte, Yenişehir (Hürriyet Mah.)</t>
  </si>
  <si>
    <t>Hürriyet Mah. İsmet İnönü Bulvarı 1. Cad. No: 46/B</t>
  </si>
  <si>
    <t>5fde587cbd719fa669bceeb4</t>
  </si>
  <si>
    <t>Oses Çiğköfte, Tarsus (Öğretmenler Mah.)</t>
  </si>
  <si>
    <t>Ahmet Gök</t>
  </si>
  <si>
    <t>Öğretmenler Mah. Dumlupınar Cad. No:51/A Tarsus/Mersin</t>
  </si>
  <si>
    <t>61ee7eb3165be76da69a05a8</t>
  </si>
  <si>
    <t>Osman Tantuni, Mezitli (Akdeniz Mah.)</t>
  </si>
  <si>
    <t>Hakan Çil</t>
  </si>
  <si>
    <t>Akdeniz Mah.G.M.K Bulvarı No:904-C Mezitli,Mersin</t>
  </si>
  <si>
    <t xml:space="preserve">dükkanda sıkıntıları varmış daha sonra aranacak / pazartesi yetkili işletmede değilmiş </t>
  </si>
  <si>
    <t>608faf9968f46857b37ba622</t>
  </si>
  <si>
    <t>Osman Usta Tantuni &amp; Biftek, Yenişehir (Hürriyet Mah.)</t>
  </si>
  <si>
    <t>Özkan Elçi</t>
  </si>
  <si>
    <t>Hürriyet Mah.1.Cad.No/46-C Yenişehir,Mersin</t>
  </si>
  <si>
    <t>60353851ceff7f3751a193b1</t>
  </si>
  <si>
    <t>Osmanlı Aile Lokantası, Akdeniz (İhsaniye Mah.)</t>
  </si>
  <si>
    <t>Osman Tezel</t>
  </si>
  <si>
    <t>İhsaniye Mah.Zeytinlibahçe Cad.No/4 Akdeniz,Mersin</t>
  </si>
  <si>
    <t xml:space="preserve">fotoğrafçı ben eksik kalan ürünler için gelirim demiş// şuan için eleman sıkıntısı var daha sonra olabilir dedi devam çekimi için aranmıştı./yıl başından sonra </t>
  </si>
  <si>
    <t>624f15ff137477354b8c0f0f</t>
  </si>
  <si>
    <t>Ottobros Burger, Yenişehir (Çiftlikköy Mah.)</t>
  </si>
  <si>
    <t>Emre Ali Anay</t>
  </si>
  <si>
    <t>Çiftlikköy Mah.Üniversite Cad.Özlem 1 Üniversite Konutları A Blok No:35-A Yenişehir,Mersin</t>
  </si>
  <si>
    <t>6049059e0392aae66a231d63</t>
  </si>
  <si>
    <t>Ozan Pişirim Fırını, Mezitli (Atatürk Mah.)</t>
  </si>
  <si>
    <t>Mehmet Toprak</t>
  </si>
  <si>
    <t>Atatürk Mah.31085 Sokak No/6 Mezitli,Mersin</t>
  </si>
  <si>
    <t xml:space="preserve">fotografcı tum urunlerı cıkarmasını sıtemısler bu yuzden ıptal olmmus /  mail verıldı kndılerı cekım yapıp paylasılcak / PROBLEMLER ÇOZULDUKTEN SONRA ÇEKİM SAGLANABİLİR / şuan müsait değil daha sonra aranabilir </t>
  </si>
  <si>
    <t>6111105b797cf75da8899241</t>
  </si>
  <si>
    <t>Öküz Burger Homemade, Yenişehir (Gazi Mah.)</t>
  </si>
  <si>
    <t>Hasan Sefa Kazan</t>
  </si>
  <si>
    <t>Gazi Mah.Adnan Menderes Bulvarı No/62/A Yenişehir,Mersin</t>
  </si>
  <si>
    <t>5072911926 samet bey 30 dk sonra ara alacan/açmadı-randevu olusturuldu/ Ben kendim fotoğraf çektirmeye karar verdim olur da çektiremezsem sizi ararım tekrar der / genelmerkezden fotoğraf gelince atacakmış gelmesinler gerek yok dedi</t>
  </si>
  <si>
    <t>600f0b650475c80927abe95b</t>
  </si>
  <si>
    <t>Öz Adana Et Lokantası, Akdeniz (İhsaniye Mah.)</t>
  </si>
  <si>
    <t>Muhammet Yılmaz</t>
  </si>
  <si>
    <t>İhsaniye Mah.Kuvayi Milliye Cad.No/167-B Akdeniz,Mersin</t>
  </si>
  <si>
    <t xml:space="preserve">ÇEKMEDİĞİM SON 2 3 TANE FOTOM KALDI ÇEKEYİM YOLLICAM DER- daha kalanları çekmedim dedi çekim yollıyacam dedi 1 haftayı bulur dedi / yetkili yoktu görüşüp fotoğrafları iletecekler </t>
  </si>
  <si>
    <t>60801c63d415f08f59add799</t>
  </si>
  <si>
    <t>Öz Diyar Burma &amp; Kadayıf, Yenişehir (Bahçelievler Mah.)</t>
  </si>
  <si>
    <t>Murat Boldaş</t>
  </si>
  <si>
    <t>Bahçelievler Mah.16.Cadde No/15-C Yenişehir,Mersin</t>
  </si>
  <si>
    <t>601ab5df170b8d9a9ead27b1</t>
  </si>
  <si>
    <t>Öz Karadeniz Balık ve Köfte Salonu, Akdeniz (Camişerif Mah.)</t>
  </si>
  <si>
    <t>Emre verep</t>
  </si>
  <si>
    <t>İstasyon civari il jandarma karşısı</t>
  </si>
  <si>
    <t>BUGÜN YARIN GÖNDERİRİRİM Bİ ARA DER</t>
  </si>
  <si>
    <t>605ddf68d79a791937474db1</t>
  </si>
  <si>
    <t>Öz Kardeşler Tantuni, Toroslar (Osmaniye Mah.)</t>
  </si>
  <si>
    <t>Hanifi Kanlı</t>
  </si>
  <si>
    <t>Selçuklar Mah.212 Cadde No/198-B Toroslar, Mersin</t>
  </si>
  <si>
    <t>içecek hariç 1 ürün çekilmemiş</t>
  </si>
  <si>
    <t>608532f16502c28567deaabd</t>
  </si>
  <si>
    <t>Öz Mersin Tantuni &amp; Restaurant, Mezitli (Yeni Mah.)</t>
  </si>
  <si>
    <t>Cevher Pelin</t>
  </si>
  <si>
    <t>Yeni Mah.33195 Sokak No/5-44 Mezitli,Mersin</t>
  </si>
  <si>
    <t>623a14b7ff0c5cd06f19513b</t>
  </si>
  <si>
    <t>Öz Yaprak Tantuni, Yenişehir (Cumhuriyet Mah.)</t>
  </si>
  <si>
    <t>CEMAL KILIÇ</t>
  </si>
  <si>
    <t>Cumhuriyet Mah. 1621 Sok. Yaşar Apt. No:13/B Yenişehir/Mersin</t>
  </si>
  <si>
    <t>622dc7ba4142c946987da443</t>
  </si>
  <si>
    <t>Özen Patiseri, Mezitli (Akdeniz Mah.)</t>
  </si>
  <si>
    <t>Ziyattin Özister</t>
  </si>
  <si>
    <t>Akdeniz Mah.39716 Sokak No:2 Mezitli,Mersin</t>
  </si>
  <si>
    <t>Baran bey yetkili</t>
  </si>
  <si>
    <t>602782e8e217615cfd3cc526</t>
  </si>
  <si>
    <t>Özer Kardeşler Bilge Pişirim Fırını, Mezitli (Atatürk Mah.)</t>
  </si>
  <si>
    <t>Mehmet Bilge</t>
  </si>
  <si>
    <t>Atatürk Mah.31067 Sokak No/9-A Mezitli,Mersin</t>
  </si>
  <si>
    <t>Yılbaşından Sonra Aranacak</t>
  </si>
  <si>
    <t>murat bey ilgilenecek 5365620892 / devam çekimi iptal oldu/yılbasından snra ıcın ıstdıler</t>
  </si>
  <si>
    <t>5fdf8c76daff1648a66db3ab</t>
  </si>
  <si>
    <t>Özhan Tantuni &amp; Döner , Mezitli (Atatürk Mah.)</t>
  </si>
  <si>
    <t>Hasan Pamuk</t>
  </si>
  <si>
    <t>Atatürk, 31060. Sk., 33340 Mezitli/Mersin</t>
  </si>
  <si>
    <t>çekilmiş</t>
  </si>
  <si>
    <t>60491b696c9d2760bb2cf9e7</t>
  </si>
  <si>
    <t>Özkaymak Dondurma, Silifke (Göksu Mah.)</t>
  </si>
  <si>
    <t>Nuriddin Çapar</t>
  </si>
  <si>
    <t>Göksu Mah.Özgür Apt.Atatürk Bulvarı No/11 Silifke,Mersin</t>
  </si>
  <si>
    <t>60ebe0ab2c81c158e7c601ec</t>
  </si>
  <si>
    <t>Özkaymak, Akdeniz (Mesudiye Mah.)</t>
  </si>
  <si>
    <t>Mesudiye Mah.Kuvayi Milliye Cad.No/86 Akdeniz,Mersin</t>
  </si>
  <si>
    <t xml:space="preserve">meşgul// meil adresine iletceklermiş/ paket servisi bırakmış panelinie kapatmış uzun süre kapalı kalacakmış bu yüzden fotoğraf atamak da istemedi </t>
  </si>
  <si>
    <t>6193f2f7e15469bd635c0ea5</t>
  </si>
  <si>
    <t>Özkaymak, Mezitli (Viranşehir Mah.)</t>
  </si>
  <si>
    <t>Viranşehir Mah.Cengiz Topel Cad.No/41-A Mezitli,Mersin</t>
  </si>
  <si>
    <t xml:space="preserve">yt yok döncekler- yetkilinin numarasını veremiyorum geldiği zaman ben iletirim dedi </t>
  </si>
  <si>
    <t>604c859ad0cf9066734d315b</t>
  </si>
  <si>
    <t>Özkaymak, Yenişehir (Gazi Mah.)</t>
  </si>
  <si>
    <t>Serkan Top</t>
  </si>
  <si>
    <t>Gazi Mah.1314 Sokak Alkan Apt.No/7-C Yenişehir,Mersin</t>
  </si>
  <si>
    <t>giyim mağzası \\ARANMAYACAK GİYİM MAĞAZASIYMIŞ</t>
  </si>
  <si>
    <t>6183c6355bc96073ff122fa4</t>
  </si>
  <si>
    <t>Özlem Künefe &amp; Börek, Mezitli (Akdeniz Mah.)</t>
  </si>
  <si>
    <t>Mustafa Kirman</t>
  </si>
  <si>
    <t>Akdeniz Mah.Zeytinli Cad. No/41-C Mezitli,Mersin</t>
  </si>
  <si>
    <t>603ea9c9ff40492fe909259b</t>
  </si>
  <si>
    <t>Özlem Lokantası, Tarsus (Gaziler Mah.)</t>
  </si>
  <si>
    <t>Pınar Altuğ Eryiğit</t>
  </si>
  <si>
    <t>Gaziler</t>
  </si>
  <si>
    <t>Gaziler Mah.Atatürk Bulvarı No/143-C Tarsus,Mersin</t>
  </si>
  <si>
    <t>Şuan ürünleri çıkartamam Ramazandan sonra der</t>
  </si>
  <si>
    <t>61fa84843967d3656c7d3526</t>
  </si>
  <si>
    <t>Öztoprak Kebap &amp; Lahmacun, Toroslar (Turgut Türkalp Mah.)</t>
  </si>
  <si>
    <t>Doğan Öztoprak</t>
  </si>
  <si>
    <t>Turgut Türkalp Mah.Akbelen Bulvarı No:45-D Toroslar,Mersin</t>
  </si>
  <si>
    <t>lahmacun her yerde lahmacungerek yok der</t>
  </si>
  <si>
    <t>60f548a4526e3b43fecef05e</t>
  </si>
  <si>
    <t>Öztürk Kahvaltı, Erdemli (Merkez Mah.)</t>
  </si>
  <si>
    <t>Ayşe Öztürk</t>
  </si>
  <si>
    <t>Akdeniz Mah.Erdemoğlu Bulvarı Sahil Yolu Bulvar Apt.No/79 Erdemli,Mersin</t>
  </si>
  <si>
    <t>60b7b502c3a73051b66a9927</t>
  </si>
  <si>
    <t>Pak Fırın, Yenişehir (Bahçelievler Mah.)</t>
  </si>
  <si>
    <t>Mert Uğurses</t>
  </si>
  <si>
    <t>Bahçelievler Mah.G.M.K Bulvarı No/328-B Yenişehir,Mersin</t>
  </si>
  <si>
    <t xml:space="preserve">05422679191 mert bey cep ama açmadı// fotoğrafları var mail atacaklar//meşgul/ ürünler çekilmiş </t>
  </si>
  <si>
    <t>61d5f82a58423676c1c4acd9</t>
  </si>
  <si>
    <t>Pakfırın, Yenişehir (Bahçelievler Mah.)</t>
  </si>
  <si>
    <t>Levent Uğurses</t>
  </si>
  <si>
    <t xml:space="preserve">sistemdki numara işten ayrılmış 5422679191 mert bey ama açmadı </t>
  </si>
  <si>
    <t>5fe4084ebd719f4e7bbdc1c3</t>
  </si>
  <si>
    <t>Palmiras Tantuni &amp; Döner, Yenişehir (Çiftlikköy Mah.)</t>
  </si>
  <si>
    <t>Büşra Avcı Korkmaz</t>
  </si>
  <si>
    <t>Çiftlikköy, İsmet İnönü Blv. No:690, 33110 Yenişehir/Mersin</t>
  </si>
  <si>
    <t>yetkili yok</t>
  </si>
  <si>
    <t>61d7b2b1ed453125e91eeb39</t>
  </si>
  <si>
    <t>Palmiye Pide &amp; Lahmacun, Akdeniz (Nusratiye Mah.)</t>
  </si>
  <si>
    <t>Halil İbrahim Ertürk</t>
  </si>
  <si>
    <t>Nusratiye Mah.M.Ersoy Cad.No:78-A Akdeniz,Mersin</t>
  </si>
  <si>
    <t>60d5d4a16cdd95a661d4cb5a</t>
  </si>
  <si>
    <t>Park Cafe &amp; Gözleme Salonu, Mezitli (Merkez Mah.)</t>
  </si>
  <si>
    <t>Ayşe Özcengiz</t>
  </si>
  <si>
    <t>Merkez Mah.52133 Sokak No/8 Mezitli,Mersin</t>
  </si>
  <si>
    <t xml:space="preserve">kocası ile görüşüldü / panelde fotoğrafları yüklü </t>
  </si>
  <si>
    <t>60ed4770de55345c43aa807f</t>
  </si>
  <si>
    <t>Pars Izgara &amp; Tavuk &amp; Lahmacun, Silifke (Gazi Mah.)</t>
  </si>
  <si>
    <t>Murat Okatan</t>
  </si>
  <si>
    <t>Gazi Mah.41 Sokak No/8-B Silifke,Mersin</t>
  </si>
  <si>
    <t>6238d468ba92b90c6192f2a9</t>
  </si>
  <si>
    <t>Pasta Evi, Yenişehir (Çiftlikköy Mah.)</t>
  </si>
  <si>
    <t>AHMET FINDIK</t>
  </si>
  <si>
    <t>Çiftlikköy Mah. Üniversite Cad. No:5 A Yenişehir/Mersin</t>
  </si>
  <si>
    <t>600209a499ddd4b0c6f970d4</t>
  </si>
  <si>
    <t>Pastawilla, Tarsus (Altaylılar Mah.)</t>
  </si>
  <si>
    <t>Süleyman Şahin</t>
  </si>
  <si>
    <t>Gaziler Mah.Gazi Paşa Bulvarı No/68 -C Tarsus,Mersin</t>
  </si>
  <si>
    <t xml:space="preserve">5363748088// süleyman bey açmadı//adres güncellendi / devam çekimi alınabilir </t>
  </si>
  <si>
    <t>608d0a408a6396cfc10470db</t>
  </si>
  <si>
    <t>Pastry Co, Mezitli (Fatih Mah.)</t>
  </si>
  <si>
    <t>İzel Aytaç</t>
  </si>
  <si>
    <t>Fatih Mah.30002 Sokak No/10 Mezitli,Mersin</t>
  </si>
  <si>
    <t>devam çekimi   / çekim yapılmış ilerleyen günlerde devam çekimi alınabilir /yılbasında snra olsun dedı</t>
  </si>
  <si>
    <t>60a670b9a312a130b1573353</t>
  </si>
  <si>
    <t>Paşa Efendi Künefe &amp; Baklava, Yenişehir (Eğriçam Mah.)</t>
  </si>
  <si>
    <t>Rıdvan Cabadak</t>
  </si>
  <si>
    <t>Eğriçam Mah.Nevit Kodallı Cad.No/39-A Yenişehir,Mersin</t>
  </si>
  <si>
    <t xml:space="preserve">fotograf gönderimi saglanmıs onaylanmamıs randevu olusturuldu </t>
  </si>
  <si>
    <t>6224b9490067fdf2be5beed3</t>
  </si>
  <si>
    <t>Paşa Tavuk Mangal, Toroslar (Akbelen Mah.)</t>
  </si>
  <si>
    <t>Hasan Kışlar</t>
  </si>
  <si>
    <t>Akbelen Mah.84066 Sokak N0:24-A Toroslar,Mersin</t>
  </si>
  <si>
    <t>daha sonra arayacak şuan uygun değil / kendileri dönüş yapacak</t>
  </si>
  <si>
    <t>61b4b59133320b2d99bfd4df</t>
  </si>
  <si>
    <t>Pati Fast &amp; Food, Akdeniz (Kiremithane Mah.)</t>
  </si>
  <si>
    <t>Oğuzhan Mustafa Saruhanoğlu</t>
  </si>
  <si>
    <t>Kiremithane Mah.Silifke Cad.No:80-E Akdeniz,Mersin</t>
  </si>
  <si>
    <t xml:space="preserve">mail atacak </t>
  </si>
  <si>
    <t>624e8a29fd40bbdedbfccbe9</t>
  </si>
  <si>
    <t>Pazar Balık Lokantası, Silifke (Toros Mah.)</t>
  </si>
  <si>
    <t>MUHAMMET ÇELİK</t>
  </si>
  <si>
    <t>Toros</t>
  </si>
  <si>
    <t>Toros Mah. Belediye Kapalı Pazar İçi No:1 Silifke Mersin</t>
  </si>
  <si>
    <t>624c8d8cb8241b281f9f2b1f</t>
  </si>
  <si>
    <t>Perfetto Pasta &amp; Pizza, Yenişehir ( Çiftlikköy Mah.)</t>
  </si>
  <si>
    <t>Çağdaş Zakir Ceylan</t>
  </si>
  <si>
    <t>Çiftlikköy Mah.Mimar Sinan Cad.32176 Sokak No:1/1 Yenişehir,Mersin</t>
  </si>
  <si>
    <t>601aa4e6ef295e7d15faa710</t>
  </si>
  <si>
    <t>Petek Pastanesi &amp; Cafe, Yenişehir (Batıkent Mah.)</t>
  </si>
  <si>
    <t>Mehmet Veysel kaçan</t>
  </si>
  <si>
    <t>Batıkent Mah. İstemihan Talay Caddesi No:163/A Yenişehir/ MERSİN (mersin nefrolojı dıyaliz merkezi karşısı petek patiseri)</t>
  </si>
  <si>
    <t>öğleden sonra aranacak /sabah 10 11 gibi</t>
  </si>
  <si>
    <t>620166ca2f885b0f972f42ae</t>
  </si>
  <si>
    <t>Pınar Mangal, Erdemli (Merkez Mah.)</t>
  </si>
  <si>
    <t>Sadık Erdinç</t>
  </si>
  <si>
    <t>Merkez Mah.Sabahattin Çakmakoğlu Cad.No:15-C Erdemli,Mersin</t>
  </si>
  <si>
    <t>621220cc1cba4e5eff442fba</t>
  </si>
  <si>
    <t>Pideland, Toroslar (Osmaniye Mah.)</t>
  </si>
  <si>
    <t>İbrahim Kurşun</t>
  </si>
  <si>
    <t>Osmaniye Mah.208.Cad.No:109 Toroslar,Mersin</t>
  </si>
  <si>
    <t xml:space="preserve">bu hafta mevlüt varmış bir daha ki toroslara gidildiği takdirde aranacak olumlu - kardeşi sezer bey şuan kendisi yok geldiği zaman ben sizlere dönüş sağlarım dedi </t>
  </si>
  <si>
    <t>6191fdccec9dff3c0f4ed141</t>
  </si>
  <si>
    <t>Piknik Izgara, Akdeniz (Çankaya Mah.)</t>
  </si>
  <si>
    <t>Mahmut Akıl Sayar</t>
  </si>
  <si>
    <t>Çankaya Mahallesi 4704 sokak no:13/A Akdeniz, Mersin</t>
  </si>
  <si>
    <t>62108e87025f5c6775ddecc1</t>
  </si>
  <si>
    <t>Piknik Közde Piliç, Yenişehir (Bahçelievler Mah.)</t>
  </si>
  <si>
    <t>Onur Ölçücü</t>
  </si>
  <si>
    <t>Bahçelievler Mah.1.Cadde No:94-A Yenişehir,Mersin</t>
  </si>
  <si>
    <t>61b2f3e1e0a3eb9f0b200842</t>
  </si>
  <si>
    <t>Piliç Durağı, Yenişehir (Batıkent Mah.)</t>
  </si>
  <si>
    <t>Yusuf Bülbül</t>
  </si>
  <si>
    <t>Batıkent Mah.2640 Sokak No:27-A Yenişehir,Mersin</t>
  </si>
  <si>
    <t>açmadı.ulaşılamıyor. yusuf beyden randevu alındı.</t>
  </si>
  <si>
    <t>60c24eca8e22c41969445113</t>
  </si>
  <si>
    <t>Piliçkolik, Erdemli (Tömük Mah.)</t>
  </si>
  <si>
    <t>Tömük Mah.Kale Cad.No/9DB Erdemli,Mersin</t>
  </si>
  <si>
    <t>62322697d089cf29e591a0b0</t>
  </si>
  <si>
    <t>Eşe Hasbolat</t>
  </si>
  <si>
    <t xml:space="preserve">bu bölgeye gelindiği zman randevu alınabilir </t>
  </si>
  <si>
    <t>60e1d6ece439d8867d92931d</t>
  </si>
  <si>
    <t>Pir-i Börek, Tarsus (ŞehitMustafa Mah.)</t>
  </si>
  <si>
    <t>Merve Değirmenci</t>
  </si>
  <si>
    <t>Şehitmustafa Mah.3501 Sokak No/4-A Tarsus,Mersin</t>
  </si>
  <si>
    <t>61e04cc9c5cc8c3dfbfa87fb</t>
  </si>
  <si>
    <t>Pizza Fındık, Toroslar ( Çağdaşkent Mah.)</t>
  </si>
  <si>
    <t>Mevlüt Çakır</t>
  </si>
  <si>
    <t>Çağdaşkent Mah.229 Cad.No:8-1A Toroslar,Mersin</t>
  </si>
  <si>
    <t xml:space="preserve">yetkili yok 2 gibigelecek </t>
  </si>
  <si>
    <t>6012ca9ebb98bb26f8373051</t>
  </si>
  <si>
    <t>Pizza Land, Mezitli (Akdeniz Mah.)</t>
  </si>
  <si>
    <t>Akdeniz Mah.Zeytinli Cad.No/41-A Mezitli,Mersin</t>
  </si>
  <si>
    <t xml:space="preserve">devam çekimi / ürünler panele yüklenmiş </t>
  </si>
  <si>
    <t>60309939fbe5053a1baa26d7</t>
  </si>
  <si>
    <t>Pizza Land, Tarsus (İsmetpaşa Mah.Yarenlik Alanı.)</t>
  </si>
  <si>
    <t>Orhan Gümüş</t>
  </si>
  <si>
    <t>Şehit Mustafa Mah.Atatürk Bulvarı N0/42 Tarsus,Mersin</t>
  </si>
  <si>
    <t>meşgul</t>
  </si>
  <si>
    <t>5fef0d1712b715c4a1a53702</t>
  </si>
  <si>
    <t>Pizza Majestik, Akdeniz (İhsaniye Mah.-Merkez.)</t>
  </si>
  <si>
    <t>Ahmet Hakan Eroğlu</t>
  </si>
  <si>
    <t>Nusratiye Mah.Çiftciler Cad.Turan Şimşek Apt.1/A Akdeniz,Mersin</t>
  </si>
  <si>
    <t>FOTOĞRAFLARI YOK ARKADAŞLAR BAŞKA ŞUBE DE YOK // 5053023333/açmadı/FOTOĞRAF TEYİDİ İÇİN ARANDI AÇMADI</t>
  </si>
  <si>
    <t>6193e996df8b022f2c58b38e</t>
  </si>
  <si>
    <t>Pizza Mizza, Yenişehir (Akkent Mah.)</t>
  </si>
  <si>
    <t>Mustafa Ongun</t>
  </si>
  <si>
    <t>Akkent Mah.2318 Sokak No/4-B Yenişehir,Mersin</t>
  </si>
  <si>
    <t>5332263759 mustafa bey divan oteli yanı mustafa beyden randevu alındı.</t>
  </si>
  <si>
    <t>5fff6b4837b181f7af07eb2c</t>
  </si>
  <si>
    <t>Pizza Moena, Akdeniz (İhsaniye Mah.)</t>
  </si>
  <si>
    <t>Muhammet İlker Kul</t>
  </si>
  <si>
    <t>İhsaniye Mah .4903 Sokak No/20 Akdeniz,Mersin</t>
  </si>
  <si>
    <t>devam cekımı/iptal nedenı: dger urunler yeterlı dedı bu yuzden cekım ıstemedık dedı</t>
  </si>
  <si>
    <t>623b62e8182a186a4a5cb49a</t>
  </si>
  <si>
    <t>Pizza Pepino, Tarsus (Ergenekon Mah.)</t>
  </si>
  <si>
    <t>SEVİM GÖÇER</t>
  </si>
  <si>
    <t>Ergenekon Mah. Fatih Sultan Mehmet Blv. No:15A Tarsus/Mersin</t>
  </si>
  <si>
    <t>60f40fa4eef5499f71519025</t>
  </si>
  <si>
    <t>Pizza Story, Toroslar (Çağdaşkent Mah.)</t>
  </si>
  <si>
    <t>Yiğitcan Fidan</t>
  </si>
  <si>
    <t>Çağdaşkent Mah.Fatih Sultan Mehmet Bulvarı No/50-A Toroslar,Mersin</t>
  </si>
  <si>
    <t xml:space="preserve">Randevu alındı.Randevu için saat 10 ve 12 için uygunuz tarih farketmez ona göre tekrar randevu oluşturulacak./çekım ıstemıyor / daha öncede aradınız  istemiyoum dedi  ARAMAYIN </t>
  </si>
  <si>
    <t>6141d7053d4e2e57e1d0147e</t>
  </si>
  <si>
    <t>Pizza Taxi, Tarsus (İsmetpaşa Mah.)</t>
  </si>
  <si>
    <t>Salim Börk</t>
  </si>
  <si>
    <t>İsmetpaşa Mah.Rasim Okur Bulvarı No/43 Tarsus,Mersin</t>
  </si>
  <si>
    <t>MAİL GELMEMİŞ // merkeze bildirecekler mail adresi de verildi mail atacaklar</t>
  </si>
  <si>
    <t>61ed0bbb557c8b4660b32d5d</t>
  </si>
  <si>
    <t>Pizzacım, Anamur (Saray Mah.)</t>
  </si>
  <si>
    <t>Ayşe Kaya</t>
  </si>
  <si>
    <t>Saray Mah.Akdeniz Cad.No:27-B Anamur,Mersin</t>
  </si>
  <si>
    <t>6009d57f9873d838838c991e</t>
  </si>
  <si>
    <t>Pomidori Pizza, Yenişehir (Güvenevler Mah.)</t>
  </si>
  <si>
    <t>Halil Aslan</t>
  </si>
  <si>
    <t>Güvenevler Mah.1913 Sokak No/18-A Yenişehir,Mersin</t>
  </si>
  <si>
    <t xml:space="preserve">iptal olan randevu yerine alındı / ürünlerin tamamı çekilmiş </t>
  </si>
  <si>
    <t>6183bc52420dd3e3804144ed</t>
  </si>
  <si>
    <t>Pozcu Lahmacun, Yenişehir (Cumhuriyet Mah.)</t>
  </si>
  <si>
    <t>Hatip Şan</t>
  </si>
  <si>
    <t>Cumhuriyet Mah.1650 sokak No/2 Yenişehir,Mersin</t>
  </si>
  <si>
    <t>5435711463 / gerek yok diyorlar fotoğraf çekimi istemiyorlar.</t>
  </si>
  <si>
    <t>6176b2b24f99cdb4a79ced77</t>
  </si>
  <si>
    <t>Pozcu Ocakbaşı, Yenişehir (Güvenevler Mah.)</t>
  </si>
  <si>
    <t>Baran Titiz</t>
  </si>
  <si>
    <t>Güvenevler Mah.1901 Sokak No/20-A Yenişehir,Mersin</t>
  </si>
  <si>
    <t>BARAN BEY 5300913321</t>
  </si>
  <si>
    <t>616beadb1b4399d2ae4983e6</t>
  </si>
  <si>
    <t>Qnefeland, Erdemli (Çeşmeli Mah.)</t>
  </si>
  <si>
    <t>Mahmut Taşkın</t>
  </si>
  <si>
    <t>Çeşmeli 2. Bölge</t>
  </si>
  <si>
    <t>Çeşmeli Mah.Sahil 1 Cad.No: 7/AY Erdemli, Mersin</t>
  </si>
  <si>
    <t>618931020fc81986c8d4b513</t>
  </si>
  <si>
    <t>Rainbow Burger, Akdeniz (Çankaya Mah.)</t>
  </si>
  <si>
    <t>Kadir Saçu</t>
  </si>
  <si>
    <t>Çankaya Mah.4716 Sokak No/4-A Akdeniz,Mersin</t>
  </si>
  <si>
    <t>çekim sağlanmış eksik ürünler için kendi arıycak</t>
  </si>
  <si>
    <t>6013098f998c13d18586d711</t>
  </si>
  <si>
    <t>Ramazan Usta Kebap, Yenişehir (Güvenevler Mah.)</t>
  </si>
  <si>
    <t>Ramazan Dayan</t>
  </si>
  <si>
    <t>Güvenevler Mah.1906 Sokak No/4-C Yenişehir,Mersin</t>
  </si>
  <si>
    <t xml:space="preserve">panelde fotoğrafları ekli </t>
  </si>
  <si>
    <t>600b1918fb76e32d4a2e062d</t>
  </si>
  <si>
    <t>Ramo Döner, Akdeniz (Camişerif Mah.)</t>
  </si>
  <si>
    <t>Mehmet Necat Keleş</t>
  </si>
  <si>
    <t>Camişerif Mah.İstiklal Cad.No/35-B Akdeniz,Mersin</t>
  </si>
  <si>
    <t xml:space="preserve">merkezden iletildi 5459583648 / panelde fotoğrafları ekli </t>
  </si>
  <si>
    <t>60427a3c7f1ab80697d8baf6</t>
  </si>
  <si>
    <t>Rastlantı Cafe, Yenişehir (Palmiye Mah.)</t>
  </si>
  <si>
    <t>İbrahim Cengiz İşlek</t>
  </si>
  <si>
    <t>Palmiye Mah.1214 Sokak No/4-A Yenişehir,Mersin</t>
  </si>
  <si>
    <t xml:space="preserve">5375800684//açmadı/gönderecekmiş / mail iletildi en kısa xamanda gönderecek </t>
  </si>
  <si>
    <t>602568c90aeff91b79b89846</t>
  </si>
  <si>
    <t>Recep Usta Tantuni &amp; Biftek, Mezitli (Merkez Mah.)</t>
  </si>
  <si>
    <t>Mehmet Ali Okçu</t>
  </si>
  <si>
    <t>Menderes Mah.G.M.K B ulvarı No/723-B Mezitli,Mersin</t>
  </si>
  <si>
    <t>bilgisi yok yetkili gelecek yarımsaatsonra /</t>
  </si>
  <si>
    <t>5ff16664f351dc4322681a97</t>
  </si>
  <si>
    <t>Red Buffalo Burger, Yenişehir (Çiftlikköy Mah.)</t>
  </si>
  <si>
    <t>Aytunç Güneş</t>
  </si>
  <si>
    <t>Üniversite Cad.Çiftlikköy Mah.Smart Point Sitesi B blok 48/B Yenişehir, Mersin</t>
  </si>
  <si>
    <t>61d3f21ffb6558b6492c35b9</t>
  </si>
  <si>
    <t>Retro Burger, Anamur (Yeşilyurt Mah.)</t>
  </si>
  <si>
    <t>Volkan Tufan</t>
  </si>
  <si>
    <t>Yeşilyurt Mah.23 Nisan Cad.No:43-A Anamur,Mersin</t>
  </si>
  <si>
    <t>614eb070ebca3be1a0a42e87</t>
  </si>
  <si>
    <t>Rhosus Döner, Yenişehir (Çiftlikköy Mah.)</t>
  </si>
  <si>
    <t>Ersin Yazar</t>
  </si>
  <si>
    <t>Çiftlikköy Mah.İstemihan Talay Cad.Özlem Üniversite Konutları No/229 BE Yenişehir,Mersin</t>
  </si>
  <si>
    <t>Alper Bey/ulaşılamıyor./işletme 12 de acılıyor/randevusu olustrulmus cekımde saglanıldı takvımden bakılarak duzunlemesını yaptım</t>
  </si>
  <si>
    <t>6093ea5164639822e52521e5</t>
  </si>
  <si>
    <t>Rıdvan Usta Çiğ Köfte, Silifke (Susanoğlu Mah.)</t>
  </si>
  <si>
    <t>Arzu Çamdal</t>
  </si>
  <si>
    <t>Atakent</t>
  </si>
  <si>
    <t>Atakent Mah.Alparslan Türkeş Bulvarı No/157-A Silifke,Mersin</t>
  </si>
  <si>
    <t>614611c8b7b3657332c6ba9e</t>
  </si>
  <si>
    <t>Rich Kitchen, Yenişehir (Dumlupınar Mah.)</t>
  </si>
  <si>
    <t>Suphi İçin</t>
  </si>
  <si>
    <t>Dumlupınar Mah.Dumlupınar Cad.No/10-B Yenişehir,Mersin</t>
  </si>
  <si>
    <t xml:space="preserve">5358786091 /panelde fotoğrfları ekli </t>
  </si>
  <si>
    <t>60a2a1e95d669818692a311b</t>
  </si>
  <si>
    <t>Rio Pasta Cafe, Yenişehir (Hürriyet Mah.)</t>
  </si>
  <si>
    <t>Uğur Navruz</t>
  </si>
  <si>
    <t>Hürriyet Mah.İsmet İnönü Bulvarı No/103-B Yenişehir,Mersin</t>
  </si>
  <si>
    <t xml:space="preserve">açtı konuşmad/açmadı//yokuz dedi//1 saat  sonra ara / çekim gerçekleşmiş </t>
  </si>
  <si>
    <t>60885bad77461ce66af05e36</t>
  </si>
  <si>
    <t>Robert's Coffee, Yenişehir (Akkent Mah.)</t>
  </si>
  <si>
    <t>Şükrü Yalman</t>
  </si>
  <si>
    <t>Akkent Mah.Hüseyin Okan Merzeci Bulvarı Sayapark Avm No/249 Yenişehir,Mersin</t>
  </si>
  <si>
    <t>5ffddeb6e2d9e017b0038dcf</t>
  </si>
  <si>
    <t>Rocco's Chef Pizza, Mezitli (Viranşehir Mah.)</t>
  </si>
  <si>
    <t>Çeşminaz Tosun</t>
  </si>
  <si>
    <t>Viranşehir Mah.34359 Sokak No/1-1 Mezitli,Mersin</t>
  </si>
  <si>
    <t>5495790133/daha sonra kendısı donus saglıycaklar- tamam gelebilirsiniz dedi yüzüme kapattı ulasılamıyor / ÇEŞMİNAZ HANIM bızım urunumuz cok fazla bız ıstemıyoruz</t>
  </si>
  <si>
    <t>5fff34da35e5806889459549</t>
  </si>
  <si>
    <t>Rocco's Chef Pizza,Yenişehir (Güvenevler Mah.)</t>
  </si>
  <si>
    <t>Serkan Söylemezoğlu</t>
  </si>
  <si>
    <t>Güvenevler Mah.Hüseyin Okan Merzeci Bulvarı No/561-A Yenişehir,Mersin</t>
  </si>
  <si>
    <t>61ba267bc1195e2548977a41</t>
  </si>
  <si>
    <t>Rock'n'Roll Burger, Akdeniz (Kültür Mah.)</t>
  </si>
  <si>
    <t>Fuad Atat</t>
  </si>
  <si>
    <t>Kültür Mah.Silifke Cad No:95-C Akdeniz,Mersin</t>
  </si>
  <si>
    <t>can bey</t>
  </si>
  <si>
    <t>60892106ed7a3e4d6e73f17c</t>
  </si>
  <si>
    <t>Rocs Coffee, Yenişehir (Barbaros Mah.)</t>
  </si>
  <si>
    <t>Mustafa Çelenk</t>
  </si>
  <si>
    <t>Barbaros Mah.2101 Sokak No/1-A Yenişehir,Mersin</t>
  </si>
  <si>
    <t xml:space="preserve">mail verildi fotolarını atcak / devam çekimi alındı </t>
  </si>
  <si>
    <t>60f18be47b3ba370dd4c18dd</t>
  </si>
  <si>
    <t>Rodi Makarna, Akdeniz (Camişerif Mah.)</t>
  </si>
  <si>
    <t>Cami Şerif Mah.5222 Sokak No/15-A Akdeniz,Mersin</t>
  </si>
  <si>
    <t xml:space="preserve">şuan çok meşgulum beni bi iki saat sonra arasanız olur mu dedi// getir ile problem yaşıyormuş eğer problem giderilir ise düşünebilir / açılış saati 11:00 / patronu hatemin numarasını kaydetmiş müsait olduğu zaman dönecek </t>
  </si>
  <si>
    <t>615600384826e8c435ec4afe</t>
  </si>
  <si>
    <t>Roma Dondurma, Mezitli (Viranşehir Mah.)</t>
  </si>
  <si>
    <t>Adnan Gönül</t>
  </si>
  <si>
    <t>Viranşehir Mah.318 sokak N0/26-A Mezitli,Mersin</t>
  </si>
  <si>
    <t>0324 99 9 22 52 doğru no bu yetkili Sergen Bey/çaldı açmadı/yt degılım ben baska bırısıyım dedı cekımde ıstemıyorum dedı/         DOĞRU NO BU  AMA AÇMADILAR / panelde tüm fotoğrafları yüklü</t>
  </si>
  <si>
    <t>60073a4a0a01975968f2cbcd</t>
  </si>
  <si>
    <t>Romado Dondurma, Mezitli (Viranşehir Mah.)</t>
  </si>
  <si>
    <t>Tuğba Baykan</t>
  </si>
  <si>
    <t>Viranşehir Mah.34301 Sokak Gültuğ Sitesi Altı No/38-A Mezitl,Mersin</t>
  </si>
  <si>
    <t xml:space="preserve">15 kasımda arancak daha oncesınde bu sekılde gorusulmus  / biz haber verecez dedi /kndıomız donus saglıycz dedı / şuan düşünmüyoruz yaz başı dedi </t>
  </si>
  <si>
    <t>60afabe9b252d067a28d1a37</t>
  </si>
  <si>
    <t>Route 33, Silifke (Taşucu)</t>
  </si>
  <si>
    <t>Ahmet Ali Kurnaz</t>
  </si>
  <si>
    <t>Taşucu Mah.İsmet İnönü Cad. N0/54 -A Silifke,Mersin</t>
  </si>
  <si>
    <t>623021e395feffdf70a03288</t>
  </si>
  <si>
    <t>Rozana Bakery, Mezitli (Atatürk Mah.)</t>
  </si>
  <si>
    <t>NAJEM ALDEEN SHAKRA</t>
  </si>
  <si>
    <t>Atatürk Mah.Mezitli, Mersin</t>
  </si>
  <si>
    <t>Cahit Bey / 5342227499</t>
  </si>
  <si>
    <t>608fb391c7045561e716b52d</t>
  </si>
  <si>
    <t>Rubicon Coffee Roasters Co, Yenişehir (İnönü Mah.)</t>
  </si>
  <si>
    <t>Burak Şahin</t>
  </si>
  <si>
    <t>İnönü Mah.1405 Sokak No/6-D Yenişehir,Mersin</t>
  </si>
  <si>
    <t xml:space="preserve">menusunu tamalayacak bır bucuk haftaya aransın dedı/ menü güncellemesi gerçekleşmedi düzenlensin mutlaka döneceğim aklımdasınız der/hela devam ediyormuş menü güncellemesi../ çekşm sağlanmış / konsept eğişikliği nedeniyle fotoğrafları kaldırmışalr </t>
  </si>
  <si>
    <t>60ede13d48bb37553e07602f</t>
  </si>
  <si>
    <t>Ruçhan Usta Tantuni &amp; Biftek, Erdemli (Akdeniz Mah.)</t>
  </si>
  <si>
    <t>Ruçhan Toklucu</t>
  </si>
  <si>
    <t>Akdeniz Mah.Kazım Karabekir Cad.No/59-C Erdemli,Mersin</t>
  </si>
  <si>
    <t>ali bey</t>
  </si>
  <si>
    <t>605b348998acb21bae87b88c</t>
  </si>
  <si>
    <t>Rüzgar Tantuni, Yenişehir (Çiftlikköy Mah.)</t>
  </si>
  <si>
    <t>Murat Yel</t>
  </si>
  <si>
    <t>Çiftlikköy Mah.Üniversite Cad.No/57-B Yenişehir,Mersin</t>
  </si>
  <si>
    <t xml:space="preserve">devam çekimi istemedi  </t>
  </si>
  <si>
    <t>5fde0f873587c39ed452dd53</t>
  </si>
  <si>
    <t>Sabah Döner, Akdeniz (Çankaya Mah./ Çarşı.)</t>
  </si>
  <si>
    <t>Sabahattin Gündoğdu</t>
  </si>
  <si>
    <t>Çankaya, İstiklal Cd. No:55, 33070 Akdeniz/Mersin</t>
  </si>
  <si>
    <t xml:space="preserve">devam çekimi için arandı ama meşgule atıyor:05326926654 // sabah et lokantası ile aynı ürünler ordanda kullanılabilir dedi/ panelde fotoğraflar var </t>
  </si>
  <si>
    <t>5fde0193e8c6244f711ef0a1</t>
  </si>
  <si>
    <t>Sabah Et Lokantası , Akdeniz (Çankaya Mah.)</t>
  </si>
  <si>
    <t>çankaya mahallesi istiklal caddesi elmas apartmanı no:55</t>
  </si>
  <si>
    <t>tamamı çekilmiş</t>
  </si>
  <si>
    <t>5fddf4dee8c62468d21eefd9</t>
  </si>
  <si>
    <t>Sabah Et Lokantası ,Yenişehir (Güvenevler Mah.-Pozcu)</t>
  </si>
  <si>
    <t>Güvenevler, Gazi Mustafa Kemal Blv. No:306, 33140 Yenişehir/Mersin</t>
  </si>
  <si>
    <t>tüm fotoğraflar çekilmiş/03242388282//5326926654 sabahatıın bey dger subelerımde cekılen fotografları kullanırız demıs fotografcı ama yuklenmedı demıs</t>
  </si>
  <si>
    <t>5fde06a8909a7245afbce97e</t>
  </si>
  <si>
    <t>Sabah Et Lokantası, Mezitli (Merkez Mah.)</t>
  </si>
  <si>
    <t>Merkez Mh., Gazi Mustafa Kemal Blv., No: 306/A, Mezitli, Mersin</t>
  </si>
  <si>
    <t>zafer bey /5464666029/devamçekimi/yt yok döncekler</t>
  </si>
  <si>
    <t>618e330b81db4e31ef2bb674</t>
  </si>
  <si>
    <t>Sabah İskender &amp; Lahmacun, Yenişehir (Güvenevler Mah.)</t>
  </si>
  <si>
    <t>Abdulvahap Çoğaç</t>
  </si>
  <si>
    <t>Güvenevler, 1910. Sk. No:17, 33140 Yenişehir/Mersin</t>
  </si>
  <si>
    <t>açmadı /cekım saglanıldı</t>
  </si>
  <si>
    <t>60d373c76322ffb4e88a603a</t>
  </si>
  <si>
    <t>Sabah İskender, Yenişehir (Limonluk Mah.)</t>
  </si>
  <si>
    <t>Limonluk Mah.İsmet İnönü Bulvarı 38.Cadde No/135 Yenişehir,Mersin</t>
  </si>
  <si>
    <t xml:space="preserve">5541130919 özkan bey / bu şubedede diğer şubedede çekim yapılmamış çekim dönüş sağlayacaklar  / yarım saat sonra ara </t>
  </si>
  <si>
    <t>61d88c9a282cba923913a78a</t>
  </si>
  <si>
    <t>Saçkan Mersin Tantuni, Anamur (Saray Mah.)</t>
  </si>
  <si>
    <t>Serkan Tutkun</t>
  </si>
  <si>
    <t>Saray Mah.Atatürk Bulvarı No:27 Anamur,Mersin</t>
  </si>
  <si>
    <t>5fe234e88795624899ccc4b8</t>
  </si>
  <si>
    <t>Saha Döner &amp; Burger, Yenişehir (Güvenevler Mah.)</t>
  </si>
  <si>
    <t>Safiye Alkan</t>
  </si>
  <si>
    <t>Güvenevler Mah.1917 Sokak Yenişehir, Mersin</t>
  </si>
  <si>
    <t xml:space="preserve">devam alındı / tüm ürünler çekilmiş </t>
  </si>
  <si>
    <t>5fdf917fa8ae93e23eba0104</t>
  </si>
  <si>
    <t>Salaş Ciğer &amp; Kebap, Yenişehir(Akkent Mah.)</t>
  </si>
  <si>
    <t>Sadettin Arif Satar</t>
  </si>
  <si>
    <t>Akkent Mah., Hüseyin Okan Merzeci Blv., No:755E, Yenişehir, Mersin, Türkiye,</t>
  </si>
  <si>
    <t>teit içiğn arandı actı ses vermedi</t>
  </si>
  <si>
    <t>61cac021d57f56412df56ae3</t>
  </si>
  <si>
    <t>Samet Usta Tantuni &amp; Döner Salonu, Akdeniz (Mesudiye Mah.)</t>
  </si>
  <si>
    <t>KENAN GENÇ</t>
  </si>
  <si>
    <t>Mesudiye Mahallesi Fasih Kayabalı Caddesi Yaşa İşhanı yanı No:88\C MERSİN AKDENİZ</t>
  </si>
  <si>
    <t>6008a3e6e4ab4e7da4924aca</t>
  </si>
  <si>
    <t>Sanat Cafe &amp; Fast Food, Akdeniz (Camişerif Mah.)</t>
  </si>
  <si>
    <t>Çağrı Ünel</t>
  </si>
  <si>
    <t>Camişerif Mah.5226 Sokak No/13-A Akdeniz,Mersin</t>
  </si>
  <si>
    <t xml:space="preserve">yahya 5412393973 / panelde fotoğrafı var  / çekilen ürünler yeterli dedi </t>
  </si>
  <si>
    <t>613c428a3f62ae2afdc4ea1b</t>
  </si>
  <si>
    <t>Sancak Chicken, Mezitli (Tece Mah.)</t>
  </si>
  <si>
    <t>Aslı Selağzı</t>
  </si>
  <si>
    <t>Tece Mah.Gazi Mustafa Kemal Bulvarı No/324-A Mezitli,Mersin</t>
  </si>
  <si>
    <t>Gökhan Bey yetkili</t>
  </si>
  <si>
    <t>60a7b9b6c9ebe37812a6127c</t>
  </si>
  <si>
    <t>Saray Tantuni, Erdemli (Merkez Mah.)</t>
  </si>
  <si>
    <t>Durmuş Kır</t>
  </si>
  <si>
    <t>Merkez Mah.Türbe Cad.No/23 Erdemli,Mersin</t>
  </si>
  <si>
    <t>5389709954/cekım gerceklesmıs ama yuklenmemıs</t>
  </si>
  <si>
    <t>60192aa9fa957273355b6a5b</t>
  </si>
  <si>
    <t>Sarıyer Börekçisi, Tarsus (İsmetpaşa Mah.-Yarenlik Alanı.)</t>
  </si>
  <si>
    <t>Gökhan Yaygan</t>
  </si>
  <si>
    <t>Yarenlik alanı halk eğitim merkezi yanı</t>
  </si>
  <si>
    <t>613f225f7cc78511e4cee2fc</t>
  </si>
  <si>
    <t>Saygın Kebap, Mezitli (Merkez Mah.)</t>
  </si>
  <si>
    <t>Merkez Mah.Vatan Cad.No/16-B Mezitli,Mersin</t>
  </si>
  <si>
    <t xml:space="preserve">Mahmut Bey/5325461769/fotoğrafları varmış gönderecekmiş/ mail tekrar verildi gönderecek </t>
  </si>
  <si>
    <t>5fe64deb58f3ac1ea7e4c7ea</t>
  </si>
  <si>
    <t>Seçkin Lahmacun &amp; Pide , Yenişehir (Güvenevler Mah.)</t>
  </si>
  <si>
    <t>Ekrem Taşkın</t>
  </si>
  <si>
    <t>Güvenevler Mah.1.Cadde No/147 A Yenişehir Mersin</t>
  </si>
  <si>
    <t>hepsi çekilmiş. / devam çekimi alındı .teyit için arandı açmadı.</t>
  </si>
  <si>
    <t>5fdfb710daff163d5a6db4cc</t>
  </si>
  <si>
    <t>Sedef Tantuni &amp; Pide (Güvenevler Mah.)</t>
  </si>
  <si>
    <t>Abdulkadir Kaplan</t>
  </si>
  <si>
    <t>Güvenevler Mahallesi 1. Cad, 1912. Sk. No:22, 33140 Yenişehir</t>
  </si>
  <si>
    <t xml:space="preserve">devam çekimi  / ürünlerinin tamamı çekilmiş </t>
  </si>
  <si>
    <t>61670fd6662651ad0a866ef0</t>
  </si>
  <si>
    <t>Selim Usta Tantuni, Yenişehir (Güvenevler Mah.Pozcu)</t>
  </si>
  <si>
    <t>Ercan Akar</t>
  </si>
  <si>
    <t>Güvenevler Mah.G.M.K Bulvarı No/365/A Yenişehir,Mersin</t>
  </si>
  <si>
    <t xml:space="preserve">5350480785 / çekm  sağlanmış </t>
  </si>
  <si>
    <t>602177de252c448b691416a1</t>
  </si>
  <si>
    <t>Sempi Tavukçuluk, Akdeniz (Turgutreis Mah.)</t>
  </si>
  <si>
    <t>Kemal Cemal Okuş</t>
  </si>
  <si>
    <t>Turgutreis Mah.İstiklal Cad.No/182-A Akdeniz,Mersin</t>
  </si>
  <si>
    <t xml:space="preserve">Hafıza kartı bozuk olduğu için görsellere ulaşamadık, tekrar çekim talep edelim / fotoğrafları varmış </t>
  </si>
  <si>
    <t>61a23aede8624b75d076f39b</t>
  </si>
  <si>
    <t>Sen Tavukçuluk, Akdeniz (Gündoğdu Mah.)</t>
  </si>
  <si>
    <t>HİKMET BAKIRHAN</t>
  </si>
  <si>
    <t>Gündoğdu</t>
  </si>
  <si>
    <t>GÜNDOĞDU MAH.5720 SK.18/A AKDENİZ /MERSİN</t>
  </si>
  <si>
    <t>biz böyle şeylerle ilgilenmiyoruz</t>
  </si>
  <si>
    <t>61a2405407c5f61d4adf95f8</t>
  </si>
  <si>
    <t>Sen Tavukçuluk, Toroslar (Yalınayak Mah.)</t>
  </si>
  <si>
    <t>Yalınayak Mah.102044 sokak No/5-A Toroslar,Mersin</t>
  </si>
  <si>
    <t>öğlen tekrar ara / daha sonra tekrar ara / açmadı.</t>
  </si>
  <si>
    <t>6149930e87c8ff817cb75dd6</t>
  </si>
  <si>
    <t>Sepet Cafe, Yenişehir (Gazi Mah.)</t>
  </si>
  <si>
    <t>Cahit Eroğlu</t>
  </si>
  <si>
    <t>Gazi Mah.1324 Sokak No/1 Yenişehir,Mersin</t>
  </si>
  <si>
    <t>Sibel Hanım/5327809060// mail verildi kalanlar ,çin kendi fotolarını gönderecek</t>
  </si>
  <si>
    <t>6235c663171eba46e81e1a9c</t>
  </si>
  <si>
    <t>Sevimli Restaurant &amp; Cafe, Yenişehir (Cumhuriyet Mah.)</t>
  </si>
  <si>
    <t>Sevim Sağnak</t>
  </si>
  <si>
    <t>Cumhuriyet Mah.1628 Sokak No:7-D Yenişehir,Mersin</t>
  </si>
  <si>
    <t>623b5fdf5a5ce46b04a5b58c</t>
  </si>
  <si>
    <t>Seyfocan Tantuni &amp; Kokoreç, Akdeniz (Mahmudiye Mah.)</t>
  </si>
  <si>
    <t>SEFER BALIKÇI</t>
  </si>
  <si>
    <t>Mahmudiye Mah. 4815 Sok. Erk Apt. No:2A Akdeniz/Mersin</t>
  </si>
  <si>
    <t>5fe10e6b8795623550cc669f</t>
  </si>
  <si>
    <t>Seyit Usta Lahmacun &amp; Tantuni , Yenişehir (Palmiye Mah.)</t>
  </si>
  <si>
    <t>Seyit Ahmet Horuzoğlu</t>
  </si>
  <si>
    <t>Palmiye Mah.1208 Sokak Kordon Apt.B Blok No/30/C Yenişehir /Mersin</t>
  </si>
  <si>
    <t xml:space="preserve">çekim sağlanmış fakat et kısmı yüklenmemiş yüklenmesini istiyor </t>
  </si>
  <si>
    <t>61d7d8c600a8620b59f6ef7f</t>
  </si>
  <si>
    <t>Sherbetto Künefe, Mezitli (Viranşehir Mah.)</t>
  </si>
  <si>
    <t>Bedri Leylak</t>
  </si>
  <si>
    <t>Viranşehir Mah.Cengiz Topel Cad.No:76 Mezitli,Mersin</t>
  </si>
  <si>
    <t xml:space="preserve">öğlen 2 3 aylin hanım / 5325534633 / mail adresi verildi </t>
  </si>
  <si>
    <t>Sicilya Pizza, Mezitli (Atatürk Mah.)</t>
  </si>
  <si>
    <t>Güler Aykurt</t>
  </si>
  <si>
    <t>Atatürk Mah.31067 Sokak No/6-B Mezitli,Mersin</t>
  </si>
  <si>
    <t xml:space="preserve">ustası yokmus tek basıma yetıstıremem dedi ileri tarihte olabilir dedi/2 ay sonra aayın dedı- elimde 8-9 tane fotograflar var dedi onları atarım dedi mail adresi verildi - çekim istemiyor / mail verildi </t>
  </si>
  <si>
    <t>61e5508509889368ec526695</t>
  </si>
  <si>
    <t>Simidçe, Yenişehir (Çiftlikköy Mah.)</t>
  </si>
  <si>
    <t>Mustafa Hasdeniz</t>
  </si>
  <si>
    <t>Çiftlikköy Mah.Özlem 1 üniversite konutları blok:229 AA Yenişehir,Mersin</t>
  </si>
  <si>
    <t xml:space="preserve">açmadı/ biz düşünmüyoruz ne olacağımız belli bilr değil der </t>
  </si>
  <si>
    <t>60db2e4e5d0c6337a2b7c10a</t>
  </si>
  <si>
    <t>Simitx, Yenişehir (Güvenevler Mah.)</t>
  </si>
  <si>
    <t>Hadi Daş</t>
  </si>
  <si>
    <t>Güvenevler Mah.Pınar Cad.Doğan Yıldız İş Merkezi No/12 Yenişehir,Mersin</t>
  </si>
  <si>
    <t xml:space="preserve">yusuf beyle görüşüldü/devam çekimi istiyor sabah 7 de istiyor saat uymadı. tekrar aransın / çok az ürünüm kaldı tekrar çekime gerek yok dedi </t>
  </si>
  <si>
    <t>5ffa172edef5a061fe5617ef</t>
  </si>
  <si>
    <t>Sivas Köftecisi, Akdeniz (Camişerif Mah.)</t>
  </si>
  <si>
    <t>Emrah Aydur</t>
  </si>
  <si>
    <t>Camişerif Mah.Uray Cad.No/34-A Akdeniz,Mersin</t>
  </si>
  <si>
    <t>Hafıza kartı bozuk olduğu için görsellere ulaşamadık, tekrar çekim talep edelim // 5447651458 emrah beyin numarası/kndısının fotografları mevcut paylasaak</t>
  </si>
  <si>
    <t>61426d0b5ce320707bc7950e</t>
  </si>
  <si>
    <t>Sml Catering Döner &amp; Lahmacun, Yenişehir (Cumhuriyet Mah.)</t>
  </si>
  <si>
    <t>Serhat Sümbül</t>
  </si>
  <si>
    <t>Cumhuriyet Mah.1616 Sokak No/8-A Yenişehir,Mersin</t>
  </si>
  <si>
    <t>devam çekımı</t>
  </si>
  <si>
    <t>61026685f7462a3c164f8336</t>
  </si>
  <si>
    <t>Sofioğlu Fındık Lahmacun , Tarsus (Caminur Mah.)</t>
  </si>
  <si>
    <t>Sercan Sofi</t>
  </si>
  <si>
    <t>Caminur Mah.Abdi İpekçi Cad.No/18-M Tarsus,Mersin</t>
  </si>
  <si>
    <t>61025cf6bddc0d317e934271</t>
  </si>
  <si>
    <t>Sofioğlu Fındık Lahmacun &amp; Humus , Yenişehir (Güvenevler Mah.)</t>
  </si>
  <si>
    <t>Sercan Sofİ</t>
  </si>
  <si>
    <t>Güvenevler Mah.Dumlupınar Cad.No/16-C Yenişehir,Mersin</t>
  </si>
  <si>
    <t xml:space="preserve">5348804916 cekım ıstemıyorlr / Hayır sağolun dedi / ürünlerimin parasını ödeyeceksiniz gelin çekin der </t>
  </si>
  <si>
    <t>60884b52ed7a3e871e73c400</t>
  </si>
  <si>
    <t>Sokak Lezzetleri, Mezitli (Atatürk Mah.)</t>
  </si>
  <si>
    <t>Tuba Kavuncu</t>
  </si>
  <si>
    <t>Atatürk Mah.İsmet İnönü Bulvarı No/25-A Mezitli,Mersin</t>
  </si>
  <si>
    <t>mail paylasıldı- ulaşılamadı - devir etmis / bu numara eski ortağın numarakarı yok görüşmüyorlarmış</t>
  </si>
  <si>
    <t>5ffa0c5e5f0ab46841e792fb</t>
  </si>
  <si>
    <t>Soli Kebap &amp; Lahmacun, Mezitli (Merkez Mah.)</t>
  </si>
  <si>
    <t>Süleyman Işık Kurtoğlu</t>
  </si>
  <si>
    <t>Merkez Mah.52146 Sokak Kardelen Apt.No/14-A Mezitli,Mersin</t>
  </si>
  <si>
    <t>tekrar arandı randevu için hastası var var sonra ben size dönüş yaparım dedi/yarın aranacak- karantinada dedi calısanı daha sonra aranacak/yt yok calısanı ıletecegını belırtıı- usta yok dedi gelsin soylerim dedi ne zaman gelir bilmiyorum dedi - yt rahatsızmıs cekım ıstemıyormjus</t>
  </si>
  <si>
    <t>5ffb0bfdf21cfb4ed9989fce</t>
  </si>
  <si>
    <t>Somato, Yenişehir (Çiftlikköy Mah.)</t>
  </si>
  <si>
    <t>Şeref Kurt</t>
  </si>
  <si>
    <t>Çiftlikköy Mah.Üniversite Cad.Kuriş Pi Konutları Altı B blok Yenişehir,Mersin</t>
  </si>
  <si>
    <t>Daha önce çekim saglanmış begenilmeyen fotograflar kaldırılmıs yeniden cekim için randevunalınabilir</t>
  </si>
  <si>
    <t>6230e7c9a44dbfe1f1cd141a</t>
  </si>
  <si>
    <t>Son-Et Tantuni &amp; Döner, Tarsus (Şehitmustafa Mah.)</t>
  </si>
  <si>
    <t>Derya Öz</t>
  </si>
  <si>
    <t>Şehitmustafa Mah.3518 Sokak No:1-B Tarsus,Mersin</t>
  </si>
  <si>
    <t>5fecea9e630a7662d7ff3be8</t>
  </si>
  <si>
    <t>Sos Pizza &amp; Burger, Tarsus (Yeni Ömerli Mah.)</t>
  </si>
  <si>
    <t>Derya Ceylan</t>
  </si>
  <si>
    <t xml:space="preserve">biz düşünüp size dönüş sağlayalım dedi//5447626523 çağlar beyle görüşüldü panelden şikayetçiymiş çekim vs istemiyorum dedi </t>
  </si>
  <si>
    <t>60bfa5c84d4076c6e37bc2c5</t>
  </si>
  <si>
    <t>Sosando Soslu Döner, Yenişehir (Güvenevler Mah.)</t>
  </si>
  <si>
    <t>Havva Gür</t>
  </si>
  <si>
    <t>Güvenevler Mah.Dumlupınar Cad.No/22-D Yenişehir,Mersin</t>
  </si>
  <si>
    <t>Zahire Aydın</t>
  </si>
  <si>
    <t>yarın asıl yetkili ile konuşulup kararlaştırcaklar yarın aranacak/eşinin numarasını verdi ama açmıyor 0535 282 46 43/RANDEVU ALINDI//çekimlerin hepsi yapılmış sisteme yüklenmemiş.</t>
  </si>
  <si>
    <t>616d560a12ca392aa29df2b7</t>
  </si>
  <si>
    <t>Sosyete Çiğ Köfte, Mezitli (Yeni Mah.)</t>
  </si>
  <si>
    <t>Ayşegül Çapanoğlu</t>
  </si>
  <si>
    <t>Yeni Mah.13203 sokak No/152-6 Mezitli,Mersin</t>
  </si>
  <si>
    <t xml:space="preserve"> </t>
  </si>
  <si>
    <t>602d2a5a29d1d3acae8b9ba9</t>
  </si>
  <si>
    <t>Sosyete Tantuni, Yenişehir (Cumhuriyet Mah.)</t>
  </si>
  <si>
    <t>Taner Bediroğlu</t>
  </si>
  <si>
    <t>Cumhuriyet Mah.1649 Sokak No/1 Yenişehir,Mersin</t>
  </si>
  <si>
    <t xml:space="preserve">ÜRÜNLERİ ZİYAN EDİP ZARARA GİREMEM DER/5378455050 taner bey bir hafta sonra aransın  / şuan düşünmüyormuş </t>
  </si>
  <si>
    <t>604353d1972cd01512c29f03</t>
  </si>
  <si>
    <t>Soulmate Coffee, Yenişehir (Akkent Mah.)</t>
  </si>
  <si>
    <t>Yücel Baba</t>
  </si>
  <si>
    <t>Akkent Mah.Hüseyin Okan Merzeci Bulvarı Sayapark Avm No/759-A Yenişehir,Mersin</t>
  </si>
  <si>
    <t>mail verildi // YOLLADIM DER</t>
  </si>
  <si>
    <t>60c22587cc16a60a750351ea</t>
  </si>
  <si>
    <t>Special Közde Piliç Dünyası,Mezitli (Yeni Mah.)</t>
  </si>
  <si>
    <t>Abit Mesut Hakverdi</t>
  </si>
  <si>
    <t>Yeni Mah.Sanayi Cad.No/15-A Mezitli,Mersin</t>
  </si>
  <si>
    <t>KULLANILMAYAN NUMARA</t>
  </si>
  <si>
    <t>61fa6be1752cbfa43c56bf59</t>
  </si>
  <si>
    <t>Spice 2 Et &amp; Tavuk &amp; Mangal, Mezitli (Viranşehir Mah.)</t>
  </si>
  <si>
    <t>Ahmed Hendavi</t>
  </si>
  <si>
    <t>Viranşehir Mah.34318 sokak No:16-A Mezitli,Mersin</t>
  </si>
  <si>
    <t xml:space="preserve">açmadı </t>
  </si>
  <si>
    <t>60b0f7768617c14fd479ac15</t>
  </si>
  <si>
    <t>Star Börekçilik,Akdeniz (Bahçe Mah.)</t>
  </si>
  <si>
    <t>Ecevit Kardaş</t>
  </si>
  <si>
    <t>Bahçe Mah.İstiklal Cad.No/88-A Akdeniz,Mersin</t>
  </si>
  <si>
    <t xml:space="preserve">ürünleri çekilmiş </t>
  </si>
  <si>
    <t>602d3c287491a96048064111</t>
  </si>
  <si>
    <t>Starstation Coffee, Yenişehir (Çiftlikköy Mah.)</t>
  </si>
  <si>
    <t>Elvın Seyıdov</t>
  </si>
  <si>
    <t>Çiftlikköy Mah.Üniversite Cad.No/36 Yenişehir,Mersin</t>
  </si>
  <si>
    <t>devam cekım ı alındı</t>
  </si>
  <si>
    <t>6234628fb42bfb22fe58f847</t>
  </si>
  <si>
    <t>Steak Tantuni &amp; Döner, Mezitli (Merkez Mah.- Eskiköy Cad.)</t>
  </si>
  <si>
    <t>Bahar Öztürk Akan</t>
  </si>
  <si>
    <t>Merkez Mah.Eskiköy Cad.No:18-A Mezitli,Mersin</t>
  </si>
  <si>
    <t>61decc385d0f8071d495cbd4</t>
  </si>
  <si>
    <t>Su Börekçiniz Fatmazel, Yenişehir (Eğriçam Mah.)</t>
  </si>
  <si>
    <t>Fatma Güngör</t>
  </si>
  <si>
    <t>Eğriçam Mah.Hüseyin Okan Merzeci Bulvarı No:669-A Yenişehir,Mersin</t>
  </si>
  <si>
    <t>621a4a88b2ece3151d5d2f05</t>
  </si>
  <si>
    <t>Sude Et Lokantası, Toroslar (Tozkoparan Mah.)</t>
  </si>
  <si>
    <t>Melek Dönmez</t>
  </si>
  <si>
    <t>Tozkoparan Mah.87021 Sokak No:5-B Toroslar,Mersin</t>
  </si>
  <si>
    <t xml:space="preserve">ortakları ile görüşüp dönecek </t>
  </si>
  <si>
    <t>61f02787a6b5baf3bd6a3550</t>
  </si>
  <si>
    <t>Suna Kahvaltı Salonu, Erdemli (Akdeniz Mah.)</t>
  </si>
  <si>
    <t>Eren Durmuş Suna</t>
  </si>
  <si>
    <t>Akdeniz Mah.1002 Sokak No:4-E Erdemli,Mersin</t>
  </si>
  <si>
    <t>5ffc9750def5a0f0cd566089</t>
  </si>
  <si>
    <t>Suphi Döner &amp; Fast, Mezitli (Merkez Mah.)</t>
  </si>
  <si>
    <t>Ahmet Yanelli</t>
  </si>
  <si>
    <t>Menderes Mah.Fındıkpınarı Cad.Şahinoğlu Apt.No/53-C Mezitli,Mersin</t>
  </si>
  <si>
    <t xml:space="preserve">devam çekimi için aradım müsait değilim dedi / ürünlerin büyük bir kısmı panelde var </t>
  </si>
  <si>
    <t>5fff5a19f73b332316d19748</t>
  </si>
  <si>
    <t>Suphi Döner &amp; Şalgam &amp; Tantuni, Akdeniz (Kiremithane Mah.)</t>
  </si>
  <si>
    <t>Ahmet Yeşildağ</t>
  </si>
  <si>
    <t>Kiremithane Mah.Silifke Cad.No/102 Akdeniz,Mersin</t>
  </si>
  <si>
    <t xml:space="preserve">dç alındı iptal olduğundan yetkilinin haberi yok tekrar görüşülecek / panelde fotoğrafları var </t>
  </si>
  <si>
    <t>61b784653e26963c04d2a336</t>
  </si>
  <si>
    <t>Susam Sokağı Tantuni &amp; Döner, Erdemli (Merkez Mah.)</t>
  </si>
  <si>
    <t>Mehmet Kaya</t>
  </si>
  <si>
    <t>Merkez Mah.Hal Cad.No:12-J Erdemli,Mersin</t>
  </si>
  <si>
    <t>621e037fdd2d4021368c3a2f</t>
  </si>
  <si>
    <t>Süleyman Usta Tantuni, Anamur (Yeşilyurt Mah.)</t>
  </si>
  <si>
    <t>Süleyman Apaydın</t>
  </si>
  <si>
    <t>Yeşilyurt Mah. Akdeniz Cad.N0:36 Anamur, Mersin</t>
  </si>
  <si>
    <t>62455de36fc03bc94e0468a7</t>
  </si>
  <si>
    <t>Şahin Kebap, Silifke (Gazi Mah.)</t>
  </si>
  <si>
    <t>Gazi Mah.İlhan Akgün Cad.No:28-D Silifke,Mersin</t>
  </si>
  <si>
    <t>60799e7bd4c524002d6168cd</t>
  </si>
  <si>
    <t>Şato Kebapçılık, Yenişehir (Palmiye Mah.)</t>
  </si>
  <si>
    <t>Turan Oğur</t>
  </si>
  <si>
    <t>Palmiye Mah.1207 Sokak Çağlar Apt.No/23-A Yenişehir,Mersin</t>
  </si>
  <si>
    <t xml:space="preserve">on dkka sonra ara dediler / ürünlerinin tamamı çekilmiş </t>
  </si>
  <si>
    <t>601573d40a16eed549e180d9</t>
  </si>
  <si>
    <t>Şef İbo, Mezitli (Viranşehir Mah.)</t>
  </si>
  <si>
    <t>Veysel Tahiroğlu</t>
  </si>
  <si>
    <t>Viranşehir Mah.34020 Sokak Gürsel Öztürk Apt.No/12-A Mezitli,Mersin</t>
  </si>
  <si>
    <t xml:space="preserve">isteksiz konuştu 2 hafta sonra tekrar arayın dedi//suan dükkanda yok ded/kardeşimle konuşuyum yarın siz bizi tekrar arasanız olur mu dedi/yarın veya pazartesı arayın/ şuan için böyle bir düşüncem yok istemiyorum dedi </t>
  </si>
  <si>
    <t>61c567bef098dc45919cfb81</t>
  </si>
  <si>
    <t>Şef Künefe &amp; Kadayıf &amp; Baklava, Tarsus (Çağlayan Mah.)</t>
  </si>
  <si>
    <t>Abdulselam Balcıoğlu</t>
  </si>
  <si>
    <t>Çağlayan</t>
  </si>
  <si>
    <t>Çağlayan Mah.Şelale Bulvarı N0:11 Tarsus,Mersin</t>
  </si>
  <si>
    <t>60d383a17761e54ded06a4e0</t>
  </si>
  <si>
    <t>Şef Sofrası, Akdeniz (İhsaniye Mah.)</t>
  </si>
  <si>
    <t>Sibel Yiğittekin Özbek</t>
  </si>
  <si>
    <t>İhsaniye Mah.4091 Sokak No/10-A Akdeniz,Mersin</t>
  </si>
  <si>
    <t xml:space="preserve">neslihan selvi /12.00 ıcın ıstedı  ıllede / müsait değilim deyip suratıma kapattı </t>
  </si>
  <si>
    <t>602adc70fbe505b515a7dd3b</t>
  </si>
  <si>
    <t>Şefim Döner, Yenişehir (Güvenevler Mah.)</t>
  </si>
  <si>
    <t>Nuray Polat</t>
  </si>
  <si>
    <t>Güvenevler Mah.1901 Sokak No/26-B Yenişehir,Mersin</t>
  </si>
  <si>
    <t>600b2b0d5007621b232eaa91</t>
  </si>
  <si>
    <t>Şehr-i Antep Künefe &amp; Katmer, Erdemli (Merkez Mah.)</t>
  </si>
  <si>
    <t>Ahmet Keskin</t>
  </si>
  <si>
    <t>Akdeniz Mah.Alparslan Türkeş Bulvarı No/477-C Erdemli,Mersin</t>
  </si>
  <si>
    <t xml:space="preserve">çekim sağlanmış başka da istemiyor </t>
  </si>
  <si>
    <t>604b6a1825b0d3a4ba092b42</t>
  </si>
  <si>
    <t>Şehr-i Antep Künefe &amp; Katmer, Yenişehir (Limonluk Mah.)</t>
  </si>
  <si>
    <t>Veysi Demirdaş</t>
  </si>
  <si>
    <t>Limonluk Mah.2480 Sokak Algül Plaza No/1-A Yenişehir,Mersin</t>
  </si>
  <si>
    <r>
      <rPr>
        <rFont val="arial, sans-serif"/>
        <color rgb="FF1A0DAB"/>
        <sz val="11.0"/>
        <u/>
      </rPr>
      <t>(0324) 328 12 60</t>
    </r>
    <r>
      <rPr>
        <rFont val="arial, sans-serif"/>
        <color rgb="FF000000"/>
        <sz val="11.0"/>
      </rPr>
      <t>/ bız paket kullanmıyoruz</t>
    </r>
  </si>
  <si>
    <t>624342259c82c26f8f8a8e37</t>
  </si>
  <si>
    <t>Şehr-i Divan Paça Salonu, Mezitli (Viranşehir Mah.)</t>
  </si>
  <si>
    <t>HAKİM BAŞARAN</t>
  </si>
  <si>
    <t>Viranşehir Mah. 34320 Sok.No:5A Mezitli/Mersin</t>
  </si>
  <si>
    <t>602d54e425e3a672b9ec875f</t>
  </si>
  <si>
    <t>Şekeroğlu Gaziantep Sofrası, Akdeniz (Turgutreis Mah.)</t>
  </si>
  <si>
    <t>Şehriban Ağca</t>
  </si>
  <si>
    <t>turgut reis mah silifke cad 4101 sk derya apartmanı altı 2:C</t>
  </si>
  <si>
    <t xml:space="preserve">bütün ürünler çekilmiş ramazandan sonra menü eklemesi yapacakmış o zaman arayın//açmadı// menü yenilenmesi olmamış şuan da müsait değillermiş/devam çekimi istemiyo / çekim sağlanmış kalan ürününün olmadığını syledi </t>
  </si>
  <si>
    <t>61ab9c06044d1a1d1f028d04</t>
  </si>
  <si>
    <t>Şen Piliç &amp; Izgara, Toroslar (Yalınayak Mah.)</t>
  </si>
  <si>
    <t>Selma Öztünç</t>
  </si>
  <si>
    <t>Yalınayak Mah. Atatürk Cad.102063 Sokak NO:9 -D Toroslar,Mersin</t>
  </si>
  <si>
    <t>bize güven sorunu yaşıyor.meşgule attı.</t>
  </si>
  <si>
    <t>615ddd0dab501992dcb18eb7</t>
  </si>
  <si>
    <t>Şerbetlim Dondurma &amp; Künefe, Yenişehir (Akkent Mah.)</t>
  </si>
  <si>
    <t>Aytaç Sevim</t>
  </si>
  <si>
    <t>Akkent Mah.2371 sokak No/12-A Yenişehir,Mersin</t>
  </si>
  <si>
    <t>61debdba3bee815a3cc2dd2d</t>
  </si>
  <si>
    <t>Şeref Tantuni, Toroslar (Osmaniye Mah.)</t>
  </si>
  <si>
    <t>Muzaffer Ünsal</t>
  </si>
  <si>
    <t>Osmaniye Mah.Akbelen Cad.No:18-A Toroslar, Mersin</t>
  </si>
  <si>
    <t>614b49d2c01d6742176999ac</t>
  </si>
  <si>
    <t>Şırdancı Cemil, Mezitli (Menderes Mah.)</t>
  </si>
  <si>
    <t>Fatma Yılmaz</t>
  </si>
  <si>
    <t>Menderes Mah.Gazi Mustafa Kemal Bulvarı No/781 Mezitli,Mersin</t>
  </si>
  <si>
    <t>608853927e659867d7c1eaa5</t>
  </si>
  <si>
    <t>Şırdancı Hamit, Mezitli (Merkez Mah.)</t>
  </si>
  <si>
    <t>Hamit Kaçar</t>
  </si>
  <si>
    <t>Merkez Mah.Vatan Cad. No/23-A Mezitli,Mersin</t>
  </si>
  <si>
    <t xml:space="preserve">Saat 6 da aranacak/Daha sonra aramamızı istedi müsait değilmiş.- menüm güncellenecek dedi işletmeyi büyütüyoruz dedi 1 ay sonra aranacak /saat 3 gibi / </t>
  </si>
  <si>
    <t>620f416f2c39acb2c851e137</t>
  </si>
  <si>
    <t>Şırdancı Nuri, Akdeniz (Gündoğdu Mah.)</t>
  </si>
  <si>
    <t>Nurettin Etiz</t>
  </si>
  <si>
    <t>Gündoğdu Mah.Çiftciler Cad No:90/A Şen Apt. Akdeniz, Mersin</t>
  </si>
  <si>
    <t>61dd651dea057186d1bc1d36</t>
  </si>
  <si>
    <t>Şişko Döner, Mezitli (Merkez Mah.)</t>
  </si>
  <si>
    <t>Merkez Mah.G.M.K Bulvarı No/790-D Mezitli,Mersin</t>
  </si>
  <si>
    <t>5417842903 Hüseyin bey açmadı</t>
  </si>
  <si>
    <t>5fe4df22d75b1db94c0bbf1a</t>
  </si>
  <si>
    <t>Şişko Tantuni,Yenişehir (İnönü Mah.)</t>
  </si>
  <si>
    <t>İdris Bilek</t>
  </si>
  <si>
    <t xml:space="preserve">açtı ama konuşmadı / panelde fotoğrafları var </t>
  </si>
  <si>
    <t>606f485b15d7fa25a368f527</t>
  </si>
  <si>
    <t>Şölen Tantuni, Akdeniz (Camişerif Mah.)</t>
  </si>
  <si>
    <t>Ulaş Heval Gevez</t>
  </si>
  <si>
    <t>Camişerif Mah.İstiklal Cad.No/32-A Akdeniz,Mersin</t>
  </si>
  <si>
    <t>61fd60f2779cc977fa20fe83</t>
  </si>
  <si>
    <t>T!kTok Kokoreç, Toroslar (Akbelen Mah.)</t>
  </si>
  <si>
    <t>Şaban Gökgöz</t>
  </si>
  <si>
    <t>Akbelen Mah.Milli Mücahit Rıfat Uslu Cad.No:2-A Toroslar,Mersin</t>
  </si>
  <si>
    <t>610014e93b6c6a088bc24397</t>
  </si>
  <si>
    <t>Tadım Pide &amp; Kebap, Anamur (Akarca Mah.)</t>
  </si>
  <si>
    <t>Zübeyde Ceritlioğlu</t>
  </si>
  <si>
    <t>Akarca</t>
  </si>
  <si>
    <t>Akarca Mah.Prof Dr.Ahmet Taner Kışlalı Cad.No/24 Anamur,Mersin</t>
  </si>
  <si>
    <t>5fe6387097764ae0cb5a6ed9</t>
  </si>
  <si>
    <t>Tadım Tantuni &amp; Döner, Mezitli (Merkez Mah.)</t>
  </si>
  <si>
    <t>Bayram Ergin</t>
  </si>
  <si>
    <t>Merkez Mah.Fındıkpınarı Cad.Novada Apt Altı No/56/ D Mezitli Mersin</t>
  </si>
  <si>
    <t>5fe634c3ce622f9485cb3f9d</t>
  </si>
  <si>
    <t>Tadım Tantuni &amp; Döner, Mezitli (Yenimahalle Mah.)</t>
  </si>
  <si>
    <t>Vedat Ergin</t>
  </si>
  <si>
    <t>Yeni Mah.G.M.K Bulvarı (Mezitli Emniyet Karşısı )No/64/E Mezitli Mersin</t>
  </si>
  <si>
    <t>hepsi çekilmiş.</t>
  </si>
  <si>
    <t>611a29cb55ea9b6c5ae35524</t>
  </si>
  <si>
    <t>Tadın Tantuni &amp; Biftek, Tarsus (Mithatpaşa Mah.)</t>
  </si>
  <si>
    <t>Ali Tilgen</t>
  </si>
  <si>
    <t>Mithatpaşa Mah.Şehitler Cad.No/94-A Tarsus,Mersin</t>
  </si>
  <si>
    <t>61fe11029c109b9bfeaa8def</t>
  </si>
  <si>
    <t>Taksim Islak Burger, Akdeniz (Nusratiye Mah.)</t>
  </si>
  <si>
    <t>619d156e99e414845abe2455</t>
  </si>
  <si>
    <t>Taniduk Köfte &amp; Balık Restaurant, Akdeniz (Cami Şerif Mah.)</t>
  </si>
  <si>
    <t>Hasan Yazıcı</t>
  </si>
  <si>
    <t>CAMİ ŞERIF MAH. 5228 SK. NO: 3 B AKDENIZ/ MERSIN</t>
  </si>
  <si>
    <t>osman bey / çekim sağlanmış</t>
  </si>
  <si>
    <t>6185668ac3d5eec10a5f1fa8</t>
  </si>
  <si>
    <t>Tantuni Bey Eyüp Usta, Toroslar (Korukent Mah.)</t>
  </si>
  <si>
    <t>Evren Avçil</t>
  </si>
  <si>
    <t>Korukent Mah. 243.sokNo:18 Toroslar,Mersin</t>
  </si>
  <si>
    <t>6028f0e755fa615f2bfd5238</t>
  </si>
  <si>
    <t>Tarihi Antep Çiğ Köfte, Mezitli (Akdeniz Mah.)</t>
  </si>
  <si>
    <t>Hacı Emin Özdemir</t>
  </si>
  <si>
    <t>Akdeniz Mah.Cumhuriyet Cad.A blok No/9-B Mezitli,Mersin</t>
  </si>
  <si>
    <t>numara verdim dönüş sağlayacaklar//hastaları varmış siz aramayın o dönecek bizesistem üzerinde fotoğraf var sormak için aradık açmadı</t>
  </si>
  <si>
    <t>612487fc5f281b7f75719a7e</t>
  </si>
  <si>
    <t>Tarihi Antep Çiğ Köfte, Tarsus (82 Evler Mah.)</t>
  </si>
  <si>
    <t>Abdurrahim Özkan</t>
  </si>
  <si>
    <t>Şahin</t>
  </si>
  <si>
    <t>82 Evler Mah.Reşat Nuri Cad.No/65 Tarsus, Mersin</t>
  </si>
  <si>
    <t>5fde6430856302c46654fb48</t>
  </si>
  <si>
    <t>Tarihi Antep Çiğ Köfte, Yenişehir (Palmiye Mah.)</t>
  </si>
  <si>
    <t>Nihayet Büşra Aydın</t>
  </si>
  <si>
    <t>Palmiye mah. 2. Cad fahri apartmanı no:28/B Yenişehir</t>
  </si>
  <si>
    <t xml:space="preserve">bi şubesi daha var / çekim gerçekleşmiş </t>
  </si>
  <si>
    <t>602595c10aeff913e0b8ad3c</t>
  </si>
  <si>
    <t>Tarihi Antep Çiğköfte, Erdemli (Alata Mah.)</t>
  </si>
  <si>
    <t>Mehmet Ercan</t>
  </si>
  <si>
    <t>Alata Mah.Köypınarı Cad.No/20-C Erdemli,Mersin</t>
  </si>
  <si>
    <t>603d251fa696171fac579482</t>
  </si>
  <si>
    <t>Tarihi Antep Çiğköfte, Silifke (Saray Mah.)</t>
  </si>
  <si>
    <t>Ramazan Ercan</t>
  </si>
  <si>
    <t>Saray Mah.İnönü Bulvarı No/25 -B Silifke, Mersin</t>
  </si>
  <si>
    <t>5fdf842ca8ae937f3cba00b3</t>
  </si>
  <si>
    <t>Tarihi Antep Çiğköfte, Yenişehir (Bahçelievler Mah.)</t>
  </si>
  <si>
    <t>Tolga Pancar</t>
  </si>
  <si>
    <t>Cumhuriyet Mah., 1. Cad., No:77, Yenişehir, Mersin, Türkiye,</t>
  </si>
  <si>
    <t>açmadı //müşterim var yarın arayın dedi//05333183370 tolga bey//acmıyor</t>
  </si>
  <si>
    <t>606760ce1d9276454b9212cd</t>
  </si>
  <si>
    <t>Tarihi Tabla Börekçisi, Mezitli (Viranşehir Mah.)</t>
  </si>
  <si>
    <t>Serdar Gençay</t>
  </si>
  <si>
    <t>Viranşehir Mah.Cengiz Topel Cad.Akdeniz Plaza No/31-A Mezitli, Mersin</t>
  </si>
  <si>
    <t>gökhan bey fotoğraf istemiyoruz dedi</t>
  </si>
  <si>
    <t>612e06d924a19a963a100161</t>
  </si>
  <si>
    <t>Tarsus Döner, Tarsus (Şehitmustafa Mah.-Merkez.)</t>
  </si>
  <si>
    <t>Pervin Güneş</t>
  </si>
  <si>
    <t>Şehitmustafa Mah.Şehit Cengiz Topel Cad.No/14-C Tarsus, Mersin</t>
  </si>
  <si>
    <t>603fc6bf92e907bc644f7700</t>
  </si>
  <si>
    <t>Tarsuslu Bacı &amp; Bozo Usta, Akdeniz (Kültür Mah.)</t>
  </si>
  <si>
    <t>Bilge Çimenlik</t>
  </si>
  <si>
    <t>Kültür Mah.İsmet İnönü Bulvarı Balıkçı Barınağı Rıhtım 2 No/25 Akdeniz,Mersin</t>
  </si>
  <si>
    <t xml:space="preserve">hepsi çekildi gerisininde bi önemi yok çekilmese de olur dedi / çekim sağlanmış kalan ürünü yok </t>
  </si>
  <si>
    <t>61431ad8de418918a0fd11fb</t>
  </si>
  <si>
    <t>Taste Point, Yenişehir (Aydınlıkevler Mah.)</t>
  </si>
  <si>
    <t>Gülistan Bayazıt</t>
  </si>
  <si>
    <t>Aydınlıkevler Mah.2003 Sokak No/2-A Yenişehir,Mersin</t>
  </si>
  <si>
    <t>Efkan Bey/ mail verildi.yetkili yok dönüş yapacak.efkan bey dönüş yapacak fotoğraflar var dedi ama yarısı var yarısı yok dedi tam emin olamadı oyüzden dönüş sağlayacak kendisi.</t>
  </si>
  <si>
    <t>610124d6e784a1de47a3693c</t>
  </si>
  <si>
    <t>Taş Ocağı Ev Yemekleri, Erdemli (Kargıpınarı Mah.)</t>
  </si>
  <si>
    <t>Ali Taş</t>
  </si>
  <si>
    <t>Kargıpınarı Mah.Kemal Bozkurt Cad.No/37 Erdemli,Mersin</t>
  </si>
  <si>
    <t xml:space="preserve">mutlaka erdemliye tekrar gelindiğinde arayın beni randevu istiyorum dedi  </t>
  </si>
  <si>
    <t>61fabd7facf8f642fac4f5ad</t>
  </si>
  <si>
    <t>Taşkın Tantuni, Toroslar (Portakal Mah.)</t>
  </si>
  <si>
    <t>Nedim Zengin</t>
  </si>
  <si>
    <t>Portakal Mah.Karaisalı Cad No :17 A/C Toroslar, Mersin</t>
  </si>
  <si>
    <t>61b9d7c8cfa49e6af2e8e101</t>
  </si>
  <si>
    <t>Tat Döner &amp; İskender, Mezitli (Davultepe Mah.)</t>
  </si>
  <si>
    <t>Şerif Dağ</t>
  </si>
  <si>
    <t>İstiklal</t>
  </si>
  <si>
    <t>İstiklal Mah.Gazi Mustafa Kemal Bulvarı N0:1074-H Mezitli,Mersin</t>
  </si>
  <si>
    <t>60072be6e13dbd68ec5c06e9        Tat Döner &amp; İskender, Mezitli (Merkez Mah.)şubesinden çekilen ürünler koyulacak</t>
  </si>
  <si>
    <t>60072be6e13dbd68ec5c06e9</t>
  </si>
  <si>
    <t>Tat Döner &amp; İskender, Mezitli (Merkez Mah.)</t>
  </si>
  <si>
    <t>Hayreddin Dağ</t>
  </si>
  <si>
    <t>Merkez Mah.Zeytinli Cad.No/22-A Mezitli,Mersin</t>
  </si>
  <si>
    <t xml:space="preserve">tüm ürünleri çekilmiş </t>
  </si>
  <si>
    <t>61818cb4454d0a9dae033f4e</t>
  </si>
  <si>
    <t>Tat-Pi Közde Piliç, Yenişehir (Güvenevler Mah.)</t>
  </si>
  <si>
    <t>Mesut Tatar</t>
  </si>
  <si>
    <t>Güvenevler Mah.1905 Sokak No/13-B Yenişehir,Mersin</t>
  </si>
  <si>
    <t xml:space="preserve">maliyeti fazla olduğu için kendim ayarlayınca döneceğim dedi fotoğrafçının numarası var dedi / ramazanda kapalılarmış </t>
  </si>
  <si>
    <t>624bf09618048d21e9b9a2d6</t>
  </si>
  <si>
    <t>Tatlıcan, Yenişehir (Hürriyet Mah.)</t>
  </si>
  <si>
    <t>Zeynep Ceylan</t>
  </si>
  <si>
    <t>Hürriyet Mah.İsmet İnönü Mah.No:270-C Yenişehir,Mersin</t>
  </si>
  <si>
    <t>61d7ac34a3d93efec98af65c</t>
  </si>
  <si>
    <t>Tatlıcı Mehmet Kuş, Yenişehir (Cumhuriyet Mah.)</t>
  </si>
  <si>
    <t>Mehmet Kuş</t>
  </si>
  <si>
    <t>Cumhuriyet Mah.1603 Sokak No:10 Yenişehir,Mersin</t>
  </si>
  <si>
    <t>620e8c0f08ba856a7b456859</t>
  </si>
  <si>
    <t>Tatlıcı Reisoğlu, Yenişehir (Gazi Mah.)</t>
  </si>
  <si>
    <t>Kadriye Bozkurt</t>
  </si>
  <si>
    <t>Gazi Mah.1317 Sokak No:2-A Yenişehir,Mersin</t>
  </si>
  <si>
    <t>Hasan bey yetkili</t>
  </si>
  <si>
    <t>618905fa6ff68d1849921b12</t>
  </si>
  <si>
    <t>Tatlıcı Sami, Tarsus (Kırklarsırtı Mah.)</t>
  </si>
  <si>
    <t>Müzehher Çağla Demirkıran</t>
  </si>
  <si>
    <t>Kırklarsırtı Mahallesi 2604 sokak N0:4/1B Tarsus, Mersin</t>
  </si>
  <si>
    <t>61d8893649f2ae2e5f47fb80</t>
  </si>
  <si>
    <t>Tatlıses Çiğköfte, Erdemli (Akdeniz Mah.)</t>
  </si>
  <si>
    <t>Osman Yüksel</t>
  </si>
  <si>
    <t>Akdeniz Mah.Kazım Karabekir Cad.No:15-B Erdemli,Mersin</t>
  </si>
  <si>
    <t>61d80c1f9acef37490acbe99</t>
  </si>
  <si>
    <t>Tava Turka, Silifke (Göksu Mah.)</t>
  </si>
  <si>
    <t>Ersin Özer</t>
  </si>
  <si>
    <t>Göksu Mah.Ali Önder Sokak No:22-B Silifke,Mersin</t>
  </si>
  <si>
    <t>6011d7e2aa213a2aede255b8</t>
  </si>
  <si>
    <t>Tavada Tavuk, Erdemli (Merkez Mah.)</t>
  </si>
  <si>
    <t>618bfebffae9cafa52e96c43</t>
  </si>
  <si>
    <t>Tavlı Baklava &amp; Dondurma &amp; Künefe, Tarsus (Şehitler Tepesi Mah.)</t>
  </si>
  <si>
    <t>Yunus Tavlı</t>
  </si>
  <si>
    <t>Şehitler Tepesi Mah.3624 Sokak NO/1-A Tarsus,Mersin</t>
  </si>
  <si>
    <t>6038063abee4b9424ce9195b</t>
  </si>
  <si>
    <t>Tavuk Mangal, Toroslar (Çukurova Mah.)</t>
  </si>
  <si>
    <t>Hanzade Dündar</t>
  </si>
  <si>
    <t>Çukurova Mah.Gözne Cad.No/111-A Toroslar,Mersin</t>
  </si>
  <si>
    <r>
      <rPr>
        <color rgb="FF000000"/>
        <sz val="10.0"/>
      </rPr>
      <t xml:space="preserve">erdemliye gidildiğinde alınacak/önümüzdeki hafta olur der \\ramazanda düşünüyormuş//başka işleri varmış ilerleyen zamanlada//açmadı/açmadı//meşgüle attı / ulaşılamadı/meşgul.yetkili 1 saat sonra gelir </t>
    </r>
    <r>
      <rPr>
        <color rgb="FF1155CC"/>
        <sz val="10.0"/>
        <u/>
      </rPr>
      <t>der.me</t>
    </r>
    <r>
      <rPr>
        <color rgb="FF000000"/>
        <sz val="10.0"/>
      </rPr>
      <t>şgule attı.</t>
    </r>
  </si>
  <si>
    <t>623a0f76ecc8f7623ec25f60</t>
  </si>
  <si>
    <t>Tayfun Aile Et Lokantası, Akdeniz (Nusretiye Mah.)</t>
  </si>
  <si>
    <t>HÜSEYİN ÇELİKEL</t>
  </si>
  <si>
    <t>Nusretiye Mah. 112. Cad. No:44A Akdeniz/Mersin</t>
  </si>
  <si>
    <t>6023b98d0737d69f9c110db0</t>
  </si>
  <si>
    <t>Tayfun Et Kebap &amp; Steakhouse, Yenişehir (Çiftlikköy Mah.)</t>
  </si>
  <si>
    <t>Tayfun İnce</t>
  </si>
  <si>
    <t>Tayfun Et Kebap&amp;Steakhouse Çiftlikköy Mah. 34. Cadde No:49B Yenişehir Mersin</t>
  </si>
  <si>
    <t xml:space="preserve">daha sonra aranacak/5324145002 yt ulasılmıyor/ben o değilim yanlış numara dedi/YILBASINDAN SONRA ARANILABLR / tayfun bey yok </t>
  </si>
  <si>
    <t>61bc57d8f66887dfa4f5b28f</t>
  </si>
  <si>
    <t>Taze Anadolu Makarnaları, Yenişehir (Aydınlıkevler Mah.)</t>
  </si>
  <si>
    <t>Arzu Kipdemir</t>
  </si>
  <si>
    <t>Aydınlıkevler Mah.2020 Sokak No:3-A Yenişehir,Mersin</t>
  </si>
  <si>
    <t>6113a86e3f99ce2a270abe5b</t>
  </si>
  <si>
    <t>Tece Künefe &amp; Unlu Mamülleri, Mezitli (Tece Mah.)</t>
  </si>
  <si>
    <t>Maşallah Değer</t>
  </si>
  <si>
    <t>Deniz Mah.Gazi Paşa Cad. No/45-C Mezitli,Mersin</t>
  </si>
  <si>
    <t>60b38e099add5748605655da</t>
  </si>
  <si>
    <t>Tek Tantuni, Yenişehir (İnönü Mah.)</t>
  </si>
  <si>
    <t>Feridun Tekinalp</t>
  </si>
  <si>
    <t>İnönü Mah.1408 Sokak Okan Apt.No/8-B Yenişehir,Mersin</t>
  </si>
  <si>
    <t>5ff4a770dc26c750a3d1e932</t>
  </si>
  <si>
    <t>Tekçe Lokma Cafe, Yenişehir (Menteş Mah.)</t>
  </si>
  <si>
    <t>Hamza Tekçe</t>
  </si>
  <si>
    <t>Menteş Mah.Nevit Kodallı Cad.EBS Çat Göçmen Sitesi,No/48-2B Yenişehir,Mersin</t>
  </si>
  <si>
    <t>mail atacak // İSTEMİYORUM FOTOĞRAFLARIMIN ORDA OLMASINI DER</t>
  </si>
  <si>
    <t>603936e69ae2e8914a32fd7d</t>
  </si>
  <si>
    <t>Tekin Ali Usta,Silifke (Göksu Mah.)</t>
  </si>
  <si>
    <t>Zeynep Gürbüz</t>
  </si>
  <si>
    <t>Göksu Mah.Özcan Seyhan Cad.N0/4 -A Silifke,Mersin</t>
  </si>
  <si>
    <t>6024286becc77369905acab3</t>
  </si>
  <si>
    <t>Tekin Gurme, Silifke (Göksu Mah.)</t>
  </si>
  <si>
    <t>Mustafa Tekin</t>
  </si>
  <si>
    <t>Göksu Mh. Özcan Seyhan Cad. No : 10</t>
  </si>
  <si>
    <t>6256775277674f7508505bb1</t>
  </si>
  <si>
    <t>Telvem Coffee &amp; Chocolate, Mezitli (Akdeniz Mah.)</t>
  </si>
  <si>
    <t>AYSEL KARAK</t>
  </si>
  <si>
    <t>Akdeniz Mah. Fatih Cad. No:24H Mezitli Mersin</t>
  </si>
  <si>
    <t>61c60340d03667b6e2570b6c</t>
  </si>
  <si>
    <t>Teps-i Künefe, Yenişehir (Aydınlıkevler Mah.)</t>
  </si>
  <si>
    <t>Özlem Gündüz</t>
  </si>
  <si>
    <t xml:space="preserve">kendi fotoğrafçısı varmış çektirdiği zamn mail atacak </t>
  </si>
  <si>
    <t>61d3f93eb2d3e022fad67a45</t>
  </si>
  <si>
    <t>Teras Dürüm, Tarsus (Ergenekon Mah.)</t>
  </si>
  <si>
    <t>Turgut Kırvar</t>
  </si>
  <si>
    <t>Ergenekon Mah.Atatürk Bulvarı No:203-A Tarsus,Mersin</t>
  </si>
  <si>
    <t>61ee936a64df74de4a08a20e</t>
  </si>
  <si>
    <t>Texas Tantuni &amp; Döner, Yenişehir (Güvenevler Mah.- Pozcu)</t>
  </si>
  <si>
    <t>Hakan Özsu</t>
  </si>
  <si>
    <t>Güvenevler Mah.1904 sokak No:6-A Yenişehir,Mersin</t>
  </si>
  <si>
    <t>konusmama izin vermeden istemiyoruz dedi kapattı</t>
  </si>
  <si>
    <t>61ab8ac64b9bec56004d3085</t>
  </si>
  <si>
    <t>The Cups Coffee &amp; Cake, Yenişehir (İnönü Mah.)</t>
  </si>
  <si>
    <t>Safinaz Sidar</t>
  </si>
  <si>
    <t>İnönü Mah.1405 Sokak N0:20-B Yenişehir,Mersin</t>
  </si>
  <si>
    <t xml:space="preserve">mail adresi gönderildi </t>
  </si>
  <si>
    <t>625863444794d2733829727b</t>
  </si>
  <si>
    <t>The Green Kitchen, Yenişehir (Eğriçam Mah.)</t>
  </si>
  <si>
    <t>Yağmur Başak Uzun</t>
  </si>
  <si>
    <t>Eğriçam Mah.12.Cadde Doktoroğlu Sitesi No:1-BA Yenişehir,Mersin</t>
  </si>
  <si>
    <t>601ae10c3740f1e777a0d11f</t>
  </si>
  <si>
    <t>The520 Shanghai Edition, Yenişehir (Eğriçam Mah.-Göçmen.)</t>
  </si>
  <si>
    <t>Uzakdoğu Mutfağı</t>
  </si>
  <si>
    <t>EBRU KAYA</t>
  </si>
  <si>
    <t>Eğriçam Mah.Adnan Menderes Bulvarı No/180-3A Yenişehir,Mersin</t>
  </si>
  <si>
    <t>mail atacak // FOTOĞRAFLARI GÖNDERDİM der/hazal hanım 1 saat sonra tekrar arancak</t>
  </si>
  <si>
    <t>6155eb97f26487e4012fbdcb</t>
  </si>
  <si>
    <t>Tiffsteak Burger, Yenişehir (Aydınlıkevler Mah.)</t>
  </si>
  <si>
    <t>Muhammed Can Taş</t>
  </si>
  <si>
    <t>Aydınlıkevler Mah.Gazi Mustafa Kemal Bulvarı No/390-E Yenişehir,Mersin</t>
  </si>
  <si>
    <t>fotografları maıl olarak paylasılmıs</t>
  </si>
  <si>
    <t>6019c7c4c046ba7044bb2bab</t>
  </si>
  <si>
    <t>Tiko Handmade Burger, Yenişehir (Palmiye Mah.)</t>
  </si>
  <si>
    <t>Ali Gökay Öztekin</t>
  </si>
  <si>
    <t>Palmiye Mah.Adnan Menderes Bulvarı No/6-A Yenişehir,Mersin</t>
  </si>
  <si>
    <t>daha ileri tarihte döneceğim size // döneceğiz der\\kendisi dönecekmiş./numara aldılar geri dönüş yapacaklar//dönecek/Hakan Bey devir almış daha sistemi açmamışlar bölge limiti ve değişiklikler yapacagım dediler.yetkili yok 2 saat sonra gelirmiş.istemiyor gerek yokmuş uygun değillermiş.</t>
  </si>
  <si>
    <t>61f2bd0b1028204f823afc9e</t>
  </si>
  <si>
    <t>Topraklar, Erdemli (Kargıpınarı Mah.)</t>
  </si>
  <si>
    <t>Ali Toprak</t>
  </si>
  <si>
    <t>Kargıpınarı Mah.50.yıl Cad.No:23-1 Erdemli,Mersin</t>
  </si>
  <si>
    <t>61b9dca2d03b71af93a27ef3</t>
  </si>
  <si>
    <t>Toros Et-Piliç-Mangal Dünyası, Toroslar (Selçuklar Mah.)</t>
  </si>
  <si>
    <t>Mustafa Ergüvan</t>
  </si>
  <si>
    <t>Selçuklar Mah.Çiftçiler Cad.No:83-A Toroslar ,Mersin</t>
  </si>
  <si>
    <t>621a5ef9953d599be7fadd0f</t>
  </si>
  <si>
    <t>Toros Tantuni, Tarsus (Yeni Ömerli Mah.)</t>
  </si>
  <si>
    <t>İrfan Aydar</t>
  </si>
  <si>
    <t>Yeni Ömerli Mah.Hilmi Şeçkin Bulvarı No:41-C Tarsus,Mersin</t>
  </si>
  <si>
    <t>609916b9790a597b2d68be83</t>
  </si>
  <si>
    <t>Torte Eatery, Yenişehir (İnönü Mah.)</t>
  </si>
  <si>
    <t>Zeynep Bener</t>
  </si>
  <si>
    <t>İnönü Mah.1403 Sokak No/2-A Yenişehir,Mersin</t>
  </si>
  <si>
    <t xml:space="preserve">DEVAM ÇEKİMİ İÇİN ARA / kalan ürünlerim çokta önemli olan ürünler değil dedi  / haftaya olab,ilir </t>
  </si>
  <si>
    <t>614c8081f8f3972fb68d60d3</t>
  </si>
  <si>
    <t>Tost X, Yenişehir (Çiftlikköy Mah.)</t>
  </si>
  <si>
    <t>Muhammet Alkan</t>
  </si>
  <si>
    <t>Çiftlikköy Mah.32133 Sokak No/1-C Yenişehir,Mersin</t>
  </si>
  <si>
    <t xml:space="preserve">Yasin Bey/ kendi çekip gönderecek / ben bu çekimi itemiyorum dedi </t>
  </si>
  <si>
    <t>60119f64f179e467522592f8</t>
  </si>
  <si>
    <t>Trakya Köfte, Yenişehir (İnönü Mah.)</t>
  </si>
  <si>
    <t>Onur Köse</t>
  </si>
  <si>
    <t>İnönü Mah.1408 Sokak No/14-A Yenişehir,Mersin</t>
  </si>
  <si>
    <t>615d87b4d2c86b36d641450b</t>
  </si>
  <si>
    <t>TRC American Diner, Mezitli (Fatih Mah.)</t>
  </si>
  <si>
    <t>Ahmet Murat Dövenci</t>
  </si>
  <si>
    <t>hiç bir platformda ürün fotografı olsun istemiyor./kendi sosyal medya ekibi ve fotoğrafçıları varmış tamam o zaman mail adresi vermek istedim mail adresini de istemedi</t>
  </si>
  <si>
    <t>602422366fcc5ca048832b87</t>
  </si>
  <si>
    <t>Tunç Fındık Lahmacun, Yenişehir (Güvenevler Mah.)</t>
  </si>
  <si>
    <t>Tuncay Makal</t>
  </si>
  <si>
    <t>Güvenevler Mah.1901 Sokak No/15-C Yenişehir,Mersin</t>
  </si>
  <si>
    <t xml:space="preserve">devam çekimi için randevu oluşturuldu 2 3 ürünü çekilmiş kalan ürünlerin çekimi için randevu oluşturuldu </t>
  </si>
  <si>
    <t>617023fb6c2581824c547a0b</t>
  </si>
  <si>
    <t>Turunç Büfe, Silifke (Göksu Mah.)</t>
  </si>
  <si>
    <t>Egemen Tarım</t>
  </si>
  <si>
    <t>Göksu Mah.Abdi İpekçi Cad.No/27 -B Silifke,Mersin</t>
  </si>
  <si>
    <t>60422036133a2988eb41312b</t>
  </si>
  <si>
    <t>Tutku Tantuni, Yenişehir (Pirireis Mah.)</t>
  </si>
  <si>
    <t>Fırat kaya</t>
  </si>
  <si>
    <t>Pirireis mahallesi 1116 sokak Hamit Özcan apartmanı altı 21/C Yenişehir Mersin</t>
  </si>
  <si>
    <t>çekim yapılmış /fırat bey  5392391864 yok dha snra aranılck de aranılablr/</t>
  </si>
  <si>
    <t>62331a806b28262c67abfdcc</t>
  </si>
  <si>
    <t>Tutkunuz Antakya Döner, Akdeniz (Yeni Mah.)</t>
  </si>
  <si>
    <t>Ramazan Özer</t>
  </si>
  <si>
    <t>Yeni Mah.5315 Sokak No:34-B Akdeniz,Mersin</t>
  </si>
  <si>
    <t>61e6728ca3b8a6274f7f1bff</t>
  </si>
  <si>
    <t>Twins Kebab, Mezitli (Tece Mah.)</t>
  </si>
  <si>
    <t>Nagihan Apaydın</t>
  </si>
  <si>
    <t>Deniz Mah.Gazi Paşa Cad.No:61-BA Mezitli,Mersin</t>
  </si>
  <si>
    <t>internetten alıp koyabilirsiniz der bende öyle bir şansımız olmadığını belirttim zaten iş yok der çok zorlanıyorlarmış o yüzden istemedi</t>
  </si>
  <si>
    <t>6227a655edca319d3f706bee</t>
  </si>
  <si>
    <t>Uğrak Tantuni &amp; Döner, Erdemli (Merkez Mah.)</t>
  </si>
  <si>
    <t>Ali Arslan</t>
  </si>
  <si>
    <t>Akdeniz Mah.1002 sokak No:20-E Erdemli,Mersin</t>
  </si>
  <si>
    <t>61c1ca0504cd9d2406312082</t>
  </si>
  <si>
    <t>Uğur Kebap &amp; Ciğer, Yenişehir (Hürriyet Mah.)</t>
  </si>
  <si>
    <t>Gizem Erdaş</t>
  </si>
  <si>
    <t>Hürriyet Mah.1745 sokak N0:4-A Yenişehir,Mersin</t>
  </si>
  <si>
    <t xml:space="preserve">bayrak bina altı - ibrahim bey yetkili / tavuk çekimleri için randevu alındı </t>
  </si>
  <si>
    <t>6092674a75239b863c0e5b78</t>
  </si>
  <si>
    <t>Uğur Usta Közde Piliç , Yenişehir (Çiftlikköy Mah.)</t>
  </si>
  <si>
    <t xml:space="preserve">5 te arancak// eşim tedavi görüyor biz sizi ararız dedi/çekime giidlmiş diye aradım ama meşgule attı / uğur bey eşiymiş tadilat varmış bitince kendisi dönecek / açmadı.açmadı.açmadı. / çekim istemiyorlar </t>
  </si>
  <si>
    <t>5fdf50786ce3dd00b0cf9fc6</t>
  </si>
  <si>
    <t>Uğur Yemekçilik , Yenişehir (Güvenevler Mah.)</t>
  </si>
  <si>
    <t>62402a3e0925f90ee11cf682</t>
  </si>
  <si>
    <t>Uğur Yemekçilik 2, Yenişehir (Çiftlikköy Mah.)</t>
  </si>
  <si>
    <t>DENİZ DOĞAN</t>
  </si>
  <si>
    <t>Çiftlikköy Mah. Mimar Sinan Cad. Murat Bal Apt. No:16 Yenişehir/Mersin</t>
  </si>
  <si>
    <t>5ff8cc0cbd264d3a6652b3e1</t>
  </si>
  <si>
    <t>Umut Patisserie, Yenişehir (İnönü Mah.)</t>
  </si>
  <si>
    <t>Bahattin Tomak</t>
  </si>
  <si>
    <t>İnönü Mah.1403 Sokak 15/C Yenişehir,Mersin</t>
  </si>
  <si>
    <t>haftaya aransın 12-1 gibi devam randv alınsın/ ekim başlayınca olabilir devam çekimi der/ yetkili müsait değilmiş./pzrtesı tekrar aranılcak hangı urunu eksık bılmıor</t>
  </si>
  <si>
    <t>6224cb985f5ecbf158f0a92c</t>
  </si>
  <si>
    <t>Umut Pide &amp; Lahmacun, Mezitli (Akdeniz Mah.)</t>
  </si>
  <si>
    <t>Ramazan Biçak</t>
  </si>
  <si>
    <t>Akdeniz Mah.Yaşar Doğu Cad.No:37-C Mezitli,Mersin</t>
  </si>
  <si>
    <t xml:space="preserve">yarın toplu lahmacun siparişi varmış frklı bir gün alınacak </t>
  </si>
  <si>
    <t>61b095812645d249e5cf7ca5</t>
  </si>
  <si>
    <t>Utku Tantuni, Akdeniz (Mahmudiye Mah.)</t>
  </si>
  <si>
    <t>Murat Utku</t>
  </si>
  <si>
    <t>Mahmudiye Mah.4827 Sokak No:1-E Akdeniz,Mersin</t>
  </si>
  <si>
    <t>604313f8dbe4c4dfefd8fa11</t>
  </si>
  <si>
    <t>Ünal Burger, Tarsus (Yeni Ömerli Mah.)</t>
  </si>
  <si>
    <t>RECEP ÜNAL</t>
  </si>
  <si>
    <t>YENİÖMERLİ MAH.4112 SOK NO:9 TARSUS/MERSİN</t>
  </si>
  <si>
    <t>İleride Randevu İstiyorum</t>
  </si>
  <si>
    <t>5fdf568d35987ae5ea5eda04</t>
  </si>
  <si>
    <t>Üni Marmaris Cafe, Yenişehir (Çiftlikköy Mah.)</t>
  </si>
  <si>
    <t>Ahmet Muhsin Tüfekçioğlu</t>
  </si>
  <si>
    <t>Çiftlikköy Mahallesi İstemihan Talay Caddesi Golden Garden Sit. A 239 AA Yenişehir/Mersin</t>
  </si>
  <si>
    <t xml:space="preserve">çekimi yapılmış.\\devam çekimi istemiyor. / tekrar randevu alındı / çekim sağlandı </t>
  </si>
  <si>
    <t>61f273317996060690e7b58e</t>
  </si>
  <si>
    <t>Üniversite Fast &amp; Food, Silifke (Taşucu Mah.)</t>
  </si>
  <si>
    <t>Büşra Oruçoğlu</t>
  </si>
  <si>
    <t>Taşucu Mah.40 Sokak No:22-A Silifke,Mersin</t>
  </si>
  <si>
    <t>602bf01417a37670303595b6</t>
  </si>
  <si>
    <t>Ünlüoğlu Cici Baklava &amp; Künefe, Akdeniz (Kiremithane Mah.)</t>
  </si>
  <si>
    <t>Ömer Yusuf Cici</t>
  </si>
  <si>
    <t>Kiremithane Mah.İstiklal Cad.No/99-A Akdeniz,Mersin</t>
  </si>
  <si>
    <t>2. devam çekimi alındı</t>
  </si>
  <si>
    <t>61c5814de2ed2f00fd775604</t>
  </si>
  <si>
    <t>Venesia Pizza, Yenişehir (Çiftlikköy Mah.)</t>
  </si>
  <si>
    <t>Deaa Alden Alrachı</t>
  </si>
  <si>
    <t>Çiftlikköy Mah.Üniversite Cad.N0:44-E Yenişehir,Mersin</t>
  </si>
  <si>
    <t>türkçe bilmiyor</t>
  </si>
  <si>
    <t>6204a7664df2b037f89f3500</t>
  </si>
  <si>
    <t>Vitamin Park, Erdemli (Merkez Mah.)</t>
  </si>
  <si>
    <t>Güli Arslan</t>
  </si>
  <si>
    <t>Vitamin Park Erdemli,Mersin</t>
  </si>
  <si>
    <t>5fef5e73a415e944023ce9c5</t>
  </si>
  <si>
    <t>Waffle Crow, Tarsus (Şehitmustafa Mah.-Merkez.)</t>
  </si>
  <si>
    <t>Şehitmustafa Mah.Cumhuriyet Cad.Kültür Apt.No/31-B Tarsus,Mersin</t>
  </si>
  <si>
    <t>4 gibi ara burçak bey 5074790660///// Çekim yapılmış</t>
  </si>
  <si>
    <t>6220fc3ecd345935e59b81a0</t>
  </si>
  <si>
    <t>Waffle Mood, Tarsus (Yeni Ömerli Mah.)</t>
  </si>
  <si>
    <t>Burak Dalkıran</t>
  </si>
  <si>
    <t>Yeni Ömerli Mah.4112 Sokak No:6-A Tarsus,Mersin</t>
  </si>
  <si>
    <t>62322acd6e655826681bcd01</t>
  </si>
  <si>
    <t>Waffle Party, Mezitli (Merkez Mah.)</t>
  </si>
  <si>
    <t>Merkez Mah. Vatan Cad.No:11-C Mezitli,Mersin</t>
  </si>
  <si>
    <t>624b3681f8bbfc38ec449dba</t>
  </si>
  <si>
    <t>Waffle Party, Yenişehir (Güvenevler Mah.)</t>
  </si>
  <si>
    <t>6201633091e67d74b344493d</t>
  </si>
  <si>
    <t>Waflin, Tarsus (Şehitmustafa Mah.)</t>
  </si>
  <si>
    <t>Öznur Özkan</t>
  </si>
  <si>
    <t>Şehitmustafa Mah.Muvaffak Uygur Bulvarı No:7-B Tarsus,Mersin</t>
  </si>
  <si>
    <t>6245cf3469b397f00dd51dbb</t>
  </si>
  <si>
    <t>Wake Up Coffee House, Tarsus (Yeni Ömerli Mah.)</t>
  </si>
  <si>
    <t>Elif Tavşan</t>
  </si>
  <si>
    <t>Yeni Ömerli Mah.Kardeş Langen Bulvarı No:8-C Tarsus,Mersin</t>
  </si>
  <si>
    <t>6214f74a2d382bb438d267f4</t>
  </si>
  <si>
    <t>Wings, Yenişehir (Güvenevler Mah.)</t>
  </si>
  <si>
    <t>Kaan Pılatin</t>
  </si>
  <si>
    <t>Güvenevler Mah.1914 Sokak A2 Blok No:8-C Yenişehir,Mersin</t>
  </si>
  <si>
    <t>6129dadef7784d30863b6e2f</t>
  </si>
  <si>
    <t>Wonka Chocolate, Yenişehir (İnönü Mah.)</t>
  </si>
  <si>
    <t>Fit</t>
  </si>
  <si>
    <t>Murat Avcı</t>
  </si>
  <si>
    <t>İnönü Mah.1405 Sokak No/26-D Yenişehir,Mersin</t>
  </si>
  <si>
    <t>işletmeyi kapatmışlar.</t>
  </si>
  <si>
    <t>60aa250ab96a64963edc5c8f</t>
  </si>
  <si>
    <t>Yağmur Pasta &amp; Unlu Mamuller, Akdeniz (Karacailyas Mah.)</t>
  </si>
  <si>
    <t>Engin Kahraman</t>
  </si>
  <si>
    <t>Karacailyas Evren</t>
  </si>
  <si>
    <t>Karacailyas Mah.100.Yıl Cad.No/55-A Akdeniz,Mersin</t>
  </si>
  <si>
    <t>60cb96e5bdf108598abd12e7</t>
  </si>
  <si>
    <t>Yalçın Patisserie, Yenişehir (Bahçelievler Mah.)</t>
  </si>
  <si>
    <t>Mustafa Yalçın</t>
  </si>
  <si>
    <t>Bahçelievler Mah.16.Cadde No/59-D Yenişehir,Mersin</t>
  </si>
  <si>
    <t>sıstemden kontrol saglanında 5 adet urununun tek fotografları yok</t>
  </si>
  <si>
    <t>602e9dd1fbe50517b3a9750e</t>
  </si>
  <si>
    <t>Yandım Usta Çiğ Köfte, Mezitli (Menderes Mah.)</t>
  </si>
  <si>
    <t>Gafure Dokumacı</t>
  </si>
  <si>
    <t>Menderes Mah.35429 Sokak No/18-6 Mezitli,Mersin</t>
  </si>
  <si>
    <t xml:space="preserve">/ getirden uzun zamandır sipariş almıyorum zaten şimdilik yormayalım sizi demekte / burası bir imalat firmsı burada çekim sağlayamayız dedi </t>
  </si>
  <si>
    <t>619e48c8df7961349debd66e</t>
  </si>
  <si>
    <t>Yaprak Tantuni, Mezitli (Tece Mah.)</t>
  </si>
  <si>
    <t>Ahmet Yaprak</t>
  </si>
  <si>
    <t>Tece Mah. Halil Giran Cad.No/6-E Mezitli,Mersin</t>
  </si>
  <si>
    <t>620b8ea8b111d76a487ac592</t>
  </si>
  <si>
    <t>Yaprak Tantuni, Yenişehir (Güvenevler Mah.)</t>
  </si>
  <si>
    <t>Burcu Yaprak</t>
  </si>
  <si>
    <t>biz tarafından aranmasın</t>
  </si>
  <si>
    <t>615ad045af900e5330cc5139</t>
  </si>
  <si>
    <t>Yaren Döner, Tarsus (Yeni Ömerli Mah.)</t>
  </si>
  <si>
    <t>Behzat Dinmez</t>
  </si>
  <si>
    <t>Yeni Ömerli Mah.İstiklal Cad.No/3-C Tarsus, Mersin</t>
  </si>
  <si>
    <t>60d079bb243ca1b61ea5bdf4</t>
  </si>
  <si>
    <t>Yaren Ev Yemekleri, Yenişehir (Güvenevler Mah.)</t>
  </si>
  <si>
    <t>Selma Elveren</t>
  </si>
  <si>
    <t>Güvenevler Mah.Derviş Şair Apt.No/115-A Yenişehir,Mersin</t>
  </si>
  <si>
    <t>dc alındı</t>
  </si>
  <si>
    <t>60f560aafdec86af2f18f6d1</t>
  </si>
  <si>
    <t>Yaren Kafe Ev Yemekleri &amp; Meze , Yenişehir (Hürriyet Mah.)</t>
  </si>
  <si>
    <t>Şefik Gülay</t>
  </si>
  <si>
    <t>Haftaya istiyor</t>
  </si>
  <si>
    <t>618e9e80e154692d84a45d9b</t>
  </si>
  <si>
    <t>Yasemin Gurme, Yenişehir (Menteş Mah.)</t>
  </si>
  <si>
    <t>İzel Özge Fideli</t>
  </si>
  <si>
    <t>Menteş Mah.Hüseyin Okan Merzeci Bulvarı No/574-B Yenişehir,Mersin</t>
  </si>
  <si>
    <t>izel beyden randevu alındı.</t>
  </si>
  <si>
    <t>618f87ed4c33d5bc20af98c8</t>
  </si>
  <si>
    <t>Yasemin Lychee, Yenişehir (50.Yıl Mah.)</t>
  </si>
  <si>
    <t>50.yıl Mah.İstemihan Talay Cad.No/44 Yenişehir,Mersin</t>
  </si>
  <si>
    <t>Diğer şubede çekilmiş ama 6 ürün çekilmiş sadece, restoranın menüsünde 100 üründen fazla var tekrar randevu düzenleyelim // 5304009990 yetkili numarası olarak bu numarayı verdi ama açmıyor/celal bey ile görüştüm diğer şubesi için randevusu alındı</t>
  </si>
  <si>
    <t>618f8c7077a79e433f95a88a</t>
  </si>
  <si>
    <t>Yasemin Marin, Yenişehir (Eğriçam Mah.)</t>
  </si>
  <si>
    <t>Eğriçam Mah.22107 Sokak No/8-A Yenişehir,Mersin</t>
  </si>
  <si>
    <t>60660cc6d7217403e51c1a29</t>
  </si>
  <si>
    <t>Yelken Balıkçılık, Mezitli (Menderes Mah.)</t>
  </si>
  <si>
    <t>Evin Ölmez Çiftçi</t>
  </si>
  <si>
    <t>Menderes Mah.Limon Cad.No/4-A Mezitli,Mersin</t>
  </si>
  <si>
    <t>Biz söylemiştik uygun olduğumuzda arayacağız dedi/ ben kendim uygun olduğumda iletişime geçeceğim dedi- müsait olduğudmda ben dönceğim dedi</t>
  </si>
  <si>
    <t>6011a6d7caa061bcd47eb809</t>
  </si>
  <si>
    <t>Yeşil Biftek Et &amp; Tavuk Tantuni, Yenişehir (Menteş Mah.)</t>
  </si>
  <si>
    <t>Emine Er</t>
  </si>
  <si>
    <t>Menteş Mah.38.Cadde No/13-A Yenişehir,Mersin</t>
  </si>
  <si>
    <t>622cdf015b3d4a97f7bdfa18</t>
  </si>
  <si>
    <t>Yeşil Ehli Antep Künefe, Mezitli (Yeni Mah.)</t>
  </si>
  <si>
    <t>Müslüm Demir</t>
  </si>
  <si>
    <t>Yeni Mah. 33205 sokak Mezitli ,Mersin (hükümet konağı karşısı)</t>
  </si>
  <si>
    <t>mehmet bey ortağı ile oluşturuldu</t>
  </si>
  <si>
    <t>608bdc9322a2d618278ded5a</t>
  </si>
  <si>
    <t>Yıldırımlar Restaurant, Tarsus (Cumhuriyet Mah.)</t>
  </si>
  <si>
    <t>Sebahattin Yıldırım</t>
  </si>
  <si>
    <t>Cumhuriyet Mah.0935 Sokak No/5 Tarsus,Mersin</t>
  </si>
  <si>
    <t>616d52eda233cc755611b11f</t>
  </si>
  <si>
    <t>Yıldız Et Restaurant, Yenişehir (Bahçelievler Mah.)</t>
  </si>
  <si>
    <t>Yıldız Say</t>
  </si>
  <si>
    <t xml:space="preserve">beşiktaş meydanı kuzeyinde tam karşı yolunda 200 metre ilerde (palmiye mah. 2.Cadde yedigöz apt altı no4/a  5068545872 / FOTOĞRAFÇI İLE ANLAŞAMAMIŞ TERSLEŞMİŞLER BU YÜZDEN İETEMİYOR </t>
  </si>
  <si>
    <t>608864a116b1d8994032e07e</t>
  </si>
  <si>
    <t>Yılmaz Tantuni &amp; Döner &amp; Kebap Salonu, Akdeniz (Mahmudiye Mah.)</t>
  </si>
  <si>
    <t>Ziya Sevil</t>
  </si>
  <si>
    <t>Mahmudiye Mah.Hastane Cad.No/97 Akdeniz,Mersin</t>
  </si>
  <si>
    <t>624337f8e670bc6f5fefde51</t>
  </si>
  <si>
    <t>Yılmaz Tantuni ve Biftek Salonu, Yenişehir (Barbaros Mah.)</t>
  </si>
  <si>
    <t>HATİCE NURAN KÖKSAL ANAREFE</t>
  </si>
  <si>
    <t>Barbaros Mah Şehit Piyade Er Mustafa Dipli Sok. No:16A Yenişehir/Mersin</t>
  </si>
  <si>
    <t>6169bbffae7533788a272d3f</t>
  </si>
  <si>
    <t>Yiğit Tantuni, Erdemli (Akdeniz Mah.)</t>
  </si>
  <si>
    <t>Fatma Özmen</t>
  </si>
  <si>
    <t>Akdeniz Mah.Alparslan Türkeş Bulvarı No/136-A Erdemli,Mersin</t>
  </si>
  <si>
    <t>61d47e79a7df7c56adabc8cf</t>
  </si>
  <si>
    <t>Yonca Tantuni &amp; Döner, Toroslar (Yalınayak Mah.)</t>
  </si>
  <si>
    <t>Cihan Apak</t>
  </si>
  <si>
    <t>Yalınayak Mah.Çiftçiler Cad.No:175-B Toroslar,Mersin</t>
  </si>
  <si>
    <t>6187a39dbb45d9df672ebe49</t>
  </si>
  <si>
    <t>Yunus Usta Tantuni, Toroslar (Çağdaşkent Mah.)</t>
  </si>
  <si>
    <t>Serpil Süne</t>
  </si>
  <si>
    <t>Çağdaşkent Mah.229.Cadde No:63 Toroslar, Mersin</t>
  </si>
  <si>
    <t>no:63 değil no:6 / çekim sağlanmış</t>
  </si>
  <si>
    <t>617c173ac2962d6492877857</t>
  </si>
  <si>
    <t>Yusuf Usta Et &amp; Mangal , Yenişehir (Çiftlikköy Mah.)</t>
  </si>
  <si>
    <t>Yusuf Özer</t>
  </si>
  <si>
    <t>Çiftlikköy Mah.Şakir Son Cad.No/40-D Yenişehir,Mersin</t>
  </si>
  <si>
    <t xml:space="preserve">0535 491 55 04 yusuf beyden randevu alındı. / fotoğrafları varmış mail atıldı </t>
  </si>
  <si>
    <t>61d84d1a03ec5100dde43a98</t>
  </si>
  <si>
    <t>Yusuf Ustam Tantuni, Akdeniz (Gündoğdu Mah.)</t>
  </si>
  <si>
    <t>Yusuf Korkusuz</t>
  </si>
  <si>
    <t>Gündoğdu Mah.5724 Sokak N0:16-B Akdeniz,Mersin</t>
  </si>
  <si>
    <t>6005ba0cc795bd061841c81d</t>
  </si>
  <si>
    <t>Yuvam Ev Yemekleri, Akdeniz (Çankaya Mah.)</t>
  </si>
  <si>
    <t>Ayfer Çetin</t>
  </si>
  <si>
    <t>Çankaya Mah.4718 Sokak Bahri Ok İşhanı A Blok Akdeniz,Mersin</t>
  </si>
  <si>
    <t xml:space="preserve">12 de dönecek bize //devam çekimi için alındı/yetkili yok yarın gelirmiş muhtemelen çekim olmamış. / akdenize gidilen bir günde randevu alınabilir </t>
  </si>
  <si>
    <t>6259be998cb8549b4376d3e9</t>
  </si>
  <si>
    <t>Yürü Künefe, Akdeniz (Cami Şerif Mah.)</t>
  </si>
  <si>
    <t>Mahmut Yürü</t>
  </si>
  <si>
    <t>İstiklal Cad.Cami Şerif Mah.No:12-A Akdeniz,Mersin</t>
  </si>
  <si>
    <t>6259bb42d725020771c5d72b</t>
  </si>
  <si>
    <t>Yürü Künefe, Yenişehir (Pirireis Mah.)</t>
  </si>
  <si>
    <t>Pirireis Mah.Silifke Cad No:184-E Yenişehir,Mersin</t>
  </si>
  <si>
    <t>623a0acbf26865729f6a77c9</t>
  </si>
  <si>
    <t>Zafer Tantuni &amp; Döner, Toroslar (Yalınayak Mah.)</t>
  </si>
  <si>
    <t>ZAFER AYYILDIZ</t>
  </si>
  <si>
    <t>Yalınayak Mah. 102315 Sok. No:1 Toroslar/Mersin</t>
  </si>
  <si>
    <t>6083114f0bbb7eb7ca3ebcc3</t>
  </si>
  <si>
    <t>Zagor Cafe, Erdemli (Merkez Mah.)</t>
  </si>
  <si>
    <t>Muhammed Aykaz</t>
  </si>
  <si>
    <t>Merkez Mah.Binali Yıldırım Cad.No/5-A Erdemli,Mersin</t>
  </si>
  <si>
    <t>606f08520e14ae86900fc7df</t>
  </si>
  <si>
    <t>Zeki Usta Kebap, Yenişehir (Hürriyet Mah.)</t>
  </si>
  <si>
    <t>Zekeriya Öztaş</t>
  </si>
  <si>
    <t>Hürriyet Mah.İsmet İnönü Bulvarı No/294-B Yenişehir,Mersin</t>
  </si>
  <si>
    <t xml:space="preserve">Fotoğrafları benimle paylaşmadığınız için çekim istemiyorum ben o kadar ürünü hazırlayacağım en azından fotoğrafları benimle paylaşsaydınız dedi </t>
  </si>
  <si>
    <t>624fe18adbdd87e21a6b5121</t>
  </si>
  <si>
    <t>Zekon Döner, Yenişehir (Dumlupınar Mah.)</t>
  </si>
  <si>
    <t>ECEVİT ARSLAN</t>
  </si>
  <si>
    <t>DUMLUPINAR MAH. GAZİ MUSTAFA KEMAL BLV. NO:455 B YENİŞEHİR MERSİN</t>
  </si>
  <si>
    <t>5ff761d3757a6c3dfa603768</t>
  </si>
  <si>
    <t>Zeliş Ev Yemekleri, Mezitli (Yeni Mah.)</t>
  </si>
  <si>
    <t>Gizem Leman Ülkü</t>
  </si>
  <si>
    <t>Yeni Mah.33195 Sokak Alp Plaza No/2 A/B Altı Mezitli,Mersin</t>
  </si>
  <si>
    <t xml:space="preserve">şuan paket elemanım yok şimdilik iptal edelim vaktim yok//elemanı hala yokmuş/cekım ıstemıyoruzz dedı/ direk meşgule düşüyor </t>
  </si>
  <si>
    <t>621a53ebfc019fd8406be590</t>
  </si>
  <si>
    <t>Zirve Döner, Silifke (Gazi Mah.)</t>
  </si>
  <si>
    <t>Şafak Canbaz</t>
  </si>
  <si>
    <t>Gazi Mah.İlhan Akgün Cad.No:22 Silifke,Mersin</t>
  </si>
  <si>
    <t>619d0d78eac700debaa64f83</t>
  </si>
  <si>
    <t>Zirve Pide ve Lahmacun, Akdeniz (Cami Şerif Mah.)</t>
  </si>
  <si>
    <t>Muhammed Fidan</t>
  </si>
  <si>
    <t>CAMİŞERİF MAH ÇAKMAK CAD YAZIOGLU İŞ MERKEZİ NO 13 A / AKDENİZ MERSİN</t>
  </si>
  <si>
    <t>61a90ed0383c18f791454ce7</t>
  </si>
  <si>
    <t>Zirve Tantuni &amp; Döner, Yenişehir (Batıkent Mah.)</t>
  </si>
  <si>
    <t>Cuma Tekcan</t>
  </si>
  <si>
    <t>Batıkent Mah.2656 sokak No:32 Yenişehir,Mersin</t>
  </si>
  <si>
    <t>603a1310982a6728600a9580</t>
  </si>
  <si>
    <t>Ziver Usta Tantuni &amp; Biftek Salonu, Toroslar</t>
  </si>
  <si>
    <t>Diğer</t>
  </si>
  <si>
    <t>Ziver demir</t>
  </si>
  <si>
    <t>Hüseyin Okan Merzeci mahallesi 220. cadde no14 A</t>
  </si>
  <si>
    <t>daha önceden randevu oluşturulmuş çekim gerçekleşmemiş yerine alındı//teyit için arandı çekilmiş</t>
  </si>
  <si>
    <t>61c36c910775a993577f6dd2</t>
  </si>
  <si>
    <t>Ziyade, Yenişehir (Güvenevler Mah.)</t>
  </si>
  <si>
    <t>Menü Güncellemesi Yapılacak</t>
  </si>
  <si>
    <t xml:space="preserve">daha sonrası ıcın grume saglamak ıstedıler/5 dkka sonra aranılcak yt yok7 / meüsünü değiştirdikten sonra dönüş sağlayacak </t>
  </si>
  <si>
    <t>6022dbdf966d0a1ed5db8430</t>
  </si>
  <si>
    <t>Ziyafet Çiğ Köfte, Mezitli (Akdeniz Mah.)</t>
  </si>
  <si>
    <t>Kadir Dal</t>
  </si>
  <si>
    <t>Akdeniz Mah.G.M.K Bulvarı No/894-C Mezitli,Mersin</t>
  </si>
  <si>
    <t xml:space="preserve">randevu olusturuldu/cekım saglanılmıs / çekim sağlanmış </t>
  </si>
  <si>
    <t>613c4efed92583e616fd382a</t>
  </si>
  <si>
    <t>Ziyafet Çiğ Köfte, Toroslar (Selçuklar Mah.)</t>
  </si>
  <si>
    <t>Aydın Altun</t>
  </si>
  <si>
    <t>Selçuklar Mah.Çiftçiler Cad.No/115-D Toroslar,Mersin</t>
  </si>
  <si>
    <t>608017ebdf4d783f5bed4de9</t>
  </si>
  <si>
    <t>Ziyafet Maraş Dondurma, Mezitli (Akdeniz Mah.)</t>
  </si>
  <si>
    <t>Esra Kılıç</t>
  </si>
  <si>
    <t>randevu olusturuldu/cekım saglanılmıs / çekim sağlanmış // 6022dbdf966d0a1ed5db8430        Ziyafet Çiğ Köfte, Mezitli (Akdeniz Mah.) burası çekilmiş dondurmalar çekilmemiş</t>
  </si>
  <si>
    <t>601ee57571c545633001941c</t>
  </si>
  <si>
    <t>Zührem Patisserie, Yenişehir (Pirireis Mah.)</t>
  </si>
  <si>
    <t>Ufuk Tekcan</t>
  </si>
  <si>
    <t>Pirireis Mah.Silifke Cad.No/17-A Yenişehir,Mersin</t>
  </si>
  <si>
    <t>haftaya cuma aranıcak randevu alınacak 16:03.2021//devam çekimi olmayacak çünkü kalan ürünler sadece ramazana özelmiş/mevcut fotoların da kaldırılmasını ister çünkü tüm ürünler aynı olmuyomuş ikayet geliyo bu konuda der</t>
  </si>
  <si>
    <t>60d043755e802702387813a6</t>
  </si>
  <si>
    <t>Zümrüt Baklava &amp; Pasta, Silifke (Göksu Mah.)</t>
  </si>
  <si>
    <t>Nevin Kara</t>
  </si>
  <si>
    <t>Göksu Mah.Atatürk Bulvarı No/80-B Silifke,Mersin</t>
  </si>
  <si>
    <t>61b4995e74e4de678fa9677b</t>
  </si>
  <si>
    <t>Zümrüt Ev Yemekleri, Mezitli (Seymenli Mah.)</t>
  </si>
  <si>
    <t>Çetin Ağtaş</t>
  </si>
  <si>
    <t>Seymenli Mah.45119 Sokak No:4-B Mezitli,Mersin</t>
  </si>
  <si>
    <t>Özgür hanım eşiymiş o ilgileniyormuş randevu alındı</t>
  </si>
  <si>
    <t>x</t>
  </si>
  <si>
    <t>Hedef İlçeler</t>
  </si>
  <si>
    <t>TARİH</t>
  </si>
  <si>
    <t>ID</t>
  </si>
  <si>
    <t>RESTORAN</t>
  </si>
  <si>
    <t>SAAT</t>
  </si>
  <si>
    <t>İLÇE / MAHALLE</t>
  </si>
  <si>
    <t>YETKİLİ KİŞİ / TELEFON</t>
  </si>
  <si>
    <t>Notlar</t>
  </si>
  <si>
    <t>Fotoğraf Adeti</t>
  </si>
  <si>
    <t>Toplam Ürün</t>
  </si>
  <si>
    <t>Şubeli</t>
  </si>
  <si>
    <t>İptal</t>
  </si>
  <si>
    <t>@</t>
  </si>
  <si>
    <t xml:space="preserve">Mezitli
Yenişehir
Toroslar
</t>
  </si>
  <si>
    <t>Mezitli / Menderes</t>
  </si>
  <si>
    <t>İbrahim Bey / 3243575714</t>
  </si>
  <si>
    <t>Fotoğraf Çekimi Yapıldı.</t>
  </si>
  <si>
    <t>Hacer Hanım / 5326714792</t>
  </si>
  <si>
    <t>Mezitli / Viranşehir</t>
  </si>
  <si>
    <t>Mustafa Bey / 5323407091</t>
  </si>
  <si>
    <t>Aydın Bey / 5306404320</t>
  </si>
  <si>
    <t xml:space="preserve">Fotoğraf Çekimi Yapıldı. IPTAL OLDU ÇÜNKÜ FOTO YOK </t>
  </si>
  <si>
    <t>Yenişehir
Toroslar
Akdeniz</t>
  </si>
  <si>
    <t>Yenişehir	/Akkent</t>
  </si>
  <si>
    <t>Teoman Çetindağ	/5377830910</t>
  </si>
  <si>
    <t>Yenişehir/	Akkent</t>
  </si>
  <si>
    <t>Begüm Özbey	3243410202</t>
  </si>
  <si>
    <t xml:space="preserve">Akkent mah hüseyin okan merzeci bulvarı Akdeniz avm No: 759 iç kapı no: 220/A Yenişehir/ Mersin serapark avm </t>
  </si>
  <si>
    <t>602577df9364ae38cbf178d1</t>
  </si>
  <si>
    <t>Çiko Çiğ Köfte &amp; Kokoreç, Yenişehir (Batıkent Mah.)</t>
  </si>
  <si>
    <t>Yenişehir/    Batıkent</t>
  </si>
  <si>
    <t>Ercan Onur	5551015533</t>
  </si>
  <si>
    <t>Batıkent Mah.Nevit Kodallı Cad.No/69-A Yenişehir,Mersin</t>
  </si>
  <si>
    <t>17:30</t>
  </si>
  <si>
    <t>Mehmet Veysel kaçan/3249331399</t>
  </si>
  <si>
    <t>Petek patiseri urunleri tamamlanmadi sabah kalanlar cekilecek urunleri sabah cikiyormus</t>
  </si>
  <si>
    <t>Yenişehir
Mezitli
Akdeniz</t>
  </si>
  <si>
    <t>11:00</t>
  </si>
  <si>
    <t>Akdeniz / Kiremithane</t>
  </si>
  <si>
    <t>Süleyman Bey / 5394242480</t>
  </si>
  <si>
    <t>12:30</t>
  </si>
  <si>
    <t>Emin Bey / 5314260033</t>
  </si>
  <si>
    <t>14:00</t>
  </si>
  <si>
    <t>İhsan Bey / 3242371188</t>
  </si>
  <si>
    <t>16:00</t>
  </si>
  <si>
    <t>Akdeniz / Turgutreis</t>
  </si>
  <si>
    <t>Murat Bey / 5366765210</t>
  </si>
  <si>
    <t>6022ce49c8b9111f8d92a988</t>
  </si>
  <si>
    <t>Nevin Ablanın Mutfağı, Mezitli (Yeni Mah.)</t>
  </si>
  <si>
    <t>Mezitli	/Yeni</t>
  </si>
  <si>
    <t>Merve Akay	/5527790133</t>
  </si>
  <si>
    <t>Yeni Mah.Kelveli Cad.No/9-A Mezitli,Mersin</t>
  </si>
  <si>
    <t>Mehmet Ali Bey / 5067513614</t>
  </si>
  <si>
    <t>Gizem Leman Ülkü	/5413876343</t>
  </si>
  <si>
    <t>şuan paket elemanım yok şimdilik iptal edelim vaktim yok</t>
  </si>
  <si>
    <t>6000b3213cc99f3452cdc395</t>
  </si>
  <si>
    <t>Ares Ütü Tost, Mezitli (Yenimahalle Mah.)</t>
  </si>
  <si>
    <t xml:space="preserve">mezitli/ yeni </t>
  </si>
  <si>
    <t>İbrahim Duman	/5301203362</t>
  </si>
  <si>
    <t>Yeni Mah.Kelveli Cad.Ziya Ünsal Sitesi A-B Blok Altı No/3-A Mezitli,Mersin</t>
  </si>
  <si>
    <t>Mezitli	/Atatürk</t>
  </si>
  <si>
    <t>Hasan Pamuk	/3243581424</t>
  </si>
  <si>
    <t>Yenişehir	/Çiftlikköy</t>
  </si>
  <si>
    <t>Mehmet Gazen/5539128499</t>
  </si>
  <si>
    <t>5fdfa7d0bc2d63483612b950</t>
  </si>
  <si>
    <t>Baraka Kokoreç &amp; Tantuni , Yenişehir (Akkent Mah.)</t>
  </si>
  <si>
    <t>Yenişehir/Çiftlikköy</t>
  </si>
  <si>
    <t>Ali Kaya        /5384175465</t>
  </si>
  <si>
    <t>Akkent Mah.34.Cadde Şimşekler Recidance No/68 BA Yenişehir Mersin</t>
  </si>
  <si>
    <t>19.00</t>
  </si>
  <si>
    <t>Yenişehir/Güvenevler</t>
  </si>
  <si>
    <t>Emirhan Ergül / 5525823245</t>
  </si>
  <si>
    <t>Güvenevler Mah.1904 Sokak No/6-A Yenişehir,Mersin İşbankası yanı</t>
  </si>
  <si>
    <t>13:00</t>
  </si>
  <si>
    <t>Yenişehir / Pirireis</t>
  </si>
  <si>
    <t>İsmet Bey / 3243289033</t>
  </si>
  <si>
    <t>Pirireis Mah.İsmet İnönü Bulvarı No/222-A Yenişehir,Mersin</t>
  </si>
  <si>
    <t>ramazandan sonra düşünelim dedi</t>
  </si>
  <si>
    <t>15:00</t>
  </si>
  <si>
    <t>Ahmet Bey / 5366473839</t>
  </si>
  <si>
    <t>Pirireis Mah. 1115.Sok. No: 3</t>
  </si>
  <si>
    <t>eşi rahatsızlanmış</t>
  </si>
  <si>
    <t>15:30</t>
  </si>
  <si>
    <t>Fırat Bey / 5392391864</t>
  </si>
  <si>
    <t>60087a9637de625c30b3eb13</t>
  </si>
  <si>
    <t>17:00</t>
  </si>
  <si>
    <t>Yenişehir / Hürriyet</t>
  </si>
  <si>
    <t>Mustafa Bey / 5323103433</t>
  </si>
  <si>
    <t>Hürriyet Mah.İsmet İnönü Bulvarı No/292-A Yenişehir,Mersin</t>
  </si>
  <si>
    <t>Fotoğraf Çekimi  Yapıldı.</t>
  </si>
  <si>
    <t>Edip Bey / 5325636719</t>
  </si>
  <si>
    <t>Viranşehir Mah.34347 Sokak No/12 Mezitli,Mersin</t>
  </si>
  <si>
    <t>5fe0ec263e964be477e9b3f6</t>
  </si>
  <si>
    <t>Akdeniz Lavi Ta Gastro ,Mezitli (Merkez Mah.)</t>
  </si>
  <si>
    <t>Mezitli / Merkez</t>
  </si>
  <si>
    <t>Benevşe Kayabaşı / 3249337213</t>
  </si>
  <si>
    <t>Mezitli / Akdeniz</t>
  </si>
  <si>
    <t>Yusuf Bey / 3249994411</t>
  </si>
  <si>
    <t>60074dab99244e2cfd05cc1a</t>
  </si>
  <si>
    <t>MTN Biber Tantuni, Mezitli (Merkez Mah.)</t>
  </si>
  <si>
    <t>17.30</t>
  </si>
  <si>
    <t>Mezitli/ Merkez</t>
  </si>
  <si>
    <t>Mehmet Dilek Çetin/ 3245021159</t>
  </si>
  <si>
    <t>Merkez Mah.52070 Sokak N0/1-B/A Mezitli,Mersin</t>
  </si>
  <si>
    <t>Kadriye Yılmaz/5374255442</t>
  </si>
  <si>
    <t>çiftlikköy mahallesi universite caddesi univercity park 47/A, 33140 yenişehir/Mersin</t>
  </si>
  <si>
    <t>5fdf6349a8b06d89d7a484bc</t>
  </si>
  <si>
    <t>Ozan Zeren        /5309377333</t>
  </si>
  <si>
    <t>çiftlik köy mahallesi Üniversite Cd.özgümüşkent sitesi no 82 A/E, 33110 Yenişehir/Mersin</t>
  </si>
  <si>
    <t>Büşra Avcı Korkmaz	/5307933833</t>
  </si>
  <si>
    <t>Yenişehir        /Çiftlikköy</t>
  </si>
  <si>
    <t>Beşir Bayat	/5437913547</t>
  </si>
  <si>
    <t>11.00</t>
  </si>
  <si>
    <t>Yenişehir / Menteş</t>
  </si>
  <si>
    <t>Duygu Hanım / 5536645108</t>
  </si>
  <si>
    <t>Evren Bey / 5306781683</t>
  </si>
  <si>
    <t>RANDEVU İÇİN GİDİLDİĞİNDE KAPALIYDI TEYİT İÇİN ARADIĞIMDA AÇMADI// çekim yapıldı</t>
  </si>
  <si>
    <t>Emine Hanım / 5494777400</t>
  </si>
  <si>
    <t>60041836485747389ce76572</t>
  </si>
  <si>
    <t>Hacı Bey / 3243277473</t>
  </si>
  <si>
    <t>Barboros Mah.Nevit Kodallı Cad.No/6 Yenişehir,Mersin</t>
  </si>
  <si>
    <t>Mezitli/Merkez</t>
  </si>
  <si>
    <t>Süleyman Işık Kurtoğlu/5442168096</t>
  </si>
  <si>
    <t>Cenaze dolayısıyla şehir çıkıyormuş. İleri tarihte tekrar randevu alınacak.</t>
  </si>
  <si>
    <t>13.00</t>
  </si>
  <si>
    <t>Burak Güldoğan/ 5462064633</t>
  </si>
  <si>
    <t>15.00</t>
  </si>
  <si>
    <t>Mezitli/ Kuyuluk Mah</t>
  </si>
  <si>
    <t>Veli bey /  5309429233</t>
  </si>
  <si>
    <t>Ramazanda konspet değişikliği yapacağından dolayı Nisan ayının sonuna doğru randevu talep ediyor</t>
  </si>
  <si>
    <t>İsa Bey / 5354218217</t>
  </si>
  <si>
    <t>603b4f5f71783662f11465af</t>
  </si>
  <si>
    <t>Özbay Közde Piliç &amp; Et, Mezitli (Merkez Mah.)</t>
  </si>
  <si>
    <t>18.30</t>
  </si>
  <si>
    <t>Adem özbay/5528811595</t>
  </si>
  <si>
    <t>Merkez mahallesi zeytinlik caddesi 26/A mezitli/mersin</t>
  </si>
  <si>
    <t>5fdf99bc0654ee5405e8a7fc</t>
  </si>
  <si>
    <t>Damga Lahmacun &amp; Pide Sarayı, Yenişehir (Çiftlikköy Mah.)</t>
  </si>
  <si>
    <t>"Yenişehir	Çiftlikköy"</t>
  </si>
  <si>
    <t>Mehmet Bey / 5525507333</t>
  </si>
  <si>
    <t>Çiftlikköy Mah., Üniversite Cad., Deren Sitesi A7</t>
  </si>
  <si>
    <t>SERPİL HANIM  /5413303364</t>
  </si>
  <si>
    <t>6019b00a669ec38ecb752630</t>
  </si>
  <si>
    <t>Sezer uzun	/5422505422</t>
  </si>
  <si>
    <t>Çiflikköy mah. İstemihan talay cad. Özlem 1 üniversite konutları B blok no;229 BE YENİŞEHİR/MERSİN</t>
  </si>
  <si>
    <t>Hakan Esen	/3245038199</t>
  </si>
  <si>
    <t>13:30</t>
  </si>
  <si>
    <t>Albayrak	/5306125344</t>
  </si>
  <si>
    <t>çekim düşünmüyo</t>
  </si>
  <si>
    <t>RANDEVU ALINMASIN Genel Akış İçin 16.03.2021 Tarafımdan  Bilgi Verilecek Teşekkür Ederim.</t>
  </si>
  <si>
    <t>Ezgi Özyıldırım/5389540213 Halil bey ile görüşülecek</t>
  </si>
  <si>
    <t>Usta eksikliğinden dolayı erteleme istedi. Yeni gün için bilgi verilecek (Aykut )</t>
  </si>
  <si>
    <t>Tufan Bey / 5057669765</t>
  </si>
  <si>
    <t>17.00</t>
  </si>
  <si>
    <t>Yenişehir	Güvenevler</t>
  </si>
  <si>
    <t>Bencemin Uzun/3243285808</t>
  </si>
  <si>
    <t xml:space="preserve">Güvenevler Mahallesi 1910 sokak no:7/B Yenişehir / Mersin </t>
  </si>
  <si>
    <t>Yenişehir / Güvenevler</t>
  </si>
  <si>
    <t>Suphi Süt / 5343642985</t>
  </si>
  <si>
    <t>ertelendi bi sonraki güne</t>
  </si>
  <si>
    <t>Bayram Ergin/5442384795</t>
  </si>
  <si>
    <t>13.30</t>
  </si>
  <si>
    <t>Hayreddin Dağ/5436603419</t>
  </si>
  <si>
    <t>Mezitli / Çankaya</t>
  </si>
  <si>
    <t>Eren Bey / 3243582838</t>
  </si>
  <si>
    <t>Cenazesi olduğu için dükkanı kapatmış. daha sonra tekrar aranıp alıncak.</t>
  </si>
  <si>
    <t>18.00</t>
  </si>
  <si>
    <t>Ahmet Yanelli/5323904133</t>
  </si>
  <si>
    <t>İsmail Pelin	/3243575045</t>
  </si>
  <si>
    <t>10.30</t>
  </si>
  <si>
    <t>Akdeniz/Turgutreis</t>
  </si>
  <si>
    <t>Kemal Cemal/ Okuş        5394083931</t>
  </si>
  <si>
    <t>Çalışanı motor kazası geçirmiş hastanedeymiş o yüzdeniptal ettirmiş. Pazartesiye randevu aldım.</t>
  </si>
  <si>
    <t xml:space="preserve">602d54e425e3a672b9ec875f        </t>
  </si>
  <si>
    <t>Mesut bey/ 5550000073</t>
  </si>
  <si>
    <t>Fotoğrafçılarla anlaşma yapıp 13:30 olarak ayarlanmış. Çarşambaya Ayarlandı.</t>
  </si>
  <si>
    <t>Akdeniz/Hamidiye</t>
  </si>
  <si>
    <t>Abdullah Takdemir/05452385053</t>
  </si>
  <si>
    <t>5ffc9f56f21cfb690a98eb5b</t>
  </si>
  <si>
    <t>Atakule Kumpir &amp; Pizza, Akdeniz (Çankaya Mah.)</t>
  </si>
  <si>
    <t>Akdeniz/Çankaya</t>
  </si>
  <si>
    <t>Sadaka Çelik/3242334047</t>
  </si>
  <si>
    <t>Çankaya Mah.4716 Sokak No/1-A Akdeniz, Mersin</t>
  </si>
  <si>
    <t>18:30</t>
  </si>
  <si>
    <t>Akdeniz Camişerif</t>
  </si>
  <si>
    <t>Mehmet Necat Bey/ 3243365002</t>
  </si>
  <si>
    <t>ustası değişmiş ve çekim saatinin daha erken olmasını istiyor (10-11 gibi) 23.03.2021 tarine randevu olusturuldu</t>
  </si>
  <si>
    <t>Akdeniz / İhsaniye</t>
  </si>
  <si>
    <t>Samet Bey / 5523343346</t>
  </si>
  <si>
    <t>tekrar randevu alındı 12.04</t>
  </si>
  <si>
    <t>09:30</t>
  </si>
  <si>
    <t>601a590b5fde71120538f4ad</t>
  </si>
  <si>
    <t>Halil Cafe Restaurant, Yenişehir (Güvenevler Mah.)</t>
  </si>
  <si>
    <t>Tülün YÜCE/3243282830</t>
  </si>
  <si>
    <t>Güvenevler Mahallesi GMK Bulvarı Aslan Apartmanı A-B Blok Dış Kapı:370/1 iç kapı no: B 8 Yenişehir/MERSİN</t>
  </si>
  <si>
    <t>Fatma Gül/3243262010</t>
  </si>
  <si>
    <t>"Yenişehir	/Cumhuriyet"</t>
  </si>
  <si>
    <t>Mehmet Bey/ 5364295936</t>
  </si>
  <si>
    <t>Ufuk Bey / 5367957669</t>
  </si>
  <si>
    <r>
      <rPr>
        <rFont val="Arial"/>
        <color rgb="FF000000"/>
        <sz val="9.0"/>
      </rPr>
      <t xml:space="preserve">Pirireis Mah.Silifke </t>
    </r>
    <r>
      <rPr>
        <rFont val="Arial"/>
        <color rgb="FF000000"/>
        <sz val="9.0"/>
        <u/>
      </rPr>
      <t>Cad.No/177-A</t>
    </r>
    <r>
      <rPr>
        <rFont val="Arial"/>
        <color rgb="FF000000"/>
        <sz val="9.0"/>
      </rPr>
      <t xml:space="preserve"> Yenişehir,Mersin</t>
    </r>
  </si>
  <si>
    <t>Mezitli / Yeni</t>
  </si>
  <si>
    <t>Burak Bey / 3244000001</t>
  </si>
  <si>
    <t>Sanayi Cd. No:4,Yeni Mahallesi Aras 19 Apartmanı altı, 33330, 33400 Mezitli</t>
  </si>
  <si>
    <t>Mezitli / Atatürk</t>
  </si>
  <si>
    <t>Burak Bey / 5464696008</t>
  </si>
  <si>
    <t>Atatürk Mah.G.M.K Bulvarı No/650-B Mezitli,Mersin ( Wox butiği bitişiği)</t>
  </si>
  <si>
    <t>babası ürünlerin ziyan olmasını istememiş tekrardan bir randevu istemiyor</t>
  </si>
  <si>
    <t>Metin Bey / 5348129738</t>
  </si>
  <si>
    <t>Mezitli / Fatih</t>
  </si>
  <si>
    <t>Serhat Bey/ 5532992238</t>
  </si>
  <si>
    <t>5fdf5af2798e59ab323451e0</t>
  </si>
  <si>
    <t>Meyveli Çiçekler , Yenişehir (Çiftlikköy Mah.)</t>
  </si>
  <si>
    <t>Yenişehir	Çiftlikköy</t>
  </si>
  <si>
    <t>Halil Gürgenç	5308344534</t>
  </si>
  <si>
    <t>Çiftlikköy mah. Üniversite Cad. Özgümüş Kent Sitesi, 82 Yenişehir/Mersin</t>
  </si>
  <si>
    <t>Yenişehir / Çiftlikköy</t>
  </si>
  <si>
    <t>Ahmet Bey / 5308330083</t>
  </si>
  <si>
    <t>5fe4f1f44669ba4a29462e9c</t>
  </si>
  <si>
    <t>Ciğerci Hakan, Yenişehir (Cumhuriyet Mah.)</t>
  </si>
  <si>
    <t>Yenişehir / Cumhuriyet</t>
  </si>
  <si>
    <t>Arzu Hanım / 5373975680</t>
  </si>
  <si>
    <t>Cumhuriyet, İsmet İnönü Blv. No:238, 33110 Yenişehir/Mersin</t>
  </si>
  <si>
    <t>16:30</t>
  </si>
  <si>
    <t>Bayram Bey / 3243276660</t>
  </si>
  <si>
    <t>6019686a51fd9b14cc3f4a48</t>
  </si>
  <si>
    <t>Sevimli Restaurant Cafe, Yenişehir (Cumhuriyet Mah.)</t>
  </si>
  <si>
    <t>Yenişehir        /Cumhuriyet</t>
  </si>
  <si>
    <t>SEVİM SAĞNAK        /5355044949</t>
  </si>
  <si>
    <t>CUMHURİYET MAHALLESİ 1628 SOKAK ÖZCAN YARDIM APT ALTI NO:7/D</t>
  </si>
  <si>
    <t>çekilmiiş ama merkeze iletememiş hafıza kartı kaybından dolayı</t>
  </si>
  <si>
    <t>Akdeniz / Camişerif</t>
  </si>
  <si>
    <t>Emrah Bey / 5447651458</t>
  </si>
  <si>
    <t>Akdeniz / Mesudiye</t>
  </si>
  <si>
    <t>Deniz Bey / 5320562463</t>
  </si>
  <si>
    <t>Mesudiye Mahallesi 5111 Sokak Maliye Binası</t>
  </si>
  <si>
    <t>ramazan ayı içerisinde aranacak tekrar// tkrr alındı</t>
  </si>
  <si>
    <t>602d4f1b17a376375836012a</t>
  </si>
  <si>
    <t>Ciğerci Cengiz, Akdeniz (Mesudiye Mah.)</t>
  </si>
  <si>
    <t>Emin Bey / 3243368700</t>
  </si>
  <si>
    <t>Mesudiye Mah.5129 Sokak No/5-G Akdeniz,Mersin</t>
  </si>
  <si>
    <t xml:space="preserve">yanlış </t>
  </si>
  <si>
    <t>Akdeniz / Çankaya</t>
  </si>
  <si>
    <t>Serhat Bey / 5333823266</t>
  </si>
  <si>
    <t>Serhat Bey / 5333823267</t>
  </si>
  <si>
    <t>Yenişehir / İnönü</t>
  </si>
  <si>
    <t>Serhat Bey / 5333823268</t>
  </si>
  <si>
    <t>Serhat Bey / 5333823269</t>
  </si>
  <si>
    <t>5fddfcebfdea33cacbdec299</t>
  </si>
  <si>
    <t>Serhat Bey / 5333823270</t>
  </si>
  <si>
    <t>Yenişehir/	Bahçelievler</t>
  </si>
  <si>
    <t xml:space="preserve">
Burak Abakay	3243293683</t>
  </si>
  <si>
    <t>Peyrüze Hanım / 5382979608</t>
  </si>
  <si>
    <t>Yenişehir/	Güvenevler</t>
  </si>
  <si>
    <t>Tuncay Makal	/5362955137</t>
  </si>
  <si>
    <t xml:space="preserve">  Kadir Usta Et &amp; Mangal, Yenişehir (Çiftlikköy Mah.)   </t>
  </si>
  <si>
    <t xml:space="preserve">   15:00      </t>
  </si>
  <si>
    <t xml:space="preserve">     Yenişehir   /Çiftlikköy   </t>
  </si>
  <si>
    <t xml:space="preserve">Albayrak     /5306125344  </t>
  </si>
  <si>
    <t xml:space="preserve">   Çiftlikköy Mahallesi, Şakirson Caddesi 57/A Yenişehir, Mersin ( Çiftlikköy Mahalle Muhtarlığı Karşısı)        Görüşme Sağlandı Çekim Yapılacak.</t>
  </si>
  <si>
    <t>Fotoğrafçı geç gittiği için başka birgüne randevu ayarlandı</t>
  </si>
  <si>
    <t>Akdeniz /Camişerif</t>
  </si>
  <si>
    <t>Çağrı Ünel        /3242323833</t>
  </si>
  <si>
    <t>Yoğunluk Dolayısıyla Farklı Bir Gün Talep Ediyor...</t>
  </si>
  <si>
    <t>Akdeniz        /Yeni</t>
  </si>
  <si>
    <t>Medine Gürsoy/5346532580</t>
  </si>
  <si>
    <t>5fea1e8b0e63feda60cae951</t>
  </si>
  <si>
    <t>Saray Tantuni,Akdeniz (Mahmudiye Mah.)</t>
  </si>
  <si>
    <t>Akdeniz        /Mahmudiye</t>
  </si>
  <si>
    <t>Halime Oyar        /5346883233</t>
  </si>
  <si>
    <t>Mahmudiye Mah.Zeytinli bahçe Cad.No/91 A Akdeniz Mersin</t>
  </si>
  <si>
    <t>MüslümÖzdemir	/3243253355</t>
  </si>
  <si>
    <t>Yenişehir	/Güvenevler</t>
  </si>
  <si>
    <t>Mesrur Mansuroğlu	/3243291881</t>
  </si>
  <si>
    <t>Yenişehir	/Aydınlıkevler</t>
  </si>
  <si>
    <t>Hasan Kilisli	/3243268589</t>
  </si>
  <si>
    <t>18:00</t>
  </si>
  <si>
    <t>OSMAN KARPUZ	/3243259329</t>
  </si>
  <si>
    <t>6019aa8e4fbe5c660859b068</t>
  </si>
  <si>
    <t>Kokoreçci Emin Usta, Yenişehir (Bahçelievler Mah.)</t>
  </si>
  <si>
    <t>Emin Bey / 5050395107</t>
  </si>
  <si>
    <t>Bahçelievler Mah.Hüseyin Okan Merzeci Bulvarı No/468-B Yenişehir,Mersin</t>
  </si>
  <si>
    <t xml:space="preserve">603030261794319eb5076cd9        </t>
  </si>
  <si>
    <t>Akdeniz	/İhsaniye</t>
  </si>
  <si>
    <t>Mehmet Dölen/        3243360337</t>
  </si>
  <si>
    <t>Mahmudiye mah.4914 Sokak No/26 Akdeniz,Mersin</t>
  </si>
  <si>
    <t>yoğunluktandolayı iptal ettirmiş yeni randevu istemiyor</t>
  </si>
  <si>
    <t>Muhammet Bey / 5060589688</t>
  </si>
  <si>
    <t>Yoğunluktan dolayı iptal ettirmiş yeni randevu 26.03.2021 alındı</t>
  </si>
  <si>
    <t xml:space="preserve">600c5aaf0354af3ca8848c8e        </t>
  </si>
  <si>
    <t>Toroslar	/Alsancak</t>
  </si>
  <si>
    <t>Kadir Gökalp	/5362294646</t>
  </si>
  <si>
    <t>Ahmet Bey / 5433136153</t>
  </si>
  <si>
    <t xml:space="preserve">turgut reis mah silifke cad 122/a akdeniz/mersin </t>
  </si>
  <si>
    <t>Yenişehir        /İnönü</t>
  </si>
  <si>
    <t>İdris Bilek        3242390140</t>
  </si>
  <si>
    <t>Fotoğraf Çekimi Yapıldı</t>
  </si>
  <si>
    <t>Mezitli        /Davultepe</t>
  </si>
  <si>
    <t>Aygün Çelik        /5377175213</t>
  </si>
  <si>
    <t>6002f99f38f1fb243d79f6ab</t>
  </si>
  <si>
    <t>Köfte Durağı, Mezitli (Fatih Mah.)</t>
  </si>
  <si>
    <t>Mezitli/        Fatih</t>
  </si>
  <si>
    <t>Yonca Akalın Direkçi        /5313819300</t>
  </si>
  <si>
    <t>Fatih Mah.3001 Sokak No/6-C Mezitli,Mersin</t>
  </si>
  <si>
    <t>Ürün Eksikliğinden Dolayı Farklı Bir Gün Talep Ediyor.</t>
  </si>
  <si>
    <t>5fdf25b3a8ae9331d9b9fb9f</t>
  </si>
  <si>
    <t>Şef Yedi Burger , Yenişehir (İnönü Mah.)</t>
  </si>
  <si>
    <t>Yenişehir/        İnönü</t>
  </si>
  <si>
    <t>Şerafettin Avşar        /3243263377</t>
  </si>
  <si>
    <t>İnönü mh. Kushimato sk. Ziya Yavuz apt, D:No 12, 33130 Yenişehir/Mersin</t>
  </si>
  <si>
    <t>Fahri Bey / 3243571114</t>
  </si>
  <si>
    <t xml:space="preserve">6009daafe13dbd048f5c9655        </t>
  </si>
  <si>
    <t>Pera Kuru Kahvecisi, Mezitli (Fatih Mah.)</t>
  </si>
  <si>
    <t>Mezitli /Fatih</t>
  </si>
  <si>
    <t>Tamer Sünbül	/5326123387</t>
  </si>
  <si>
    <t>Fatih Mah.30020 Sokak No/29-C Mezitli,Mersin</t>
  </si>
  <si>
    <t>Yoğunluktan dolayı ve ürünler kalmamasından dolayı erteleme istedi</t>
  </si>
  <si>
    <t>Lido Pizza, Mezitli (Merkez Mah.) bu</t>
  </si>
  <si>
    <t>Mustafa Bey / 3243278587</t>
  </si>
  <si>
    <t>Hüseyin Bey / 5353178183</t>
  </si>
  <si>
    <t>Yenişehir	Aydınlıkevler</t>
  </si>
  <si>
    <t>12:00</t>
  </si>
  <si>
    <t>Yenişehir / Eğriçam</t>
  </si>
  <si>
    <t>Ece Hanım / 5525051863</t>
  </si>
  <si>
    <t>5ff33e7f71e89c59b597db89</t>
  </si>
  <si>
    <t>Ali Bey / 5462334534</t>
  </si>
  <si>
    <t xml:space="preserve">601a70035ad05126c49863cd                     </t>
  </si>
  <si>
    <t>5ffe083368b4947be98f395d</t>
  </si>
  <si>
    <t>Beyoğlu Kokoreç Koray Usta, Yenişehir (Aydınlıkevler Mah.)</t>
  </si>
  <si>
    <t>Yenişehir / Aydınlıkevler</t>
  </si>
  <si>
    <t>Koray Bey / 5362620995</t>
  </si>
  <si>
    <t>Aydınlıkevler Mah.G.M.K Bulvarı No/404-D Yenişehir,Mersin</t>
  </si>
  <si>
    <t xml:space="preserve">Müsait değildik malzeme yoktu o yüzden iptal oldu pazartesi 5 için fotoğrafçı ile anlaşmışlar çekim için </t>
  </si>
  <si>
    <t>İbrahim Bey / 5323104733</t>
  </si>
  <si>
    <t>Hüseyin Bey / 3243263233</t>
  </si>
  <si>
    <t>603fe12391adfcf9f7a5ff5d</t>
  </si>
  <si>
    <t>Ramazan bey / 5541921243</t>
  </si>
  <si>
    <t>6009d0dc99244e4444064901</t>
  </si>
  <si>
    <t>Gabby Grills, Yenişehir (Güvenevler Mah.)</t>
  </si>
  <si>
    <t>Erhan Bey / 3243260333</t>
  </si>
  <si>
    <t>Güvenevler Mah.1913 Sokak No/14-A Yenişehir,Mersin</t>
  </si>
  <si>
    <t>Usta izne çıkmış o yüzden iptal olmuş, pazartesi tekrar arayıp randevu alınacak.</t>
  </si>
  <si>
    <t xml:space="preserve">6013098f998c13d18586d711        </t>
  </si>
  <si>
    <t>Yenişehir        /Güvenevler</t>
  </si>
  <si>
    <t>Ramazan Dayan        /5313857421</t>
  </si>
  <si>
    <t>Pazartesi günü arayıp yeni randeu oluşurulacak. Yetkili müsait değilmiş.</t>
  </si>
  <si>
    <r>
      <rPr>
        <rFont val="Arial"/>
        <color rgb="FF000000"/>
        <sz val="9.0"/>
      </rPr>
      <t>Adıyamanlı Çiğ Köftecim, Yenişehir (Güvenevler Mah.-Pozcu.</t>
    </r>
    <r>
      <rPr>
        <rFont val="Arial"/>
        <color rgb="FF000000"/>
        <sz val="9.0"/>
      </rPr>
      <t>)</t>
    </r>
  </si>
  <si>
    <t>14:30</t>
  </si>
  <si>
    <t>Şevket Bey / 5337266702</t>
  </si>
  <si>
    <t>Tarih Bey / 3243286670</t>
  </si>
  <si>
    <t>Mezitli	Viranşehir</t>
  </si>
  <si>
    <t>ekrem yılmaz	5461000042</t>
  </si>
  <si>
    <t>Mezitli	Akdeniz</t>
  </si>
  <si>
    <t>Sedat Batur	5538865713</t>
  </si>
  <si>
    <t>cenazeden dolayı ertelemek istiyor</t>
  </si>
  <si>
    <t>Mezitli Fatih</t>
  </si>
  <si>
    <t>Ali Deniz	3243585088</t>
  </si>
  <si>
    <t>602ad87d17a3764230354e89</t>
  </si>
  <si>
    <t>Mis Künefe, Mezitli (Merkez Mah.)</t>
  </si>
  <si>
    <t>Mezitli	Merkez</t>
  </si>
  <si>
    <t>Nimet Şahin	3243270102</t>
  </si>
  <si>
    <t>Merkez Mah. zeytinlicadde Sokak görkem sitesi No/37-BA Mezitli,Mersin</t>
  </si>
  <si>
    <t xml:space="preserve">5fdf53a0a8ae934007b9fcc1        </t>
  </si>
  <si>
    <t>Muzaffer Pilor	3243575554</t>
  </si>
  <si>
    <t>60369b99aa28127d4b71aa0c</t>
  </si>
  <si>
    <t>Birtat Tantuni Barış Usta, Mezitli (Akdeniz Mah.)</t>
  </si>
  <si>
    <t>Mezitli/Akdeniz</t>
  </si>
  <si>
    <t>Barış Bey/5308501975</t>
  </si>
  <si>
    <t>Akdeniz Mah.Fatih Cad.No/7-C Mezitli, Mersin</t>
  </si>
  <si>
    <t>Akdeniz	Cami Şerif</t>
  </si>
  <si>
    <t>Mehmet Bahar	3242373317</t>
  </si>
  <si>
    <t>Akdeniz	Nusratiye</t>
  </si>
  <si>
    <t>Ziya Badelli	5494999904</t>
  </si>
  <si>
    <t>Yenişehir	Cumhuriyet</t>
  </si>
  <si>
    <t>Hikmet Hakan Başkan	3243250293</t>
  </si>
  <si>
    <t>Yenişehir	Hürriyet</t>
  </si>
  <si>
    <t>Tutku Serin Dursun	5071532191</t>
  </si>
  <si>
    <t>Farklı İş Planlarımdan Dolayı Tüm Gün Müsait Değilim.... Teşekkür Ederim...</t>
  </si>
  <si>
    <t>Mezitli/Atatürk</t>
  </si>
  <si>
    <t>İsmail Cide/5309789676</t>
  </si>
  <si>
    <t>Atatürk, Vali Şenol Engin Cd. cafer halis apartmanı altı no 30 Mezitli/Mersin</t>
  </si>
  <si>
    <t xml:space="preserve">5fe77f49ce622f84becb7272       </t>
  </si>
  <si>
    <t>Umut Közde Piliç, Mezitli (Akdeniz Mah.)</t>
  </si>
  <si>
    <t>12.30</t>
  </si>
  <si>
    <t>Mezitli	Menderes</t>
  </si>
  <si>
    <t>Mustafa Hakverdi        5382565707</t>
  </si>
  <si>
    <t>Akdeniz Mah.GMK Bulvarı Yaşam Plaza Karşısı Mezitli Mersin</t>
  </si>
  <si>
    <t>ramazan ayı başlarında yeni randevu istiyor</t>
  </si>
  <si>
    <t>5fe38989d3f42bc1c2af4329	Hacıbaba Concept, Mezitli (Yenimahalle Mah.)</t>
  </si>
  <si>
    <t>Mezitli	Yeni</t>
  </si>
  <si>
    <t>Şehmus Ceylan        3243593030</t>
  </si>
  <si>
    <t>Ahmet Özkan/5372805738</t>
  </si>
  <si>
    <t>Yenişehir	İnönü</t>
  </si>
  <si>
    <t>Şehmus Ceylan	4446908</t>
  </si>
  <si>
    <t xml:space="preserve">6037fee4451e5004167970bb        </t>
  </si>
  <si>
    <t>Anıt Cafe, Toroslar (Mithat Toroğlu Mah.)</t>
  </si>
  <si>
    <t>Toroslar	Mithat Toroğlu</t>
  </si>
  <si>
    <t>Savaş Kılınç	3243203088</t>
  </si>
  <si>
    <t>Toroslar/Sağlık</t>
  </si>
  <si>
    <t>Abdullah Bey/5324907323</t>
  </si>
  <si>
    <t>arandı tekrar çekim sağlandı</t>
  </si>
  <si>
    <t xml:space="preserve">603d3bdf41ca7f765c6dc120        </t>
  </si>
  <si>
    <t>Toroslar	Portakal</t>
  </si>
  <si>
    <t>Baki Öztürk        5446985610</t>
  </si>
  <si>
    <t xml:space="preserve">6022c4c30737d6cfa910f66a        </t>
  </si>
  <si>
    <t>Toroslar        Kurdali</t>
  </si>
  <si>
    <t>Mehmet Salih Topuz        5336018872</t>
  </si>
  <si>
    <t xml:space="preserve">60156b363a7478ddc760b657        </t>
  </si>
  <si>
    <t>Toroslar	Tozkoparan</t>
  </si>
  <si>
    <t>Kenan Tatlı	5535799292</t>
  </si>
  <si>
    <t>603d294d41ca7f817b6dba7c</t>
  </si>
  <si>
    <t>Pizza Majestik, Yenişehir (Limonluk Mah.)</t>
  </si>
  <si>
    <t>Yenişehir/        Limonluk</t>
  </si>
  <si>
    <t>Ahmet Hakan EroğlU        /3243253838</t>
  </si>
  <si>
    <t>Limonluk Mah.İsmet İnönü Bulvarı No/320-C Yenişehir,Mersin</t>
  </si>
  <si>
    <t>Yenişehir/İnönü</t>
  </si>
  <si>
    <t>Burçak Seyis/5074790660</t>
  </si>
  <si>
    <t>Yenişehir        Eğriçam</t>
  </si>
  <si>
    <t>Tuncay Bekçi        3243280211</t>
  </si>
  <si>
    <t>Yenişehir        Cumhuriyet</t>
  </si>
  <si>
    <t>İlhan Bey / 5443843281</t>
  </si>
  <si>
    <t>6005c1e8f69aa46b8c467b03</t>
  </si>
  <si>
    <t>Julyana Kebap, Yenişehir (Cumhuriyet Mah.)</t>
  </si>
  <si>
    <t>Mehmet Bey / 5458179350</t>
  </si>
  <si>
    <t xml:space="preserve">600d8c9b12a3f1000d264670        </t>
  </si>
  <si>
    <t>Teybe Korkmaz	5523658202</t>
  </si>
  <si>
    <t>3-5 foto çektirebilirmiş fazla ürün çıkaramazmış</t>
  </si>
  <si>
    <t>Osman Özdemir	5367804567</t>
  </si>
  <si>
    <t>6009daafe13dbd048f5c9655</t>
  </si>
  <si>
    <t>Mezitli	Fatih</t>
  </si>
  <si>
    <t>Tamer Sünbül	5326123387</t>
  </si>
  <si>
    <t>Toroslar	/Zeki Ayan</t>
  </si>
  <si>
    <t>Ali Recai Sezgin        /3243210033</t>
  </si>
  <si>
    <t xml:space="preserve">ayın 1 ne 12 ye randevu oluşturuldu </t>
  </si>
  <si>
    <t>11.30</t>
  </si>
  <si>
    <t>Zehra Belge/5315541881</t>
  </si>
  <si>
    <t>restorant sahibi covid olmuş ileri tarih istiyor</t>
  </si>
  <si>
    <t>Ümit Kısacık/5323613354</t>
  </si>
  <si>
    <t>Yakup Karakulak	5388515200</t>
  </si>
  <si>
    <t>5fe6511d630a769e7ffe6968</t>
  </si>
  <si>
    <t>eylül azra soysal/5453610190</t>
  </si>
  <si>
    <t>Çiftlikköy, Üniversite Cd. No:3C, 33110 Yenişehir/Mersin</t>
  </si>
  <si>
    <t>restoranlarını kapatacaklarmış//// 12.30'da yetkili gelecek tam bilgi alınacak</t>
  </si>
  <si>
    <t>Özkan Bey / 5525153333</t>
  </si>
  <si>
    <t>Mezitli        /Menderes</t>
  </si>
  <si>
    <t>Gafure Dokumacı        /3243595534</t>
  </si>
  <si>
    <t>Yenişehir/Barbaros</t>
  </si>
  <si>
    <t>Serhat Atlan        3243285935</t>
  </si>
  <si>
    <t>Bir kısım ürünler çekildi, eksik olan ürünleride 07.04 tarihinde çekilmesini istiyorlar.</t>
  </si>
  <si>
    <t>5ffb10805f0ab42d4ae7a104</t>
  </si>
  <si>
    <t>Makarnacım Mix, Yenişehir (İnönü Mah.)</t>
  </si>
  <si>
    <t>Kübra Turan        5325468315</t>
  </si>
  <si>
    <t>İnönü Mah.1405 Sokak Nigar Mutlu Apt.No/5-A Yenişehir,Mersin</t>
  </si>
  <si>
    <t>16.30</t>
  </si>
  <si>
    <t>Ali Erhan Yıldız        /3243256066</t>
  </si>
  <si>
    <t>Muhammet Ali Kaya/5444218611</t>
  </si>
  <si>
    <t>Randevu Alınmayacak.</t>
  </si>
  <si>
    <t>604a212c89a2c58dcd7e6274</t>
  </si>
  <si>
    <t>Doğan Döner &amp; Çorba, Toroslar (Mithat Toroğlu Mah.)</t>
  </si>
  <si>
    <t>Toroslar/Mithat Toroğlu</t>
  </si>
  <si>
    <t>Doğan Bey/05323435330</t>
  </si>
  <si>
    <t>603a6e9ab84783bf900ebf35</t>
  </si>
  <si>
    <t>Tosun Tantuni &amp; Döner , Toroslar (Hüseyin Okan Merzeci Mah.)</t>
  </si>
  <si>
    <t>Toroslar/Hüseyin Okan Mert</t>
  </si>
  <si>
    <t>Alican Bey/05379941752</t>
  </si>
  <si>
    <t>Hüseyin Okan Merzeci Mah.219.cadde No/29 Toroslar,Mersin</t>
  </si>
  <si>
    <t xml:space="preserve">601ed51398337b025a4d3318        </t>
  </si>
  <si>
    <t>Toroslar        Zeki Ayan</t>
  </si>
  <si>
    <t>Ahmet Hilmi Göçer        5531263333</t>
  </si>
  <si>
    <t>Zeki Ayan Mah.82029 Sokak onur apartmanı No/6-B Toroslar,Mersin</t>
  </si>
  <si>
    <t>elektriklerle ilgili problem var kendim dönceğim/ kendim döneceğim aramayın</t>
  </si>
  <si>
    <t>Toroslar	/Kurdali</t>
  </si>
  <si>
    <t>Tarık Han Düşünüklü	/5339134933</t>
  </si>
  <si>
    <t>Mehmet Bey/3243253131</t>
  </si>
  <si>
    <t>6058fc9ba95ea6d1752f1dca</t>
  </si>
  <si>
    <t>Adessa Baklavaları, Yenişehir (Çiftlikköy Mah.)</t>
  </si>
  <si>
    <t>Yenişehir        Çiftlikköy</t>
  </si>
  <si>
    <t>Eyyüp Doğan        5354830792</t>
  </si>
  <si>
    <t>Çiftlikköy Mah.Şakir Son Cad.Yeşil Vadi Apt.No/71-D Yenişehir,Mersin</t>
  </si>
  <si>
    <t>Emre Bey/5362426008</t>
  </si>
  <si>
    <t>600f1ce09dceb6b42008b362</t>
  </si>
  <si>
    <t>Bizim Cadde Et &amp; Balık, Yenişehir (Limonluk Mah.)</t>
  </si>
  <si>
    <t>Yenişehir/Limonluk</t>
  </si>
  <si>
    <t>Vedat Bey/5416650429</t>
  </si>
  <si>
    <t>Limonluk Mah.İsmet İnönü Mah.No/168-B Yenişehir,Mersin</t>
  </si>
  <si>
    <t>murat bey/5389312333</t>
  </si>
  <si>
    <t>602437da1bfca355d6e67e0d</t>
  </si>
  <si>
    <t>Akdeniz Tantuni, Mezitli (Akdeniz Mah.)</t>
  </si>
  <si>
    <t>Akdeniz Mah. Zeytinli Cad. No/41-A Mezitli,Mersin</t>
  </si>
  <si>
    <t>Hüseyin Karaca	3243410707</t>
  </si>
  <si>
    <t>Ekrem Bey / 5336851056</t>
  </si>
  <si>
    <t>6009e3d9b4fcb4246d76285d	Cadde 33 Tantuni &amp; Döner, Akdeniz (Çankaya Mah.-Çarşı)</t>
  </si>
  <si>
    <t>Akdeniz	Çankaya</t>
  </si>
  <si>
    <t>Yafes Dinç	3242384343</t>
  </si>
  <si>
    <t>Akdeniz        Mahmudiye</t>
  </si>
  <si>
    <t>Emre Kaya        3243370037</t>
  </si>
  <si>
    <t>60570e7604fe53d3e2562520</t>
  </si>
  <si>
    <t>Simitçi Usta, Akdeniz (Yenimahalle Mah.)</t>
  </si>
  <si>
    <t>Akdeniz	Yeni</t>
  </si>
  <si>
    <t>İbrahim Halil Sakur/5326892833</t>
  </si>
  <si>
    <t>Yeni Mah.Çakmak Cad.Tren Garı Yanı No/6-A Akdeniz,Mersin</t>
  </si>
  <si>
    <t>15.30</t>
  </si>
  <si>
    <t>Akdeniz / Nusratiye</t>
  </si>
  <si>
    <t>Ahmet Kent / 5525325112</t>
  </si>
  <si>
    <t>Toroslar\Zeki Ayan</t>
  </si>
  <si>
    <t>Ali Recai Sezgin\3243210033</t>
  </si>
  <si>
    <t>Toroslar \Turgut Türkalp</t>
  </si>
  <si>
    <t>Mehmet İmre\ 3243216600</t>
  </si>
  <si>
    <t>Toroslar\Osmaniye</t>
  </si>
  <si>
    <t>Furkan Bey\05372229521</t>
  </si>
  <si>
    <t>Toroslar\Halkkent</t>
  </si>
  <si>
    <t xml:space="preserve"> İsmail Dağ\ 3242231686   </t>
  </si>
  <si>
    <t>Selçuk Tanju Kumtepe/3249990616</t>
  </si>
  <si>
    <t>Tutku Polat/5442286333</t>
  </si>
  <si>
    <t>Tuğba Örs/3243260333</t>
  </si>
  <si>
    <t>60313ab5b868aa2d0ef7c3d4</t>
  </si>
  <si>
    <t>hasan bey/ 05346413674</t>
  </si>
  <si>
    <t>Akdeniz Mah.Yaşar Doğu Apt.No/27-C Mezitli,Mersin</t>
  </si>
  <si>
    <t xml:space="preserve">Tüm gün yogunlugumdan dolayi musait degilim </t>
  </si>
  <si>
    <t>RANDEVU ALINMAYACAK!!!</t>
  </si>
  <si>
    <t>5fdf223085630236fc551592</t>
  </si>
  <si>
    <t>Gül Baba Kebap, Yenişehir (Güvenevler Mah.)</t>
  </si>
  <si>
    <t>Ahmet Aran3243294099/ gizem hn. ile görüşme sağlandı</t>
  </si>
  <si>
    <t>Güvenevler, 1910. Sk., 33140 Yenişehir/Mersin</t>
  </si>
  <si>
    <t>Pandemi Dolayısıyla Ürün Hazırlığı Yapmak Fotoğraf Çektirmek İstemiyor.</t>
  </si>
  <si>
    <t>Yenişehir / Bahçelievler</t>
  </si>
  <si>
    <t>Burak Abakay        /3243293683</t>
  </si>
  <si>
    <t>Safiye Alkan/05054812973//3243260686</t>
  </si>
  <si>
    <t>Güvenevler Mah.1917 Sokak  no- 7/CYenişehir, Mersin</t>
  </si>
  <si>
    <t>Yenişehir/Aydınlıkevler</t>
  </si>
  <si>
    <t>Mehmet Sungu/3243283031</t>
  </si>
  <si>
    <t>Yenişehir/Hürriyet</t>
  </si>
  <si>
    <t>Hakan Bey/03249991995</t>
  </si>
  <si>
    <t>Yenişehir/Dumlupınar</t>
  </si>
  <si>
    <t>Melike Hanım/05538533471</t>
  </si>
  <si>
    <t>6026d24621f176443d3a1334</t>
  </si>
  <si>
    <t>Saadet Sultan Lezzetleri, Yenişehir (İnönü Mah.)</t>
  </si>
  <si>
    <t>Hazal Hanım/05324333153</t>
  </si>
  <si>
    <t>İnönü Mah.1404 Sokak No/10-C Yenişehir,Mersin</t>
  </si>
  <si>
    <t>Bahattin Bey/03243266599</t>
  </si>
  <si>
    <t>6019c43c7d417626103a7c28</t>
  </si>
  <si>
    <t>Star Waffle, Yenişehir (Güvenevler Mah.)</t>
  </si>
  <si>
    <t xml:space="preserve">Yenişehir/Güvenevler </t>
  </si>
  <si>
    <t>Ulaş Bey/5333175460</t>
  </si>
  <si>
    <t>Güvenevler Mah.1.Cad.No/124-A Yenişehir,Mersin</t>
  </si>
  <si>
    <t>Süleyman Bey/5511727320</t>
  </si>
  <si>
    <t>Aytunç Bey/5495295522</t>
  </si>
  <si>
    <t>60086c97b2ab7d7fdb61ff63</t>
  </si>
  <si>
    <t>Matiat Fast Food, Yenişehir (Güvenevler Mah.-Pozcu)</t>
  </si>
  <si>
    <t>Servet Bey/3243279060</t>
  </si>
  <si>
    <t>İnönü Mah.1405 Sokak A Blok No/13-B Yenişehir,Mersin</t>
  </si>
  <si>
    <t>Mehmet Bey/5304268988</t>
  </si>
  <si>
    <t>6047640795464abc5885727c</t>
  </si>
  <si>
    <t>Berke Balık Evi, Yenişehir (Pirireis Mah.)</t>
  </si>
  <si>
    <t>Yenişehir/Pirireis</t>
  </si>
  <si>
    <t>Doğan Bey/5550540510</t>
  </si>
  <si>
    <t>Pirireis Mah.Silifke Cad.No/194-C Yenişehir,Mersin</t>
  </si>
  <si>
    <t>Ürün Eksikliğinden Dolayı Başka Gün Talep Ediyor.</t>
  </si>
  <si>
    <t>Ömer Bey/05389369696</t>
  </si>
  <si>
    <t>Yenişheri/Aydınlıkevler</t>
  </si>
  <si>
    <t>Yusuf Bey/05526273363</t>
  </si>
  <si>
    <t>tekrar alındı</t>
  </si>
  <si>
    <t>Elvin Bey / 5330218033</t>
  </si>
  <si>
    <t>Yunus Akdemir	3243260909</t>
  </si>
  <si>
    <t>Özgür Özcan	5435688080</t>
  </si>
  <si>
    <t>Yenişehir	Fuatmorel</t>
  </si>
  <si>
    <t>Barış Baykul	5323047605</t>
  </si>
  <si>
    <t>6021883198337bc1cb4ecc75</t>
  </si>
  <si>
    <t>Köşem D. Öner, Yenişehir (İnönü Mah.)</t>
  </si>
  <si>
    <t>Murat Ahmet Dağ	3243277866</t>
  </si>
  <si>
    <t>İnönü Mah.1408 Sokak No/11-A Yenişehir,Mersin</t>
  </si>
  <si>
    <t>İş yerinde olamayacağım elemanlarım Türkçe bilmiyor o yüzden haftaya çarşambaya ertelenecek.</t>
  </si>
  <si>
    <t>604a0f080392aa0e752372c8</t>
  </si>
  <si>
    <t>Tarihi Antep Çiğ Köfte, Yenişehir (İnönü Mah.)</t>
  </si>
  <si>
    <t>Merve Hanım / 5326794947</t>
  </si>
  <si>
    <t>İnönü Mah.1403 Sokak Durukan Apt.No/8-B Yenişehir,Mersin</t>
  </si>
  <si>
    <t>2'den sonra randevu alınmayacak!!!!!</t>
  </si>
  <si>
    <t>Mezitli	Çamlıca</t>
  </si>
  <si>
    <t>Abdulkadir Bakır	5050057010</t>
  </si>
  <si>
    <t>Gülper Aydoğdu	5510615627</t>
  </si>
  <si>
    <t>08.04.2021 e randevu alındı</t>
  </si>
  <si>
    <t>Yenişehir	50. Yıl</t>
  </si>
  <si>
    <t>Salim Şişmanoğlu        5336470600</t>
  </si>
  <si>
    <t>Mesut Eley        3243252779</t>
  </si>
  <si>
    <t>Yenişehir        Palmiye</t>
  </si>
  <si>
    <t>Seyit Ahmet Horuzoğlu        5394992733</t>
  </si>
  <si>
    <t>Yenişehir	Batıkent</t>
  </si>
  <si>
    <t>Ahmet Toprak        5497323363</t>
  </si>
  <si>
    <t>Halil Aslan	3243280108</t>
  </si>
  <si>
    <t>O kadar ürünü çıkartamam Ramazan ayı için aranacak</t>
  </si>
  <si>
    <t>5ff8be57e348f6f708a21637</t>
  </si>
  <si>
    <t>Nev Coffee Cake Bakery</t>
  </si>
  <si>
    <t>Cumali Kara &amp; Merve Yüksel	5338144876</t>
  </si>
  <si>
    <t>Fatih Mah.30020 Sokak 29/A Mezitli, Mersin</t>
  </si>
  <si>
    <t>Ferudun Taçyıldız	3243610166</t>
  </si>
  <si>
    <t>Çiftlikköy, Üniversite Cd. bahçeşehir 1 sitesi  No:31, 33110 Yenişehir/Mersin</t>
  </si>
  <si>
    <t>Murat Çınar	3243610262</t>
  </si>
  <si>
    <t>6031416325e3a64902ed0b63</t>
  </si>
  <si>
    <t>Meze Land, Yenişehir (Hürriyet Mah.)</t>
  </si>
  <si>
    <t>Begüm Hilaloğulları 05397148752</t>
  </si>
  <si>
    <t>Hürriyet Mah.İsmet İnönü Bulvarı No/272-D Yenişehir,Mersin</t>
  </si>
  <si>
    <t>2'den önce randevu alınmayacak</t>
  </si>
  <si>
    <t>5fe4e311933ff4e8071c88c3</t>
  </si>
  <si>
    <t>Memoş Tantuni, Yenişehir (Güvenevler Mah.)</t>
  </si>
  <si>
    <t>Ender Yelkenaç	3243290505</t>
  </si>
  <si>
    <t>Güvenevler, 1912. Sk. 7 7 1, 33140 Yenişehir/Mersin</t>
  </si>
  <si>
    <t>6019c094f5e6e51447d3e8f7</t>
  </si>
  <si>
    <t>Maydanoz Tantuni, Yenişehir (Çiftlikköy Mah.)</t>
  </si>
  <si>
    <t>Veysi Işık	3245022122</t>
  </si>
  <si>
    <t>Çiftlikköy Mah.Mimar Sinan Cad.No/30-M Yenişehir,Mersin</t>
  </si>
  <si>
    <t>Tayfun İnce	3243361925</t>
  </si>
  <si>
    <t xml:space="preserve">ramazandan sonra </t>
  </si>
  <si>
    <t>5fecfc915118f17d758d3934</t>
  </si>
  <si>
    <t>Adıyamanlı Nerkom Meşhur Çiğköftecisi, Yenişehir (Barboros Mah.)</t>
  </si>
  <si>
    <t>Yenişehir/	Barbaros</t>
  </si>
  <si>
    <t>Hüseyin Dönmez	/5070385235</t>
  </si>
  <si>
    <t>Barboros Mah.Nevit Kodallı Cad.Şeref Apt B blok 22 C Yenişehir,Mersin</t>
  </si>
  <si>
    <t>Yenişehir / Barbaros</t>
  </si>
  <si>
    <t>Serhat Atlan / 3243285935</t>
  </si>
  <si>
    <t>Devam Çekimi Yapıldı.</t>
  </si>
  <si>
    <t>Abdulkadir Kaplan	3243283472</t>
  </si>
  <si>
    <t>605ee4f1c271ae35592e6c06</t>
  </si>
  <si>
    <t>Stran Döner, Yenişehir (Güvenevler Mah.)</t>
  </si>
  <si>
    <t>Akça Çağlayan        3243261998</t>
  </si>
  <si>
    <t>Güvenevler Mah.1902 Sokak No/15-A Yenişehir,Mersin</t>
  </si>
  <si>
    <t>6044ab0fb997c447471b1332</t>
  </si>
  <si>
    <t>Tarihi Hasan Usta, Yenişehir (Güvenevler Mah.)</t>
  </si>
  <si>
    <t>Ali Korkmaz	3243262379</t>
  </si>
  <si>
    <t>Güvenevler Mah.1901 Sokak Gazi Apt.No/14 Yenişehir,Mersin</t>
  </si>
  <si>
    <t>Hakan Bey / 5346660600</t>
  </si>
  <si>
    <t>Murat Bey/3243277866</t>
  </si>
  <si>
    <t>Randevu iptal olmuş çarşambaya anlaşmışlar.</t>
  </si>
  <si>
    <t>Şeref Bey/05070385176</t>
  </si>
  <si>
    <t>Randevi için arandı çekim yapılacak.</t>
  </si>
  <si>
    <t>5fe6b1be37c1db87cb54cf55</t>
  </si>
  <si>
    <t>Ab'bas Waffle ,Yenişehir (İnönü Mah.)</t>
  </si>
  <si>
    <t>Faruk Bey/3243285002</t>
  </si>
  <si>
    <t>inönü, Kushimoto Sk. No:12, 33130 Yenişehir/Mersin</t>
  </si>
  <si>
    <t>Randevu için arandı çekim yapılacak.</t>
  </si>
  <si>
    <t>acıpare</t>
  </si>
  <si>
    <t>Abdulkadir Bey/03243581302</t>
  </si>
  <si>
    <t xml:space="preserve">Çok yoğunuz malzemeleri çıkartamayabiliriz der. Ramazanda istiyor. </t>
  </si>
  <si>
    <t>605094849dea6ca58aa8f5f6</t>
  </si>
  <si>
    <t>Cevheroğlu Su Börekçisi, Mezitli (Viranşehir Mah.)</t>
  </si>
  <si>
    <t>mezitli/viranşehir</t>
  </si>
  <si>
    <t>eda hanım/5451230002</t>
  </si>
  <si>
    <t>Viranşehir Mah.320 Sokak No/23-B Mezitli,Mersin</t>
  </si>
  <si>
    <t>Ürünleri yokmuş ertelemesini gerçekleştirdik.</t>
  </si>
  <si>
    <t>16.00</t>
  </si>
  <si>
    <t>Gülper Aydoğdu        5510615627</t>
  </si>
  <si>
    <t>Ramazan elmas 5       537058181</t>
  </si>
  <si>
    <t>Ramazan elmas	5370581815</t>
  </si>
  <si>
    <t>"Menderes mahallesi gmk bulvarı 777/B
 (Opel gedizler karşısı)
 Mezitli /Mersin"</t>
  </si>
  <si>
    <t>Katık Döner, Yenişehir, (Çiftlikköy Mah.-fakülte şubesi)</t>
  </si>
  <si>
    <t>birkan bey/3245020231</t>
  </si>
  <si>
    <t>Çiftlikköy Mah.Mimar Sinan Cad.No/26-C Yenişehir,Mersin (Fakülte Şubesi)</t>
  </si>
  <si>
    <t>Murat Yel 5523335717</t>
  </si>
  <si>
    <t>Yoğunluk olduğu için çekim yaptırmadılar..</t>
  </si>
  <si>
    <t>600430e50d6f5918f89c207f</t>
  </si>
  <si>
    <t>Pastapuff, Mezitli (Yenimahalle Mah.)</t>
  </si>
  <si>
    <t>Savaş Çetinkaya / /05318981959</t>
  </si>
  <si>
    <t>Yenimahalle Mah.33195 Sokak Dimer Plaza No/2-A Mezitli,Mersin</t>
  </si>
  <si>
    <t>Sadece 3 randevu bu saatlere alınacak</t>
  </si>
  <si>
    <t>60523de3e7317c079c8ab2de</t>
  </si>
  <si>
    <t>Mevlana Döner &amp; Tantuni, Akdeniz (Güneş Mah.)</t>
  </si>
  <si>
    <t>Akdeniz	Güneş</t>
  </si>
  <si>
    <t>İrfan Ağdin	5539588633</t>
  </si>
  <si>
    <t>Güneş Mah.Okan Merzeci Bulvarı No/86 Akdeniz,Mersin</t>
  </si>
  <si>
    <t>Randevu için Arandı çekim yapılacak</t>
  </si>
  <si>
    <t>604662a0b997c4dc041b63c7</t>
  </si>
  <si>
    <t>Sıfır 1 Ocakbaşı, Akdeniz (Mesudiye Mah.)</t>
  </si>
  <si>
    <t>Akdeniz	Mesudiye</t>
  </si>
  <si>
    <t>Rüya Garan        3243361101</t>
  </si>
  <si>
    <t>Mesudiye Mah.5103 Sokak No/27-A Akdeniz,Mersin</t>
  </si>
  <si>
    <t>Fazla ürün çıkaramayacakmış Ramazan ayından sonra istiyor.</t>
  </si>
  <si>
    <t>Toroslar	Selçuklar</t>
  </si>
  <si>
    <t>Hanifi Kanlı	3243212017</t>
  </si>
  <si>
    <t>randevu için arandı çekim yapılacak.</t>
  </si>
  <si>
    <t>mezitli/tece</t>
  </si>
  <si>
    <t>muhammed bey/5372858186</t>
  </si>
  <si>
    <t>Mezitli	/Akdeniz</t>
  </si>
  <si>
    <t>Hasan Ağırağaç        /5301643778</t>
  </si>
  <si>
    <t xml:space="preserve">yoğunmuş iptal edilsin dedi </t>
  </si>
  <si>
    <t>Mezitli	/Viranşehir</t>
  </si>
  <si>
    <t>Aydın Özen/	3243572321</t>
  </si>
  <si>
    <t>Çekim daha önce yapılmış.</t>
  </si>
  <si>
    <t>60534aa7b7515148508e0865</t>
  </si>
  <si>
    <t>Sini ÂlÂ Baklava &amp; Künefe Salonu, Mezitli (Merkez Mah.)</t>
  </si>
  <si>
    <t>Rüstem Bey / 5334540933</t>
  </si>
  <si>
    <t>Merkez Mah.Fındık Pınarı Cad.No/58 Mezitli,Mersin</t>
  </si>
  <si>
    <t>Porsiyon çekimi yapılmasını istemiyor o yüzden iptal oldu.</t>
  </si>
  <si>
    <t>6049ee64972cd02d70c45f26</t>
  </si>
  <si>
    <t>Kuyuluk Lezzet Durağı, Mezitli (Kuyuluk Mah.)</t>
  </si>
  <si>
    <t>Mezitli	Kuyuluk</t>
  </si>
  <si>
    <t>Berhan Akdemirbey        5550932996\05524737175</t>
  </si>
  <si>
    <t>Çamlıca Mah.Fındık Pınarı Cad.No/235-A Mezitli,Mersin</t>
  </si>
  <si>
    <t>Cenazeden dolayı iptal oldu ertelemesi için tekrardan bizleri arayacaklar.</t>
  </si>
  <si>
    <t>Kadir Dal        /5550903333</t>
  </si>
  <si>
    <t>Mezitli	/Merkez</t>
  </si>
  <si>
    <t>İSA GÖNEN	/5354218217</t>
  </si>
  <si>
    <t>"mezitli merkez mahallesi 52060 sokak no9/A
 MEZİTLİ/MERSİN"</t>
  </si>
  <si>
    <t>Ürünlerinin hepsi çekilmiş.</t>
  </si>
  <si>
    <t>yenişehir/çiftlikköy</t>
  </si>
  <si>
    <t>mehmet şahin bey/03245033337</t>
  </si>
  <si>
    <t>Akdeniz	Kültür</t>
  </si>
  <si>
    <t>Bilge Çimenlik        5380539654</t>
  </si>
  <si>
    <t>604ccff6b01c99748c1192f6</t>
  </si>
  <si>
    <t>akdeniz/bahçe</t>
  </si>
  <si>
    <t>soner bey/3242384056</t>
  </si>
  <si>
    <t>Bu saate randevu alınmasın müsait değilim teşekkür ederim....</t>
  </si>
  <si>
    <t>Harun Bey - Eda Hanım /5451230002</t>
  </si>
  <si>
    <t>Mehmet FatihBey 3249994411</t>
  </si>
  <si>
    <t>yenişehir/güvenevler</t>
  </si>
  <si>
    <t>uğur akın bey/3243265737</t>
  </si>
  <si>
    <t>hakan bey/05533916787</t>
  </si>
  <si>
    <t>devam çekimi</t>
  </si>
  <si>
    <t>6044a4743ee11b20ae129289</t>
  </si>
  <si>
    <t>Pizzaria Mamma Mia, Yenişehir (Aydınlıkevler Mah.)</t>
  </si>
  <si>
    <t>Özgür Durgaç/5326594033</t>
  </si>
  <si>
    <t>Aydınlıkevler Mah.Dumlupınar Cad.No/9-E Yenişehir,Mersin</t>
  </si>
  <si>
    <t xml:space="preserve">bayramdan sonra randevu oluşturulacakmış </t>
  </si>
  <si>
    <t>5ff32665dc26c7efb6d1a0a4</t>
  </si>
  <si>
    <t>Subway, Yenişehir (Akkent Mah.)</t>
  </si>
  <si>
    <t>Yenişehir/Eğriçam</t>
  </si>
  <si>
    <t>Gizem Hanım / 5072306211</t>
  </si>
  <si>
    <t>Akkent Mah. GMK Bulvarı Polisevi Karşısı No:536</t>
  </si>
  <si>
    <t>tekrar alındı iptal yerine</t>
  </si>
  <si>
    <t>6022ee563c1a974031bb2b60</t>
  </si>
  <si>
    <t>Tarihi Antep Çiğ Köfte, Mezitli (Atatürk Mah.)</t>
  </si>
  <si>
    <t>Merve Babacan	/5061383404</t>
  </si>
  <si>
    <t>Atatürk Mah.31112 Sokak No/1-F Mezitli,Mersin</t>
  </si>
  <si>
    <t>Akdeniz/ Çankaya</t>
  </si>
  <si>
    <t>Sabahattin Bey 3243360613</t>
  </si>
  <si>
    <t>Kesinlikle çekime gidilsin</t>
  </si>
  <si>
    <t>daha önce çikim yapılmış yeni çekilen ürün         3</t>
  </si>
  <si>
    <t>Akdeniz/İhsaniye</t>
  </si>
  <si>
    <t>Hacı Ahmet Kaya/05523343346</t>
  </si>
  <si>
    <t>iptal olan yerine</t>
  </si>
  <si>
    <t>akdeniz/Cami Şerif</t>
  </si>
  <si>
    <t>yahya bey/3242323833</t>
  </si>
  <si>
    <t>iptal olan çekim yerine</t>
  </si>
  <si>
    <t>akdeniz/kiremithane</t>
  </si>
  <si>
    <t>ayşegül hanım/3242371188</t>
  </si>
  <si>
    <r>
      <rPr>
        <rFont val="Arial"/>
        <color rgb="FF000000"/>
      </rPr>
      <t xml:space="preserve">devam çekimi </t>
    </r>
    <r>
      <rPr>
        <rFont val="Arial"/>
        <color rgb="FF000000"/>
      </rPr>
      <t>( eksik Olan 2 adet ürünleri var ama yine hazır değillerrmiş )</t>
    </r>
  </si>
  <si>
    <t>Yenişehir	Menteş</t>
  </si>
  <si>
    <t>Süleyman Yiğit	3243288463</t>
  </si>
  <si>
    <t>Yasemin Yaşar Şimşek	5372165664</t>
  </si>
  <si>
    <t>Doğalgazı daha aktif edilmediğinden dolayı daha sonra kendsi geri dönüş yapacak</t>
  </si>
  <si>
    <t>Osman Darende	3243581312</t>
  </si>
  <si>
    <t>Yenişehir Çiftlikköy</t>
  </si>
  <si>
    <t>Ali Bey 5384175465</t>
  </si>
  <si>
    <t>Yenişehir Hürriyet</t>
  </si>
  <si>
    <t>Ayşe Hanım 3243265566</t>
  </si>
  <si>
    <t>Ayfer Altın</t>
  </si>
  <si>
    <t>5fe4033035987a60b75f4cb5</t>
  </si>
  <si>
    <t>Sonsuz Lezzet, Yenişehir (Çiftlikköy Mah.)</t>
  </si>
  <si>
    <t>HAMDİ BEY/5550222053</t>
  </si>
  <si>
    <t>Çiftlikköy Mah., 3257. Sok., No:1-1, Yenişehir, Mersin, Türkiye</t>
  </si>
  <si>
    <t>Selma Sarı        03243369237</t>
  </si>
  <si>
    <t>Akdeniz	Üçocak</t>
  </si>
  <si>
    <t>Ahmet Özgişi        3242375612</t>
  </si>
  <si>
    <t>Akdeniz	İhsaniye</t>
  </si>
  <si>
    <t>Muhammet İlker Kul        5060589688</t>
  </si>
  <si>
    <r>
      <rPr>
        <rFont val="Arial"/>
        <color rgb="FF000000"/>
      </rPr>
      <t xml:space="preserve">Devam Çekimi </t>
    </r>
    <r>
      <rPr>
        <rFont val="Arial"/>
        <color rgb="FF000000"/>
      </rPr>
      <t xml:space="preserve">                </t>
    </r>
    <r>
      <rPr>
        <rFont val="Arial"/>
        <color rgb="FF000000"/>
      </rPr>
      <t>13</t>
    </r>
  </si>
  <si>
    <t>Akdeniz        İhsaniye</t>
  </si>
  <si>
    <t>Eyüp Güner        3243362606</t>
  </si>
  <si>
    <t>Fotoğraf Çekimi Yaptırma İstemediler Fotoğrafları Varmış</t>
  </si>
  <si>
    <t>Alper Bey 5422505422</t>
  </si>
  <si>
    <t>akdeniz/mesudiye</t>
  </si>
  <si>
    <t>deniz bey/5384111733</t>
  </si>
  <si>
    <t>iptal yerine</t>
  </si>
  <si>
    <t>Hacer Dinçbay Cura        5326714792</t>
  </si>
  <si>
    <t>Yenişehir	Limonluk</t>
  </si>
  <si>
    <t>Nuray Demiryürek Güreş / 3243251464</t>
  </si>
  <si>
    <t>60490b6c17e424d4110e2c10</t>
  </si>
  <si>
    <t>Mersin King Kebap, Yenişehir (İnönü Mah.)</t>
  </si>
  <si>
    <t>Yenişehir        İnönü</t>
  </si>
  <si>
    <t>Mehmet Zülfi Bakar        5538936221</t>
  </si>
  <si>
    <t>İnönü Mah.1406 Sokak Çınar Apt.No/15-A Yenişehir,Mersin</t>
  </si>
  <si>
    <t>hülya /3242390979</t>
  </si>
  <si>
    <t>mezitli/merkez</t>
  </si>
  <si>
    <t>ahmet bey/3249337213</t>
  </si>
  <si>
    <t>606614bd251ddd4ebc54be46</t>
  </si>
  <si>
    <t>Midyeci Kadir, Mezitli (Merkez Mah.)</t>
  </si>
  <si>
    <t>Tuğba Kuşkıran	5305732374</t>
  </si>
  <si>
    <t>Merkez Mah.Vatan Cad.No/11-A Mezitli,Mersin</t>
  </si>
  <si>
    <t>12.00</t>
  </si>
  <si>
    <t>Tarsus/Yeni Ömerli</t>
  </si>
  <si>
    <t>Gökhan Yaygan/05379138612</t>
  </si>
  <si>
    <t>14.00</t>
  </si>
  <si>
    <t>Tarsus/Anıt</t>
  </si>
  <si>
    <t>Hasan Günay/3246145400</t>
  </si>
  <si>
    <t>Mutfağı ufak bir tadilata giriyor ekipman değişikliği yapacaklar numara bırakıldı kendisi dönüş sağlayacak.</t>
  </si>
  <si>
    <t>Tarsus/Yeni</t>
  </si>
  <si>
    <t>Recep İÇEN/5335177733</t>
  </si>
  <si>
    <t>6019292944f8b478039bfdda</t>
  </si>
  <si>
    <t>1991 Tarihi Ortaköy Kumpircisi, Tarsus (Yeni Ömerli Mah.)</t>
  </si>
  <si>
    <t>Saadet Biçer/5436782569</t>
  </si>
  <si>
    <t>yeni ömerli mah.  4112. sk eliyeşil apt. A blok 2/E</t>
  </si>
  <si>
    <t>Tarsus/Şehitmustafa</t>
  </si>
  <si>
    <t>Yücel Kaplan/3246241717</t>
  </si>
  <si>
    <t>Tarsus/Altaylılar</t>
  </si>
  <si>
    <t>Asım Turgut/5387494964</t>
  </si>
  <si>
    <t>Tarsus	/Ergenekon</t>
  </si>
  <si>
    <t>Hayri Karakoç	/3246259393</t>
  </si>
  <si>
    <t>Ergenekon Mah.Fatih Sultan Mehmet Bulvarı No/37-C Tarsus</t>
  </si>
  <si>
    <t>Yenişehir/Bahçelievler</t>
  </si>
  <si>
    <t>Tolga Pancar/5333183370</t>
  </si>
  <si>
    <t>Ömer Aykol/5536407843</t>
  </si>
  <si>
    <t>604768ea89a2c514dc7dd392</t>
  </si>
  <si>
    <t>Ciğerci Doğan, Yenişehir (Hürriyet Mah.)</t>
  </si>
  <si>
    <t>Erkan Özgişi/5346909173</t>
  </si>
  <si>
    <t>Hürriyet Mah.Hüseyin Okan Merzeci Bulvarı No/450-A Yenişehir,Mersin</t>
  </si>
  <si>
    <t xml:space="preserve">RANDEVU ALINMAYACAK </t>
  </si>
  <si>
    <t>şura Özcan</t>
  </si>
  <si>
    <t>602563732e6b65c38fa630d8</t>
  </si>
  <si>
    <t>Ahmet Tantuni, Tarsus (Şehitmustafa Mah.)</t>
  </si>
  <si>
    <t>tarsus/Şehitmustafa</t>
  </si>
  <si>
    <t>ahmet bey/5353718645</t>
  </si>
  <si>
    <t>Şehitmustafa Mah.Cengiz Topel Cad.No/4-201 Tarsus,Mersin</t>
  </si>
  <si>
    <t>60257c5ce70cee2710b90497</t>
  </si>
  <si>
    <t>Köftehane Çiğ Köftecisi, Tarsus (Çağlayan Mah.-Şelale Cad.)</t>
  </si>
  <si>
    <t>tarsus/çağlayan</t>
  </si>
  <si>
    <t>yakup bey/5447396645</t>
  </si>
  <si>
    <t>Çağlayan Mah.Şelale Cad.No/13-C Tarsus,Mersin</t>
  </si>
  <si>
    <t>6001d43d3368d61ed7eaadfb</t>
  </si>
  <si>
    <t>Royal Cafe &amp; Patisserie, Tarsus (Altaylılar Mah.-Ülküköy)</t>
  </si>
  <si>
    <t>tarsus/altaylılar</t>
  </si>
  <si>
    <t>cihan bey/5523000723</t>
  </si>
  <si>
    <t>Altaylılar Mah.Turan Cad.No/7-2 A Tarsus,Mersin</t>
  </si>
  <si>
    <t>tarsus/gaziler</t>
  </si>
  <si>
    <t>neriman hanım/3246266062</t>
  </si>
  <si>
    <t>gaziler mahallesi atatürk caddesino:33 tarsus/mersin(yağmur züccaciye bitişiği)</t>
  </si>
  <si>
    <t>Ümit Kısacık	5323613354</t>
  </si>
  <si>
    <t>Tarsus/Şehitler Tepesi</t>
  </si>
  <si>
    <t>Burhan Dal/3246255255</t>
  </si>
  <si>
    <t>Yusuf Özen/3246261199</t>
  </si>
  <si>
    <t>Randevu istemiyor sürekli arandığım için kabul ettim ama gerek duymuyorum der.</t>
  </si>
  <si>
    <t>İsmail Çopur/3245033303</t>
  </si>
  <si>
    <t xml:space="preserve">programda degisiklik oldu randevu alabilirsiniz </t>
  </si>
  <si>
    <t>yenişehir/güveneveler</t>
  </si>
  <si>
    <t>hatice hanım/5541921243</t>
  </si>
  <si>
    <t>DEVAM ÇEKİMİ İSTEMİYOR...... !!! Görüşüldü</t>
  </si>
  <si>
    <t>yenişehir/palmiye</t>
  </si>
  <si>
    <t>oğuzhan bey/05358224784</t>
  </si>
  <si>
    <t>akdeniz/çankaya</t>
  </si>
  <si>
    <t>ayfer hanım/5539577441</t>
  </si>
  <si>
    <t>Ürün Azlığından ve ramazandan dolayı bayram sonrası çekim istedi ve sabah 10:00 da çekim istiyor.</t>
  </si>
  <si>
    <t>Tarsus ilçesinden alınıyorsa en az 4-5 randevu alınacak!!!!</t>
  </si>
  <si>
    <t>İsmail Turan/3243292920</t>
  </si>
  <si>
    <t>Tuncay Makal/5362955137</t>
  </si>
  <si>
    <t>606618ded7217479a71c1a98</t>
  </si>
  <si>
    <t>Kerebiççi Hayri Usta, Yenişehir (Güvenevler Mah.)</t>
  </si>
  <si>
    <t>Hakan Tosunoğlu/5077775591</t>
  </si>
  <si>
    <t>Güvenevler Mah.G.M.K Bulvarı No/367-C Yenişehir,Mersin</t>
  </si>
  <si>
    <t>Yenişehir	/Gazi</t>
  </si>
  <si>
    <t>Orçun Solunoğlu/3243256242</t>
  </si>
  <si>
    <t>606ca2abccecbb815a0daf65</t>
  </si>
  <si>
    <t>hüseyin Bey/5417842903</t>
  </si>
  <si>
    <t>Alican Bey / 5527784702</t>
  </si>
  <si>
    <t>Hüseyin Bey / 5417842903</t>
  </si>
  <si>
    <t>şura özcan</t>
  </si>
  <si>
    <t>yenişehir/Güvenevler</t>
  </si>
  <si>
    <t>halil bey/3243280108</t>
  </si>
  <si>
    <t>Yenişehir İnönü</t>
  </si>
  <si>
    <t>3243260909 Yunus Akdemir</t>
  </si>
  <si>
    <t>randevu alinmayacak</t>
  </si>
  <si>
    <t>Daha Önce Çekimi Yapıldı.....!!! Devam Çekimi de Yok...!!!</t>
  </si>
  <si>
    <t>60463650075e9b40ddb5a175</t>
  </si>
  <si>
    <t>Bizim Köşe Lokantası,Tarsus (Yeşilyurt Mah.)</t>
  </si>
  <si>
    <t>Tarsus/Yeşilyurt</t>
  </si>
  <si>
    <t>Servet Dağ/3246143535</t>
  </si>
  <si>
    <t>Yeşilyurt Mah.Yavuz Donat Bulvarı No/34-A Tarsus,Mersin</t>
  </si>
  <si>
    <t>Başka Randevu Alınmayacak!!!!!</t>
  </si>
  <si>
    <t>Mahsum Ceylan  / 3243288383</t>
  </si>
  <si>
    <t>Zeyni Ceylan / 3243288585</t>
  </si>
  <si>
    <t xml:space="preserve">Mezitli / Fatih </t>
  </si>
  <si>
    <t>ERcan Bey / 3243255339</t>
  </si>
  <si>
    <t>Derya Taş	5422540924</t>
  </si>
  <si>
    <t>Yenişehir	Palmiye</t>
  </si>
  <si>
    <t>Turan Oğur        3243262631</t>
  </si>
  <si>
    <t>Zehra Belge        5315541881</t>
  </si>
  <si>
    <t>6048e0ef9756a09811da9f12</t>
  </si>
  <si>
    <t>Gel-Tat Kebap &amp; Tantuni Salonu, Akdeniz (Mahmudiye Mah.)</t>
  </si>
  <si>
    <t>60661b5f55a700249cacd7d5</t>
  </si>
  <si>
    <t>Kerebiççi Hayri Usta, Akdeniz (Kiremithane Mah.)</t>
  </si>
  <si>
    <t>Toroslar	Mustafa Kemal</t>
  </si>
  <si>
    <t>Ferhat Erenkara	5051523356</t>
  </si>
  <si>
    <t>Yenişehir	Pirireis</t>
  </si>
  <si>
    <t>Doğan Sakar	5550540510</t>
  </si>
  <si>
    <t>çetin bey 5325147247   3245021430</t>
  </si>
  <si>
    <t>10:00</t>
  </si>
  <si>
    <t>yenişehir/menteş</t>
  </si>
  <si>
    <t>rıdvan bey/5445201788</t>
  </si>
  <si>
    <t>yenişehir/hürriyet</t>
  </si>
  <si>
    <t>özkan bey/3243250233</t>
  </si>
  <si>
    <t>yenişehir/Bahçelievler</t>
  </si>
  <si>
    <t>yusuf bey/3243274269</t>
  </si>
  <si>
    <t>yenişehir/inönü</t>
  </si>
  <si>
    <t>burak bey/5546945245</t>
  </si>
  <si>
    <t>10:30</t>
  </si>
  <si>
    <t>yenişehir/bahçelievler</t>
  </si>
  <si>
    <t>zöhre hanım/3243259592</t>
  </si>
  <si>
    <t>6086b74a0b0fe7568fbd55a8</t>
  </si>
  <si>
    <t>Sedir Kuru Kahve, Yenişehir (Hürriyet Mah.)</t>
  </si>
  <si>
    <t>ibrahim bey/5061334319</t>
  </si>
  <si>
    <t>Hürriyet Mah.1726 Sokak No/21-A Yenişehir,Mersin</t>
  </si>
  <si>
    <t>606842a20a774fc9c48ed28d</t>
  </si>
  <si>
    <t>Mis-tat Tantuni, Yenişehir (İnönü Mah.)</t>
  </si>
  <si>
    <t>Umut Can Demir	5510670485</t>
  </si>
  <si>
    <t>İnönü Mah.1404 Sokak No/22-A Yenişehir,Mersin</t>
  </si>
  <si>
    <t>6087028dae73ef4ebe60893b</t>
  </si>
  <si>
    <t>Florida Restaurant, Yenişehir (Dumlupınar Mah.)</t>
  </si>
  <si>
    <t>yenişehir/dumlupınar</t>
  </si>
  <si>
    <t>zeynep hanım/3244201858</t>
  </si>
  <si>
    <t>Dumlupınar Mah.Dumlupınar Cad.No/4-A Yenişehir,Mersin</t>
  </si>
  <si>
    <t>Yaren Hanım / 5512675209</t>
  </si>
  <si>
    <t>RANDEVU ALINMAYACAK''''''</t>
  </si>
  <si>
    <t>10.00</t>
  </si>
  <si>
    <t>yenişehir/barbaros</t>
  </si>
  <si>
    <t>nuray hanım/3249995066</t>
  </si>
  <si>
    <t>pınar hanım/3243277069</t>
  </si>
  <si>
    <t>eldeki fotoları atacaklar mail adresi atılcak</t>
  </si>
  <si>
    <t>608fb9320be4bdee70cda5be</t>
  </si>
  <si>
    <t>Pandaviç, Yenişehir (Güvenevler Mah.)</t>
  </si>
  <si>
    <t>Yenişehi/Güvenevler</t>
  </si>
  <si>
    <t>Ümit Eymen Gizli/5531192838</t>
  </si>
  <si>
    <t>Güvenevler Mah.1912 Sokak No/26-A Yenişehir,Mersin</t>
  </si>
  <si>
    <t>çekimi kendi yapıcakmış takrar randevu istemiyor</t>
  </si>
  <si>
    <t>6083ea2a2590ce840622f8eb</t>
  </si>
  <si>
    <t>Ferhat Usta Tantuni &amp; Döner, Yenişehir (Bahçelievler Mah.)</t>
  </si>
  <si>
    <t>zeynep hanım/5538926233</t>
  </si>
  <si>
    <t>Bahçelievler Mah.1.Cadde No/104-A Yenişehir,Mersin</t>
  </si>
  <si>
    <t>fotoğrafçının işi bitmediği için iptali geldi numara verildi.</t>
  </si>
  <si>
    <t>Ufuk Bey/5079890280</t>
  </si>
  <si>
    <t xml:space="preserve"> saat tam 11.30da gelsin gecikmesin diyor/ adres yeni adliye karşısı</t>
  </si>
  <si>
    <t>Akdeniz/Mahmudiye</t>
  </si>
  <si>
    <t>Ziya Bey/3243367465</t>
  </si>
  <si>
    <t>Akdeniz/Yeni</t>
  </si>
  <si>
    <t>Murat Bey/5079928631</t>
  </si>
  <si>
    <t>6079a857910804037b20cad7</t>
  </si>
  <si>
    <t>Dokuz Dondurma, Yenişehir (İnönü Mah.)</t>
  </si>
  <si>
    <t>Yenişehir/ inönü</t>
  </si>
  <si>
    <t>Emre Orhan/3244226979//5396219332</t>
  </si>
  <si>
    <t>İnönü Mah.1401 Sokak No/1-A Yenişehir,Mersin</t>
  </si>
  <si>
    <t>tarihi yanlış anlamış cuma günü aranıp randevu oluşturulacak</t>
  </si>
  <si>
    <t>60a63dbe443be60cf9080c42</t>
  </si>
  <si>
    <t>Meşhur Sarıyer Börekçisi, Akdeniz (Çankaya Mah.)</t>
  </si>
  <si>
    <t>Mehmet Bey/5446787796</t>
  </si>
  <si>
    <t>Çankaya Mah.İstiklal Cad.No/72 Akdeniz,Mersin</t>
  </si>
  <si>
    <t>ADRES: NO:70A MERSİN BÜYÜKŞEHİR BELEDİYE HİZMET BİNASI KARŞISINDA</t>
  </si>
  <si>
    <t>ramazan ertan/03243370553</t>
  </si>
  <si>
    <t>Akdeniz/ Yeni</t>
  </si>
  <si>
    <t>Sultan Ünal	3243225004</t>
  </si>
  <si>
    <t>Buşra Erkol	5301560633</t>
  </si>
  <si>
    <t>60785dfac298af225692f795</t>
  </si>
  <si>
    <t>Uğur Dürüm, Akdeniz (İhsaniye Mah.)</t>
  </si>
  <si>
    <t>Zeynel Aysen/5541743735</t>
  </si>
  <si>
    <t>İhsaniye Mah.4903 Sokak No/20 Akdeniz,Mersin</t>
  </si>
  <si>
    <t>Seyhan Bey/5334160006</t>
  </si>
  <si>
    <t>Akdeniz/Mesudiye</t>
  </si>
  <si>
    <t>Şükrü Erdoğan/3242338202</t>
  </si>
  <si>
    <t>6030906e6a39b5862f6e1dbd</t>
  </si>
  <si>
    <t>Yandım Usta Çiğköfte, Akdeniz (İhsaniye Mah.-Merkez.)</t>
  </si>
  <si>
    <t>Murat bey /5065587424</t>
  </si>
  <si>
    <t>İhsaniye Mah.Kuvayi Milliye Cad.No/38 Akdeniz,Mersin</t>
  </si>
  <si>
    <t>60a2ae97d0dd4911b6ab1a93</t>
  </si>
  <si>
    <t>Marka Tantuni &amp; Döner Salonu, Akdeniz (Karaduvar Mah.)</t>
  </si>
  <si>
    <t>Akdeniz/Karaduvar</t>
  </si>
  <si>
    <t>Cudi Ciliz	/5434611063</t>
  </si>
  <si>
    <t>Karaduvar Mah.Dumlupınar Cad.N0/196-A Akdeniz,Mersin</t>
  </si>
  <si>
    <t>RANDEVU ALINMAYACAK!!!!</t>
  </si>
  <si>
    <t>akdeniz/nusratiye</t>
  </si>
  <si>
    <t>ali bey/5533327048</t>
  </si>
  <si>
    <t>Ürün fazlalığı nedeniyle ertelendi cuma gününe</t>
  </si>
  <si>
    <t>Osman Tezel/3243363071</t>
  </si>
  <si>
    <t>Esra Hanım/3242312315</t>
  </si>
  <si>
    <t>Çankaya Mah.İsmet İnönü Bulvarı No/18 Akdeniz,Mersin</t>
  </si>
  <si>
    <t>Uğur Navruz        3243255802</t>
  </si>
  <si>
    <t>ayın 7si ertelenme alındı</t>
  </si>
  <si>
    <t>haziran 3 saat 14.00 alındı</t>
  </si>
  <si>
    <t>haziran 3 saat 16.00</t>
  </si>
  <si>
    <t>Toroslar/Çopurlu</t>
  </si>
  <si>
    <t>Ahmet Bey/5524072874</t>
  </si>
  <si>
    <t>ÇEKİMİ İSTEMİYOR KENDİM ÇEKİP GÖNDERECEĞİM</t>
  </si>
  <si>
    <t>toroslar/çukurova</t>
  </si>
  <si>
    <t>engin bey/3243240303</t>
  </si>
  <si>
    <t>60661d62e623c598c1a6d593</t>
  </si>
  <si>
    <t>Çadır Ocakbaşı Restaurant, Toroslar (Çukurova Mah.)</t>
  </si>
  <si>
    <t>toroslar/Karaisalı</t>
  </si>
  <si>
    <t>adnan bey/5527545462</t>
  </si>
  <si>
    <t>Çukurova Mah.Akbelen Bulvarı No/224-B Toroslar,Mersin</t>
  </si>
  <si>
    <t>Adem bey 553 826 16 99   3243369237</t>
  </si>
  <si>
    <t>Köksal bey 532 361 30 91    3242326067</t>
  </si>
  <si>
    <t>Yenişehir/Akkent</t>
  </si>
  <si>
    <t>Şükrü Yalman/5459630821</t>
  </si>
  <si>
    <t>Nalan Hanım/5366224080</t>
  </si>
  <si>
    <t>Şahin Kış/3243610272</t>
  </si>
  <si>
    <t>yoğunluktan dolayı ileri tarihe</t>
  </si>
  <si>
    <t>Sezer uzun/5422505422</t>
  </si>
  <si>
    <t>Ali Kaya/5384175465</t>
  </si>
  <si>
    <t>Metehan bey /5306125344</t>
  </si>
  <si>
    <t>gelmeden önce bilgilendirilsin</t>
  </si>
  <si>
    <t>RANDEVU ALINMYACAK!!!</t>
  </si>
  <si>
    <t>Ulaş Heval Gevez  3242383552</t>
  </si>
  <si>
    <t>Akdeniz	Bahçe</t>
  </si>
  <si>
    <t>Nihat bey 506 855 08 11 -</t>
  </si>
  <si>
    <t>Uğur Kaplan/5514477760</t>
  </si>
  <si>
    <t>şuanlık düşünmüyorum dedi</t>
  </si>
  <si>
    <t>Akdeniz/ cami şerif</t>
  </si>
  <si>
    <t>Faruk Sarica/5367188818</t>
  </si>
  <si>
    <t>Mustafa Çelenk/5324050690</t>
  </si>
  <si>
    <t>İbrahim Burak Etiler/5416014088</t>
  </si>
  <si>
    <t>Fatih Şentürk/5079527788</t>
  </si>
  <si>
    <t>09:00</t>
  </si>
  <si>
    <t>akdeniz/evren</t>
  </si>
  <si>
    <t>Engin Kahraman/5396419920</t>
  </si>
  <si>
    <t>karacailyas evren mahallesi atatürk bulvarı numara 19</t>
  </si>
  <si>
    <t>6026be358474c4467338b4d2</t>
  </si>
  <si>
    <t>Göksel Ekstra, Yenişehir (Limonluk Mah.)</t>
  </si>
  <si>
    <t>Yenişehir / Limonluk</t>
  </si>
  <si>
    <t>Halil Bey / 5333192472</t>
  </si>
  <si>
    <t>Limonluk Mah.İsmet İnönü Bulvarı No/314-B Yenişehir,Mersin</t>
  </si>
  <si>
    <t>sistemden çıkabilirlermiş kendisi dönüş sağlayacak eğer çıkmazsa</t>
  </si>
  <si>
    <t>Faruk Bey  532 493 95 33    3244732011</t>
  </si>
  <si>
    <t>Erol Bey / 5394928247</t>
  </si>
  <si>
    <t>Taner Bey / 5378455050</t>
  </si>
  <si>
    <t>Pınar Hanım / 5544947069</t>
  </si>
  <si>
    <t>Aynur Fatma Gür        5323018257</t>
  </si>
  <si>
    <t>teyit için arand açmadı</t>
  </si>
  <si>
    <t>Mehmet Bey / 5388823148</t>
  </si>
  <si>
    <t>16DAN SONRA RANDEVU OLUŞTURULMAYACAK!!!!</t>
  </si>
  <si>
    <t>14'ten sonra randevu oluşturulmayacak!!!!</t>
  </si>
  <si>
    <t>Yenişehir Limonluk</t>
  </si>
  <si>
    <t>Yeliz Hanım / 5531254404</t>
  </si>
  <si>
    <t>Mehmet Reşit Bey / 5523854963</t>
  </si>
  <si>
    <t>Hürriyet Mah.1.Cadde eroğlu apt. no:64/C  Yenişehir,Mersin</t>
  </si>
  <si>
    <t>kendi fotoğrafları varmış onları yollayacak kabul görmzse tekrar randevu oluşturulacak</t>
  </si>
  <si>
    <t>6054f868dedd7802246b9908</t>
  </si>
  <si>
    <t>Cangusto Gurme, Yenişehir (Menteş Mah.)</t>
  </si>
  <si>
    <t>Bilal Can 5372178023</t>
  </si>
  <si>
    <t>Menteş Mah.Hüseyin Okan Merzeci Bulvarı No/574-C Yenişehir,Mersin</t>
  </si>
  <si>
    <t>Yalçın Bey / 5355753871</t>
  </si>
  <si>
    <t>İnönüMaH. Kushimoto Sok. 1405. Sk. No:25, 33130 Yenişehir/Mersin</t>
  </si>
  <si>
    <t>FOTOĞRARÇI HASTALANDI PAZARTESİ SAAT 11E ERTELENDİ</t>
  </si>
  <si>
    <t>Musa Anter Özçelik 5424319445</t>
  </si>
  <si>
    <t>FOTOĞRARÇI HASTALANDI PAZARTESİ SAAT 14E ERTELENDİ</t>
  </si>
  <si>
    <t>Yenişehir /  50. Yıl</t>
  </si>
  <si>
    <t>Emir Gündüz / 3245032323</t>
  </si>
  <si>
    <t>FOTOĞRARÇI HASTALANDI PAZARTESİ SAAT  16:00 ERTELENDİ</t>
  </si>
  <si>
    <t xml:space="preserve">Yenişehir / Güvenevler </t>
  </si>
  <si>
    <t>Yusuf Bey / 5527983313</t>
  </si>
  <si>
    <t>FOTOĞRARÇI HASTALANDI PAZARTESİ SAAT  17:30 ERTELENDİ</t>
  </si>
  <si>
    <t>Toroslar / Çağdaşkent</t>
  </si>
  <si>
    <t>Yafes Bey / 5071651406</t>
  </si>
  <si>
    <t>teyit edildi çekim gerçekleşti</t>
  </si>
  <si>
    <t>Sevgi Şahin//5078378085//5362909429</t>
  </si>
  <si>
    <t>14.30</t>
  </si>
  <si>
    <t>Toroslar	Hüseyin Okan Merzeci</t>
  </si>
  <si>
    <t>Ziver demir /5377039429</t>
  </si>
  <si>
    <t>60b6057ce603336ea9b64f63</t>
  </si>
  <si>
    <t>Güvenç Kokoreç &amp; Midye, Toroslar (Çavuşlu Mah.)</t>
  </si>
  <si>
    <t>Toroslar/Çukurova</t>
  </si>
  <si>
    <t>Mehmet Duran Güvenç/5436333233</t>
  </si>
  <si>
    <t>Çavuşlu Mah.Gözne Cad.No/152 Toroslar,Mersin</t>
  </si>
  <si>
    <t>teyit için arandı teyit gerçekleşcek//devam çekimi istiyor haftaya saat 1.30 gibi alındı</t>
  </si>
  <si>
    <t>teyit için arandı teyit gerçekleşcek//gerçekleşti</t>
  </si>
  <si>
    <t>60c46e88cebf535eeeaf859c</t>
  </si>
  <si>
    <t>Adıyamanlı Çiğköfteci Ali Baba, Yenişehir (İnönü Mah.)</t>
  </si>
  <si>
    <t xml:space="preserve">yenişehir/inönü </t>
  </si>
  <si>
    <t>Eşref Onur/5538992175</t>
  </si>
  <si>
    <t>İnönü Mah.1403 Sokak No/5-C Yenişehir,Mersin</t>
  </si>
  <si>
    <t>kamil can bey/0535 282 46 43 //3243273131</t>
  </si>
  <si>
    <t>Serdal Müslüm Emlek        3243610121</t>
  </si>
  <si>
    <t>teyit için arandı çekim gerçekleşecek.</t>
  </si>
  <si>
    <t>60d2ea980190be30d817674a</t>
  </si>
  <si>
    <t>Pacchetto Cafe, Yenişehir (İnönü Mah.)</t>
  </si>
  <si>
    <t>Hüda Bilen        3243271020</t>
  </si>
  <si>
    <t>İnönü Mah.1403 Sokak No/20-B Yenişehir,Mersin</t>
  </si>
  <si>
    <t>ürünleri daha rahat hazırlayabilmeleri için 29 Temmuz Perşembe gününe erteleme yapıldı.</t>
  </si>
  <si>
    <t>60ca3a560c1c0d3334deb14d</t>
  </si>
  <si>
    <t>Cadde 38 Tantuni &amp; Biftek, Yenişehir (Menteş Mah.)</t>
  </si>
  <si>
    <t>Yenişehir        Menteş</t>
  </si>
  <si>
    <t>Gamze Yükkol        5339735338</t>
  </si>
  <si>
    <t>Menteş Mah.38.Cadde No/49-A Yenişehir,Mersin</t>
  </si>
  <si>
    <t>teyit için arandı çekime gidilecek.</t>
  </si>
  <si>
    <t>yenişehir / çiftlikkoy</t>
  </si>
  <si>
    <t>yakup bey/ 05307351972</t>
  </si>
  <si>
    <t>teyit için arandı çekime gidilecek. perşembe gününe ertelendi</t>
  </si>
  <si>
    <t>yenişehir / İnönü</t>
  </si>
  <si>
    <t>Kaan bey 05447843313/3244226979</t>
  </si>
  <si>
    <t>"Yenişehir	İnönü"</t>
  </si>
  <si>
    <t>devam çekimi / teyit için arandı çekime gidilecek.</t>
  </si>
  <si>
    <t>Mezitli/ Fatih</t>
  </si>
  <si>
    <t>izel hanım/5302203280</t>
  </si>
  <si>
    <t>Mezitli/ yeni</t>
  </si>
  <si>
    <t>Abit Mesut Hakverdi 5539530733</t>
  </si>
  <si>
    <t>20:00</t>
  </si>
  <si>
    <t>Mezitli/ Yeni</t>
  </si>
  <si>
    <t>Cevher bey 5302656333/3243594033</t>
  </si>
  <si>
    <t>Ulaş Heval Gevez        3242383552/5398402354</t>
  </si>
  <si>
    <t>Yoğun oldukları için randevu iptali gerçekleşti. Hatem Hanımın numarası verildi müsait olduklarında tekrar randevu oluşturmak için dönüş sağlayacaklar.</t>
  </si>
  <si>
    <t>Leman Uyanık	5362117079</t>
  </si>
  <si>
    <t>teyit için arandı açmadı.</t>
  </si>
  <si>
    <t>60c12e0c892c431dada827f8</t>
  </si>
  <si>
    <t>Gözde Tantuni, Akdeniz (İhsaniye Mah.)</t>
  </si>
  <si>
    <t>Oktay Üstüner	3243364444/5332452206</t>
  </si>
  <si>
    <t>Faruk Sarica	5367188818</t>
  </si>
  <si>
    <t>Saat 19:00 randevusunun notlarına bakılması ricadır.</t>
  </si>
  <si>
    <t>Akdeniz/Kiremithane</t>
  </si>
  <si>
    <t>Ömer Yusuf Cici/3242371188</t>
  </si>
  <si>
    <t>Akdeniz/Kültür</t>
  </si>
  <si>
    <t>abdulkadir bey 3242385251</t>
  </si>
  <si>
    <t>Bahadır Bey/5306689053-3242312315</t>
  </si>
  <si>
    <t>6022e61c394d731f9d15c4d7</t>
  </si>
  <si>
    <t>Tarihi Antep Çiğ Köfte, Akdeniz (Turgutreis Mah.)</t>
  </si>
  <si>
    <t>Aydemir Bey/5491009909</t>
  </si>
  <si>
    <t>Turgutreis Mah.Silifke Cad.No/150-A Akdeniz,Mersin</t>
  </si>
  <si>
    <t>Murat Akbal/3242390979</t>
  </si>
  <si>
    <t>19:00</t>
  </si>
  <si>
    <t>Akdeniz/Bahçe</t>
  </si>
  <si>
    <t>Soner Bey/5427737328</t>
  </si>
  <si>
    <t>Bahçe Mah.İstiklal Cad.Atlıhan Oteli bitişiği No/138-A Akdeniz,Mersin</t>
  </si>
  <si>
    <t>İlk çekimlere Aykut Gülaslan gitmiş begenmemiş kendisi ilgilenecek en baştan çekim yaptıracak exstra özen göstermenizi rica ediyorum.. Teşekkürler.</t>
  </si>
  <si>
    <t>Hayri Bey / 5432326271</t>
  </si>
  <si>
    <t>Toroslar/Yusuf Kılıç</t>
  </si>
  <si>
    <t>Ahmet bey 5350589707</t>
  </si>
  <si>
    <t>Toroslar/çağdaşkent</t>
  </si>
  <si>
    <t>Merve hanım :5367997163</t>
  </si>
  <si>
    <t>60e49cd147f9fc2f0170f8e2</t>
  </si>
  <si>
    <t>Çıtır Patisserie, Toroslar (Selçuklar Mah.)</t>
  </si>
  <si>
    <t>Toroslar/Selçuklar</t>
  </si>
  <si>
    <t>Mehmet bey 5372786506</t>
  </si>
  <si>
    <t>Selçuklar Mah.211.Cad No/79-D Toroslar,Mersin</t>
  </si>
  <si>
    <t>Yiğitcan bey :5526903344</t>
  </si>
  <si>
    <t>ileride randevu alınacak.</t>
  </si>
  <si>
    <t>08:30</t>
  </si>
  <si>
    <t>devam çekimi//Teyit için arandı çekim yapılacak</t>
  </si>
  <si>
    <t>Mertcan</t>
  </si>
  <si>
    <t>Murat Kılıç        5435575157</t>
  </si>
  <si>
    <t>Teyit için arandı çekim yapılacak</t>
  </si>
  <si>
    <t>07:00</t>
  </si>
  <si>
    <t>Yusuf Bey / 5530122164</t>
  </si>
  <si>
    <t>Güvenevler Mah.Pınar Cad.Doğan Yıldız İş Merkezi No: 20/A Yenişehir,Mersin</t>
  </si>
  <si>
    <t>60bfb81e50b70f173f3771b3</t>
  </si>
  <si>
    <t>Akgün Döner &amp; İskender, Mezitli (Viranşehir Mah.)</t>
  </si>
  <si>
    <t>Mezitli/viranşehir</t>
  </si>
  <si>
    <t>Murat bey:5455453347</t>
  </si>
  <si>
    <t>Viranşehir Mah.Viranşehir Cad.No/36-B Mezitli,Mersin</t>
  </si>
  <si>
    <t xml:space="preserve"> ibris bey 5536232451</t>
  </si>
  <si>
    <t>Mahmut bey 5393352575</t>
  </si>
  <si>
    <t>orhan bey 5326310445</t>
  </si>
  <si>
    <t>Kanber Bey / 5340561567</t>
  </si>
  <si>
    <t>26.08.2021 tarihine ertelendi</t>
  </si>
  <si>
    <t>Mustafa Bey / 535 5219966</t>
  </si>
  <si>
    <t>Bilal Bey / 5376182368</t>
  </si>
  <si>
    <t>61069bc27c9dae6cec99012d</t>
  </si>
  <si>
    <t>Cadde Patisserie, Akdeniz (Yeni Mah.)</t>
  </si>
  <si>
    <t>Akdeniz / Yeni</t>
  </si>
  <si>
    <t>Osman Bey / 5384049263</t>
  </si>
  <si>
    <t>Yeni Mah.5326 Sokak No/12-C Akdeniz,Mersin</t>
  </si>
  <si>
    <t>Yenişehir / Çiflikköy</t>
  </si>
  <si>
    <t>Figen Hanım / 5454987921</t>
  </si>
  <si>
    <t>Naciye Yaşa        5333516590</t>
  </si>
  <si>
    <t>Şefik Gülay yetk Betül  5526992570</t>
  </si>
  <si>
    <t>Yenişehir	Eğriçam</t>
  </si>
  <si>
    <t>Yıldız Rağbetli        5077043854</t>
  </si>
  <si>
    <t>Sinem Ekin Acar        5538875013</t>
  </si>
  <si>
    <t>19:30</t>
  </si>
  <si>
    <t>Aziz Bey / 5516333001/05369436417</t>
  </si>
  <si>
    <t>19:30 randevu notuna bakılsın</t>
  </si>
  <si>
    <t>Hakan Bey /5346660600</t>
  </si>
  <si>
    <t>Ferdi Bey 3243410707</t>
  </si>
  <si>
    <t>60cb9be2550c5d9581a098e5</t>
  </si>
  <si>
    <t>Therapy Cafe &amp; Burger, Yenişehir (Güvenevler Mah.)</t>
  </si>
  <si>
    <t>Mehmet Emin Kabak        5342985727</t>
  </si>
  <si>
    <t>Güvenevler Mah.1923 Sokak No/20-A Yenişehir,Mersin</t>
  </si>
  <si>
    <t xml:space="preserve">61115289ead9f771bee2f062 </t>
  </si>
  <si>
    <t xml:space="preserve">Gönül Kahvesi, Yenişehir (Limonluk Mah.) </t>
  </si>
  <si>
    <t>Cemal Bey / 5343199155</t>
  </si>
  <si>
    <t xml:space="preserve">Limonluk mah. Vali hüseyin aksoy cad. Palm city avm no:132 </t>
  </si>
  <si>
    <t>mail verildi fotoğraf atmış</t>
  </si>
  <si>
    <t xml:space="preserve">Yenişehir / Eğricam </t>
  </si>
  <si>
    <t>pınar tosunoglu /5544947069</t>
  </si>
  <si>
    <t>teyit için arandı çekime gidilecek</t>
  </si>
  <si>
    <t>Lezgin Şiban / 3243583892</t>
  </si>
  <si>
    <t>sahın kıs  3243610272</t>
  </si>
  <si>
    <t>ÇEKİME GİDİLMEDEN ÖNCE MUTLAKA ARANMAK İSTİYORUM DEDİ/teyit için arandı çekime gidilecek</t>
  </si>
  <si>
    <t>08:00</t>
  </si>
  <si>
    <t>Semra Çetintaş        5368464576</t>
  </si>
  <si>
    <t>11:30</t>
  </si>
  <si>
    <t>Zehra Belge  5315541881</t>
  </si>
  <si>
    <t>Şefik Gülay 5526992570</t>
  </si>
  <si>
    <t>Selma Elveren 5537454699/</t>
  </si>
  <si>
    <t>20:30</t>
  </si>
  <si>
    <t>Azat Bey / 3243580583 / 5342322121</t>
  </si>
  <si>
    <t xml:space="preserve"> Sinem Ekin Acar        5538875013-ALİ BEY  05454622286</t>
  </si>
  <si>
    <t>Teyit için arandı çekime gidilecek</t>
  </si>
  <si>
    <t xml:space="preserve">60bfab9faf36eb6929858b46    </t>
  </si>
  <si>
    <t>Canan Başlama   / 5332980612</t>
  </si>
  <si>
    <t>Teyit için arandı açmadı</t>
  </si>
  <si>
    <t>Buşra Erkol        5301560633-05399766306</t>
  </si>
  <si>
    <t>Lezgin Şiban / 3243583892/5303068457</t>
  </si>
  <si>
    <t>02 eylüle ertelendi</t>
  </si>
  <si>
    <t>30 ağustos ertelendi/Teyit için arandı çekime gidilecek</t>
  </si>
  <si>
    <t>ÇEKİME GİDİLMEDEN ÖNCE MUTLAKA ARANMAK İSTİYORUM DEDİ/teyit için arandı çekime gidilecek 30 ağustos ertelendi//Teyit için arandı çekime gidilecek</t>
  </si>
  <si>
    <t>16:30 rand. notuna bakılması ricadır:))</t>
  </si>
  <si>
    <t>Serkan Bey / 5322680678</t>
  </si>
  <si>
    <t>İlk çekime gidilmemiş lütfen gidilsin</t>
  </si>
  <si>
    <t>Yenişehir / İnonü</t>
  </si>
  <si>
    <t>Onur Bey / 5322421375</t>
  </si>
  <si>
    <t>erteleme istemişler aradık yetkili yok.</t>
  </si>
  <si>
    <t>Oktay Bey / 3242320702 / 5453438762</t>
  </si>
  <si>
    <t>erteleme alındı.</t>
  </si>
  <si>
    <t>Yenişehir	Gazi</t>
  </si>
  <si>
    <t>Hasan Sefa Kazan        3249996589-05304963133</t>
  </si>
  <si>
    <t>Ben kendim fotoğraf çektirmeye karar verdim olur da çektiremezsem sizi ararım tekrar der</t>
  </si>
  <si>
    <t>Kalender Albıyık        5512714151-</t>
  </si>
  <si>
    <t>606f40d5a858feae884689a7</t>
  </si>
  <si>
    <t>Sona Patisserie, Yenişehir (Limonluk Mah.)</t>
  </si>
  <si>
    <t>Pelin Atıcı	3243270035-05454525035</t>
  </si>
  <si>
    <t>Limonluk Mah.Vali Hüseyin Aksoy Cad.A Blok No/12-AE Yenişehir,Mersin</t>
  </si>
  <si>
    <t>Getirle anlaşamıyorum sistemden çıkmak istiyorum sistemi açmıyorum o yüzden iptal ettim der</t>
  </si>
  <si>
    <t>609012b9800b496bb1cac4d7</t>
  </si>
  <si>
    <t>Öz Çatı Restaurant, Yenişehir (Bahçelievler Mah.)</t>
  </si>
  <si>
    <t>Yenişehir        Bahçelievler</t>
  </si>
  <si>
    <t>Vedat Budak	3243278403-05325006892</t>
  </si>
  <si>
    <t>Bahçelievler Mah.Hüseyin Okan Merzeci Bulvarı No/523 Yenişehir,Mersin</t>
  </si>
  <si>
    <t>Mezitli alınacak</t>
  </si>
  <si>
    <t>Betül Tekçe        5335293549</t>
  </si>
  <si>
    <t xml:space="preserve">fotografcı isim var gun icerisinde ugrarım dedi yetkili kiside reklamcısıyla aynı gün içerisinde cekim yapacaktı bu cocuk oyuncağı mı dedı istemedi </t>
  </si>
  <si>
    <t>Mezitli	Atatürk</t>
  </si>
  <si>
    <t>Güler Aykurt        3243592639-05377427848</t>
  </si>
  <si>
    <t>ustası yokmus yetistiremem dedi ileri tarihte alınabilir</t>
  </si>
  <si>
    <t>Neşet Bey / 5306123033</t>
  </si>
  <si>
    <t>cenazesi varmış ertelemk istedi. PAzartesiye ertelendi</t>
  </si>
  <si>
    <t>60ffbf78eefc8fbf11488f24</t>
  </si>
  <si>
    <t>Öz Hatay Künefe, Mezitli (Atatürk Mah.)</t>
  </si>
  <si>
    <t>Kader Durmuş        5340778600-05435244700</t>
  </si>
  <si>
    <t>Mezitli	Çankaya</t>
  </si>
  <si>
    <t>Gökhan Gökbudak	5342927466</t>
  </si>
  <si>
    <t>Esra Kılıç        5057587323</t>
  </si>
  <si>
    <t>609136294dac43cfcece135e</t>
  </si>
  <si>
    <t>Atomcu Sadık Usta, Mezitli (75.Yıl Mah.)</t>
  </si>
  <si>
    <t>Ayhan Demir/5346801734</t>
  </si>
  <si>
    <t>ataturk mah gmk bulvarı babıl kavsagı unlu apart  (mezitli babil kavsagı)</t>
  </si>
  <si>
    <t>Muhammet Bozan	3249990809-05531021152</t>
  </si>
  <si>
    <t>Mezitli	Seymenli</t>
  </si>
  <si>
    <t>Şehriban Özdemir	5360306026-05370532124</t>
  </si>
  <si>
    <t>Mustafa Isınlık	3243596161- 05386086742</t>
  </si>
  <si>
    <t>Akdeniz Mah.Gazi Mustafa Kemal Bulvarı /902-D Mezitli,Mersin</t>
  </si>
  <si>
    <t>611b851138259960fcdce150</t>
  </si>
  <si>
    <t>Hakimoğlu Börek, Yenişehir (Güvenevler Mah.)</t>
  </si>
  <si>
    <t>Hakim Bey/5526446327</t>
  </si>
  <si>
    <t>Güvenevler Mah.1917 Sokak No/14-C Yenişehir,Mersin</t>
  </si>
  <si>
    <t>Murat Avcı/5449014858</t>
  </si>
  <si>
    <t>6115670605a3213668295b38</t>
  </si>
  <si>
    <t>Makarna Durağı &amp; Coffee, Yenişehir (İnönü Mah.)</t>
  </si>
  <si>
    <t>Vatan Yılmaz/5532783703</t>
  </si>
  <si>
    <t>İnönü Mah.1401 Sokak No/20-B Yenişehir,Mersin</t>
  </si>
  <si>
    <t>Pınar Hanım/5416262733</t>
  </si>
  <si>
    <t xml:space="preserve">menü güncellemesi yapacak devam degil sıfırdan çekim olacak./teyit araması yapıldı </t>
  </si>
  <si>
    <t>Mehmet Acar/5382509804</t>
  </si>
  <si>
    <t>Şuayp Ekinci/5443451303</t>
  </si>
  <si>
    <t>Erdemli/Kargıpınarı</t>
  </si>
  <si>
    <t>Tolga Büyüksürücü/5340558939</t>
  </si>
  <si>
    <t>hastası varmış</t>
  </si>
  <si>
    <t>Mezitli/Deniz</t>
  </si>
  <si>
    <t xml:space="preserve">Maşallah Değer/5306601033/ </t>
  </si>
  <si>
    <t>fotoğrafçı kaynaklı yarına ertelendi</t>
  </si>
  <si>
    <t>60fbffc0234081e7c4bb4464</t>
  </si>
  <si>
    <t>Severse Döner &amp; Pide Fırnı, Mezitli (Deniz Mah.)</t>
  </si>
  <si>
    <t>Vedat Bey/5367293263</t>
  </si>
  <si>
    <t>Deniz Mah.Gazipaşa Cad.No/109-B Mezitli,Mersin</t>
  </si>
  <si>
    <t>ulaşılamazsa 5449182333 ;/fotoğrafçı kaynaklı yarına ertelendi</t>
  </si>
  <si>
    <t>Muzaffer bey/5055464700--Ali Bey/5372716005</t>
  </si>
  <si>
    <t>Deniz Mah.49304 Sokak Ablok No/8-B Mezitli,Mersin büyükşehir belediyesi otobus terminali karşısı</t>
  </si>
  <si>
    <t>60800148892b860e3da444e3</t>
  </si>
  <si>
    <t>Tece Tantuni Restoran, Mezitli (Tece Mah.)</t>
  </si>
  <si>
    <t>Mezitli/Seymenli</t>
  </si>
  <si>
    <t>Burak Yıldız/5319338246</t>
  </si>
  <si>
    <t>Seymenli Mah.Gazi Mustafa Kemal Bulvarı No/1260/B Mezitli,Mersin</t>
  </si>
  <si>
    <t>palmiye apt. ulaşılamazsa 3244822224/fotoğrafçı kaynaklı yarına ertelendi</t>
  </si>
  <si>
    <t>palmiye apt. ulaşılamazsa 3244822224</t>
  </si>
  <si>
    <t>Mezitli/Tece</t>
  </si>
  <si>
    <t>Gökhan Bey/5436445333</t>
  </si>
  <si>
    <t xml:space="preserve">Tece Mah.Gazi Mustafa Kemal Bulvarı No/324-A Mezitli,Mersin </t>
  </si>
  <si>
    <t>Yol tarifi:Tece Karakolu karşı çarprazı</t>
  </si>
  <si>
    <t>613c529e8ced4da9990adb8a</t>
  </si>
  <si>
    <t>İkra Tantuni &amp; Döner, Mezitli (Viranşehir Mah.)</t>
  </si>
  <si>
    <t>Mezitli/Viranşehir</t>
  </si>
  <si>
    <t>Erman Bey/5386183833</t>
  </si>
  <si>
    <t>Viranşehir Mah.34326 Sokak No/18-D Mezitli,Mersin</t>
  </si>
  <si>
    <t>Randevular 12de başlayacak</t>
  </si>
  <si>
    <t xml:space="preserve">5386086742   3243596161 /mustafa bey </t>
  </si>
  <si>
    <t>fotoğrafçı ulaşamdığı için çekim gerçekleşmedi yarına ertlendi</t>
  </si>
  <si>
    <t>Mahmut Bey/5325461769/3249337314</t>
  </si>
  <si>
    <t>fotoğrafları varmış gönderecekmiş</t>
  </si>
  <si>
    <t>İsmet Hakverdi /  5382565707</t>
  </si>
  <si>
    <t>yarına ertelendi</t>
  </si>
  <si>
    <t>19.30</t>
  </si>
  <si>
    <t>Pelin Berfin Akdeniz/	5340561567</t>
  </si>
  <si>
    <t>cekım saglanılmıs ama sısteme eklenmemıs bu yuzden tekrar cekım  ıstedı/ yarına ertlendi</t>
  </si>
  <si>
    <t>19:30 randevusuna kesin gidilmesini istiyor.. Çok mağdur olmuş</t>
  </si>
  <si>
    <t>Mehmet Bilge/ 3243585862</t>
  </si>
  <si>
    <t xml:space="preserve">Ürünlerimiz bitti o yüzden dedi </t>
  </si>
  <si>
    <t>Saat 09:30 randevusunun notlarına bakılması ricadır :)</t>
  </si>
  <si>
    <t>Mehmet Karaca/5336933301</t>
  </si>
  <si>
    <t>İnönü Mah.1405 Sokak No:16Yenişehir ,Mersin</t>
  </si>
  <si>
    <t>Daha önce çekime Aykut bey gitmiş. Çekimlerden hiç memnun değiller. Sizin profesyonel çekimler yapacagınıza dair, memnun kalacaklarına dair kendilerine bilgi verdik.. Sıfırdan çekim yaptıracak. Ekstra özen göstermenizi rica ederiz..</t>
  </si>
  <si>
    <t>Aydın Güneri/5324383331</t>
  </si>
  <si>
    <t xml:space="preserve">Mahmut Bey/5335947069 </t>
  </si>
  <si>
    <t>613c3db11e1bc77ac5304db2</t>
  </si>
  <si>
    <t>Ekrem Çoşkun Döner, Yenişehir (İnönü Mah.)</t>
  </si>
  <si>
    <t>Zübeyir Bey/5323423265</t>
  </si>
  <si>
    <t>İnönü Mah.G.M.K bulvarı No/387-A Yenişehir,Mersin</t>
  </si>
  <si>
    <t>6144c0b187c8ff122d323056</t>
  </si>
  <si>
    <t>Emre Bey/5326684047/5347840563</t>
  </si>
  <si>
    <t>Hakan Bey/5533916787</t>
  </si>
  <si>
    <t>devam çekimi/yoğunluk olmuş çekilememiş</t>
  </si>
  <si>
    <t>Saat 10:00 ve 17:30 randevusunun notlarına bakılması ricadır..</t>
  </si>
  <si>
    <t>Murat Kılıç/5435575157</t>
  </si>
  <si>
    <t>Daha önce yapılan çekimleri begenmemiş müşterilerden olumsuz geri dönüş alıyorum bu şekilde güzel olmuyor tekrar cekim yapalım sadece porsiyon halinde çekelim dediler. İlk çekim gibi mezelerini çektirmeyecek. daha yakın çekim yapılması ricadır</t>
  </si>
  <si>
    <t>İzzet Bey/5301352731/5423237833</t>
  </si>
  <si>
    <t>Yenişehir/Gazi</t>
  </si>
  <si>
    <t>Sibel Hanım/5327809060</t>
  </si>
  <si>
    <t>Mehmet Bey/5321000333</t>
  </si>
  <si>
    <t>Erol Bey/5394928247</t>
  </si>
  <si>
    <t>Daha önce çekime gidilmemiş haberde verilmemiş. Gidilmeyecekse öncesinde bilgi verilsin lütfen</t>
  </si>
  <si>
    <t>Notlara bakınız lütfen..</t>
  </si>
  <si>
    <t>Ertuğrul Akarçeşme/5350136578</t>
  </si>
  <si>
    <t>kendi çekim ekibi çekim yapacakmış. İki çekim bir arada sağlanacak</t>
  </si>
  <si>
    <t>Zeynep Vafa/5307804533</t>
  </si>
  <si>
    <t>Milli egitimin karşısı gün apartmanı</t>
  </si>
  <si>
    <t>Suphi İçin/5358786091/3243289757</t>
  </si>
  <si>
    <r>
      <rPr>
        <rFont val="Arial"/>
        <color rgb="FF000000"/>
        <sz val="9.0"/>
      </rPr>
      <t xml:space="preserve">Dumlupınar Mah.Dumlupınar </t>
    </r>
    <r>
      <rPr>
        <rFont val="Arial"/>
        <color rgb="FF1155CC"/>
        <sz val="9.0"/>
        <u/>
      </rPr>
      <t>Cad.No/10-B</t>
    </r>
    <r>
      <rPr>
        <rFont val="Arial"/>
        <color rgb="FF000000"/>
        <sz val="9.0"/>
      </rPr>
      <t xml:space="preserve"> Yenişehir,Mersin</t>
    </r>
  </si>
  <si>
    <t>Selma Elveren/5537454699</t>
  </si>
  <si>
    <t>Toroslar/Turunçlu</t>
  </si>
  <si>
    <t xml:space="preserve">Fırat Kaya/5383586787               </t>
  </si>
  <si>
    <t>Toroslar/Yalınayak</t>
  </si>
  <si>
    <t xml:space="preserve">Bülent Uzun/5357711059                </t>
  </si>
  <si>
    <t xml:space="preserve">Necat Gülsoy/5421191333              </t>
  </si>
  <si>
    <t xml:space="preserve">Toroslar/Mithat Toroğlu	</t>
  </si>
  <si>
    <t>hakan bey / 0324) 321 03 03</t>
  </si>
  <si>
    <t>Saat 14:00 randevunun notlarına bakılması ricadır :)</t>
  </si>
  <si>
    <t xml:space="preserve">Yenişehir/Çiftlikköy     </t>
  </si>
  <si>
    <t>canan hanım / 0533 298 06 12</t>
  </si>
  <si>
    <t>ürünü olmadığı için erteleme istedi cumaya ertelendi</t>
  </si>
  <si>
    <t xml:space="preserve">Yenişehir/Çiftlikköy </t>
  </si>
  <si>
    <t>Alper Bey/5422505422/5491091901</t>
  </si>
  <si>
    <t>daha önce üç defa randevu alınmış üçünede gidilmemiş son kez randevu alındı kesinlikle gidilmesi ricadır../yetkili yokmuş çalışanı öyle söyledi kendisine de ulaşılmıyor</t>
  </si>
  <si>
    <t xml:space="preserve">Gül Keleş/3243262658           </t>
  </si>
  <si>
    <t xml:space="preserve">Yenişehir/Limonluk </t>
  </si>
  <si>
    <t>Teoman   /5327945475</t>
  </si>
  <si>
    <t xml:space="preserve">yetkili şehir dışındaymış </t>
  </si>
  <si>
    <t>Mezitli
Yenişehir
Akdeniz</t>
  </si>
  <si>
    <t xml:space="preserve">Dilay Şan/5451230002               </t>
  </si>
  <si>
    <t>6082de1c1cc618736fe38b0f</t>
  </si>
  <si>
    <t>Corner Cafe, Mezitli (Tece Mah.)</t>
  </si>
  <si>
    <t xml:space="preserve">Soner Taş/5319377757                </t>
  </si>
  <si>
    <t>Deniz Mah.49308 Sokak N0/19-A Mezitli,Mersin</t>
  </si>
  <si>
    <t>ustası hasta olmuş bir hafta 10 gün sonra alınacak.</t>
  </si>
  <si>
    <t>Mezitli/Menderes</t>
  </si>
  <si>
    <t xml:space="preserve">Zeynep Erdoğan/3243583737                </t>
  </si>
  <si>
    <t>615be5ea5584c547d6fb891d</t>
  </si>
  <si>
    <t xml:space="preserve">Kader Durmuş        /5346801734                </t>
  </si>
  <si>
    <t>615b4b9f4826e8b8c88a5126</t>
  </si>
  <si>
    <t>Ulaş 33 Tantuni, Mezitli (Merkez Mah.)</t>
  </si>
  <si>
    <t xml:space="preserve">Cengiz Sönmez/5526498664               </t>
  </si>
  <si>
    <t>Merkez Mah.Vatan Cad.No/23-F Mezitli,Mersin</t>
  </si>
  <si>
    <t xml:space="preserve">Fatma Yılmaz/5399220403                </t>
  </si>
  <si>
    <t>Serhat Alkaya/3243575747</t>
  </si>
  <si>
    <t xml:space="preserve">viranşehir mahallesi cengiz topel caddesi 38 GA </t>
  </si>
  <si>
    <t>carfoursa karşısı alanya fırın yanı</t>
  </si>
  <si>
    <t>Mehmet Bey / 5459583648 / 3243365002</t>
  </si>
  <si>
    <t>Akdeniz / Kiremirhane</t>
  </si>
  <si>
    <t>Erkan Bey / 3242371413</t>
  </si>
  <si>
    <t>61616c51b646354f731c2399</t>
  </si>
  <si>
    <t>Uğur Bey / 5541743735</t>
  </si>
  <si>
    <t>Yılmaz Bey / 5355105425</t>
  </si>
  <si>
    <t>12den önce alınmayacak</t>
  </si>
  <si>
    <t xml:space="preserve">Sude Alkan </t>
  </si>
  <si>
    <t>Toroslar/Halkkent</t>
  </si>
  <si>
    <t>Ömer Utku Armut/5510561079</t>
  </si>
  <si>
    <t>Fatma Hanım/5349694452</t>
  </si>
  <si>
    <t>Toroslar/ÇağdaşKent</t>
  </si>
  <si>
    <t>Ahmet Dalkılıç/5335084713</t>
  </si>
  <si>
    <t>Toroslar/Merkez Köyü 1. Bölge</t>
  </si>
  <si>
    <t>Murat Gülsever/5461226066</t>
  </si>
  <si>
    <t>Yenişehir/Güvenevle</t>
  </si>
  <si>
    <t>Güvenevler Mah.18 Cadde 1907 Sokak Özlem Apt.N0/15-A Yenişehir,Mersin</t>
  </si>
  <si>
    <t>Ferhat Bey/5523335717</t>
  </si>
  <si>
    <t>602ff7e85f92724b90869e1e</t>
  </si>
  <si>
    <t>Acıpare Çiğköfte, Yenişehir (Aydınlıkevler Mah.)</t>
  </si>
  <si>
    <t>14:00-16:00</t>
  </si>
  <si>
    <t xml:space="preserve">Yenişehir/Aydınlıkevler </t>
  </si>
  <si>
    <t>Saat 14 ve 16 aralıgında hangi saat uygunsa Hikmet Bey ile işletme yetkilisi karar verecekler./tadilat olacakmış tekrar kendisi iletişime geçecek</t>
  </si>
  <si>
    <t>61289ab77d344d008a5815d7</t>
  </si>
  <si>
    <t>Diyet Kapımda, Yenişehir (Fuat Morel Mah.)</t>
  </si>
  <si>
    <t>Faruk Bey / 5065041634</t>
  </si>
  <si>
    <t>çiflikköy mah. şakir son cad. zeybek apartmanı no 33/ zemin kat</t>
  </si>
  <si>
    <t>Yenişehir/PiriReis</t>
  </si>
  <si>
    <t>Mahsun Ergin/3243252160/5074991321</t>
  </si>
  <si>
    <t>ferhat köksal</t>
  </si>
  <si>
    <t>Mezitli/Yeni</t>
  </si>
  <si>
    <t>Abdullah Bey/5462064633</t>
  </si>
  <si>
    <t>Yenimahalle 33166.Sokak 14/B</t>
  </si>
  <si>
    <r>
      <rPr>
        <rFont val="Arial"/>
        <color rgb="FF000000"/>
      </rPr>
      <t xml:space="preserve">Kaymakamlık karşısı </t>
    </r>
    <r>
      <rPr>
        <rFont val="Arial"/>
        <color rgb="FF1155CC"/>
        <u/>
      </rPr>
      <t>https://getir.com/yemek/restoran/eylul-dondurma-baklava-borek-mezitli-yeni-mah-mezitli-mersin/</t>
    </r>
  </si>
  <si>
    <t>Emre Bey	5304774233</t>
  </si>
  <si>
    <t>Kanber/ 5340561567</t>
  </si>
  <si>
    <t>Pazar</t>
  </si>
  <si>
    <t>Mehmet Reşit Demir/5523854963</t>
  </si>
  <si>
    <t>Ulaş Heval Gevez        3242383552-5398402354</t>
  </si>
  <si>
    <t>Ecevit Kardaş        5357251918</t>
  </si>
  <si>
    <t>Akdeniz	Kiremithane</t>
  </si>
  <si>
    <t>Abdulkerim Orhan	5466653330</t>
  </si>
  <si>
    <t>Zanyar Anık	3242384056- 05452384056</t>
  </si>
  <si>
    <t xml:space="preserve">12-1 arası </t>
  </si>
  <si>
    <t>Şükrü Bey / 5306123033</t>
  </si>
  <si>
    <t>Erman Çolak/5386183833</t>
  </si>
  <si>
    <t xml:space="preserve">Mehmet Koç /5523397446         </t>
  </si>
  <si>
    <t xml:space="preserve">Mezitli/Menderes	</t>
  </si>
  <si>
    <t xml:space="preserve">Hacer Dinçbay Cura/5326714792       </t>
  </si>
  <si>
    <t>Soner Taş/5319377757</t>
  </si>
  <si>
    <t>Mezitli/Kuyuluk</t>
  </si>
  <si>
    <t>Veli Can Çoşan/5305951733</t>
  </si>
  <si>
    <t>Kuyuluk Mah.Fındıkpınarı Cad.No/43-A no72dMezitli,Mersin</t>
  </si>
  <si>
    <t>11:30-12:00</t>
  </si>
  <si>
    <t>Ercan Akar/3243277677 / 5350480785</t>
  </si>
  <si>
    <t>Zeynep Acar/3243282747 / 5551645257</t>
  </si>
  <si>
    <t>Hüseyin Dalgıç/3245041127 / 5511711354</t>
  </si>
  <si>
    <t>ali bey:05356898380</t>
  </si>
  <si>
    <t>İptal sebebi:Biz randevuyu ali bey ile oluşturduk. Ali bey çok fazla işletmede bulunmadıgı ıcın ortagına yonlendırmıs. Ortagı da bız yogunuz su anda elımızde de fotograflar mevcut. onları gonderelım demıs.</t>
  </si>
  <si>
    <t xml:space="preserve">ferhat köksal </t>
  </si>
  <si>
    <t>Mezitli	/Fatih</t>
  </si>
  <si>
    <t>İzel Aytaç	/5302203280</t>
  </si>
  <si>
    <t>Mezitli/	Menderes</t>
  </si>
  <si>
    <t>Mustafa Toprak Taşkesen	/3249991399</t>
  </si>
  <si>
    <t>fotoğrafçı kaza yaptığı için erteleme oldu..</t>
  </si>
  <si>
    <t>5541130919 özkan bey</t>
  </si>
  <si>
    <t>Çankaya mah. İstiklal Cad.  no: 55</t>
  </si>
  <si>
    <t>1buçuğa -2</t>
  </si>
  <si>
    <t>Neslihan Selvi/5308670338</t>
  </si>
  <si>
    <t>11gibi alınacak öğlen bitiyor</t>
  </si>
  <si>
    <t xml:space="preserve">1 saat sonra </t>
  </si>
  <si>
    <t>devam çekimi/sabah saatleri istiyor 9 gibi</t>
  </si>
  <si>
    <t>1 saat sonra</t>
  </si>
  <si>
    <t>İsmet Bey/5527784702</t>
  </si>
  <si>
    <t>devam çekimi/saat 15 alınacak</t>
  </si>
  <si>
    <t>Süleyman Acı/5394242480</t>
  </si>
  <si>
    <t>devam çekimi/17ye alınacak</t>
  </si>
  <si>
    <t>Kadir Yardımcı/5452653373/3243277473/</t>
  </si>
  <si>
    <t>Gül Keleş/İbrahim Bey/3243262658</t>
  </si>
  <si>
    <t>hedef listede bulunamadı</t>
  </si>
  <si>
    <t>Acı Tantuni</t>
  </si>
  <si>
    <t>Yenişehir/Gazişehir</t>
  </si>
  <si>
    <t>telekom karşısı gazişehir mah no337</t>
  </si>
  <si>
    <t>Çankaya Mah.İstiklal cad no: 70/a Akdeniz,Mersin</t>
  </si>
  <si>
    <t>6028026be217616cfc3ce2d8</t>
  </si>
  <si>
    <t xml:space="preserve">Bacanaklar Tantuni Kebap </t>
  </si>
  <si>
    <t xml:space="preserve">Toroslar/ Portakal </t>
  </si>
  <si>
    <t>Fehin TUNÇ 5453242626</t>
  </si>
  <si>
    <t>Portakal Mah.Karaisalı Cad.No/17 Toroslar,Mersin</t>
  </si>
  <si>
    <t>Toroslar / Kürdali</t>
  </si>
  <si>
    <t>Havza YAĞIZ 5459503887</t>
  </si>
  <si>
    <t xml:space="preserve">Toroslar/ Çukurova </t>
  </si>
  <si>
    <t>Abdullah Karagöz 3243241816</t>
  </si>
  <si>
    <t xml:space="preserve">erteleme istiyor uygun güne </t>
  </si>
  <si>
    <t>Nuray Hanım / 3243270102</t>
  </si>
  <si>
    <t>Yenişehir/ Çiflikköy</t>
  </si>
  <si>
    <t>Emin GÜR 5323018257</t>
  </si>
  <si>
    <t>Feridun Bey / 5351087374</t>
  </si>
  <si>
    <t>Tolga Bey / 5322421375</t>
  </si>
  <si>
    <t>60d35f43311e12b4eb735cd1</t>
  </si>
  <si>
    <t>Derya'nın Mutfağı, Akdeniz (Camişerif Mah.)</t>
  </si>
  <si>
    <t>Ahmet Bey / 3242370555/5442743675</t>
  </si>
  <si>
    <t>Cami Şerif Mah.5225 Sokak No/5-B Akdeniz,Mersin</t>
  </si>
  <si>
    <t>Mustafa Bey / 5528688433</t>
  </si>
  <si>
    <t>60d5cae83b56875d160fa59f</t>
  </si>
  <si>
    <t>Ciğerci Turgay, Akdeniz (Kültür Mah.)</t>
  </si>
  <si>
    <t xml:space="preserve">Akdeniz/ Kültür </t>
  </si>
  <si>
    <t>Ayhan ALIÇLI / 5321610633</t>
  </si>
  <si>
    <t>Kültür Mah.İsmet İnönü sok.No: B/ 13Akdeniz,Mersin</t>
  </si>
  <si>
    <t xml:space="preserve">Adres biraz karışık ben onu aldırırım dedi </t>
  </si>
  <si>
    <t xml:space="preserve">Adıyamanlı Çiğ Köftecim, Yenişehir (Aydınlıkevler Mah.) </t>
  </si>
  <si>
    <t>Alburus Bey / 5366813996</t>
  </si>
  <si>
    <t xml:space="preserve">Aydınlıkevler mah. 2009. sokak Yiğit ayya apt. 11/B </t>
  </si>
  <si>
    <t xml:space="preserve">Yenişehir / İnönü </t>
  </si>
  <si>
    <t>Muhittin Bey / 3243263377</t>
  </si>
  <si>
    <t>Yenişehir / Palmiye</t>
  </si>
  <si>
    <t>Yıldız ve Aslı Hanım / 5068545872 /3243252231</t>
  </si>
  <si>
    <t>palmiye mah. 2.Cadde yedigöz apt altı no4/a / beşiktaş meydanı kuzeyinde tam karşı yolunda 200 metre ilerde</t>
  </si>
  <si>
    <t xml:space="preserve">fotoğrafçi iki restorant arasına mekik gibi  git gel yapmıs sıpariş üzerine çekim istemişler </t>
  </si>
  <si>
    <t>Sezer Bey / 5304233631 / 5319378485</t>
  </si>
  <si>
    <t>Yenişehir / Akkent</t>
  </si>
  <si>
    <t>Aytaç Bey / 3245039851 / 5523402009</t>
  </si>
  <si>
    <t>Toroslar/Osmaniye</t>
  </si>
  <si>
    <t xml:space="preserve">Mehmet Kerimoğlu/5396909371           </t>
  </si>
  <si>
    <t xml:space="preserve">Vedat Kızılbuğ  /3243209810               </t>
  </si>
  <si>
    <t>Toroslar/Portakal</t>
  </si>
  <si>
    <t xml:space="preserve">Baki Öztürk/5446985610            </t>
  </si>
  <si>
    <t>devam cekımı/elinde yemekleri kalmamış ürünlerin çoğuluğunun olduğu bi güne randevu oluşturulacak</t>
  </si>
  <si>
    <t>616717a7d2c86ba4c66b58e5</t>
  </si>
  <si>
    <t>Balıkçı Memet, Toroslar (Sağlık Mah.)</t>
  </si>
  <si>
    <t xml:space="preserve">Duygu Korkmaz/5333535789             </t>
  </si>
  <si>
    <t>Sağlık Mah.Kuvayi Miiliye Bulvarı No/158-C Toroslar,Mersin</t>
  </si>
  <si>
    <t>Toroslar/Zeki Ayan</t>
  </si>
  <si>
    <t xml:space="preserve">Muhammet Gazali Arslan/5526039802          </t>
  </si>
  <si>
    <t xml:space="preserve">Mezitli/ Atatürk </t>
  </si>
  <si>
    <t>Mehmet BİLGE / 3243585862</t>
  </si>
  <si>
    <t>Mezitli/ Akdeniz</t>
  </si>
  <si>
    <t>Bekir HAKDEMİR/ 3242904445</t>
  </si>
  <si>
    <t>5ffc8c79f112354dd2af9e3a</t>
  </si>
  <si>
    <t xml:space="preserve">Mezitli/ Viranşehir </t>
  </si>
  <si>
    <t>İbrahim EKİCİ / 5321203430</t>
  </si>
  <si>
    <t>Ayşegül ÇAPANOĞLU / 5510526273</t>
  </si>
  <si>
    <t xml:space="preserve">Mezitli/ Menderes </t>
  </si>
  <si>
    <t>İzel AYTAÇ / 5302203280</t>
  </si>
  <si>
    <t xml:space="preserve">DEVAM ÇEKİMİ </t>
  </si>
  <si>
    <t xml:space="preserve">Zanyar Anık/3242384056          </t>
  </si>
  <si>
    <t>sürekli iptal ediyor</t>
  </si>
  <si>
    <t>Akdeniz/Cami Şerif</t>
  </si>
  <si>
    <t xml:space="preserve">Çağrı Ünel/3242323833                </t>
  </si>
  <si>
    <t>devam cekımı/ürünleri kalmamış</t>
  </si>
  <si>
    <t>Yenişehir /İnönü</t>
  </si>
  <si>
    <t xml:space="preserve">Zeynep Bener /5304145535        </t>
  </si>
  <si>
    <t xml:space="preserve">Sadettin Arif Satar/3243414545                </t>
  </si>
  <si>
    <t>Alınacak</t>
  </si>
  <si>
    <t>12:00-13:00</t>
  </si>
  <si>
    <t>Zafer Bey /5464666029</t>
  </si>
  <si>
    <t>DEVAM ÇEKİMİ</t>
  </si>
  <si>
    <t>Hasan Bey/5360306026</t>
  </si>
  <si>
    <t>İsmail Bey/5309789676</t>
  </si>
  <si>
    <t>Sergen Bey/3249992252</t>
  </si>
  <si>
    <t>Doğan Bey/5512705292</t>
  </si>
  <si>
    <t xml:space="preserve">10:00 RANDEVUSU OLABİLDİĞİNCE ERKEN GİDİLMESİNİ İSTEDİ </t>
  </si>
  <si>
    <t>Toroslar / Mevlana</t>
  </si>
  <si>
    <t>Tahsin OBUZ / 5395102033</t>
  </si>
  <si>
    <t>Toroslar	Çukurova</t>
  </si>
  <si>
    <t>Aydın Uçan        5510416220</t>
  </si>
  <si>
    <t xml:space="preserve">Toroslar/ Osmaniye </t>
  </si>
  <si>
    <t>Kudret DURNA  / 5392290780</t>
  </si>
  <si>
    <t>Yenişehir/inönü</t>
  </si>
  <si>
    <t>Burak Şahin/5546945245</t>
  </si>
  <si>
    <t xml:space="preserve">Yenişehir/ Çiftlikköy </t>
  </si>
  <si>
    <t>Albayrak / 5306125344</t>
  </si>
  <si>
    <t>ÜRÜNLERİN HEPSİ HAZIR DEĞİLMİŞ. tekrardan bu bölgeye gidildiği takdirde aranmak istiyor</t>
  </si>
  <si>
    <t>Bektaş Bey / 5523036633</t>
  </si>
  <si>
    <t xml:space="preserve">Yenişehir/ Bahçelievler </t>
  </si>
  <si>
    <t>Zöhre KALIN / 3243259592</t>
  </si>
  <si>
    <t xml:space="preserve">Yenişehir / 50.yıl </t>
  </si>
  <si>
    <t>Cafer Sadık / 3243250033</t>
  </si>
  <si>
    <t xml:space="preserve">Erdemli/ Alata 2.bölge </t>
  </si>
  <si>
    <t>Ahmet YETER / 3245155200</t>
  </si>
  <si>
    <t xml:space="preserve">yağış nedeniyle perşembe gününe ertelendi </t>
  </si>
  <si>
    <t xml:space="preserve">Erdemli/ Merkez 1. bölge </t>
  </si>
  <si>
    <t>Serkan Arslan/ 5558950496</t>
  </si>
  <si>
    <t>60a6759831221c4fecfacd9e</t>
  </si>
  <si>
    <t>Dağ Döner İskender,Erdemli (Merkez Mah.)</t>
  </si>
  <si>
    <t xml:space="preserve">Erdemli / Merkez </t>
  </si>
  <si>
    <t>Razaman DAĞ / 3245156077</t>
  </si>
  <si>
    <t>Merkez Mah.Karanfil Sokak No/21-A Erdemli,Mersin</t>
  </si>
  <si>
    <t>Selahattin Bey / 5541475031</t>
  </si>
  <si>
    <t>Yusuf Bey  / 5323507968</t>
  </si>
  <si>
    <t xml:space="preserve">yağış nedeniyle perşembe gününe ertelendi / alternatif randevu bulalım </t>
  </si>
  <si>
    <t>ZEHRA HANIM- 05535055881</t>
  </si>
  <si>
    <t>devir edeceklermiş o yüzden iptal oldu</t>
  </si>
  <si>
    <t>Erdoğan Bey / 5333472405</t>
  </si>
  <si>
    <t>Osman Adsoy/5435007915</t>
  </si>
  <si>
    <t>Sezer Peltek/5319378485/5304233631</t>
  </si>
  <si>
    <t xml:space="preserve">Yenişehir/ İnönü </t>
  </si>
  <si>
    <t>Zehra Korkmaz / 3243293363</t>
  </si>
  <si>
    <t xml:space="preserve">GELMEDEN İKİ ÜÇ GÜN ÖNCE HABER VERİRİM BEN FOTOĞRAFÇI ARKADAŞA ONA GÖRE RANDEVU OLUŞTURURUZ DEDİ </t>
  </si>
  <si>
    <t xml:space="preserve">Yenişehir/ Akkent </t>
  </si>
  <si>
    <t>Aytaç Sevim / 3245039851</t>
  </si>
  <si>
    <t>saat 16:00 randevusu 1 saat önceden aranmak ister ona göre hazırlık yapacakmış</t>
  </si>
  <si>
    <t>Yusuf Bey/3243595534/5051511688</t>
  </si>
  <si>
    <t>18:30 randevusu yarım saat önceden aranmak ister. Hazırlık yapacakmış.</t>
  </si>
  <si>
    <t xml:space="preserve">Erdemli/ Akdeniz </t>
  </si>
  <si>
    <t>Ayşe Öztürk/5535673163</t>
  </si>
  <si>
    <t xml:space="preserve">Erdemli/ Kaygıpınar </t>
  </si>
  <si>
    <t>Hurşit/ 5326711074</t>
  </si>
  <si>
    <t>Keziban Kocakaplan / 3245153038</t>
  </si>
  <si>
    <t>Ali Bey/5380535233 05378820520</t>
  </si>
  <si>
    <t xml:space="preserve">iptalini istemiş aradık açmadı  </t>
  </si>
  <si>
    <t>Ahmet Keskin/5326913314</t>
  </si>
  <si>
    <t>Erdemli/Merkez</t>
  </si>
  <si>
    <t>Ayşegül Hanım/3245153350</t>
  </si>
  <si>
    <t xml:space="preserve">Mezitli/Merkez </t>
  </si>
  <si>
    <t>Mehmet Kadri/ 5422783373</t>
  </si>
  <si>
    <t>Doğukan Üre/5389312333</t>
  </si>
  <si>
    <t xml:space="preserve">Hasan Bey/5529250633 </t>
  </si>
  <si>
    <t>617bcf2c6d24c92477e9cccd</t>
  </si>
  <si>
    <t>Adıyaman Çiğ Köfte, Mezitli (Akdeniz Mah.)</t>
  </si>
  <si>
    <t>Murat Can/ 5388265695</t>
  </si>
  <si>
    <t>Akdeniz Mah.39603 Sokak No/13-A Mezitli,Mersin</t>
  </si>
  <si>
    <t>Mustafa Kirman/	5303683845</t>
  </si>
  <si>
    <t>f6019a29984e0f93f11198ffd        Mina Patisserie, Mezitli (Davultepe Mah.)</t>
  </si>
  <si>
    <t xml:space="preserve">Mezitli/ Davultepe </t>
  </si>
  <si>
    <t>Ebru Hanım/ 5535741737</t>
  </si>
  <si>
    <t>ilçe tarım müdürlüğünün tam karşısı - yetkili şehir dışına çıkacakmış ürünleride eksikmiş tamamlayınca kendisi geri dönüş sağlayacak</t>
  </si>
  <si>
    <t>Erol Dinçer/ 5394928247</t>
  </si>
  <si>
    <t>Mustafa Toprak Taşkesen/3249991399/5355219966</t>
  </si>
  <si>
    <t xml:space="preserve">menü güncellemesi yapacakmış 20 25 gün sonra istiyor </t>
  </si>
  <si>
    <t xml:space="preserve">14:00 randevusu pazartesiden aranmak istedi güzel bir çekim istiyor hazırlık yapacakmış </t>
  </si>
  <si>
    <t>60ae67380fb744a645d24cbf</t>
  </si>
  <si>
    <t>Kurtuluş Pide Pişirim &amp; Lahmacun Fırını, Yenişehir (Akkent mah.)</t>
  </si>
  <si>
    <t>Yenişehir/ Akkent</t>
  </si>
  <si>
    <t>Mustafa Kılıçatan/ 5334852959</t>
  </si>
  <si>
    <t>Akkent Mah.23148 Sokak No/16 Yenişehir,Mersin</t>
  </si>
  <si>
    <t>personeli eksik olduğu için iptsl olsn randevu,cuma gününe ertelemesi yapıldı</t>
  </si>
  <si>
    <t>Utku bey: 05415931958/ Aylin hanım: 05495496923</t>
  </si>
  <si>
    <t xml:space="preserve">Yenişehir/ Eğrikent </t>
  </si>
  <si>
    <t>Alp Bey / 5324171836</t>
  </si>
  <si>
    <t xml:space="preserve">Yenişehir/ Çiflikköy </t>
  </si>
  <si>
    <t>Mehmet Durdu/ 5524594463</t>
  </si>
  <si>
    <t>Toroslar/	Çağdaşkent</t>
  </si>
  <si>
    <t>Gamze Demir        5077248433</t>
  </si>
  <si>
    <t>Fatma Sümer        5367997163</t>
  </si>
  <si>
    <t>Toroslar	/Akbelen</t>
  </si>
  <si>
    <t>Mert Can Çiftçier	/5520700846</t>
  </si>
  <si>
    <t xml:space="preserve">gidlmeden mutlaka aransın paket serviste olabilirim arasanız hemen gelirim dedi </t>
  </si>
  <si>
    <t>Mehmet Bey/5378902693/5305657613</t>
  </si>
  <si>
    <t xml:space="preserve">YETKİLİ ACİL ŞEHİR DIŞINA ÇIKTIĞINDAN DOLAYI BAŞKA BİR GÜNE  ÇEKİM İSTİYOR / dönünce iletişime geçecek / randevu alındı </t>
  </si>
  <si>
    <t>Yenişehir / Gazi</t>
  </si>
  <si>
    <t>yenisehir / çiftlikköy</t>
  </si>
  <si>
    <t>Şuayip Bey / 5443451303</t>
  </si>
  <si>
    <t>eleman yok</t>
  </si>
  <si>
    <t>Mehmet Pınar/3243610177/5524063616</t>
  </si>
  <si>
    <t>erteleme</t>
  </si>
  <si>
    <t xml:space="preserve">ulaşılamadı </t>
  </si>
  <si>
    <t>daha önce burçin sezer tarafındam çekim sağlandı</t>
  </si>
  <si>
    <t>Serhat Sümbül        3243283290</t>
  </si>
  <si>
    <t xml:space="preserve">05355161765 / erhan bey </t>
  </si>
  <si>
    <t>tadilata girmiş aynı zamanda menü güncelleyecekmiş fotoğrafçının numarasını almış en kısa zamanda dönecekmişm</t>
  </si>
  <si>
    <t>5333823266/sebahattin bey</t>
  </si>
  <si>
    <t>YenişehirGüvenevler</t>
  </si>
  <si>
    <t>Abdulkadir Kaplan/        3243283472</t>
  </si>
  <si>
    <t xml:space="preserve"> Les Poulets, Yenişehir (Güvenevler Mah.) </t>
  </si>
  <si>
    <t xml:space="preserve">Yenişehir/ Güvenevler </t>
  </si>
  <si>
    <t xml:space="preserve">Güvenevler mah. 1913.  sok. Fırat apartmanı Mersin/ Yenişehir </t>
  </si>
  <si>
    <t>Şuayp Bey / 5443451303</t>
  </si>
  <si>
    <t xml:space="preserve">paketçisi işten ayrılmış yeni paketçi bulunca çekim sağlanabilir / getiri kapatmışlar </t>
  </si>
  <si>
    <t>Toroslar / Turgut Türkalp</t>
  </si>
  <si>
    <t>Reşit Bey / 5416488863</t>
  </si>
  <si>
    <t>Turgut Türkalp Mah.79033 sokak No/9-A Toroslar,Mersin / bahriye ilköğretim karşısı</t>
  </si>
  <si>
    <t>Yunus Bey / 5531636347</t>
  </si>
  <si>
    <t>Çağdaşkent Mah.229.Cadde No:6 Toroslar, Mersin</t>
  </si>
  <si>
    <t xml:space="preserve">Toroslar/ Korukent </t>
  </si>
  <si>
    <t>Eyüp Bey/ 5054733349</t>
  </si>
  <si>
    <t xml:space="preserve">Toroslar / Çukurova </t>
  </si>
  <si>
    <t xml:space="preserve">Hanzade Dündar </t>
  </si>
  <si>
    <t xml:space="preserve">erdemliye gidildiğinde alınabilir </t>
  </si>
  <si>
    <t>Kudret Bey/5392290780</t>
  </si>
  <si>
    <t>6184cc2a5bc960f5b5300bf9</t>
  </si>
  <si>
    <t>Cadde 33 Tantuni &amp; Döner, Yenişehir (Aydınlıkevler Mah.)</t>
  </si>
  <si>
    <t xml:space="preserve">Yenişehir/ Aydınlıkevler </t>
  </si>
  <si>
    <t>Emrah Bey / 5322363000</t>
  </si>
  <si>
    <t>Aydınlıkevler Mah.2012 Sokak No/9-B Yenişehir,Mersin</t>
  </si>
  <si>
    <t>Ali Kaan Bey / 5380305048</t>
  </si>
  <si>
    <t>Mesut Tatar/ 5411203358</t>
  </si>
  <si>
    <t xml:space="preserve">ustamız hasta daha sonra iletişime geçeriz dedi.- maliyet çok olduğundan dolayı daha sonra ben sizlerle iletişime geçerim dedi  </t>
  </si>
  <si>
    <t xml:space="preserve">Yenişehir/ Limonluk </t>
  </si>
  <si>
    <t>Doğan Bey / 5323435330</t>
  </si>
  <si>
    <t xml:space="preserve">Akdeniz/ Mesudiye </t>
  </si>
  <si>
    <t>Mert Bey/ 5451052733</t>
  </si>
  <si>
    <t>Kadir Bey/ 3242316207</t>
  </si>
  <si>
    <t xml:space="preserve">Akdeniz / Çilek </t>
  </si>
  <si>
    <t>Yücel Bey / 3242342525</t>
  </si>
  <si>
    <t xml:space="preserve">Akdeniz/ Mahmudiye </t>
  </si>
  <si>
    <t>Mehmet Bey / 3243360337</t>
  </si>
  <si>
    <t>Mahmudiye mah. Metropol iş merkezi Akdeniz/ Mersin</t>
  </si>
  <si>
    <t xml:space="preserve">yarım saat sonra tekrar ara </t>
  </si>
  <si>
    <t xml:space="preserve">devam çekimi/ürünleri yok çekilecek </t>
  </si>
  <si>
    <t>Ergün Bey/5323018257</t>
  </si>
  <si>
    <t>Ali Karakılıç/5319909736</t>
  </si>
  <si>
    <t>Ali Ceylan/3243310069 / 5423237833</t>
  </si>
  <si>
    <t>yarın 16:00 alınacak. ertelemesi yapıldı.</t>
  </si>
  <si>
    <t>Teoman bey : 5327945475/ 5377830910</t>
  </si>
  <si>
    <t>Akkent mahallesi Hüseyin okan merzeci bulvarı No:12</t>
  </si>
  <si>
    <t>yetkili 10:30 da da gelebilirsiniz dedi.yetkili iş yerinde değilmiş ertelemesi yapıldı pazartesiye</t>
  </si>
  <si>
    <t>6171932a9c3c9cb0c3fdcd29</t>
  </si>
  <si>
    <t>Nisantaschi Cafe, Yenişehir (Barbaros Mah.)</t>
  </si>
  <si>
    <t>Barış Semiz/5451273334</t>
  </si>
  <si>
    <t>Barbaros Mah.2107 Sokak No/4-A Yenişehir,Mersin</t>
  </si>
  <si>
    <t>Yusuf bey : 0535 491 55 04 / 3243610825</t>
  </si>
  <si>
    <t xml:space="preserve">fotoğrafları varmış mail atıldı </t>
  </si>
  <si>
    <t>Yenişehir        / Çiftlikköy</t>
  </si>
  <si>
    <t>Ahmet Muhsin Tüfekçioğlu / 5308330083</t>
  </si>
  <si>
    <t xml:space="preserve">devam çekimi / tekrar randevu alındı </t>
  </si>
  <si>
    <t>Nilüfer Karatopak/5465928727</t>
  </si>
  <si>
    <t>FOTOĞRAFÇI KAYNAKLI ERTELEMESİ SALIYA GERÇEKLEŞTİ</t>
  </si>
  <si>
    <t>6061dc974df3482a34a961ab</t>
  </si>
  <si>
    <t>Seyitoğulları Pişirim Fırını, Mezitli (Yenimahalle Mah.)</t>
  </si>
  <si>
    <t>Ceylan Kurçan  /5520137887</t>
  </si>
  <si>
    <t>Yeni Mah.Sanayi Cad.Ceren Plaza No/39-C Mezitli,Mersin</t>
  </si>
  <si>
    <t>Mustafa Karagöz/5438683302</t>
  </si>
  <si>
    <t>AÇMADI</t>
  </si>
  <si>
    <t>Mehmet Toprak/05397209045</t>
  </si>
  <si>
    <t>Çağrı Ünel/3242323833</t>
  </si>
  <si>
    <t xml:space="preserve">fotoğrafçı kaynaklı iptal oldu </t>
  </si>
  <si>
    <t>Neva Ünal        3242326067</t>
  </si>
  <si>
    <t>Tayfun İnce/3243361925</t>
  </si>
  <si>
    <t>Çiftlikköy Mah. 34. Cadde No:49B Yenişehir Mersin</t>
  </si>
  <si>
    <t>daha sonra arancak</t>
  </si>
  <si>
    <t xml:space="preserve">Elvın Seyıdov/5330218033                </t>
  </si>
  <si>
    <t xml:space="preserve">Ferudun Taçyıldız/3243610166               </t>
  </si>
  <si>
    <t xml:space="preserve">Yenişehir /Limonluk </t>
  </si>
  <si>
    <t>Mustafa Barış / 3242332727 / 5327073327</t>
  </si>
  <si>
    <t>Limonluk mah. ismet inönü blv. 147 A yenişehir</t>
  </si>
  <si>
    <t>Erhan Karakuş/ 3243279060</t>
  </si>
  <si>
    <t>dükkan tadilatta ve personel eksikliği var gelirseniz yemek hazırlayamayız verimli olmaz ve yeni devraldığım için menümü güncellemem gerekiyor der kendisi bize dönecek</t>
  </si>
  <si>
    <t xml:space="preserve">Yenişehir / Akdeniz </t>
  </si>
  <si>
    <t>Abdulbali Bey / 5467883356</t>
  </si>
  <si>
    <t>Derya Bal/5304452668</t>
  </si>
  <si>
    <t xml:space="preserve">Mustafa Bey / 5332263759 </t>
  </si>
  <si>
    <t>haftaya randevu istiyor daha gec saatlere</t>
  </si>
  <si>
    <t xml:space="preserve">Yenişehir/ Eğriçam </t>
  </si>
  <si>
    <t>Halit Bey / 3243260493</t>
  </si>
  <si>
    <t>Satılmış Bey / 5347840563</t>
  </si>
  <si>
    <t>Celal Bey / 5304009990</t>
  </si>
  <si>
    <t>Toroslar	Yusuf Kılıç</t>
  </si>
  <si>
    <t>Ahmet Dağ	5350589707</t>
  </si>
  <si>
    <t>Yusuf Kılıç Mah.Kuvayi Milliye Cad.No/299-D Mersin</t>
  </si>
  <si>
    <t>devam çekimi  / fotoğrafçının makinesi bozulduğu için ertelemesi sağlandı</t>
  </si>
  <si>
    <t>Seçkin Doğan        5533556350</t>
  </si>
  <si>
    <t>fotoğrafçının makinesi bozulduğu için erteleme için arandı ulaşılamadı</t>
  </si>
  <si>
    <t>Toroslar        Yusuf Kılıç</t>
  </si>
  <si>
    <t>Faruk Kaya        3243212223  05458102597</t>
  </si>
  <si>
    <t xml:space="preserve">fotoğrafçının makinesi bozulduğu için erteleme - mail verildi çekim istemiyor </t>
  </si>
  <si>
    <t>Toroslar        Yalınayak</t>
  </si>
  <si>
    <t>Bülent Akarsu        5411623233</t>
  </si>
  <si>
    <t>randevu saatinden erkende gidilebilir./ fotoğrafçının makinesi bozulduğu için ertelemesi sağlandı</t>
  </si>
  <si>
    <t xml:space="preserve">saat 11:00 randevusu fotoğraf için satışı kapattı mutlaka gidilsin </t>
  </si>
  <si>
    <t xml:space="preserve">Akdeniz/ Çankaya </t>
  </si>
  <si>
    <t>Zahir Bey / 5071805159</t>
  </si>
  <si>
    <t>Yunus Emre Bey / 5527521733</t>
  </si>
  <si>
    <t xml:space="preserve">Akdeniz/ Çilek </t>
  </si>
  <si>
    <t>Yücel Bey/ 5527253325</t>
  </si>
  <si>
    <t xml:space="preserve">yarın 12:30 a ertelendi </t>
  </si>
  <si>
    <t>Mahmut Bey/ 5351052533</t>
  </si>
  <si>
    <t>9:30</t>
  </si>
  <si>
    <t xml:space="preserve">Yenişehir/Akkent </t>
  </si>
  <si>
    <t>devam çekimi / haftaya salı aynı saate randevu olusturuldu / FOTOĞRAFÇI HASTA</t>
  </si>
  <si>
    <t>Tufan Bey/ 05334426158</t>
  </si>
  <si>
    <t>randevu iptal/FOTOĞRAFÇI HASTA</t>
  </si>
  <si>
    <t>Yenişehir/Fuat Morel</t>
  </si>
  <si>
    <t>mehmet 5394059503</t>
  </si>
  <si>
    <t>ulasilamadı/FOTOĞRAFÇI HASTA</t>
  </si>
  <si>
    <t>Yenişehir/Deniz</t>
  </si>
  <si>
    <t>İlhami Aydın Cömert/3243411114</t>
  </si>
  <si>
    <t>randevu iptal edildi / FOTOĞRAFÇI HASTA</t>
  </si>
  <si>
    <t>Yenişehit/Güvenevler</t>
  </si>
  <si>
    <t>Selma Elveren 5537454699 /</t>
  </si>
  <si>
    <t>ertelemesi /FOTOĞRAFÇI HASTA</t>
  </si>
  <si>
    <t>Osman Bey/5354602338</t>
  </si>
  <si>
    <t>5435282104 melik bey</t>
  </si>
  <si>
    <t>Dilaver Sandal/3242373730 / 5452605312</t>
  </si>
  <si>
    <t xml:space="preserve">Yenişehir / Çiflikköy </t>
  </si>
  <si>
    <t>Alper Bey / 5422505422</t>
  </si>
  <si>
    <t>Kerem Bey / 5445651769</t>
  </si>
  <si>
    <t>bu hafta olmaz 2 hafta sonra goruselım dedi</t>
  </si>
  <si>
    <t>Yağmur Hanım / 5524594463</t>
  </si>
  <si>
    <t xml:space="preserve">tekrar alınmasın </t>
  </si>
  <si>
    <t>2-3 elemanım yoktu bugün 10 gün sonra bi tekrar görüşelim eleman bulursam yaparız- tekrardan randevusu oluşturuldu 23/ 12 saat 15.00</t>
  </si>
  <si>
    <t>Erdemli / Merkez</t>
  </si>
  <si>
    <t>Emre Bey / 3245154455 / 5065458783</t>
  </si>
  <si>
    <t>6186c8c764556d0afaeb5a5f</t>
  </si>
  <si>
    <t>Sakatat Durağı, Erdemli (Akdeniz Mah.)</t>
  </si>
  <si>
    <t>Erdemli / Akdeniz</t>
  </si>
  <si>
    <t>İbrahim Bey / 5303400133</t>
  </si>
  <si>
    <t>Akdeniz Mah.Alparslan Türkeş Bulvarı No/48-C Erdemli,Mersin</t>
  </si>
  <si>
    <t xml:space="preserve">yetkili gelsin ben geri dönüş sağlarım dedi </t>
  </si>
  <si>
    <t>Burak Bey / 5394236637</t>
  </si>
  <si>
    <t>Nevzat Bey / 3245153712 / 5541753712</t>
  </si>
  <si>
    <t>600b32170354af8995846614</t>
  </si>
  <si>
    <t xml:space="preserve">Rıdvan Bey / 3245160230 / 5161633344 </t>
  </si>
  <si>
    <t>Merkez Mah.Laleli Sokak No/14-A Erdemli,Mersin</t>
  </si>
  <si>
    <t>Erdemli / Alata</t>
  </si>
  <si>
    <t>Can Bey / 5325409405</t>
  </si>
  <si>
    <t>16:00 randevusu kesınlıkle gıdılmelı. defalarca ertelemesı saglanmış!!!</t>
  </si>
  <si>
    <t>Seçkin Doğan/5533556350</t>
  </si>
  <si>
    <t>Ahmet Dağ        5350589707</t>
  </si>
  <si>
    <t xml:space="preserve">Selcan Topçu </t>
  </si>
  <si>
    <t xml:space="preserve">Toroslar/Çavuşlu  </t>
  </si>
  <si>
    <t>Ebubekir Turgut/5451502727/5421138533</t>
  </si>
  <si>
    <t>Toroslar/ Yalınayak</t>
  </si>
  <si>
    <t>Bülent Akarsu /5411623233</t>
  </si>
  <si>
    <t>randevu saatinden erkende gidilebilir</t>
  </si>
  <si>
    <t>Toroslar	Sağlık</t>
  </si>
  <si>
    <t>Ahmet Bağ        3243223222</t>
  </si>
  <si>
    <t xml:space="preserve">erteleme talebinde bulundu / randevu alındı </t>
  </si>
  <si>
    <t xml:space="preserve">Yenişehir / Cumhuriyet </t>
  </si>
  <si>
    <t>Durmuş Bey / 5434434132/ 3243250015</t>
  </si>
  <si>
    <t xml:space="preserve">Yenişehir / Batıkent </t>
  </si>
  <si>
    <t>Gökay Bey / 5359598033</t>
  </si>
  <si>
    <t>Medine Hanım / 5526794627</t>
  </si>
  <si>
    <t>Gamze Hanım / 5492623323 / 3243315302</t>
  </si>
  <si>
    <t>Kalender Bey / 5340607036 / 3249994818</t>
  </si>
  <si>
    <t xml:space="preserve">erteleme talebinde bulundu </t>
  </si>
  <si>
    <t>Mehmet Bey/5528689353</t>
  </si>
  <si>
    <t xml:space="preserve">çekim için gidilmemiş 31 aralık için randevu alındı </t>
  </si>
  <si>
    <t>Yasemin Hanım/5382701505</t>
  </si>
  <si>
    <t xml:space="preserve">yetkili bu hafta işletmede olamayacağım der </t>
  </si>
  <si>
    <t xml:space="preserve">Akdeniz / Bahçe </t>
  </si>
  <si>
    <t xml:space="preserve">Şehmus Bey / 5317829647 </t>
  </si>
  <si>
    <t>Cuma Bey / 5385746386</t>
  </si>
  <si>
    <t xml:space="preserve">mustafa bey :5332263759 </t>
  </si>
  <si>
    <t>Divan oteli yanı</t>
  </si>
  <si>
    <t>Yenişehir/Menteş</t>
  </si>
  <si>
    <t>İzel Özge Fideli/ 5304009990</t>
  </si>
  <si>
    <t>Betül Hanım/5526992570</t>
  </si>
  <si>
    <t xml:space="preserve">erteleme talep edilmiş cuma gününe alındı </t>
  </si>
  <si>
    <t>Yenişehir /Deniz</t>
  </si>
  <si>
    <t xml:space="preserve">İlhami Aydın Cömert/3243411114            </t>
  </si>
  <si>
    <t>Yenişehir/Mersin</t>
  </si>
  <si>
    <t>Rıdvan Cabadak/3243293000/5324510373</t>
  </si>
  <si>
    <t xml:space="preserve">Fatma Gül/3243262010       </t>
  </si>
  <si>
    <t>devam çekımı/sısıtemdekı gerıye kalan urunlerın cekımı ıstemedı</t>
  </si>
  <si>
    <t xml:space="preserve">Yunus Akdemir/3243260909             </t>
  </si>
  <si>
    <t xml:space="preserve">devam çekımı/yoğunluktan dolayı </t>
  </si>
  <si>
    <t>Erdemli/Alata 2. Bölge</t>
  </si>
  <si>
    <t>Eshabil bey 5347036842/3245156040</t>
  </si>
  <si>
    <t>Erdemli/Merkez 1. Bölge</t>
  </si>
  <si>
    <t>Durmuş Kır/3245150715/5389709954</t>
  </si>
  <si>
    <t>Burhanettin Bey/5354850533</t>
  </si>
  <si>
    <t>Erdemli/Merkez 2. Bölge</t>
  </si>
  <si>
    <t>Mehmet Bey/5386555757</t>
  </si>
  <si>
    <t xml:space="preserve">Tarsus / Şahin </t>
  </si>
  <si>
    <t>Abdurrahim Bey / 5333196308</t>
  </si>
  <si>
    <t>Şahin mah.Reşat Nuri Cad.No/65 Tarsus, Mersin</t>
  </si>
  <si>
    <t>Tarsus / ŞehitMustafa</t>
  </si>
  <si>
    <t>Hüseyin Bey / 3246242424 / 5419410145</t>
  </si>
  <si>
    <t>Tarsus / Kırklarsırtı</t>
  </si>
  <si>
    <t>Ersin Bey / 5062758166</t>
  </si>
  <si>
    <t>Tarsus / Caminur</t>
  </si>
  <si>
    <t>Burak Bey / 3246248726 / 5358367755</t>
  </si>
  <si>
    <t>fotoğrafçı tüm ürünleri çıkartın ben sizin için merkezden geliyorum demiş işletme yetkilisi barış bey ise hepsini çıakrtamam ama bir kısmı da olsa çıkartırım der</t>
  </si>
  <si>
    <t>Fahri Bey / 5366075459</t>
  </si>
  <si>
    <t>Tarsus / Gazipaşa</t>
  </si>
  <si>
    <t>Salih Bey / 5316163321</t>
  </si>
  <si>
    <t xml:space="preserve">eşi rahatsızlandığından dolayı çekim iptal haftaya tekrardan alınabilir </t>
  </si>
  <si>
    <t>saat 13:00 randevusu kadayıf çeşitlerini bir gün baklava çeşitlerini farklı bir gün çekitirecek</t>
  </si>
  <si>
    <t>SAAT 16:00 RANDEVUSUNA EKSTRA ÖZEN GÖSTERİLMESİ GEREKTİĞİ İLETİLDİ GENEL MERKEZDEN</t>
  </si>
  <si>
    <t>Mahzunzade Künefe &amp; Kadayıf</t>
  </si>
  <si>
    <t>Mahzun Bey / 5392028534</t>
  </si>
  <si>
    <t>Cumhuriyet Mah. 1. cadde. no:35/ d</t>
  </si>
  <si>
    <t xml:space="preserve">hedef listede bulunamadı / restorantın kararı değişmiş </t>
  </si>
  <si>
    <t>Enes bey :05467253363/3249994818</t>
  </si>
  <si>
    <t>sürekli iptal ediyor bidaha alınmasın.</t>
  </si>
  <si>
    <t>ürün fotoğrafları var ama sıfır çekim olacak/daha sonra çekilecek restoran kaynaklı</t>
  </si>
  <si>
    <t xml:space="preserve">başka bir programım var o yüzden başka zamana der </t>
  </si>
  <si>
    <t>Orçun Bey/5336400633</t>
  </si>
  <si>
    <t xml:space="preserve">Baran Titiz/3243277520             </t>
  </si>
  <si>
    <t>Tufan bey :5334426158/3243260333</t>
  </si>
  <si>
    <t>erteleme talep etti</t>
  </si>
  <si>
    <t xml:space="preserve">Yenişehir / Barbaros </t>
  </si>
  <si>
    <t>Nur Hanım / 3243285566</t>
  </si>
  <si>
    <t xml:space="preserve">Mezitli/ Merkez </t>
  </si>
  <si>
    <t>Yusuf Bey / 5078744198</t>
  </si>
  <si>
    <t>Feyzi Bey / 5396281924 / 3243571698</t>
  </si>
  <si>
    <t xml:space="preserve">Mezitli / Davultepe </t>
  </si>
  <si>
    <t>Halil Bey / 5524116473 / 3243585353</t>
  </si>
  <si>
    <t xml:space="preserve">halil bey hastanede daha sonra ertelemesi yapılacak </t>
  </si>
  <si>
    <t>Mehmet Bey / 5434329951 / 5526602614</t>
  </si>
  <si>
    <t xml:space="preserve">Murat Utku/5383933180      </t>
  </si>
  <si>
    <t>Ramazan Ertan/3243370553/5526960553</t>
  </si>
  <si>
    <t xml:space="preserve">Neva Ünal/3242326067                </t>
  </si>
  <si>
    <t xml:space="preserve">devam çekımı / çekim iptali gerçekleşmemiş </t>
  </si>
  <si>
    <t xml:space="preserve">Faruk Sarica/5367188818      </t>
  </si>
  <si>
    <t>Toroslar/Mevlana</t>
  </si>
  <si>
    <t>Tahsin Obuz/5395102033</t>
  </si>
  <si>
    <t>Ahmet Bağ   / 5417833824 / 3243223222</t>
  </si>
  <si>
    <t>restorana satinde gidilmemiş iptal etmiş</t>
  </si>
  <si>
    <t xml:space="preserve">murat bey ilgilenecek 5365620892 devam çekimi- prş gününe ertelemesi sağlanıldı </t>
  </si>
  <si>
    <t xml:space="preserve">Kader Durmuş/5346801734     </t>
  </si>
  <si>
    <t>Ahmet Yaprak/5342480101</t>
  </si>
  <si>
    <t xml:space="preserve">işletme sahibi ukala bir şekilde çekim istemiyor dedi bir daha bu işletmeye randevu alınmayacak </t>
  </si>
  <si>
    <t xml:space="preserve">Akdeniz / İhsaniye </t>
  </si>
  <si>
    <t>Neslihan Hanım / 5308670338</t>
  </si>
  <si>
    <t>Feridun bey/5362117079</t>
  </si>
  <si>
    <t xml:space="preserve">Muhammet İlker Kul/5060589688                </t>
  </si>
  <si>
    <t>Akdeniz        Cami Şerif</t>
  </si>
  <si>
    <t>Ulaş Heval Gevez        3242383552</t>
  </si>
  <si>
    <t xml:space="preserve">devam çekimi /ertelemsi sağlandı yoğunlarmış oyüzden iptal etmişler  </t>
  </si>
  <si>
    <t>yahya Ünel 3242323833/5412393973/Çağrı</t>
  </si>
  <si>
    <t>devam çekimi / ertelemesi 24'üne sağlandı call center kaynaklı bir hata olduğu için çekim olmadı</t>
  </si>
  <si>
    <t>Toroslar	Çavuşlu</t>
  </si>
  <si>
    <t>Ebubekir Turgut        5451502727//5421138533</t>
  </si>
  <si>
    <t xml:space="preserve">devam çekimi  / fotoğrafçı gidemeyeceği için ertlendi </t>
  </si>
  <si>
    <t>Toroslar	Yalınayak</t>
  </si>
  <si>
    <t>Necat Gülsoy        5421191333</t>
  </si>
  <si>
    <t xml:space="preserve">  </t>
  </si>
  <si>
    <t xml:space="preserve">yarına ert. sağlanıldı </t>
  </si>
  <si>
    <t>ulasılamadı bilgi alınamadı</t>
  </si>
  <si>
    <t xml:space="preserve">Akdeniz / Karacailyas </t>
  </si>
  <si>
    <t>Engin Bey / 5396419920</t>
  </si>
  <si>
    <t xml:space="preserve">ürünüm kalmadı çekilecek bir şeyim yok diyip çekim istememiş </t>
  </si>
  <si>
    <t xml:space="preserve">devam çekimi  - ulaşılamadığından dolayı çekim sağlanmadı </t>
  </si>
  <si>
    <t>12.00-12.30</t>
  </si>
  <si>
    <t>devam çekimi / yönetici olmadığı için iptal gerçekleşti /</t>
  </si>
  <si>
    <t>Evin Ölmez Çiftçi	5443140429</t>
  </si>
  <si>
    <t>Keyfi-i Mersin Tantuni (Viranşehir Mah.)</t>
  </si>
  <si>
    <t>Mehmet Bey/5330404763</t>
  </si>
  <si>
    <t xml:space="preserve">Viranşehir mah. 34301. Numara: 12/A Sokak Mersin </t>
  </si>
  <si>
    <t>Hedef listede yok.Gelen randevu talebi.</t>
  </si>
  <si>
    <t>Abdulkadir Tuncel        3243581302 - 05303023714</t>
  </si>
  <si>
    <t>iki elemanım eksik olduğu için ürünlerimin hepsini çıkartamam ama bir kısmını çıkartırım demiş fotoğrafçı ile münakaşaya girmişler artık çekim de istemiyorum der</t>
  </si>
  <si>
    <t>Mustafa Bey / 5324050690</t>
  </si>
  <si>
    <t>Tuncay Bey / 5362955137</t>
  </si>
  <si>
    <t xml:space="preserve">dükkanda tadilat başlatmışlar tabela vs. değişecek </t>
  </si>
  <si>
    <t>Serhat Bey / 3243283290</t>
  </si>
  <si>
    <t>işletme yogun yılbasından sonra istiyor</t>
  </si>
  <si>
    <t>Kerim Kesen/3243272130/05327619970</t>
  </si>
  <si>
    <t>Bahçelievler Mah.1809 sokak No/13-D Yenişehir,Mersin</t>
  </si>
  <si>
    <t xml:space="preserve">     15.30</t>
  </si>
  <si>
    <t>Hüseyin bey:5306553371</t>
  </si>
  <si>
    <t>orhan bey: 05435543338 /5519591089</t>
  </si>
  <si>
    <t>Daha önce randevu oluşturdunuz gelmediniz çoçuk oyuncağımı istemiyorum dedi ama hiç randevu oluşturulmamış daha öncesinde.</t>
  </si>
  <si>
    <t xml:space="preserve">yanlışlık olmuş başka bir güne tekrar alındı </t>
  </si>
  <si>
    <t>Akdeniz/Turgut Reis</t>
  </si>
  <si>
    <t>Ahmet/ 5343136153</t>
  </si>
  <si>
    <t>İptal nedeni yetkili işletmede değilmiş iptal olduğunu bilmiyor tekrar aranacak</t>
  </si>
  <si>
    <t>Akdeniz/Çilek</t>
  </si>
  <si>
    <t>Yücel/ 3242342525</t>
  </si>
  <si>
    <t>devam çekimi iPTAL NEDENİ FOTOĞRAFLARI ÇEKİLMİŞ AMA BİLGİ VERİLMEDİ RANDEVU OLUŞTURURKEN KABUL ETTİ, YÜKLENMEMİŞ ÇEKİLENLER BU YÜZDEN İPTAL.</t>
  </si>
  <si>
    <t>Mert/ 5451052733</t>
  </si>
  <si>
    <t>devam çekimi İptal nedeni işletme de elektrik kesintisi olduğundan erteleme talep edilmiş ertelemesi yapıldı cuma gününe</t>
  </si>
  <si>
    <t>devam çekimi alınırsa en az 5 randevu alınacak...</t>
  </si>
  <si>
    <t>Yenişehir / Batıkent</t>
  </si>
  <si>
    <t>Bedri Bey / 5446140112</t>
  </si>
  <si>
    <t>Yenişehir/Batıkent</t>
  </si>
  <si>
    <t>Yusuf Bülbül:5448543350</t>
  </si>
  <si>
    <t>Meryem Hanım / 5424093373</t>
  </si>
  <si>
    <t xml:space="preserve">yılbaşından sonra çekim istiyor </t>
  </si>
  <si>
    <t>İbrahim Bey / 5528678688</t>
  </si>
  <si>
    <t>bayrak bina altı - ibrahim bey yetkili</t>
  </si>
  <si>
    <t>5ff75621b8065e65ecf951ec</t>
  </si>
  <si>
    <t>Has Develiler Patiseri, Mezitli (Yenimahalle Mah.)</t>
  </si>
  <si>
    <t xml:space="preserve">Bekir Topçu/3243572700        </t>
  </si>
  <si>
    <t>İsmet İnönü Bulvarı Yenimahalle Mah. 33166. Sokak No/44 A Mezitli,Mersin</t>
  </si>
  <si>
    <t xml:space="preserve">getiri kapatmış </t>
  </si>
  <si>
    <t xml:space="preserve">Mezitli / Merkez </t>
  </si>
  <si>
    <t>Coşkun Bey / 3243278587/ 5327693773</t>
  </si>
  <si>
    <t>İsmet Bey / 5382565707</t>
  </si>
  <si>
    <t xml:space="preserve">çekim olmamış </t>
  </si>
  <si>
    <t>Mezitli / Seymenli</t>
  </si>
  <si>
    <t>Özgür Hanım / 5364236430</t>
  </si>
  <si>
    <t>Yenişehir	/Cumhuriyet</t>
  </si>
  <si>
    <t>Osman bey:5528713433</t>
  </si>
  <si>
    <t xml:space="preserve">Arzu Kipdemir/5424600151              </t>
  </si>
  <si>
    <t>Kadir Yardımcı        3243277473</t>
  </si>
  <si>
    <t>5327693773 /coşkun bey</t>
  </si>
  <si>
    <t>devam cekımı/ diğer şubesinden çekimi olacak</t>
  </si>
  <si>
    <t xml:space="preserve">fotoğrafçı gitmemiş </t>
  </si>
  <si>
    <t>Cengiz Bey/5528689353</t>
  </si>
  <si>
    <t>Müslüm Deniz Butev        5306373362</t>
  </si>
  <si>
    <t>Mehmet Duru        /5305154733</t>
  </si>
  <si>
    <t>Yenişehir /Gazi</t>
  </si>
  <si>
    <t xml:space="preserve">Orçun Solunoğlu/3243256242                </t>
  </si>
  <si>
    <t>Muhammet Bey / 5392028534</t>
  </si>
  <si>
    <t>Hacı Ahmet Bey / 5432803363 / 3243271463</t>
  </si>
  <si>
    <t>Kerem Bey / 5424093373</t>
  </si>
  <si>
    <t>Selçuk Bey / 5455313302</t>
  </si>
  <si>
    <t>Musa Bey / 5396006094 / 3249998474</t>
  </si>
  <si>
    <t xml:space="preserve">Yenişehir / Dumlupınar </t>
  </si>
  <si>
    <t>Hüsniye Hanım / 5457454591 / 3243261601</t>
  </si>
  <si>
    <t xml:space="preserve">ertlemesi sağlanacak </t>
  </si>
  <si>
    <t>devam cekımı/iptal nedenı fotografcı gıdemedıgı ıcın ıptal oldu</t>
  </si>
  <si>
    <t>Akdeniz	Siteler</t>
  </si>
  <si>
    <t>Elif Usanmaz	3242346992</t>
  </si>
  <si>
    <t>Can Bey/5327070057</t>
  </si>
  <si>
    <t>Kenan Bey/3243373610/5070366373</t>
  </si>
  <si>
    <t>Mehmet Ali Bey / 5511531713</t>
  </si>
  <si>
    <t xml:space="preserve">müsait değilmiş / YETKİLİ GELİNCE ERTLENECEK </t>
  </si>
  <si>
    <t>Saygın Bey / 5389663301</t>
  </si>
  <si>
    <t xml:space="preserve">fotoğrafçı gitmemiş teyit araması yapınca öğrendik çarşambaya ertelendi </t>
  </si>
  <si>
    <t>Sarp Bey / 5383582733 / 3243585353</t>
  </si>
  <si>
    <t>Emre Bey / 5304774233</t>
  </si>
  <si>
    <t xml:space="preserve">Yenişehir / 50. yıl </t>
  </si>
  <si>
    <t>Celal Bey / 5304009990 / 3243271324</t>
  </si>
  <si>
    <t>Murat Çınar        3243610262</t>
  </si>
  <si>
    <t>devam .çekimi</t>
  </si>
  <si>
    <t>Bektaş Elçi        5523036633</t>
  </si>
  <si>
    <t>Elburuz Çözel        5366813996</t>
  </si>
  <si>
    <t>Yunus Akdemir        3243260909</t>
  </si>
  <si>
    <t>saat 15:00 randevusuna 3 kez gidilmemiş lütfen gidilsin...</t>
  </si>
  <si>
    <t xml:space="preserve">Kemal Cemal Okuş        /5394083931                </t>
  </si>
  <si>
    <t xml:space="preserve">kendi fotoğraflarını kullanacak </t>
  </si>
  <si>
    <t xml:space="preserve">Yenişehir / Hürriyet </t>
  </si>
  <si>
    <t>Salih Bey / 5528678688</t>
  </si>
  <si>
    <t>sürekli randevu oluşturup başka zamana ertelemsini talep ediyormuş kesin erteleme için arandı açmadı</t>
  </si>
  <si>
    <t>Uğur Bey / 5392204737 / 3243291966</t>
  </si>
  <si>
    <t xml:space="preserve">Yenişehir / Menteş </t>
  </si>
  <si>
    <t>Gamze Hanım / 5339735338</t>
  </si>
  <si>
    <t>Müslüm Bey / 5436364263 / 3243581312</t>
  </si>
  <si>
    <t xml:space="preserve">fotoğrafçının işi çıktığı için salı gününe ertelendi </t>
  </si>
  <si>
    <t xml:space="preserve">ustası olmadığı için ertleme istedi </t>
  </si>
  <si>
    <t>Halil Bey  / 5383582733 / 3243585353</t>
  </si>
  <si>
    <t xml:space="preserve">çarşamba gününe ertelendi </t>
  </si>
  <si>
    <t>Baki bey:05327951196/05443583737</t>
  </si>
  <si>
    <t xml:space="preserve">işletme müsait değilmiş </t>
  </si>
  <si>
    <t xml:space="preserve">Akdeniz/ Nusratiye </t>
  </si>
  <si>
    <t>Ramazan Bey / 5350449302</t>
  </si>
  <si>
    <t xml:space="preserve">fotoğrafçının işi çıktığı için perşembeye ertelendi </t>
  </si>
  <si>
    <t xml:space="preserve">Süleyman Bey / 3243281999 / 5394242480 </t>
  </si>
  <si>
    <t xml:space="preserve">Akdeniz / Çankaya </t>
  </si>
  <si>
    <t>Sedat Bey / 3242330166</t>
  </si>
  <si>
    <t xml:space="preserve">Muhammed Enes Bey / 3242390909 / </t>
  </si>
  <si>
    <t xml:space="preserve">fotoğrafçı gidemediği için ertleme taleninde bulundum işletmede sinirlendi iptal etti </t>
  </si>
  <si>
    <t xml:space="preserve">devam çekimi fakat suan istemedi </t>
  </si>
  <si>
    <t>aylin hanım / 5325534633</t>
  </si>
  <si>
    <t xml:space="preserve">fotoğrafları varmış mail atacak </t>
  </si>
  <si>
    <t xml:space="preserve">duygu / 5523901989/3243585861 </t>
  </si>
  <si>
    <t>hava şartlarından dolayı haftaya ertelenecek</t>
  </si>
  <si>
    <t xml:space="preserve">patronun cenazesi varmış haftaya ertelenecek </t>
  </si>
  <si>
    <t>diğer şubesinden alınacak</t>
  </si>
  <si>
    <t xml:space="preserve">şuanda müsait değiller </t>
  </si>
  <si>
    <t>Fotoğrafçı uzak olduğu için gitmedi</t>
  </si>
  <si>
    <t>Başka alınmayacak..</t>
  </si>
  <si>
    <t>5417842903 Hüseyin bey</t>
  </si>
  <si>
    <t>Kaplan Ateş Bey / 5445867186  / 5057103078</t>
  </si>
  <si>
    <t>ekinci boyut ofis 34 altı/ çok yoğunluk yaşadık ürünler de eksik kaldı yarın gelin der</t>
  </si>
  <si>
    <t>Sadık Bey / 5346801734</t>
  </si>
  <si>
    <t>Bakil Bey / 5308179541</t>
  </si>
  <si>
    <t>Hasan Bey / 3243410033 / 5467134433</t>
  </si>
  <si>
    <t>Yenişehir / Güvenler</t>
  </si>
  <si>
    <t>Kaan Bey / 5337017327</t>
  </si>
  <si>
    <t>enjoy burger karşısı</t>
  </si>
  <si>
    <t>Gökhan Bey / 3243262379 / 5541398721</t>
  </si>
  <si>
    <t>Enes Bey / 5066458224</t>
  </si>
  <si>
    <t>Yenişehir / Afetevler</t>
  </si>
  <si>
    <t>Halife Karakuş / 	5441992013</t>
  </si>
  <si>
    <t>Burcu Hanım / 5523520933</t>
  </si>
  <si>
    <t xml:space="preserve"> yetkili bugün restoranda olamıcakmış işleri varmış</t>
  </si>
  <si>
    <t>Yenişehir
Mezitli 
Toroslar
Akdeniz</t>
  </si>
  <si>
    <t xml:space="preserve">Handan Hanım / 5395674346 </t>
  </si>
  <si>
    <t>Aydınlıkevler Mah.2012 sokak No:18-A Yenişehir,Mersin</t>
  </si>
  <si>
    <t xml:space="preserve">yetkili hastaymış iyileşince dönecek / müsait değilim dedi </t>
  </si>
  <si>
    <t xml:space="preserve">ekinci boyut ofis 34 altı/ kadınlar günü olduğu için sabah erkenden ürünleri bitmiş </t>
  </si>
  <si>
    <t>Hasan Bey / 5070255432</t>
  </si>
  <si>
    <t>ürünlerim yok der perşembeye ertelendi</t>
  </si>
  <si>
    <t>Cihan Kandan	/ 5302633378</t>
  </si>
  <si>
    <t>Ramazan Öner/5422915060</t>
  </si>
  <si>
    <t>Özge Bahar/3243272797/05307491023</t>
  </si>
  <si>
    <t>Yenişehir/Fuatmorel</t>
  </si>
  <si>
    <t>Ali Karakılıç/5319909737</t>
  </si>
  <si>
    <t>Yenişehir/Cumhuriyet</t>
  </si>
  <si>
    <t>Serhat Sümbül/3243283290</t>
  </si>
  <si>
    <t>Son randevu 16:00 olacak..</t>
  </si>
  <si>
    <t>Engin Çetin/5423883533</t>
  </si>
  <si>
    <t>12:00-13.00</t>
  </si>
  <si>
    <t>Çorba ağırlıklı olacakmış bu şube bugün için hazirliksizlarmis çorba yokmuş yeteri kadar der</t>
  </si>
  <si>
    <t>Nurcan Hanım / 5346801734</t>
  </si>
  <si>
    <t>Deniz Bey / 3243580880 / 5526116715</t>
  </si>
  <si>
    <t>Mehmet Bey / 5369314822 / 3243575770</t>
  </si>
  <si>
    <t xml:space="preserve">Mezitli / Menders </t>
  </si>
  <si>
    <t>Zeyneddin Bey / 5411533301 / 3245036363</t>
  </si>
  <si>
    <t>6211e6f3e4a35b6ea045033a</t>
  </si>
  <si>
    <t>Toroslar / Hüseyin Okan Merzeci</t>
  </si>
  <si>
    <t>Mesut Bey / 5520934631</t>
  </si>
  <si>
    <t>Toroslar / Akbelen</t>
  </si>
  <si>
    <t>Erhan Bey / 3243209971 / 5334711077</t>
  </si>
  <si>
    <t xml:space="preserve">Kader Hanım / 5061317966 </t>
  </si>
  <si>
    <t>Süphan Bey / 5441552133</t>
  </si>
  <si>
    <t>Levent Bey / 5366838640 / 5362321544</t>
  </si>
  <si>
    <t xml:space="preserve">Remzi Efe Yaşa/3243255505        </t>
  </si>
  <si>
    <t>Cihan Höyüklüoğlu/3243255010  /5432509074</t>
  </si>
  <si>
    <t>Zeynep Sera Hocalar/5324224608</t>
  </si>
  <si>
    <t xml:space="preserve">Toroslar / Yalınayak </t>
  </si>
  <si>
    <t xml:space="preserve">Cihan Bey / 5416038364 </t>
  </si>
  <si>
    <t xml:space="preserve">Toroslar /Osmaniye  </t>
  </si>
  <si>
    <t>Muzaffer Bey / 5374099899 / 3243225133</t>
  </si>
  <si>
    <t xml:space="preserve">Tororslar / Akbelen </t>
  </si>
  <si>
    <t>Aziz Bey / 5363007575</t>
  </si>
  <si>
    <t xml:space="preserve">Toroslar / Portakal </t>
  </si>
  <si>
    <t>Nedim Bey / 5395275987</t>
  </si>
  <si>
    <t>Ali Rıza Bey/ 5523658202</t>
  </si>
  <si>
    <t xml:space="preserve">Mezitli/ Yeni </t>
  </si>
  <si>
    <t>Funda Hanım / 5307750150</t>
  </si>
  <si>
    <t>Muaz Bey / 3242902990</t>
  </si>
  <si>
    <t xml:space="preserve">Mezitli / Akdeniz </t>
  </si>
  <si>
    <t>Kadir Bey / 5350566033</t>
  </si>
  <si>
    <t xml:space="preserve">Toroslar /Selçuklar </t>
  </si>
  <si>
    <t>Elif Hanım / 3243220024</t>
  </si>
  <si>
    <t xml:space="preserve">fotoğrafçı gidemedi  - cuma gününe ertelemesi sağlanıldı </t>
  </si>
  <si>
    <t>Toroslar	Demirtaş</t>
  </si>
  <si>
    <t>Abdulgafar Gümüştekin        5358641838</t>
  </si>
  <si>
    <t xml:space="preserve">Toroslar / Osmaniye </t>
  </si>
  <si>
    <t>Ayşe Hanım / 5418350545</t>
  </si>
  <si>
    <t>Mehmet Bey/5373717529</t>
  </si>
  <si>
    <t>EmirKartal        5364845840</t>
  </si>
  <si>
    <t>Yenişehir	/50. Yıl</t>
  </si>
  <si>
    <t>Salim Şişmanoğlu/5336470600</t>
  </si>
  <si>
    <t>devam</t>
  </si>
  <si>
    <t>Ramazan Ertan/3245041127/05350518234</t>
  </si>
  <si>
    <t>Sibel Yüksel/5057103078/5445867186</t>
  </si>
  <si>
    <t>Engin BEY/5432553338</t>
  </si>
  <si>
    <t>24.03.2022 persembeye ertelendi</t>
  </si>
  <si>
    <t xml:space="preserve">Gülcihan Gümüş3243282999        </t>
  </si>
  <si>
    <t>cok yogunduk ıptal edıldı</t>
  </si>
  <si>
    <t>Kadir Yardımcı        /3243277473</t>
  </si>
  <si>
    <t>yetkili şehir dışındaymıs gelince dönüş yapacak</t>
  </si>
  <si>
    <t>Yenişehir/50. Yıl</t>
  </si>
  <si>
    <t>Semra Çetintaş/5368464576</t>
  </si>
  <si>
    <t>daha önce çekilmiş 0 ndan çekim saglanacak/ilerleyen tarihlerd aranacak</t>
  </si>
  <si>
    <t>Doğan Yılmaz/5442540227</t>
  </si>
  <si>
    <t xml:space="preserve">fotoğraflarını mail atacak </t>
  </si>
  <si>
    <t xml:space="preserve"> Öznur hanım3243256066</t>
  </si>
  <si>
    <t>Alınabilir</t>
  </si>
  <si>
    <t>Hakan Bey / 5398845236</t>
  </si>
  <si>
    <t xml:space="preserve">Yenilehir / Dumlupınar </t>
  </si>
  <si>
    <t>Kerim Bey / 5525996933</t>
  </si>
  <si>
    <t>Metehan Bey / 5306125344</t>
  </si>
  <si>
    <t xml:space="preserve">teyit için ulaşıalamadı </t>
  </si>
  <si>
    <t>Baran Bey / 5357309265</t>
  </si>
  <si>
    <t xml:space="preserve">Mezitli / Menderes </t>
  </si>
  <si>
    <t>Teybe Hanım / 5523658202</t>
  </si>
  <si>
    <t>Cahit Bey / 5363666444 / 5342227499</t>
  </si>
  <si>
    <t>Atatürk, Vali Şenol Engin Cd. 22/A, 33200 Mezitli/Mersin</t>
  </si>
  <si>
    <t>Mehmet Bey / 5431933327</t>
  </si>
  <si>
    <t>Mustafa Ongun        3243416330/5332263759</t>
  </si>
  <si>
    <t>çekimden vazgecmiş</t>
  </si>
  <si>
    <t>menü güncellemesi</t>
  </si>
  <si>
    <t>Selma Elveren	3243283434</t>
  </si>
  <si>
    <t>Emin Bey/05461342133/5443516359</t>
  </si>
  <si>
    <t>çekim istememiş</t>
  </si>
  <si>
    <t>Fotoğrafçı arkadaşımız gidemediği için ertelemesi sağlandı.</t>
  </si>
  <si>
    <t xml:space="preserve">62331a806b28262c67abfdcc </t>
  </si>
  <si>
    <t>Tutkunuz Antakya Döner(Yenimah)</t>
  </si>
  <si>
    <t>Akdeniz /Yeni Mah</t>
  </si>
  <si>
    <t>Ramazan Özer/5375795565</t>
  </si>
  <si>
    <t>Yenimahalle çakmak caddesi 33/D</t>
  </si>
  <si>
    <t>Turgut Bey/3243370521</t>
  </si>
  <si>
    <t>Kendisi dönüş yapacak tekrar randevu için.</t>
  </si>
  <si>
    <t>İkrami Bey/5337715696</t>
  </si>
  <si>
    <t>Cuma gününe ertelemesi sağlandı</t>
  </si>
  <si>
    <t>Mehmet Bey/5416814733</t>
  </si>
  <si>
    <t>Salı gününe ertelemesi yapıldı</t>
  </si>
  <si>
    <t>Başka alınmayacak</t>
  </si>
  <si>
    <t>Abdulgafar Gümüştekin 5358641838</t>
  </si>
  <si>
    <t>AHMET FINDIK/5364874247/05394683347</t>
  </si>
  <si>
    <t>Bünyamin Şeref/5451952905</t>
  </si>
  <si>
    <t>HAKAN OKAN/5301185333</t>
  </si>
  <si>
    <t xml:space="preserve">kendisi arayacak yogunlar / pazts kapalı </t>
  </si>
  <si>
    <t>Sevim Sağnak/5355044949</t>
  </si>
  <si>
    <t>Yenişehir
Mezitli 
Akdeniz</t>
  </si>
  <si>
    <t>alınabilir</t>
  </si>
  <si>
    <t>Son randevu 1:00 olacak..</t>
  </si>
  <si>
    <t>toroslar alınmayacak</t>
  </si>
  <si>
    <t>Yasin BEY/3242383803/05397804339</t>
  </si>
  <si>
    <t>Kemal Yıldırım/5364690440</t>
  </si>
  <si>
    <t>Bilal Yılmaz/3245026303/05356665847</t>
  </si>
  <si>
    <t>sabah saaterindede gidilebilir görüşülüp</t>
  </si>
  <si>
    <t xml:space="preserve">Yenişehir
Mezitli 
</t>
  </si>
  <si>
    <t>toroslar ve akdeniz alınmayacak</t>
  </si>
  <si>
    <t xml:space="preserve">Mezitli / Deniz </t>
  </si>
  <si>
    <t>Burhan Bey / 5332206327</t>
  </si>
  <si>
    <t>Muhammed Bey / 3249990809</t>
  </si>
  <si>
    <t>Uğur Bey / 5342261505</t>
  </si>
  <si>
    <t xml:space="preserve">Mezitli / Yenimahalle </t>
  </si>
  <si>
    <t>İsa Bey / 5356273633</t>
  </si>
  <si>
    <t>Ahmet Bey / 5448742727</t>
  </si>
  <si>
    <t xml:space="preserve">Akdeniz / Nusratiye </t>
  </si>
  <si>
    <t>Suat Bey / 5448333265</t>
  </si>
  <si>
    <t xml:space="preserve">Akdeniz / Müfide İlhan </t>
  </si>
  <si>
    <t>Murat Bey / 5067190992</t>
  </si>
  <si>
    <t xml:space="preserve">yetkili iki gün şehir dışına çıkacakmış hafta içine ertelenecek </t>
  </si>
  <si>
    <t xml:space="preserve">Yenişehir
Mezitli 
</t>
  </si>
  <si>
    <t>Son randevu 17:00 olacak..</t>
  </si>
  <si>
    <t xml:space="preserve">Fotoğrafçı arkadaşımız gidemeyeceği için iptal sonra tekrar alınacak </t>
  </si>
  <si>
    <t>alınabilir 18:00 a kadar</t>
  </si>
  <si>
    <t>Gülcihan Gümüş        3243282999</t>
  </si>
  <si>
    <t xml:space="preserve">yoğunluktan dolayı ertelendi  </t>
  </si>
  <si>
    <t>Suphi Bey / 3243267318</t>
  </si>
  <si>
    <t xml:space="preserve">yoğunluktan dolayı pazartesi alındı </t>
  </si>
  <si>
    <t xml:space="preserve">Yılmaz Tantuni ve Biftek Salonu, Yenişehir (Barbaros Mah.) </t>
  </si>
  <si>
    <t>Hatice Hanım / 5523188233</t>
  </si>
  <si>
    <t>Barbaros mah. 2152 sokak tunç apt no:3</t>
  </si>
  <si>
    <t>kaymakamlık karşısı (gemi şeklinde bina )</t>
  </si>
  <si>
    <t>Özgör Gümüş	5421221816</t>
  </si>
  <si>
    <t>Kudret Durna/5392290780</t>
  </si>
  <si>
    <t>Muhammet Emnacar/5053366098</t>
  </si>
  <si>
    <t>Toroslar/Akbelen</t>
  </si>
  <si>
    <t>Şaban Gökgöz/5382797267</t>
  </si>
  <si>
    <t>ramazandan sonra istiyor</t>
  </si>
  <si>
    <t>Cesim Atila/5466963372</t>
  </si>
  <si>
    <t>musait degillermiş erteleme saglandı</t>
  </si>
  <si>
    <t>Mehmet şef mis ismi 2 yıl önce isim değiştirmiş</t>
  </si>
  <si>
    <t>Halil İbrahim Bey / 5332784334</t>
  </si>
  <si>
    <t>haber gelmedi</t>
  </si>
  <si>
    <t>fotoğrafçı gitmeyecek</t>
  </si>
  <si>
    <t>Toroslar-Yalınayak</t>
  </si>
  <si>
    <t xml:space="preserve">ZAFER AYYILDIZ-5317858325          </t>
  </si>
  <si>
    <t>Toroslar-Merkez Köyü 1. Bölge</t>
  </si>
  <si>
    <t>CANAN DEMİRYÜREK POLAT-5366141033</t>
  </si>
  <si>
    <t>Toroslar / Yusuf Kılıç</t>
  </si>
  <si>
    <t>Seçkin Bey / 5533556350 / 5386723570</t>
  </si>
  <si>
    <t xml:space="preserve">0'dan çekim </t>
  </si>
  <si>
    <t xml:space="preserve">Toroslar/ Arpaçlar </t>
  </si>
  <si>
    <t>Nazmi Bey / 5074307786</t>
  </si>
  <si>
    <t xml:space="preserve">Mücahit
Topçu
Erdemli
</t>
  </si>
  <si>
    <t xml:space="preserve">Erdemli  Akdeniz 1. Bölge </t>
  </si>
  <si>
    <t>Eren Bey / 5308276203</t>
  </si>
  <si>
    <t xml:space="preserve">   11.00</t>
  </si>
  <si>
    <t>Erdemli  Akdeniz 1. Bölge</t>
  </si>
  <si>
    <t>Ali Bey / 3245153912</t>
  </si>
  <si>
    <t xml:space="preserve">Ferhat Köksal </t>
  </si>
  <si>
    <t xml:space="preserve">   12.30</t>
  </si>
  <si>
    <t>Erdemli	Akdeniz 2. Bölge</t>
  </si>
  <si>
    <t>Gülşen Karayılan	5439471607</t>
  </si>
  <si>
    <t xml:space="preserve">  14.00</t>
  </si>
  <si>
    <t>Erdemli	Merkez 1. Bölge</t>
  </si>
  <si>
    <t>Mümin Baş	5362315160</t>
  </si>
  <si>
    <t xml:space="preserve">   15.30 </t>
  </si>
  <si>
    <t>Erdemli	Merkez 2. Bölge</t>
  </si>
  <si>
    <t>Muhittin Koçaş	3245154040</t>
  </si>
  <si>
    <t xml:space="preserve">  17.00</t>
  </si>
  <si>
    <t>Bahri Bey / 3245154455</t>
  </si>
  <si>
    <t>oğlu çekimi kabul etmemiş</t>
  </si>
  <si>
    <t>Erdemli	Alata 1. Bölge</t>
  </si>
  <si>
    <t>Yavuz Akkaya	5350505333</t>
  </si>
  <si>
    <t xml:space="preserve">  18.30</t>
  </si>
  <si>
    <t>Mehmet Bey 5303929621</t>
  </si>
  <si>
    <t>IsActive</t>
  </si>
  <si>
    <t>SON 2 HAFTA</t>
  </si>
  <si>
    <t>Eklendi mi</t>
  </si>
  <si>
    <t>DOĞRU</t>
  </si>
  <si>
    <t>Geleneksel</t>
  </si>
  <si>
    <t>S Katık Döner, Yenişehir (Çiftlikköy Mah.)</t>
  </si>
  <si>
    <t>5fec4f6737c1db852055a013</t>
  </si>
  <si>
    <t>Komagene Etsiz Çiğ Köfte, Yenişehir (Çiftlikköy Mah.)</t>
  </si>
  <si>
    <t>Esra Gonca Parlar</t>
  </si>
  <si>
    <t>ÇİFTLİKKÖY MH. ÜNİVERSİTE CD. NO:31/C</t>
  </si>
  <si>
    <t>Key</t>
  </si>
  <si>
    <t>5fedc3ccf351dc771967517e</t>
  </si>
  <si>
    <t>McDonald's, İçel (Fevzi Çakmak Mah. Tarsu Avm)</t>
  </si>
  <si>
    <t>Ömer Tarık Güney</t>
  </si>
  <si>
    <t>Fevzi Çakmak Mah. Tarsu Alışveriş Merkezi 1.Kat Mağaza No:1090 Tarsus/Mersin</t>
  </si>
  <si>
    <t>Limonluk mah., İsmet İnönü Bulvarı, Sarmanyalı Konutları A Blok No147/A Yenişehir, Mersin</t>
  </si>
  <si>
    <t>Deniz Ürünleri</t>
  </si>
  <si>
    <t>Antakya Döner Alaaddin Gurme, Yenişehir (Çiftlikköy Mah.)</t>
  </si>
  <si>
    <t>Emel Kan</t>
  </si>
  <si>
    <t>5feb41ddf351dc41ab66faaf</t>
  </si>
  <si>
    <t>McDonald's, Mezitli (Merkez Mah.)</t>
  </si>
  <si>
    <t>Yeni Mahalle, Gazi Mustafa Kemal Bulvarı, Opet Yanı No:728/A Mezitli - Mersin</t>
  </si>
  <si>
    <t>5fec5484ad8a389b7825aa08</t>
  </si>
  <si>
    <t>Komagene Etsiz Çiğ Köfte, Erdemli (Merkez Mah.)</t>
  </si>
  <si>
    <t>MERKEZ MH. S. ÇAKMAKOĞLU CD. (1. PLAJ YOLU) NO:19/A</t>
  </si>
  <si>
    <t>YANLIŞ</t>
  </si>
  <si>
    <t>Güvenevler mah. , Dumlupınar Cd. No:9, 33140 Yenişehir/Mersin</t>
  </si>
  <si>
    <t>Çiftlik Cızzgara Közde Piliç &amp; Et Köfte (Çiftlikköy Mah.)</t>
  </si>
  <si>
    <t>5fec62b7f351dc4340671c59</t>
  </si>
  <si>
    <t>Komagene Etsiz Çiğ Köfte, Mezitli (Fatih Mah.)</t>
  </si>
  <si>
    <t>FATİH MH. G. MUSTAFA KEMAL BLV. BATMAZ APT. NO:567/A</t>
  </si>
  <si>
    <t>Eylül Dondurma &amp; Baklava &amp; Börek, Mezitli (Yeni Mah.)</t>
  </si>
  <si>
    <t>Yeni mahalle, 33166. sok, no:14/B, Mezitli, Mersin</t>
  </si>
  <si>
    <t>6000de21fa8f165c9e04bb99</t>
  </si>
  <si>
    <t>Komagene Etsiz Çiğ Köfte, Akdeniz (İstiklal Cad.)</t>
  </si>
  <si>
    <t>CAMİŞERİF MH. İSTİKLAL CD. NO:48/C</t>
  </si>
  <si>
    <t>600175073c3b6e9d1762f5cd</t>
  </si>
  <si>
    <t>Komagene Etsiz Çiğ Köfte, Yenişehir (Eğriçam Mah.)</t>
  </si>
  <si>
    <t>EĞRİÇAM MH. NEVİT KODALLI CD. ÇAKIROĞLU APT. F BLOK NO: 17B</t>
  </si>
  <si>
    <t>60016314bb116157f877915d</t>
  </si>
  <si>
    <t>Komagene Etsiz Çiğ Köfte, Tarsus (Fevzi Çakmak Mah.)</t>
  </si>
  <si>
    <t>FEVZİ ÇAKMAK MH. ADANA BUL. TARSU AVM</t>
  </si>
  <si>
    <t>60016e36bd264da8bb545eb6</t>
  </si>
  <si>
    <t>Komagene Etsiz Çiğ Köfte, Yenişehir (Alanya Fırın Sok.)</t>
  </si>
  <si>
    <t>GÜVENEVLER MAH.1902 SK.18\C ALANYA FIRIN SOK.</t>
  </si>
  <si>
    <t>5fe4baf8933ff436571c806e</t>
  </si>
  <si>
    <t>KFC, Yenişehir (Limonluk Mah.)</t>
  </si>
  <si>
    <t>Tamer Yılmaz</t>
  </si>
  <si>
    <t>Limonluk, 36. Cadde No:2 D:114, 33120 Yenişehir/Mersin</t>
  </si>
  <si>
    <t>Antep Çiğköfte Tolga Usta, Yenişehir (Bahçelievler Mah.)</t>
  </si>
  <si>
    <t>5feb47a8ac60e85d4d6d64da</t>
  </si>
  <si>
    <t>McDonald's, Yenişehir (Limonluk Mah.)</t>
  </si>
  <si>
    <t>Mersin Carrefour AVM Limonluk mah. İsmet İnonu Bulvari Yenisehir-Mersin</t>
  </si>
  <si>
    <t>5feb4c9b630a76af93ff157a</t>
  </si>
  <si>
    <t>McDonald's, Yenişehir (Eğriçam Mah.)</t>
  </si>
  <si>
    <t>Eğriçam Mh. Gazi Mustafa Kemal Bulv. No:506/4 Yenişehir – Mersin</t>
  </si>
  <si>
    <t>Hasan Usta Tantuni, Yenişehir (Güvenevler Mah.- Pozcu )</t>
  </si>
  <si>
    <t>Şahin Acar</t>
  </si>
  <si>
    <t>Pizza Majestik, Toroslar (Zeki Ayan mah.)</t>
  </si>
  <si>
    <t>Zeki Ayan mah., Akbelen Bulvarı, No :48, Toroslar, Mersin</t>
  </si>
  <si>
    <t>6000d20835e58018d145d19e</t>
  </si>
  <si>
    <t>Komagene Etsiz Çiğ Köfte, Yenişehir (İnönü Mah.)</t>
  </si>
  <si>
    <t>BEZEK APT, İnönü Mahallesi 1405. Sokak No:30, 1406. Sk. 17/C, 33130 Yenişehir</t>
  </si>
  <si>
    <t>6000db8d35e580fed145d556</t>
  </si>
  <si>
    <t>Komagene Etsiz Çiğ Köfte, Toroslar (Tozkoparan Mah.)</t>
  </si>
  <si>
    <t>TOZKOPARAN MH. KUVAYİ MİLLİYE CD. BEKİR KURU AP. N:254/B</t>
  </si>
  <si>
    <t>6000e7af5f0ab4302be8b553</t>
  </si>
  <si>
    <t>Komagene Etsiz Çiğ Köfte, Tarsus (Kavaklı Mah.)</t>
  </si>
  <si>
    <t>Kavaklı</t>
  </si>
  <si>
    <t>KAVAKLI MH. KASIM EKENLER BULVARI 52/1</t>
  </si>
  <si>
    <t>60017dadf112350ac5b0ba6b</t>
  </si>
  <si>
    <t>Komagene Etsiz Çiğ Köfte, Akdeniz (Silifke Cad.)</t>
  </si>
  <si>
    <t>KİREMİTHANE MAH. SİLİFKE CD. HANİ DUMLU APT.NO:80\E</t>
  </si>
  <si>
    <t>60154bc5bb98bb5fd337d108</t>
  </si>
  <si>
    <t>Terra Pizza - Pizza Pizza, Mezitli (Viranşehir Mah.)</t>
  </si>
  <si>
    <t>Muhammed Tozlu</t>
  </si>
  <si>
    <t>Viranşehir Mahallesi Cengiz Topel Caddesi Akdeniz Plaza No:27 MEZİTLİ</t>
  </si>
  <si>
    <t>Petek Kebap &amp; Lahmacun, Yenişehir (Batıkent Mah.)</t>
  </si>
  <si>
    <t>Yiğithan Memiş</t>
  </si>
  <si>
    <t>6000e5724a4dfa4af5ac4264</t>
  </si>
  <si>
    <t>Komagene Etsiz Çiğ Köfte, Mezitli (Akdeniz Mah.)</t>
  </si>
  <si>
    <t>AKDENİZ MH. FATİH CD. GÜVEN APT ALTI NO1/C</t>
  </si>
  <si>
    <t>600171f9def5a054c85779c5</t>
  </si>
  <si>
    <t>Komagene Etsiz Çiğ Köfte, Mezitli (Vatan Cad.)</t>
  </si>
  <si>
    <t>MERKEZ MH.VATAN CD. ARDIÇ 5 KONUTLARI C BLOK N0:13A</t>
  </si>
  <si>
    <t>60154cefb9e6853a215ba404</t>
  </si>
  <si>
    <t>Terra Pizza - Pizza Pizza, Yenişehir (Güvenevler Mah.)</t>
  </si>
  <si>
    <t>Güvenevler Mah. 1917 Sk. Serkan Apt. Yenişehir- Mersin</t>
  </si>
  <si>
    <t>The Ortaköy Lounge, Yenişehir (Çiftlikköy Mah.)</t>
  </si>
  <si>
    <t>Limonlu 2. Bölge</t>
  </si>
  <si>
    <t>Ziver Usta Tantuni &amp; Biftek Salonu (Hüseyin Okan Merzeci Mah.)</t>
  </si>
  <si>
    <t>601531ad3a7478bdec60ab6c</t>
  </si>
  <si>
    <t>Terra Pizza - Pizza Pizza, Silifke (Saray Mah.)</t>
  </si>
  <si>
    <t>Saray Mah. Cavit Erden Cad. No:64/15 Silifke</t>
  </si>
  <si>
    <t>60154b6abb98bb6ee937d0da</t>
  </si>
  <si>
    <t>Terra Pizza - Pizza Pizza, Tarsus (Şehitishak Mah.)</t>
  </si>
  <si>
    <t>Şehit İshak Mahallesi Atatürk Bulvarı Mehmet Boro Apartmanı No:118 Tarsus</t>
  </si>
  <si>
    <t>Tuncay Paşaoğlu</t>
  </si>
  <si>
    <t>82evler</t>
  </si>
  <si>
    <t>Miray Izgara &amp; Tavuk, Tarsus (Yeni Mah.)</t>
  </si>
  <si>
    <t>5febba0ee97c0d4f2fd11f5d</t>
  </si>
  <si>
    <t>Little Caesars, Mezitli (Merkez Mah.)</t>
  </si>
  <si>
    <t>Oğuzhan Toprak</t>
  </si>
  <si>
    <t>YENI MAHALLESI, İSMET İNÖNÜ BULVARI, NO: 46/F MEZITLI, MERSIN</t>
  </si>
  <si>
    <t>Hatice Demir</t>
  </si>
  <si>
    <t>5febb5ca345867d642462111</t>
  </si>
  <si>
    <t>Little Caesars, Yenişehir (50. Yıl Mah.)</t>
  </si>
  <si>
    <t>Aykut Kızılay</t>
  </si>
  <si>
    <t>50.YIL MAH. ALI KAYA MUTLU CAD. KUZEY İNDIGO APT. N: 14 C YENIŞEHIR-MERSIN</t>
  </si>
  <si>
    <t>6037247adee19b0858f013d8</t>
  </si>
  <si>
    <t>Starbucks®, Yenişehir (Güvenevler Mah.)</t>
  </si>
  <si>
    <t>Sertaç Yontan</t>
  </si>
  <si>
    <t>Güvenevler Mah. 1. Cad. No:120-133 Forum Mersin AVM, GF Blok 30A, Yenişehir – Mersin</t>
  </si>
  <si>
    <t>603732da9acab4838041c358</t>
  </si>
  <si>
    <t>Starbucks®, Yenişehir (Gazi Mah.)</t>
  </si>
  <si>
    <t>Pozcu: GAZİ MAHALLESİ ADNAN MENDERES BLV. V. AYHAN BOLKAN APARTMANI Sit. NO: 64 A YENİŞEHİR/MERSİN</t>
  </si>
  <si>
    <t>Deren Kebap Üniversite, Yenişehir (Çiftlikköy Mah.)</t>
  </si>
  <si>
    <t>605e328665ce681149aaa678</t>
  </si>
  <si>
    <t>Kahve Dünyası, Yenişehir (Eğriçam Mah.)</t>
  </si>
  <si>
    <t>Burak Bezgin</t>
  </si>
  <si>
    <t>EĞRİCAM Mah. ADNAN MENDERES BULVARI 33 DAB MERSİN MARİNA AVM YENİŞEHİR MERSİN</t>
  </si>
  <si>
    <t>Hakan Dinlemez</t>
  </si>
  <si>
    <t>Cami şerif mah. 5240 sok. No :14/B Akdeniz, Mersin</t>
  </si>
  <si>
    <t>Recep Ünal</t>
  </si>
  <si>
    <t>6000d77e65ba52c2502d492c</t>
  </si>
  <si>
    <t>Komagene Etsiz Çiğ Köfte, Bozyazı (Merkez Mah.)</t>
  </si>
  <si>
    <t>Bozyazı</t>
  </si>
  <si>
    <t>MERKEZ MH. HİLMİ ERGENEKON CD. NO:3/A</t>
  </si>
  <si>
    <t>Mehmet Şef Tantuni, Yenişehir (Aydınlıkevler Mah.)</t>
  </si>
  <si>
    <t>Meri Paşa Antakya Döner, Akdeniz (Bahçe Mah.)</t>
  </si>
  <si>
    <t>Palmiras Tantuni &amp; Döner, Yenişehir (Akkent Mah.)</t>
  </si>
  <si>
    <t>Akkent mah., 2357. sok. No:20/A, Yenişehir/Mersin</t>
  </si>
  <si>
    <t>5fe4eaed5a10c66f0e7e13a7</t>
  </si>
  <si>
    <t>Gaga, Yenişehir (Güvenevler Mah.)</t>
  </si>
  <si>
    <t>Ahmet Yeşil Karteper</t>
  </si>
  <si>
    <t>Güvenevler, 1910. Sk. No:13, 33140 Yenişehir/Mersin</t>
  </si>
  <si>
    <t>604a45fa24a3ce0ce87104bc</t>
  </si>
  <si>
    <t>Komagene Etsiz Çiğ Köfte, Tarsus (Öğretmenler Mah.)</t>
  </si>
  <si>
    <t>ÖĞRETMENLER MH. DUMLUPINAR BUVL. NO:5/A</t>
  </si>
  <si>
    <t>Öz Kardeşler Tantuni &amp; Döner, Toroslar (Osmaniye Mah.)</t>
  </si>
  <si>
    <t>6065b7193fba85416b2c19f2</t>
  </si>
  <si>
    <t>Domino's Pizza, Silifke (Göksu Mah.)</t>
  </si>
  <si>
    <t>Zeliha Nalbant</t>
  </si>
  <si>
    <t>Göksu Mah. 66. Sok. Neriman Hanım Apt. No:13 A Silifke Mersin</t>
  </si>
  <si>
    <t>6065b1bf334d3a7f5e550945</t>
  </si>
  <si>
    <t>Domino's Pizza, Mezitli (Fatih Mah.)</t>
  </si>
  <si>
    <t>Fatih Mah. Gmk Bulv. Akgün Apt. No:615 Mezitli</t>
  </si>
  <si>
    <t>60658fc122ccdd54d9de2ca8</t>
  </si>
  <si>
    <t>Domino's Pizza, Tarsus (Şehitmustafa Mah. - Merkez)</t>
  </si>
  <si>
    <t>Şehit Mustafa Mah. Muvaffak Uygur Cad. No:25 Semih Apt. Altı Tarsus</t>
  </si>
  <si>
    <t>605e31fc3730cfa430521874</t>
  </si>
  <si>
    <t>Kahve Dünyası, Yenişehir (Güvenevler Mah.)</t>
  </si>
  <si>
    <t>FORUM MERSİN AVM 1.CADDE NO:120-133 GF BLK NO:29</t>
  </si>
  <si>
    <t>605c965c4df3482e10a8084e</t>
  </si>
  <si>
    <t>Popeyes (Akkent Mah.)</t>
  </si>
  <si>
    <t>Emre May</t>
  </si>
  <si>
    <t>Akkent Mah.Hüseyin Okan Merzeci Bul.Sayapark AVM</t>
  </si>
  <si>
    <t>605c822e89ffd34cc5c535c6</t>
  </si>
  <si>
    <t>Popeyes, Tarsus (Şehitisak Mah. - 100. Yıl)</t>
  </si>
  <si>
    <t>Fevzi Çakmak Mahallesi, Adana Caddesi, No:57</t>
  </si>
  <si>
    <t>605c79724df3487c4ea806bb</t>
  </si>
  <si>
    <t>Burger King, Erdemli (Merkez Mah.)</t>
  </si>
  <si>
    <t>Alparslan TÜRKEŞ Bulvarı NO: 541</t>
  </si>
  <si>
    <t>Merkez Mah.Alparslan Türkeş Bulvarı No/160-C Erdemli,Mersin</t>
  </si>
  <si>
    <t>Kırmızı Kebap &amp; Lahmacun &amp; Pide, Akdeniz (Yenimahalle Mah.)</t>
  </si>
  <si>
    <t>Mevsim Bahar Kazancı</t>
  </si>
  <si>
    <t>608822166caf5446a5a744b3</t>
  </si>
  <si>
    <t>Gloria Jean's Coffee, Yenişehir (Akkent Mah.)</t>
  </si>
  <si>
    <t>Göksel DÖNMEZ</t>
  </si>
  <si>
    <t>Akkent Mah. H.O Merzeci bulvarı SAYAPARK AVM A.Blok 759A/Z06 Yenişehir/MERSİN</t>
  </si>
  <si>
    <t>6000e02dffc198316e137c9e</t>
  </si>
  <si>
    <t>Komagene Etsiz Çiğ Köfte, Tarsus (Ergenekon Mah.)</t>
  </si>
  <si>
    <t>ERGENEKON MAH. ATATÜRK BULVARI 201 B</t>
  </si>
  <si>
    <t>60659cb3172a02928b9df311</t>
  </si>
  <si>
    <t>Domino's Pizza, Akdeniz (Kiremithane Mah.)</t>
  </si>
  <si>
    <t>Kiremithane Mah. Silifke Cad. No:44 B Akdeniz Mersin</t>
  </si>
  <si>
    <t>6065b148bdf69e6cd05c93d8</t>
  </si>
  <si>
    <t>Domino's Pizza, Anamur (Yeşilyurt Mah.)</t>
  </si>
  <si>
    <t>Yeşilyurt Mah. 424 Sok. No:6 9 Anamur Mersin</t>
  </si>
  <si>
    <t>6065b484d72174c41f1baafa</t>
  </si>
  <si>
    <t>Domino's Pizza, Yenişehir (Gazi Mah.)</t>
  </si>
  <si>
    <t>Gazi Mah. Gazi Mustafa Kemal (Gmk) Bulv. No: 349B Yenişehir Mersin</t>
  </si>
  <si>
    <t>Hanım Çelik</t>
  </si>
  <si>
    <t>Hacı Ömer Aykol</t>
  </si>
  <si>
    <t>Katık Döner, Yenişehir (Çiftlikköy Mah. Üniversite Cad.)</t>
  </si>
  <si>
    <t>Şehriban Çintaş</t>
  </si>
  <si>
    <t>Akdeniz Mah.Fatih Cad.No/7-A Mezitli, Mersin</t>
  </si>
  <si>
    <t>Helvacı Yakub Efendi, Akdeniz (Mahmudiye Mah.)</t>
  </si>
  <si>
    <t>Mahmudiye Mah.Bahçe Cad.No:5-B Akdeniz,Mersin</t>
  </si>
  <si>
    <t>Eğriçam mah. Nevitkodanllı cad. Behiye Gür apartmanı No : 27/D Yenişehir Mersin</t>
  </si>
  <si>
    <t>Erol Dinçer</t>
  </si>
  <si>
    <t>60ae1d20c6efeb160533ff7d</t>
  </si>
  <si>
    <t>Mado, Yenişehir (İnönü Mah.)</t>
  </si>
  <si>
    <t>Cüneyt Koçyiğit</t>
  </si>
  <si>
    <t>İnönü Mah. 1402 Sk. Suberi Apt. Altı NO : 68/A</t>
  </si>
  <si>
    <t>Helvacı Yakub Efendi, Yenişehir (Çiftlikköy Mah.)</t>
  </si>
  <si>
    <t>60c742bf50ac2ba9e78922c6</t>
  </si>
  <si>
    <t>Anatolia Pizza, Mezitli (Tece Mah.)</t>
  </si>
  <si>
    <t>Deniz Mah.49232 Sokak No/2-B Silifke,Mersin</t>
  </si>
  <si>
    <t>Oses Çiğ Köfte, Mezitli (Viranşehir Mah.-Cengiz Topel Cad.)</t>
  </si>
  <si>
    <t>60a8f1ae4e1c99f2f788766e</t>
  </si>
  <si>
    <t>Komagene Etsiz Çiğ Köfte, Erdemli (Kazım Karabekir Cad.)</t>
  </si>
  <si>
    <t>MERKEZ MAH.KAZIM KARABEKİR CAD. B BLOK NO:36B</t>
  </si>
  <si>
    <t>FUAT MOREL MAH. 28105 SOKAK
 NO:58/A YENİŞEHİR , MERSİN
 YAHYA GÜNSUR LİSESİ KARŞISI</t>
  </si>
  <si>
    <t>60b61d984ff77f80dda815dc</t>
  </si>
  <si>
    <t>Sbarro Pizza, Tarsus (Fevzi Çakmak Mah.)</t>
  </si>
  <si>
    <t>FEVZİ ÇAKMAK MAHALLESİ ADANA CADDESİ TARSU AVM NO: 57 REST NO: 106 TARSUS MERSİN</t>
  </si>
  <si>
    <t>Gaia &amp; Co Coffee, Yenişehir (Güvenevler Mah.)</t>
  </si>
  <si>
    <t>60b692284ff77f3d48a82538</t>
  </si>
  <si>
    <t>Hamza Efendi Baklava, Erdemli (Merkez Mah.)</t>
  </si>
  <si>
    <t>Merkez Mah.Kazım Karabekir Cad.No/26-G Erdemli,Mersin</t>
  </si>
  <si>
    <t>60d1d2022cfad12b4ff2706b</t>
  </si>
  <si>
    <t>KFC, Mezitli (Yeni Mah.)</t>
  </si>
  <si>
    <t>Yeni Mah, Çelik Apt, No:686A, Gazi Mustafa Kemal Blv Mezitli/Mersin</t>
  </si>
  <si>
    <t>Eğriçam mahallesi Gazi Mustafa Kemal bulvarı no: 544/B bakırcı apartmanı altı Yenişehir/MERSİN</t>
  </si>
  <si>
    <t>Oses Çiğ Köfte, Tarsus (Öğretmenler Mah.)</t>
  </si>
  <si>
    <t>Reşadiye</t>
  </si>
  <si>
    <t>Atik</t>
  </si>
  <si>
    <t>Oses Çiğ Köfte, Yenişehir (Çiftlikköy Mah. -Üniversite Cad.)</t>
  </si>
  <si>
    <t>ÇİFTLİKKÖY MAH. ÜNİVERSİTE CAD. DEREN SİTESİ A BLOK NO:44</t>
  </si>
  <si>
    <t>60e31a168c56d00abe4ae0c7</t>
  </si>
  <si>
    <t>SR Döner, Akdeniz (Çankaya Mah.)</t>
  </si>
  <si>
    <t>Oral Kırmacı</t>
  </si>
  <si>
    <t>Çankaya Mah Kuvayı Milliye Cad Şimşek İşhanı no : 47 A Akdeniz Mersin</t>
  </si>
  <si>
    <t>Şevket Çekin</t>
  </si>
  <si>
    <t>Mahmudiye mah. Kuvayi Milliye cad. No: 79 Akdeniz/Mersin</t>
  </si>
  <si>
    <t>Erdemli Meslek Yüksekokulu</t>
  </si>
  <si>
    <t>605c759d4df348b781a804e4</t>
  </si>
  <si>
    <t>Popeyes, Yenişehir (Güvenevler Mah.)</t>
  </si>
  <si>
    <t>GÜVENEVLER MAH.20.CADDE S BLOK NO:5 MERSİN/FORUM</t>
  </si>
  <si>
    <t>Bahçelievler Mah.16.Cadde No/49-A Yenişehir,Mersin</t>
  </si>
  <si>
    <t>5ff86a693b0c6d87fe0de068</t>
  </si>
  <si>
    <t>Papa John's Pizza, Yenişehir (Limonluk Mah.)</t>
  </si>
  <si>
    <t>Gökhan Karakuş</t>
  </si>
  <si>
    <t>Limonluk, 18. Cd. No:86 D, 33120 Yenişehir/Mersin</t>
  </si>
  <si>
    <t>61030433e442a913e2884053</t>
  </si>
  <si>
    <t>Mansuroğlu Döner, Mezitli (Yenimahalle Mah.)</t>
  </si>
  <si>
    <t>Yeni Mah.Sanayi Cad.No/21-G Mezitli,Mersin</t>
  </si>
  <si>
    <t>6127400bb08ae643447645b2</t>
  </si>
  <si>
    <t>Burger King, Yenişehir (Güvenevler Mah.)</t>
  </si>
  <si>
    <t>Güvenevler Mah.20.Cadde 120/133 Forum Avm S Blok No:10 Pk 33140</t>
  </si>
  <si>
    <t>Çiftlik Döner &amp; İskender, Yenişehir (İnönü Mah.)</t>
  </si>
  <si>
    <t>Merve Akdemir</t>
  </si>
  <si>
    <t>SML Döner &amp; Lahmacun &amp; Izgara, Yenişehir (Cumhuriyet Mah.)</t>
  </si>
  <si>
    <t>605c5d03dce77382b110e039</t>
  </si>
  <si>
    <t>Popeyes, Yenişehir (Limonluk Mah.)</t>
  </si>
  <si>
    <t>MERSİN PALM CITY AVM FC PE</t>
  </si>
  <si>
    <t>Mersin Üniversitesi Tece Yerleskesi</t>
  </si>
  <si>
    <t>İrem Cafe &amp; Ev Yemekleri &amp; Döner &amp; Tantuni, (Merkez Mah.)</t>
  </si>
  <si>
    <t>600177c53b0c6df2690fcbfd</t>
  </si>
  <si>
    <t>Komagene Etsiz Çiğ Köfte, Mezitli (Fındık Pınarı Cad.)</t>
  </si>
  <si>
    <t>MEZİTLİ MERKEZ MH.FINDIK PINARI CD.NO:26\A KUYULUK YOLU</t>
  </si>
  <si>
    <t>İnan Tantuni 2 Memet Usta, Toroslar (Selçuklar Mah.)</t>
  </si>
  <si>
    <t>60ba14694106ad6a5aa6c70e</t>
  </si>
  <si>
    <t>Oses Çiğ Köfte, Toroslar (Çağdaşkent Mah.)</t>
  </si>
  <si>
    <t>6184f65781505b86979e0cd6</t>
  </si>
  <si>
    <t>Komagene Etsiz Çiğ Köfte, Yenişehir (Barbaros Blv.)</t>
  </si>
  <si>
    <t>GÜVENEVLER MAH. BARBAROS BLV. NO: 92 A</t>
  </si>
  <si>
    <t>619f89e1a999ed13383d1ae7</t>
  </si>
  <si>
    <t>Usta Pideci, Yenişehir (Güvenevler Mah.)</t>
  </si>
  <si>
    <t>Güvenevler Mah. 1.cad.B blok no:120/216 AKDENİZ/MERSİN</t>
  </si>
  <si>
    <t>61a9faabba76346fd38f4f60</t>
  </si>
  <si>
    <t>Komagene Etsiz Çiğ Köfte, Anamur (Saray Mah.)</t>
  </si>
  <si>
    <t>SARAY MAH.AKDENİZ CAD.NO:27\D</t>
  </si>
  <si>
    <t>Köylüm 33 Tantuni &amp; Döner &amp; Izgara, Toroslar (Yusuf Kılıç Mah.)</t>
  </si>
  <si>
    <t>60939d08ce331c610b47d203</t>
  </si>
  <si>
    <t>Komagene Etsiz Çiğ Köfte, Mezitli (Merkez Mah.)</t>
  </si>
  <si>
    <t>MERKEZ MAH.ESKİKÖY CAD.TİGRİS 4 APT.NO:32\D</t>
  </si>
  <si>
    <t>Gaziantep Uzman Baklavaları, Toroslar ( Selçuklar Mah.)</t>
  </si>
  <si>
    <t>61890010cd1a2ff09009149c</t>
  </si>
  <si>
    <t>Popeyes, Erdemli (Merkez Mah.)</t>
  </si>
  <si>
    <t>Alparslan TÜRKEŞ Bulvarı NO: 541 Nova Cıty Avm ERDEMLİ / MERSİN</t>
  </si>
  <si>
    <t>616015dab8abc15f248afbcd</t>
  </si>
  <si>
    <t>Özbay Pide &amp; Lahmacun Sarayı, Yenişehir (Çiftlikköy Mah.)</t>
  </si>
  <si>
    <t>Kader Eryaşar Özbay</t>
  </si>
  <si>
    <t>Çiftlikköy Mah.3257 sokak No/1 -2 Yenişehir,Mersin</t>
  </si>
  <si>
    <t>Zakir Kısa</t>
  </si>
  <si>
    <t>Çağdaşkent Mah. Çiftçiler Cad. No:75/A Toroslar mersin</t>
  </si>
  <si>
    <t>6199db5916f46b26dbe732bf</t>
  </si>
  <si>
    <t>Handan Yosunlu</t>
  </si>
  <si>
    <t>Merkez Mah.52127 Sokak No/37-BA Mezitli,Mersin</t>
  </si>
  <si>
    <t>Yaprak Tantuni, Yenişehir (Güvenevler Mah.Forum Avm)</t>
  </si>
  <si>
    <t>Güvenevler mah, 1 cad. Forum Avm, Yenişehir, Mersin</t>
  </si>
  <si>
    <t>61af71adda00331b10f81fe4</t>
  </si>
  <si>
    <t>Oses Çiğ Köfte, Tarsus (Kırklarsırtı Mah.)</t>
  </si>
  <si>
    <t>Sinan Aydın</t>
  </si>
  <si>
    <t>Kırklarsırtı Mah., 2612. Sok., No:36, Tarsus, Mersin, Türkiye,</t>
  </si>
  <si>
    <t>61afdf0fe66c1247dced50ea</t>
  </si>
  <si>
    <t>Oses Çiğ Köfte, Toroslar (Mustafa Kemal Mah.)</t>
  </si>
  <si>
    <t>Mustafa Kemal Mah., 98026. Sok., No:1/3, Toroslar, Mersin, Türkiye,</t>
  </si>
  <si>
    <t>61b208d6aa9fd9523c804bfd</t>
  </si>
  <si>
    <t>Oses Çiğ Köfte, Toroslar (Halkkent Mah.)</t>
  </si>
  <si>
    <t>Sadık Tırkaz</t>
  </si>
  <si>
    <t>Halkkent Mah Oruç Reis Cad No 3 Toroslar Mersin</t>
  </si>
  <si>
    <t>61b21a5cb02a4f1e4996ff27</t>
  </si>
  <si>
    <t>Oses Çiğ Köfte, Mezitli (Merkez Mah.)</t>
  </si>
  <si>
    <t>Recep Bülent Çetin</t>
  </si>
  <si>
    <t>Fındıkpınarı Cad Şenol Apt no 9 / E Mezitli Mersin</t>
  </si>
  <si>
    <t>Kayhan Tantuni, Toroslar (Kuvayi Milliye Mah.-Merkez)</t>
  </si>
  <si>
    <t>619f8698d83d5a1680fa9833</t>
  </si>
  <si>
    <t>Sbarro Pizza, Yenişehir (Güvenevler Mah.)</t>
  </si>
  <si>
    <t>616056e142e9719903122705</t>
  </si>
  <si>
    <t>Oses Çiğ Köfte (Arpaçsakarlar Mah.)</t>
  </si>
  <si>
    <t>Abdusselam Esin</t>
  </si>
  <si>
    <t>Arpaçsakarlar Mah Çiftçiler Cad No 9 Mersin</t>
  </si>
  <si>
    <t>Aysa Kebap &amp; Döner, Toroslar (Mithat Toroğlu Mah.)</t>
  </si>
  <si>
    <t>6149d4097534bc2af0c4cfb3</t>
  </si>
  <si>
    <t>Espressolab, Yenişehir (İnönü Mah.)</t>
  </si>
  <si>
    <t>Berna BAYDAR</t>
  </si>
  <si>
    <t>inönü mah. kushimato sokağı ünal apt no:18</t>
  </si>
  <si>
    <t>Premium</t>
  </si>
  <si>
    <t>6195cf1e8b8b2a4de62c4daa</t>
  </si>
  <si>
    <t>SADAKA ÇELİK</t>
  </si>
  <si>
    <t>61a9db31a061506f6f7f2a92</t>
  </si>
  <si>
    <t>Chinese &amp; Sushi Express, Yenişehir (Eğriçam Mah.)</t>
  </si>
  <si>
    <t>OSMAN ERGİN</t>
  </si>
  <si>
    <t>Eğriçam Mah. Adnan Menderes Blv. Marina AVM. N2 Blok No:33 JB Yenişehir/ Mersin</t>
  </si>
  <si>
    <t>61b20b6fb212cbd12d74f840</t>
  </si>
  <si>
    <t>Oses Çiğ Köfte, Mezitli (Atatürk Mah.-Babil Kavşağı)</t>
  </si>
  <si>
    <t>Levent Aslan</t>
  </si>
  <si>
    <t>Atatürk Mahallesi Gazi Mustafa Kemal Bulvarı No: 682/E Hayat Apt A Blok Altı Mersin Mezitli</t>
  </si>
  <si>
    <t>616aaac912ca392802434ec1</t>
  </si>
  <si>
    <t>Sushico, Yenişehir (Eğriçam Mah.)</t>
  </si>
  <si>
    <t>6194e2b3839d5636a11b4f89</t>
  </si>
  <si>
    <t>Caribou Coffee, Yenişehir (Güvenevler Mah.)</t>
  </si>
  <si>
    <t>Güray Kallek</t>
  </si>
  <si>
    <t>GUVENEVLER MAH. 20 CADDE FORUM MERSIN AVM MERSIN</t>
  </si>
  <si>
    <t>607ae037d067794840bdd4c6</t>
  </si>
  <si>
    <t>Komagene Etsiz Çiğ Köfte, Mezitli (Deniz Mah.)</t>
  </si>
  <si>
    <t>DENİZ MAH.GAZİPAŞA CAD.45\B TECE</t>
  </si>
  <si>
    <t>61dbd7fcd8c4ac398d4c376d</t>
  </si>
  <si>
    <t>Sabah İskender, Tarsus (Fevzi Çakmak Mah-Tarsu Avm)</t>
  </si>
  <si>
    <t>Mahmut Kanbal</t>
  </si>
  <si>
    <t>Tarsu Avm Tarsus</t>
  </si>
  <si>
    <t>61deeb57c5cc8c00c0b88644</t>
  </si>
  <si>
    <t>Oses Çiğ Köfte, Yenişehir (Menteş Mah.)</t>
  </si>
  <si>
    <t>Menteş mahallesi 38. cadde no:17/ A Yenişehir/MERSİN</t>
  </si>
  <si>
    <t>Seda Arifoğlu</t>
  </si>
  <si>
    <t>61b24eb51b105e292d807151</t>
  </si>
  <si>
    <t>Deniz Kızı Pastanesi, Mezitli (Deniz Mah.)</t>
  </si>
  <si>
    <t>Bahadır Uzunboy</t>
  </si>
  <si>
    <t>Deniz Mah.Halil Giron Cad.N0:14-A Mezitli,Mersin</t>
  </si>
  <si>
    <t>61b8cdb71a810933312be677</t>
  </si>
  <si>
    <t>Çiğdem Duman</t>
  </si>
  <si>
    <t>61cb0d8754ba7d84cd1bbf27</t>
  </si>
  <si>
    <t>Komagene Etsiz Çiğ Köfte, Mezitli (Yeni Mah.)</t>
  </si>
  <si>
    <t>YENİ MAH.33205 SK. NO:3/A MEZİTLİ MERSİN</t>
  </si>
  <si>
    <t>615af9f13a59d9306ac4f005</t>
  </si>
  <si>
    <t>Oses Çiğ Köfte, Erdemli (Kargıpınarı Mah.)</t>
  </si>
  <si>
    <t>CAFER ÜNAL</t>
  </si>
  <si>
    <t>Kargıpınarı mah tömük caddes no 2/B Erdemli Mersin</t>
  </si>
  <si>
    <t>61b1c4f57184e24da3e8252c</t>
  </si>
  <si>
    <t>Oses Çiğ Köfte, Silifke (Atakent Mah.)</t>
  </si>
  <si>
    <t>Barış Yıldızoğlu</t>
  </si>
  <si>
    <t>Silifke, Atakent Mah.Alparslan Türkeş Blv 30A</t>
  </si>
  <si>
    <t>Toros Et-Piliç-Mangal, Toroslar (Selçuklar Mah.)</t>
  </si>
  <si>
    <t>6065ab0422ccdd83e8defce1</t>
  </si>
  <si>
    <t>Domino's Pizza, Yenişehir (Güvenevler Mah. - Pozcu)</t>
  </si>
  <si>
    <t>50.Yıl Mah. 20. Cad. Zigana Plus B Blok No:53 B E Yenişehir Mersin</t>
  </si>
  <si>
    <t>61d5f4b74b828fc8591bed3f</t>
  </si>
  <si>
    <t>Yağmur Çetin</t>
  </si>
  <si>
    <t>600bf3a80475c862f6ab79e2</t>
  </si>
  <si>
    <t>Levent Börek, Erdemli (Arpaçbahşiş Mah.)</t>
  </si>
  <si>
    <t>Arpaçbahşiş 2. Bölge</t>
  </si>
  <si>
    <t>Arpaçbahşiş Mah. 201 Bulv. No:102</t>
  </si>
  <si>
    <t>Crunchy's Pizza &amp; Burger, Yenişehir (Fuat Morel Mah.)</t>
  </si>
  <si>
    <t>Fuat Morel Mah. 36.Cadde Alden Konakları No/29 Yenişehir,Mersin</t>
  </si>
  <si>
    <t>6102b6997c9daec4ef1ad487</t>
  </si>
  <si>
    <t>Levent Börek, Toroslar (Akbelen Mah.)</t>
  </si>
  <si>
    <t>Mehmet Aksoy</t>
  </si>
  <si>
    <t>Akbelen Mah. Akbelen Blv. 130A</t>
  </si>
  <si>
    <t>600bfe06262a187446667f48</t>
  </si>
  <si>
    <t>Levent Börek, Yenişehir (Eğriçam Mah.)</t>
  </si>
  <si>
    <t>ESRA YILMAZ</t>
  </si>
  <si>
    <t>EĞRİÇAM MAHALLESİ HÜSEYİN OKAN MERZECİ BULVARI</t>
  </si>
  <si>
    <t>6047f1a44e9e97e81fb580f8</t>
  </si>
  <si>
    <t>Levent Börek, Toroslar (Mustafa Kemal Mah.)</t>
  </si>
  <si>
    <t>Mustafa Kemal Mah hüseyin okan merzeci bulvarı 370/a Toroslar / Mersin</t>
  </si>
  <si>
    <t>Sabah Et Lokantası, Yenişehir (Güvenevler Mah. - Pozcu)</t>
  </si>
  <si>
    <t>61ce0b0a6142d0e3d7c9dda7</t>
  </si>
  <si>
    <t>Tufan Yasemin</t>
  </si>
  <si>
    <t>620a3d17a605bb32d41c61ec</t>
  </si>
  <si>
    <t>Teksos Döner, Tarsus (Altaylılar Mah.)</t>
  </si>
  <si>
    <t>Şükran Gümüştaş</t>
  </si>
  <si>
    <t>ALTAYLILAR MAH. TURAN CAD. NO: 6 A IC KAPI NO: 9 TARSUS/ MERSİN</t>
  </si>
  <si>
    <t>621a4f75c176853262181449</t>
  </si>
  <si>
    <t>Cafe Burger 85, Yenişehir (Hürriyet Mah.)</t>
  </si>
  <si>
    <t>Semire Düzkaya</t>
  </si>
  <si>
    <t>Hürriyet Mah.İsmet İnönü Bulvarı No:284-A Yenişehir,Mersin</t>
  </si>
  <si>
    <t>601534ccd22e2296a3b5cb1f</t>
  </si>
  <si>
    <t>Terra Pizza - Pizza Pizza, Erdemli (Merkez Mah.)</t>
  </si>
  <si>
    <t>Merkez Mah. Novada Erdemli Alışveriş Merkezi</t>
  </si>
  <si>
    <t>6231ef74ff0c5c088fc12c2a</t>
  </si>
  <si>
    <t>Komagene Etsiz Çiğ Köfte, Mut (Kale Mah.)</t>
  </si>
  <si>
    <t>Mut</t>
  </si>
  <si>
    <t>Kale</t>
  </si>
  <si>
    <t>KALE MH. CUMHURİYET CD. 17 /A</t>
  </si>
  <si>
    <t>İbrahim Tosuner</t>
  </si>
  <si>
    <t>61dd4c42b2ba53298bf4a36f</t>
  </si>
  <si>
    <t>Levent Börek, Mezitli (Yeni Mah.)</t>
  </si>
  <si>
    <t>MURAT YUMUŞAK</t>
  </si>
  <si>
    <t>YENİ MAHALLE GAZİ MUSTAFA KEMAL BULVARI NO 754 MEZİTLİ MERSİN</t>
  </si>
  <si>
    <t>61e63f174867b930425c5059</t>
  </si>
  <si>
    <t>Gaziantep Mıstık Baklavaları, Toroslar (Selçuklar Mah.)</t>
  </si>
  <si>
    <t>Selçuklar Mah.Çiftçiler Cad.No:206-D Toroslar,Mersin</t>
  </si>
  <si>
    <t>Sabah Et Lokantası, Akdeniz (Çankaya Mah.)</t>
  </si>
  <si>
    <t>61822423b5bb6c04bebb4836</t>
  </si>
  <si>
    <t>Arzu Yıldırım</t>
  </si>
  <si>
    <t>61f3b40a14d28cd86a065c8c</t>
  </si>
  <si>
    <t>Mado, Mezitli (Yeni Mah.)</t>
  </si>
  <si>
    <t>MÜCAHİT KAYA</t>
  </si>
  <si>
    <t>YENİ MH CENGİZ TOPEL CD KRİSTAL APT NO:2/A MEZİTLİ/MERSİN</t>
  </si>
  <si>
    <t>Yalıevleri</t>
  </si>
  <si>
    <t>624349100cd3b3daff65adc6</t>
  </si>
  <si>
    <t>Ahmet Aybak Adıyaman Çiğköftecisi, Toroslar (Osmaniye Mah.)</t>
  </si>
  <si>
    <t>SILA GEDİK</t>
  </si>
  <si>
    <t>Osmaniye Mah. 81016 Sok. No:21A Toroslar/Mersin</t>
  </si>
  <si>
    <t>6253e9962636e1e492c338be</t>
  </si>
  <si>
    <t>Komagene Etsiz Çiğ Köfte, Anamur (İskele Mah.)</t>
  </si>
  <si>
    <t>İSKELE MAH. İNÖNÜ CAD. NO:15 İÇ KAPI NO:8 ANAMUR</t>
  </si>
  <si>
    <t>61d846681db5e1d82398d89a</t>
  </si>
  <si>
    <t>Cookshop, Yenişehir (Akkent Mah.)</t>
  </si>
  <si>
    <t>Tuğçe Çer</t>
  </si>
  <si>
    <t>AKKENT MAH. H.OKAN MERZECİ BULVARI SAYAPARK AVM NO:759/C1 YENİŞEHİR MERSİN</t>
  </si>
  <si>
    <t>61dd5de9b2ba535101f97203</t>
  </si>
  <si>
    <t>Oses Çiğ Köfte, Akdeniz (Şevketsümer Mah.)</t>
  </si>
  <si>
    <t>Sedat Aydemir</t>
  </si>
  <si>
    <t>Şevketsümer</t>
  </si>
  <si>
    <t>Şevketsümer Mah. 5993 Sok. No:50/B Akdeniz / MERSİN</t>
  </si>
  <si>
    <t>Cumhuriyet 2 Lahmacun &amp; Etli Pide, Yenişehir (Bahçelievler Mah.)</t>
  </si>
  <si>
    <t>Atayurt</t>
  </si>
  <si>
    <t>Göksu Mah. Alparslan Türkeş Bulvarı, Silifke, Mersin</t>
  </si>
  <si>
    <t>Çerkez Tavuk &amp; Çiğ Köfte, Silifke (Pazarkaşı Mah.)</t>
  </si>
  <si>
    <t>Texas Tantuni &amp; Döner &amp; Burger, Yenişehir (Güvenevler Mah.)</t>
  </si>
  <si>
    <t>60373eddc9f05616bd8f14d2</t>
  </si>
  <si>
    <t>Starbucks®, Yenişehir (Akkent Mah.)</t>
  </si>
  <si>
    <t>Saya Park: AKKENT MAHALLESİ HÜSEYİN OKAN MERZECİ BLV. SAYAPARK AVM. Sit. A Apt. NO: 759 A/Z02 YENİŞEHİR/MERSİN</t>
  </si>
  <si>
    <t>605c67f7407cdb768c96e1ab</t>
  </si>
  <si>
    <t>Burger King, Yenişehir (Eğriçam Mah.)</t>
  </si>
  <si>
    <t>Eğriçam Mahallesi, Adnan Menderes Bulvarı, No:33/F</t>
  </si>
  <si>
    <t>609b923c0c6ebfb880be5e15</t>
  </si>
  <si>
    <t>Burger King, Akdeniz (Camişerif Mah.)</t>
  </si>
  <si>
    <t>Camişerif Mah. İstiklal Cad. No: 52 Akdeniz Mersin</t>
  </si>
  <si>
    <t>60bdca65d16e714ca687f802</t>
  </si>
  <si>
    <t>Usta Pideci, Tarsus (Fevzi Çakmak Mah.)</t>
  </si>
  <si>
    <t>6102b5c7820bb870f411a134</t>
  </si>
  <si>
    <t>Tavuk Dünyası, Yenişehir (Akkent Mah.)</t>
  </si>
  <si>
    <t>Gökhan Çelik</t>
  </si>
  <si>
    <t>AKKENT MAH. HÜSEYİN OKAN MERZECİ BLV. SAYAPARK AVM SİTESİ A BLOK NO:759/A İÇ KAPI :206 YENİŞEHİR/MERSİN</t>
  </si>
  <si>
    <t>62163d19fbab217609dd9e8c</t>
  </si>
  <si>
    <t>Komagene Etsiz Çiğ Köfte, Yenişehir (Mimar Sinan Cad.)</t>
  </si>
  <si>
    <t>ÇİFTLİKKÖY MAH. MİMAR SİNAN CAD. PARADİSE HOMES NO: 24 AF YENİŞEHİR/ MERSİN</t>
  </si>
  <si>
    <t>62193113b615262bc18d4b52</t>
  </si>
  <si>
    <t>6065aefcd4d87883bf801c3a</t>
  </si>
  <si>
    <t>Domino's Pizza, Mezitli (Menderes Mah.)</t>
  </si>
  <si>
    <t>Menderes Mah. GMK Bulv. Özkardelen Sit. Altı No:16 Mezitli Mersin</t>
  </si>
  <si>
    <t>60c206c996ca48633ccc2f43</t>
  </si>
  <si>
    <t>Domino's Pizza, Mezitli (Seymenli Mah.)</t>
  </si>
  <si>
    <t>Seymenli Mah. Gazi Mustafa Kemal Bulv. Akgün 16 Çelo Apt. Altı No:1005 D Mezitli / Mersin</t>
  </si>
  <si>
    <t>6220d0bd93f7b64e6a8fa251</t>
  </si>
  <si>
    <t>Gaziantep Uzman Baklavaları, Akdeniz (Çay Mah.)</t>
  </si>
  <si>
    <t>Çay Mah.Abdi İpekçi Cad.No:10 Akdeniz, Mersin</t>
  </si>
  <si>
    <t>6229fe3715d80dc4b41e3a7d</t>
  </si>
  <si>
    <t>Komagene Etsiz Çiğ Köfte, Gülnar (Büyükeceli Mah.)</t>
  </si>
  <si>
    <t>Gülnar</t>
  </si>
  <si>
    <t>Büyükeceli</t>
  </si>
  <si>
    <t>BÜYÜKECELİ MAH.ATATÜRK CAD.NO:82\A</t>
  </si>
  <si>
    <t>6231ef10573876348fb1fa7b</t>
  </si>
  <si>
    <t>Komagene Etsiz Çiğ Köfte, Mut (Pınarbaşı Mah.)</t>
  </si>
  <si>
    <t>Doğancı</t>
  </si>
  <si>
    <t>PINARBAŞI MH. ATATÜRK BLV NO:51/F</t>
  </si>
  <si>
    <t>6231119717e1e063f26bd5fc</t>
  </si>
  <si>
    <t>Oses Çiğ Köfte, Yenipazar (Hal Mah.)</t>
  </si>
  <si>
    <t>Filiz Tamur</t>
  </si>
  <si>
    <t>Hal</t>
  </si>
  <si>
    <t>Hal Mah 6025. sok no 66 A Yenipazar Akdeniz Mersin</t>
  </si>
  <si>
    <t>6065a08ecba71fba0ef3c052</t>
  </si>
  <si>
    <t>Domino's Pizza, Erdemli (Merkez Mah.)</t>
  </si>
  <si>
    <t>Alparslan Türkeş Bulvarı 168/A-168/B Erdemli/MERSİN</t>
  </si>
  <si>
    <t>Ciğerci Dede, Mezitli (Yeni Mah.)</t>
  </si>
  <si>
    <t>Yeni mah. 33158. sok No :151 Mezitli, Mersin</t>
  </si>
  <si>
    <t>Happy People, Yenişehir (Güvenevler Mah.)</t>
  </si>
  <si>
    <t>624befd09734082b2ff3ed7c</t>
  </si>
  <si>
    <t>Levent Börek, Tarsus (Yeşilyurt Mah.)</t>
  </si>
  <si>
    <t>MAHMUT OKAN CAN</t>
  </si>
  <si>
    <t>YEŞİLYURT MAH. HİLMİ SEÇKİN BLV. EKİNCİOĞLU APT. NO:38 /B TARSUS MERSİN</t>
  </si>
  <si>
    <t>Volkan Ersu</t>
  </si>
  <si>
    <t>60409ae010ae2217fb5f3170</t>
  </si>
  <si>
    <t>Starbucks®, Tarsus (82 Evler Mah.)</t>
  </si>
  <si>
    <t>Tarsu: 82 Evler Mahallesi, 57, Adana Blv., 33460 Tarsus/Mersin (Z33+Z34 nolu mağaza alanı ve Z34T teras alanı)</t>
  </si>
  <si>
    <t>6232c80609aea1a7d601a0cc</t>
  </si>
  <si>
    <t>Tarihi Antep Çiğ Köfte, Erdemli (Ayaş Mah.Yemişkumu)</t>
  </si>
  <si>
    <t>Ayaş 2. Bölge</t>
  </si>
  <si>
    <t>Ayaş Mah.Atatürk (Yemişkumu) Cad.No:490 Erdemli,Mersin</t>
  </si>
  <si>
    <t>62403d3ab5fd75d72233a5d1</t>
  </si>
  <si>
    <t>Çiğ Köfteci Ömer Usta, Erdemli (Merkez Mah.)</t>
  </si>
  <si>
    <t>MUSTAFA TURAN</t>
  </si>
  <si>
    <t>Sarıibrahimli</t>
  </si>
  <si>
    <t>Merkez Mah. Alp Aslan Türkeş Blv. Işık İşhanı No:605/U Erdemli/Mersin</t>
  </si>
  <si>
    <t>624da933e6f61277e14f2b9f</t>
  </si>
  <si>
    <t>Çiğköftem, Yenişehir (Cumhuriyet Mah.)</t>
  </si>
  <si>
    <t>ALİ EKBER BUTAV</t>
  </si>
  <si>
    <t>CUMHURİYET MAH 1. CAD.NO:131 YENİŞEHİR MERSİN</t>
  </si>
  <si>
    <t>6013d5ddd1201b59a495411e</t>
  </si>
  <si>
    <t>Tavuk Dünyası, Yenişehir (Güvenevler Mah.)</t>
  </si>
  <si>
    <t>ABDULLAH KARAGÖZLÜ</t>
  </si>
  <si>
    <t>"Güvenevler Mah.1.Cad Mersin Forum AVM No : 120 İç Kapı no : 220 POZCU-YENİŞEHİR-MERSİN"</t>
  </si>
  <si>
    <t>Ali İhsancan Çürtük</t>
  </si>
  <si>
    <t>605c8bf402bcfe6a05e8c342</t>
  </si>
  <si>
    <t>Burger King, Mezitli (Merkez Mah.)</t>
  </si>
  <si>
    <t>GMK Bulvarı Merkez Mahallesi 52060 Sokak</t>
  </si>
  <si>
    <t>Çiftlikköy Mah.3235 Sokak No:10-B Yenişehir,Mersin</t>
  </si>
  <si>
    <t>621ca44a6c220185957cc415</t>
  </si>
  <si>
    <t>Pidem, Yenişehir (Limonluk Mah.)</t>
  </si>
  <si>
    <t>Bahadır Zereylioğlu</t>
  </si>
  <si>
    <t>MESUDİYE MAHALLESİ, VALİ HÜSEYİN AKSOY CAD. PALM CİTY NO:2, 33120 İÇEL MERKEZ/MERSİN</t>
  </si>
  <si>
    <t>605c7da94c11b01cea3a79d5</t>
  </si>
  <si>
    <t>Burger King, Akdeniz (Kiremithane Mah. - Çamlıbel)</t>
  </si>
  <si>
    <t>İSMET İNÖNÜ BULV.NO:138GÜVEN APT.ALTI, MERSİN</t>
  </si>
  <si>
    <t>605c58ad889b9b2b263c7865</t>
  </si>
  <si>
    <t>Burger King, Tarsus (Cumhuriyet Mah.)</t>
  </si>
  <si>
    <t>Fevzi Cakmak Mah.Adana Cad.No 57</t>
  </si>
  <si>
    <t>605c8056079a25223f7f04a5</t>
  </si>
  <si>
    <t>Burger King, Yenişehir (Akkent Mah.)</t>
  </si>
  <si>
    <t>AKKENT MAH.MERSİN KİPA AVM İÇİ 2.KAT 2 NOLU MAĞAZA</t>
  </si>
  <si>
    <t>6105d3fbc953036c5f87045f</t>
  </si>
  <si>
    <t>Dürümle, Yenişehir (Akkent Mah.-Sayapark Avm)</t>
  </si>
  <si>
    <t>AYKUT ARSLAN</t>
  </si>
  <si>
    <t>AKKENT MAHALLESİ HÜSEYİN OKAN MERZECİ BULVARI SAYAPARK AVM SİTESİ A BLOK NO: 759/205 YENİŞEHİR /MERSİN</t>
  </si>
  <si>
    <t>6037261a680e687e494c3ebf</t>
  </si>
  <si>
    <t>Starbucks®, Yenişehir (Eğriçam Mah.)</t>
  </si>
  <si>
    <t>Adnan Menderes Bulvarı Eğriçam Mah. Mersin Marina Avm No: 33/F – 25 nolu dükkan (D&amp;R mağazası içi) Yenişehir / Mersin</t>
  </si>
  <si>
    <t>6051d435051490aafa198706</t>
  </si>
  <si>
    <t>Tavuk Dünyası, Yenişehir (Eğriçam Mah.)</t>
  </si>
  <si>
    <t>EMİNE KARAGÖZLÜ</t>
  </si>
  <si>
    <t>Eğriçam Mah. Adnan Menderes Bulvarı Marina AVM Sitesi D Blok Apt. No: 33 DAC Yenişehir / MERSİN</t>
  </si>
  <si>
    <t>621ca178f85a848f9b515f88</t>
  </si>
  <si>
    <t>Pidem, Yenişehir (Akkent Mah.)</t>
  </si>
  <si>
    <t>AKKENT MAH. HÜSEYİN OKAN MERZECİ BULVARI NO: 759/A MAĞAZA NO: 213-214 YENİŞEHİR/MERSİN</t>
  </si>
  <si>
    <t>Panc-o Döner, Yenişehir (Gazi Mah.)</t>
  </si>
  <si>
    <t>Menteş Mah.Nevit Kodallı Cad.2537 Sokak Tekçe Lokma Cafe, Yenişehir,Mersin</t>
  </si>
  <si>
    <t>605c7a50f2765eb02697177d</t>
  </si>
  <si>
    <t>Burger King, Yenişehir (Güvenevler Mah. - Pozcu)</t>
  </si>
  <si>
    <t>Güvenevler Mahallesi Gmk Bulvarı No: 386/A Doğanyıldız İş Merkezi No: 40</t>
  </si>
  <si>
    <t>605c80d0d813fbbf426cdff6</t>
  </si>
  <si>
    <t>Burger King, Yenişehir (Limonluk Mah.)</t>
  </si>
  <si>
    <t>İSMET İNÖNÜ BULVARI LİMONLUK MAH.MERSİN CARREFOUR</t>
  </si>
  <si>
    <t>605cad4b4222b5791b9cb901</t>
  </si>
  <si>
    <t>Usta Dönerci, Tarsus (82 Evler Mah.)</t>
  </si>
  <si>
    <t>Fevzi ÇAKMAK Mah. Adana Bulvarı No:57</t>
  </si>
  <si>
    <t>604090375f674522af517b33</t>
  </si>
  <si>
    <t>Starbucks®, Yenişehir (Limonluk Mah.)</t>
  </si>
  <si>
    <t>Limonluk Mah. Vali Huseyin Aksoy Cad. Palm City No:2 Mersin</t>
  </si>
  <si>
    <t>Adıyaman Çiğköftem, Yenişehir (Gazi Mah.)</t>
  </si>
  <si>
    <t>Çiğköfteci Ömür Usta, Erdemli (Merkez Mah.)</t>
  </si>
  <si>
    <t>61d2e77dd5a1d5b9a92cf235</t>
  </si>
  <si>
    <t>Leyla Varol</t>
  </si>
  <si>
    <t>625a61e7135542a478b55d37</t>
  </si>
  <si>
    <t>Bikase Ev Yemekleri Lokantası, Akdeniz (Mesudiye Mah.)</t>
  </si>
  <si>
    <t>RUŞEN DOĞAN</t>
  </si>
  <si>
    <t>Mesudiye Mah. 110 Cad. no:86/2 Akdeniz Mersin</t>
  </si>
  <si>
    <t>Hürriyet mahallesi, İnönü Bulvarı, 1. cadde, No:46C, Yenişehir, Mersin</t>
  </si>
  <si>
    <t>Cumhuriyet Mah., 1. Cad.Zekeriya Bayık Apt.No/35-D Yenişehir,Mersin</t>
  </si>
  <si>
    <t>62402e0c0d8950cc171ef2f0</t>
  </si>
  <si>
    <t>ERCAN YİĞİT</t>
  </si>
  <si>
    <t>Batıkent Mah. 2640 Sok. No:27A Yenişehir/Mersin</t>
  </si>
  <si>
    <t>Camişerif mah. 5228. sok. Boru İş Hanı No :B/6, Akdeniz, Mersin</t>
  </si>
  <si>
    <t>Mesüt Barasi</t>
  </si>
  <si>
    <t>62075e0e09b4322228813018</t>
  </si>
  <si>
    <t>6227a2a54e6118b225fdca1f</t>
  </si>
  <si>
    <t>Katık Döner, Mezitli ( Akdeniz Mah.)</t>
  </si>
  <si>
    <t>Halil Esen</t>
  </si>
  <si>
    <t>Akdeniz Mah.Zeytinli Cad.No:5-B Mezitli,Mersin</t>
  </si>
  <si>
    <t>Cami Şerif Mah.İstiklal Cad.No/15-B Akdeniz,Mersin</t>
  </si>
  <si>
    <t>6240342285a38f5967db7c86</t>
  </si>
  <si>
    <t>Meşhur Adıyaman Çiğköftecisi, Yenişehir ( Batıkent Mah.)</t>
  </si>
  <si>
    <t>ALİ AYDIN ÖZER</t>
  </si>
  <si>
    <t>Batıkent Mah. 2640 Sok. No:23A Yenişehir/Mersin</t>
  </si>
  <si>
    <t>Piknik Izgara &amp; Tavukçuluk Akdeniz (Çankaya Mah.)</t>
  </si>
  <si>
    <t>Akkent Mah. 2636 Sok. No:24/A Yenişehir/Mersin</t>
  </si>
  <si>
    <t>621fb278fb3b7a69ef570569</t>
  </si>
  <si>
    <t>Çiğköfteci Ömer Usta, Silifke (Göksu Mah.)</t>
  </si>
  <si>
    <t>Hüseyin Turan</t>
  </si>
  <si>
    <t>Göksu Mah.Atatürk Bulvarı No:29-A Silifke,Mersin</t>
  </si>
  <si>
    <t>Eğriçam Mah. Hüseyin Okan Merzeci Bulvarı, 2231. sok, No:669-A Yenişehir, Mersin</t>
  </si>
  <si>
    <t>Yaprak Imbiss Döner &amp; Tantuni, Yenişehir (Çiftlikköy Mah.)</t>
  </si>
  <si>
    <t>600bee1016bdc841c34061a7</t>
  </si>
  <si>
    <t>Levent Börek, Silifke (Mukaddem Mah.)</t>
  </si>
  <si>
    <t>Mukaddem</t>
  </si>
  <si>
    <t>Mukaddem Mah. Alparslan Türkeş Bulvarı No:633</t>
  </si>
  <si>
    <t>620bbac72915356967c86eac</t>
  </si>
  <si>
    <t>Şen Dondurma, Tarsus (Fevzi Çakmak Mah.)</t>
  </si>
  <si>
    <t>Erdal Şen</t>
  </si>
  <si>
    <t>Fevzi Çakmak Mah.1769 Sokak No:25 Tarsus,Mersin</t>
  </si>
  <si>
    <t>Gündoğdu İskender, Yenişehir (Şişko Fast Forum Avm)</t>
  </si>
  <si>
    <t>Viba Börek (Viranşehir Mah.)</t>
  </si>
  <si>
    <t>6105d8e7f9c50721eab91e56</t>
  </si>
  <si>
    <t>Dürümle, Yenişehir (Güvenevler-Mersin Forum Avm)</t>
  </si>
  <si>
    <t>Güvenevler, 1. Cd. 120-133, 33140 Yenişehir/Mersin SF Blok 017 No : 205</t>
  </si>
  <si>
    <t>Haziran'da Aranacak</t>
  </si>
  <si>
    <t>Personel Eksik</t>
  </si>
  <si>
    <t>Damla Kılcı</t>
  </si>
  <si>
    <t>Özlem arslan</t>
  </si>
  <si>
    <t>Beyza gülşah</t>
  </si>
  <si>
    <t>Özlem gümüş</t>
  </si>
  <si>
    <t>Enes Günal</t>
  </si>
  <si>
    <t>Emel Yılmaz</t>
  </si>
  <si>
    <t>Ecem Ersöz</t>
  </si>
  <si>
    <t>Livanur Elibol</t>
  </si>
  <si>
    <t>Eda Cıbır</t>
  </si>
  <si>
    <t>Meryem Yalabık</t>
  </si>
  <si>
    <t>Serenay Yalabık</t>
  </si>
  <si>
    <t>Randevu Alınabilir</t>
  </si>
  <si>
    <t>Fotoğrafları Yok - Randevu Alınabilir</t>
  </si>
  <si>
    <t>Fotoğrafları Gönderecek</t>
  </si>
  <si>
    <t>COUNTA of Restaurant ID</t>
  </si>
  <si>
    <t>Genel Toplam</t>
  </si>
  <si>
    <t>Tarih</t>
  </si>
  <si>
    <t>Başarılı Randevu</t>
  </si>
  <si>
    <t>İptal Randevu</t>
  </si>
  <si>
    <t>Top. Rest</t>
  </si>
  <si>
    <t>Fotoğraflandırılan Top. Ürün</t>
  </si>
  <si>
    <t>Fotoğraflandırılan Ort. Ürün</t>
  </si>
  <si>
    <t>Toplam rest</t>
  </si>
  <si>
    <t>Fotoğraflı</t>
  </si>
  <si>
    <t>%</t>
  </si>
  <si>
    <t>Ürün Adet</t>
  </si>
  <si>
    <t>0-25</t>
  </si>
  <si>
    <t>25+</t>
  </si>
  <si>
    <t>İptal Oranı</t>
  </si>
  <si>
    <t>0-20%</t>
  </si>
  <si>
    <t>21-50%</t>
  </si>
  <si>
    <t>51-80%</t>
  </si>
  <si>
    <t>&gt;80%</t>
  </si>
  <si>
    <t>Ramazandan Sonra Randevu Istiyor</t>
  </si>
  <si>
    <t>Fotoğrafı Var</t>
  </si>
  <si>
    <t>TOPLAM</t>
  </si>
  <si>
    <t>Randevu Başarı %</t>
  </si>
  <si>
    <t>COUNTA of İLÇE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</si>
</sst>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d/mm/yyyy"/>
    <numFmt numFmtId="166" formatCode="#,##0.00\ [$YTL-41F]"/>
    <numFmt numFmtId="167" formatCode="dd&quot;/&quot;mm&quot;/&quot;yyyy"/>
    <numFmt numFmtId="168" formatCode="dd.mm.yyyy"/>
    <numFmt numFmtId="169" formatCode="hh:mm"/>
    <numFmt numFmtId="170" formatCode="d&quot;/&quot;m&quot;/&quot;yy"/>
    <numFmt numFmtId="171" formatCode="d.m.yy"/>
  </numFmts>
  <fonts count="51">
    <font>
      <sz val="10.0"/>
      <color rgb="FF000000"/>
      <name val="Arial"/>
      <scheme val="minor"/>
    </font>
    <font>
      <b/>
      <sz val="10.0"/>
      <color rgb="FF000000"/>
      <name val="Arial"/>
    </font>
    <font>
      <sz val="10.0"/>
      <color rgb="FF3C4043"/>
      <name val="Arial"/>
    </font>
    <font>
      <b/>
      <color theme="1"/>
      <name val="Arial"/>
    </font>
    <font>
      <sz val="9.0"/>
      <color rgb="FF000000"/>
      <name val="Arial"/>
    </font>
    <font>
      <color rgb="FF000000"/>
      <name val="Arial"/>
    </font>
    <font>
      <sz val="10.0"/>
      <color rgb="FF000000"/>
      <name val="Arial"/>
    </font>
    <font>
      <color theme="1"/>
      <name val="Arial"/>
    </font>
    <font>
      <sz val="11.0"/>
      <color rgb="FF000000"/>
      <name val="Calibri"/>
    </font>
    <font>
      <u/>
      <sz val="11.0"/>
      <color rgb="FF1A0DAB"/>
      <name val="Arial"/>
    </font>
    <font>
      <u/>
      <sz val="10.0"/>
      <color rgb="FF000000"/>
    </font>
    <font>
      <b/>
      <color rgb="FFFFFFFF"/>
      <name val="Arial"/>
    </font>
    <font>
      <color rgb="FFFFFFFF"/>
      <name val="Arial"/>
    </font>
    <font>
      <b/>
      <sz val="11.0"/>
      <color rgb="FF000000"/>
      <name val="Arial"/>
    </font>
    <font/>
    <font>
      <b/>
      <color rgb="FF000000"/>
      <name val="Arial"/>
    </font>
    <font>
      <color rgb="FF000000"/>
      <name val="Roboto"/>
    </font>
    <font>
      <sz val="8.0"/>
      <color rgb="FF000000"/>
      <name val="Arial"/>
    </font>
    <font>
      <u/>
      <sz val="9.0"/>
      <color rgb="FF000000"/>
      <name val="Arial"/>
    </font>
    <font>
      <sz val="14.0"/>
      <color rgb="FF000000"/>
      <name val="Arial"/>
    </font>
    <font>
      <sz val="24.0"/>
      <color rgb="FF000000"/>
      <name val="Arial"/>
    </font>
    <font>
      <sz val="20.0"/>
      <color rgb="FF000000"/>
      <name val="Impact"/>
    </font>
    <font>
      <b/>
      <sz val="24.0"/>
      <color rgb="FF000000"/>
      <name val="Caveat"/>
    </font>
    <font>
      <sz val="18.0"/>
      <color rgb="FF000000"/>
      <name val="Caveat"/>
    </font>
    <font>
      <sz val="9.0"/>
      <color theme="1"/>
      <name val="Arial"/>
    </font>
    <font>
      <b/>
      <sz val="11.0"/>
      <color theme="1"/>
      <name val="Arial"/>
    </font>
    <font>
      <u/>
      <sz val="9.0"/>
      <color rgb="FF000000"/>
      <name val="Arial"/>
    </font>
    <font>
      <u/>
      <color rgb="FF000000"/>
      <name val="Arial"/>
    </font>
    <font>
      <i/>
      <sz val="11.0"/>
      <color rgb="FF3C4043"/>
      <name val="Roboto"/>
    </font>
    <font>
      <sz val="9.0"/>
      <color rgb="FF3C4043"/>
      <name val="Arial"/>
    </font>
    <font>
      <sz val="10.0"/>
      <color theme="1"/>
      <name val="Arial"/>
    </font>
    <font>
      <color theme="1"/>
      <name val="Roboto"/>
    </font>
    <font>
      <sz val="9.0"/>
      <color rgb="FF202124"/>
      <name val="Arial"/>
    </font>
    <font>
      <b/>
      <sz val="11.0"/>
      <color rgb="FF000000"/>
      <name val="Calibri"/>
    </font>
    <font>
      <b/>
      <color rgb="FF5D3EBE"/>
      <name val="Lato"/>
    </font>
    <font>
      <b/>
      <color rgb="FF5D3EBE"/>
      <name val="Arial"/>
    </font>
    <font>
      <b/>
      <sz val="11.0"/>
      <color rgb="FF5D3EBE"/>
      <name val="Arial"/>
    </font>
    <font>
      <b/>
      <sz val="11.0"/>
      <color rgb="FF5D3EBE"/>
      <name val="Lato"/>
    </font>
    <font>
      <color theme="1"/>
      <name val="Arial"/>
      <scheme val="minor"/>
    </font>
    <font>
      <b/>
      <sz val="11.0"/>
      <color rgb="FFFFD10D"/>
      <name val="Calibri"/>
    </font>
    <font>
      <color rgb="FFFFD20B"/>
      <name val="Avenir"/>
    </font>
    <font>
      <b/>
      <color theme="1"/>
      <name val="Avenir"/>
    </font>
    <font>
      <b/>
      <sz val="11.0"/>
      <color rgb="FFFFD10D"/>
      <name val="Arial"/>
    </font>
    <font>
      <color rgb="FF5D3EBE"/>
      <name val="Arial"/>
    </font>
    <font>
      <b/>
      <color rgb="FF5C3DBD"/>
      <name val="Avenir"/>
    </font>
    <font>
      <b/>
      <color rgb="FFFFD20B"/>
      <name val="Avenir"/>
    </font>
    <font>
      <b/>
      <color rgb="FF5D3EBC"/>
      <name val="Arial"/>
    </font>
    <font>
      <color rgb="FF5C3DBD"/>
      <name val="Avenir"/>
    </font>
    <font>
      <color theme="1"/>
      <name val="Avenir"/>
    </font>
    <font>
      <color rgb="FFFFD10D"/>
      <name val="Arial"/>
    </font>
    <font>
      <sz val="9.0"/>
      <color rgb="FF5C3DBD"/>
      <name val="Avenir"/>
    </font>
  </fonts>
  <fills count="29">
    <fill>
      <patternFill patternType="none"/>
    </fill>
    <fill>
      <patternFill patternType="lightGray"/>
    </fill>
    <fill>
      <patternFill patternType="solid">
        <fgColor rgb="FFCCCCCC"/>
        <bgColor rgb="FFCCCCCC"/>
      </patternFill>
    </fill>
    <fill>
      <patternFill patternType="solid">
        <fgColor rgb="FFFF0000"/>
        <bgColor rgb="FFFF0000"/>
      </patternFill>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theme="5"/>
        <bgColor theme="5"/>
      </patternFill>
    </fill>
    <fill>
      <patternFill patternType="solid">
        <fgColor rgb="FFFF00FF"/>
        <bgColor rgb="FFFF00FF"/>
      </patternFill>
    </fill>
    <fill>
      <patternFill patternType="solid">
        <fgColor rgb="FFF3F3F3"/>
        <bgColor rgb="FFF3F3F3"/>
      </patternFill>
    </fill>
    <fill>
      <patternFill patternType="solid">
        <fgColor rgb="FFCFE2F3"/>
        <bgColor rgb="FFCFE2F3"/>
      </patternFill>
    </fill>
    <fill>
      <patternFill patternType="solid">
        <fgColor theme="6"/>
        <bgColor theme="6"/>
      </patternFill>
    </fill>
    <fill>
      <patternFill patternType="solid">
        <fgColor theme="8"/>
        <bgColor theme="8"/>
      </patternFill>
    </fill>
    <fill>
      <patternFill patternType="solid">
        <fgColor rgb="FFB7E1CD"/>
        <bgColor rgb="FFB7E1CD"/>
      </patternFill>
    </fill>
    <fill>
      <patternFill patternType="solid">
        <fgColor rgb="FFFF9900"/>
        <bgColor rgb="FFFF9900"/>
      </patternFill>
    </fill>
    <fill>
      <patternFill patternType="solid">
        <fgColor rgb="FFE67C73"/>
        <bgColor rgb="FFE67C73"/>
      </patternFill>
    </fill>
    <fill>
      <patternFill patternType="solid">
        <fgColor rgb="FF00FFFF"/>
        <bgColor rgb="FF00FFFF"/>
      </patternFill>
    </fill>
    <fill>
      <patternFill patternType="solid">
        <fgColor rgb="FFFFF5AB"/>
        <bgColor rgb="FFFFF5AB"/>
      </patternFill>
    </fill>
    <fill>
      <patternFill patternType="solid">
        <fgColor rgb="FFFFD10C"/>
        <bgColor rgb="FFFFD10C"/>
      </patternFill>
    </fill>
    <fill>
      <patternFill patternType="solid">
        <fgColor rgb="FF5D3EBC"/>
        <bgColor rgb="FF5D3EBC"/>
      </patternFill>
    </fill>
    <fill>
      <patternFill patternType="solid">
        <fgColor rgb="FF5C3DBD"/>
        <bgColor rgb="FF5C3DBD"/>
      </patternFill>
    </fill>
    <fill>
      <patternFill patternType="solid">
        <fgColor rgb="FFEFEFEF"/>
        <bgColor rgb="FFEFEFEF"/>
      </patternFill>
    </fill>
    <fill>
      <patternFill patternType="solid">
        <fgColor rgb="FFFFD10D"/>
        <bgColor rgb="FFFFD10D"/>
      </patternFill>
    </fill>
    <fill>
      <patternFill patternType="solid">
        <fgColor rgb="FFFFD20B"/>
        <bgColor rgb="FFFFD20B"/>
      </patternFill>
    </fill>
  </fills>
  <borders count="16">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top style="thin">
        <color rgb="FF000000"/>
      </top>
    </border>
    <border>
      <bottom style="thin">
        <color rgb="FF000000"/>
      </bottom>
    </border>
  </borders>
  <cellStyleXfs count="1">
    <xf borderId="0" fillId="0" fontId="0" numFmtId="0" applyAlignment="1" applyFont="1"/>
  </cellStyleXfs>
  <cellXfs count="40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3" xfId="0" applyAlignment="1" applyFont="1" applyNumberFormat="1">
      <alignment horizontal="center" vertical="center"/>
    </xf>
    <xf borderId="0" fillId="2" fontId="1" numFmtId="9" xfId="0" applyAlignment="1" applyFont="1" applyNumberFormat="1">
      <alignment horizontal="center" vertical="center"/>
    </xf>
    <xf borderId="0" fillId="3" fontId="1" numFmtId="0" xfId="0" applyAlignment="1" applyFill="1" applyFont="1">
      <alignment horizontal="center" vertical="center"/>
    </xf>
    <xf borderId="0" fillId="4" fontId="1" numFmtId="0" xfId="0" applyAlignment="1" applyFill="1" applyFont="1">
      <alignment horizontal="center" vertical="center"/>
    </xf>
    <xf borderId="0" fillId="4" fontId="1" numFmtId="0" xfId="0" applyAlignment="1" applyFont="1">
      <alignment horizontal="center" shrinkToFit="0" vertical="center" wrapText="1"/>
    </xf>
    <xf borderId="0" fillId="4" fontId="2" numFmtId="0" xfId="0" applyFont="1"/>
    <xf borderId="0" fillId="4" fontId="1" numFmtId="164" xfId="0" applyAlignment="1" applyFont="1" applyNumberFormat="1">
      <alignment horizontal="center" vertical="center"/>
    </xf>
    <xf borderId="0" fillId="4" fontId="3" numFmtId="0" xfId="0" applyAlignment="1" applyFont="1">
      <alignment horizontal="center"/>
    </xf>
    <xf borderId="0" fillId="0" fontId="4" numFmtId="0" xfId="0" applyAlignment="1" applyFont="1">
      <alignment horizontal="left" shrinkToFit="0" vertical="top" wrapText="0"/>
    </xf>
    <xf borderId="0" fillId="0" fontId="4" numFmtId="9" xfId="0" applyAlignment="1" applyFont="1" applyNumberFormat="1">
      <alignment horizontal="left" shrinkToFit="0" vertical="top" wrapText="0"/>
    </xf>
    <xf borderId="0" fillId="0" fontId="5" numFmtId="0" xfId="0" applyFont="1"/>
    <xf borderId="0" fillId="0" fontId="6" numFmtId="0" xfId="0" applyFont="1"/>
    <xf borderId="0" fillId="0" fontId="6" numFmtId="0" xfId="0" applyAlignment="1" applyFont="1">
      <alignment vertical="bottom"/>
    </xf>
    <xf borderId="0" fillId="0" fontId="6" numFmtId="164" xfId="0" applyFont="1" applyNumberFormat="1"/>
    <xf borderId="0" fillId="0" fontId="7" numFmtId="164" xfId="0" applyAlignment="1" applyFont="1" applyNumberFormat="1">
      <alignment vertical="bottom"/>
    </xf>
    <xf borderId="0" fillId="0" fontId="7" numFmtId="0" xfId="0" applyAlignment="1" applyFont="1">
      <alignment vertical="bottom"/>
    </xf>
    <xf borderId="0" fillId="0" fontId="8" numFmtId="0" xfId="0" applyAlignment="1" applyFont="1">
      <alignment shrinkToFit="0" vertical="bottom" wrapText="0"/>
    </xf>
    <xf borderId="1" fillId="0" fontId="6" numFmtId="0" xfId="0" applyBorder="1" applyFont="1"/>
    <xf borderId="0" fillId="0" fontId="7" numFmtId="0" xfId="0" applyFont="1"/>
    <xf borderId="0" fillId="0" fontId="7" numFmtId="165" xfId="0" applyFont="1" applyNumberFormat="1"/>
    <xf borderId="1" fillId="0" fontId="7" numFmtId="0" xfId="0" applyAlignment="1" applyBorder="1" applyFont="1">
      <alignment vertical="bottom"/>
    </xf>
    <xf borderId="2" fillId="0" fontId="6" numFmtId="0" xfId="0" applyBorder="1" applyFont="1"/>
    <xf borderId="2" fillId="0" fontId="7" numFmtId="164" xfId="0" applyAlignment="1" applyBorder="1" applyFont="1" applyNumberFormat="1">
      <alignment vertical="bottom"/>
    </xf>
    <xf borderId="2" fillId="5" fontId="3" numFmtId="0" xfId="0" applyAlignment="1" applyBorder="1" applyFill="1" applyFont="1">
      <alignment horizontal="center" vertical="bottom"/>
    </xf>
    <xf borderId="0" fillId="0" fontId="7" numFmtId="165" xfId="0" applyAlignment="1" applyFont="1" applyNumberFormat="1">
      <alignment vertical="bottom"/>
    </xf>
    <xf borderId="0" fillId="6" fontId="6" numFmtId="0" xfId="0" applyFill="1" applyFont="1"/>
    <xf borderId="0" fillId="0" fontId="5" numFmtId="0" xfId="0" applyAlignment="1" applyFont="1">
      <alignment vertical="bottom"/>
    </xf>
    <xf borderId="0" fillId="0" fontId="6" numFmtId="164" xfId="0" applyAlignment="1" applyFont="1" applyNumberFormat="1">
      <alignment vertical="bottom"/>
    </xf>
    <xf borderId="0" fillId="5" fontId="5" numFmtId="0" xfId="0" applyAlignment="1" applyFont="1">
      <alignment vertical="bottom"/>
    </xf>
    <xf borderId="2" fillId="0" fontId="7" numFmtId="0" xfId="0" applyAlignment="1" applyBorder="1" applyFont="1">
      <alignment vertical="bottom"/>
    </xf>
    <xf borderId="0" fillId="0" fontId="6" numFmtId="0" xfId="0" applyAlignment="1" applyFont="1">
      <alignment horizontal="left"/>
    </xf>
    <xf borderId="0" fillId="0" fontId="4" numFmtId="3" xfId="0" applyAlignment="1" applyFont="1" applyNumberFormat="1">
      <alignment horizontal="left" shrinkToFit="0" vertical="top" wrapText="0"/>
    </xf>
    <xf borderId="0" fillId="5" fontId="3" numFmtId="0" xfId="0" applyAlignment="1" applyFont="1">
      <alignment horizontal="center" vertical="bottom"/>
    </xf>
    <xf borderId="0" fillId="0" fontId="5" numFmtId="166" xfId="0" applyAlignment="1" applyFont="1" applyNumberFormat="1">
      <alignment vertical="bottom"/>
    </xf>
    <xf borderId="0" fillId="5" fontId="9" numFmtId="0" xfId="0" applyAlignment="1" applyFont="1">
      <alignment horizontal="left"/>
    </xf>
    <xf borderId="0" fillId="7" fontId="6" numFmtId="0" xfId="0" applyFill="1" applyFont="1"/>
    <xf borderId="2" fillId="0" fontId="5" numFmtId="0" xfId="0" applyAlignment="1" applyBorder="1" applyFont="1">
      <alignment vertical="bottom"/>
    </xf>
    <xf borderId="0" fillId="5" fontId="5" numFmtId="0" xfId="0" applyAlignment="1" applyFont="1">
      <alignment horizontal="left"/>
    </xf>
    <xf borderId="0" fillId="5" fontId="6" numFmtId="0" xfId="0" applyFont="1"/>
    <xf borderId="0" fillId="0" fontId="10" numFmtId="0" xfId="0" applyFont="1"/>
    <xf borderId="0" fillId="8" fontId="6" numFmtId="0" xfId="0" applyFill="1" applyFont="1"/>
    <xf borderId="2" fillId="0" fontId="11" numFmtId="166" xfId="0" applyAlignment="1" applyBorder="1" applyFont="1" applyNumberFormat="1">
      <alignment horizontal="center" vertical="bottom"/>
    </xf>
    <xf borderId="2" fillId="9" fontId="11" numFmtId="0" xfId="0" applyAlignment="1" applyBorder="1" applyFill="1" applyFont="1">
      <alignment horizontal="center" vertical="bottom"/>
    </xf>
    <xf borderId="2" fillId="9" fontId="11" numFmtId="167" xfId="0" applyAlignment="1" applyBorder="1" applyFont="1" applyNumberFormat="1">
      <alignment horizontal="center" vertical="bottom"/>
    </xf>
    <xf borderId="2" fillId="9" fontId="11" numFmtId="0" xfId="0" applyAlignment="1" applyBorder="1" applyFont="1">
      <alignment horizontal="left" vertical="bottom"/>
    </xf>
    <xf borderId="2" fillId="9" fontId="11" numFmtId="49" xfId="0" applyAlignment="1" applyBorder="1" applyFont="1" applyNumberFormat="1">
      <alignment horizontal="center" vertical="bottom"/>
    </xf>
    <xf borderId="2" fillId="9" fontId="11" numFmtId="0" xfId="0" applyAlignment="1" applyBorder="1" applyFont="1">
      <alignment horizontal="center" shrinkToFit="0" vertical="bottom" wrapText="1"/>
    </xf>
    <xf borderId="2" fillId="9" fontId="12" numFmtId="0" xfId="0" applyAlignment="1" applyBorder="1" applyFont="1">
      <alignment horizontal="center" vertical="bottom"/>
    </xf>
    <xf borderId="2" fillId="0" fontId="12" numFmtId="0" xfId="0" applyBorder="1" applyFont="1"/>
    <xf borderId="2" fillId="10" fontId="13" numFmtId="0" xfId="0" applyAlignment="1" applyBorder="1" applyFill="1" applyFont="1">
      <alignment horizontal="center" shrinkToFit="0" vertical="bottom" wrapText="1"/>
    </xf>
    <xf borderId="2" fillId="10" fontId="13" numFmtId="168" xfId="0" applyAlignment="1" applyBorder="1" applyFont="1" applyNumberFormat="1">
      <alignment horizontal="center" shrinkToFit="0" vertical="bottom" wrapText="1"/>
    </xf>
    <xf borderId="3" fillId="0" fontId="5" numFmtId="0" xfId="0" applyAlignment="1" applyBorder="1" applyFont="1">
      <alignment vertical="bottom"/>
    </xf>
    <xf borderId="4" fillId="0" fontId="14" numFmtId="0" xfId="0" applyBorder="1" applyFont="1"/>
    <xf borderId="5" fillId="0" fontId="14" numFmtId="0" xfId="0" applyBorder="1" applyFont="1"/>
    <xf borderId="2" fillId="0" fontId="5" numFmtId="0" xfId="0" applyBorder="1" applyFont="1"/>
    <xf borderId="2" fillId="0" fontId="4" numFmtId="0" xfId="0" applyAlignment="1" applyBorder="1" applyFont="1">
      <alignment vertical="top"/>
    </xf>
    <xf borderId="6" fillId="11" fontId="15" numFmtId="0" xfId="0" applyAlignment="1" applyBorder="1" applyFill="1" applyFont="1">
      <alignment horizontal="center" vertical="center"/>
    </xf>
    <xf borderId="2" fillId="6" fontId="5" numFmtId="0" xfId="0" applyBorder="1" applyFont="1"/>
    <xf borderId="2" fillId="6" fontId="4" numFmtId="0" xfId="0" applyAlignment="1" applyBorder="1" applyFont="1">
      <alignment horizontal="left" shrinkToFit="0" vertical="top" wrapText="0"/>
    </xf>
    <xf borderId="2" fillId="6" fontId="5" numFmtId="169" xfId="0" applyAlignment="1" applyBorder="1" applyFont="1" applyNumberFormat="1">
      <alignment horizontal="center"/>
    </xf>
    <xf borderId="2" fillId="6" fontId="5" numFmtId="0" xfId="0" applyAlignment="1" applyBorder="1" applyFont="1">
      <alignment vertical="bottom"/>
    </xf>
    <xf borderId="7" fillId="0" fontId="14" numFmtId="0" xfId="0" applyBorder="1" applyFont="1"/>
    <xf borderId="2" fillId="0" fontId="16" numFmtId="0" xfId="0" applyBorder="1" applyFont="1"/>
    <xf borderId="2" fillId="0" fontId="5" numFmtId="0" xfId="0" applyAlignment="1" applyBorder="1" applyFont="1">
      <alignment horizontal="left" vertical="bottom"/>
    </xf>
    <xf borderId="2" fillId="0" fontId="5" numFmtId="49" xfId="0" applyAlignment="1" applyBorder="1" applyFont="1" applyNumberFormat="1">
      <alignment horizontal="center" vertical="bottom"/>
    </xf>
    <xf borderId="2" fillId="0" fontId="4" numFmtId="0" xfId="0" applyAlignment="1" applyBorder="1" applyFont="1">
      <alignment horizontal="left" shrinkToFit="0" vertical="top" wrapText="0"/>
    </xf>
    <xf borderId="2" fillId="0" fontId="5" numFmtId="20" xfId="0" applyAlignment="1" applyBorder="1" applyFont="1" applyNumberFormat="1">
      <alignment vertical="bottom"/>
    </xf>
    <xf borderId="8" fillId="0" fontId="14" numFmtId="0" xfId="0" applyBorder="1" applyFont="1"/>
    <xf borderId="2" fillId="6" fontId="5" numFmtId="20" xfId="0" applyAlignment="1" applyBorder="1" applyFont="1" applyNumberFormat="1">
      <alignment vertical="bottom"/>
    </xf>
    <xf borderId="2" fillId="6" fontId="5" numFmtId="0" xfId="0" applyAlignment="1" applyBorder="1" applyFont="1">
      <alignment horizontal="left" vertical="bottom"/>
    </xf>
    <xf borderId="2" fillId="6" fontId="8" numFmtId="169" xfId="0" applyAlignment="1" applyBorder="1" applyFont="1" applyNumberFormat="1">
      <alignment horizontal="center" shrinkToFit="0" vertical="bottom" wrapText="0"/>
    </xf>
    <xf borderId="2" fillId="6" fontId="5" numFmtId="49" xfId="0" applyAlignment="1" applyBorder="1" applyFont="1" applyNumberFormat="1">
      <alignment horizontal="center" vertical="bottom"/>
    </xf>
    <xf borderId="2" fillId="6" fontId="4" numFmtId="0" xfId="0" applyAlignment="1" applyBorder="1" applyFont="1">
      <alignment vertical="top"/>
    </xf>
    <xf borderId="2" fillId="6" fontId="5" numFmtId="0" xfId="0" applyAlignment="1" applyBorder="1" applyFont="1">
      <alignment horizontal="left"/>
    </xf>
    <xf borderId="2" fillId="3" fontId="5" numFmtId="0" xfId="0" applyAlignment="1" applyBorder="1" applyFont="1">
      <alignment vertical="bottom"/>
    </xf>
    <xf borderId="2" fillId="3" fontId="4" numFmtId="0" xfId="0" applyAlignment="1" applyBorder="1" applyFont="1">
      <alignment horizontal="left" shrinkToFit="0" vertical="top" wrapText="0"/>
    </xf>
    <xf borderId="2" fillId="3" fontId="8" numFmtId="169" xfId="0" applyAlignment="1" applyBorder="1" applyFont="1" applyNumberFormat="1">
      <alignment horizontal="center" shrinkToFit="0" vertical="bottom" wrapText="0"/>
    </xf>
    <xf borderId="2" fillId="0" fontId="5" numFmtId="169" xfId="0" applyAlignment="1" applyBorder="1" applyFont="1" applyNumberFormat="1">
      <alignment horizontal="center"/>
    </xf>
    <xf borderId="2" fillId="5" fontId="5" numFmtId="0" xfId="0" applyAlignment="1" applyBorder="1" applyFont="1">
      <alignment vertical="bottom"/>
    </xf>
    <xf borderId="2" fillId="5" fontId="5" numFmtId="49" xfId="0" applyAlignment="1" applyBorder="1" applyFont="1" applyNumberFormat="1">
      <alignment horizontal="center" vertical="bottom"/>
    </xf>
    <xf borderId="2" fillId="3" fontId="5" numFmtId="49" xfId="0" applyAlignment="1" applyBorder="1" applyFont="1" applyNumberFormat="1">
      <alignment horizontal="center" vertical="bottom"/>
    </xf>
    <xf borderId="2" fillId="6" fontId="16" numFmtId="0" xfId="0" applyBorder="1" applyFont="1"/>
    <xf borderId="2" fillId="6" fontId="16" numFmtId="0" xfId="0" applyAlignment="1" applyBorder="1" applyFont="1">
      <alignment horizontal="left"/>
    </xf>
    <xf borderId="2" fillId="5" fontId="16" numFmtId="0" xfId="0" applyAlignment="1" applyBorder="1" applyFont="1">
      <alignment horizontal="left"/>
    </xf>
    <xf borderId="2" fillId="0" fontId="8" numFmtId="169" xfId="0" applyAlignment="1" applyBorder="1" applyFont="1" applyNumberFormat="1">
      <alignment horizontal="center" shrinkToFit="0" vertical="bottom" wrapText="0"/>
    </xf>
    <xf borderId="2" fillId="5" fontId="5" numFmtId="0" xfId="0" applyAlignment="1" applyBorder="1" applyFont="1">
      <alignment horizontal="left"/>
    </xf>
    <xf borderId="2" fillId="3" fontId="5" numFmtId="0" xfId="0" applyAlignment="1" applyBorder="1" applyFont="1">
      <alignment horizontal="left"/>
    </xf>
    <xf borderId="2" fillId="0" fontId="5" numFmtId="0" xfId="0" applyAlignment="1" applyBorder="1" applyFont="1">
      <alignment horizontal="left"/>
    </xf>
    <xf borderId="2" fillId="0" fontId="5" numFmtId="0" xfId="0" applyAlignment="1" applyBorder="1" applyFont="1">
      <alignment horizontal="center"/>
    </xf>
    <xf borderId="2" fillId="3" fontId="17" numFmtId="0" xfId="0" applyAlignment="1" applyBorder="1" applyFont="1">
      <alignment horizontal="left"/>
    </xf>
    <xf borderId="2" fillId="3" fontId="5" numFmtId="169" xfId="0" applyAlignment="1" applyBorder="1" applyFont="1" applyNumberFormat="1">
      <alignment horizontal="center"/>
    </xf>
    <xf borderId="2" fillId="3" fontId="5" numFmtId="0" xfId="0" applyBorder="1" applyFont="1"/>
    <xf borderId="2" fillId="3" fontId="8" numFmtId="0" xfId="0" applyAlignment="1" applyBorder="1" applyFont="1">
      <alignment horizontal="center" shrinkToFit="0" vertical="bottom" wrapText="0"/>
    </xf>
    <xf borderId="2" fillId="5" fontId="5" numFmtId="169" xfId="0" applyAlignment="1" applyBorder="1" applyFont="1" applyNumberFormat="1">
      <alignment horizontal="center"/>
    </xf>
    <xf borderId="2" fillId="5" fontId="5" numFmtId="0" xfId="0" applyBorder="1" applyFont="1"/>
    <xf borderId="2" fillId="3" fontId="16" numFmtId="0" xfId="0" applyBorder="1" applyFont="1"/>
    <xf borderId="2" fillId="0" fontId="15" numFmtId="0" xfId="0" applyAlignment="1" applyBorder="1" applyFont="1">
      <alignment horizontal="left" vertical="bottom"/>
    </xf>
    <xf borderId="2" fillId="3" fontId="16" numFmtId="0" xfId="0" applyAlignment="1" applyBorder="1" applyFont="1">
      <alignment horizontal="left"/>
    </xf>
    <xf borderId="2" fillId="0" fontId="5" numFmtId="0" xfId="0" applyAlignment="1" applyBorder="1" applyFont="1">
      <alignment horizontal="center" vertical="bottom"/>
    </xf>
    <xf borderId="2" fillId="6" fontId="5" numFmtId="0" xfId="0" applyAlignment="1" applyBorder="1" applyFont="1">
      <alignment horizontal="center"/>
    </xf>
    <xf borderId="2" fillId="12" fontId="5" numFmtId="0" xfId="0" applyAlignment="1" applyBorder="1" applyFill="1" applyFont="1">
      <alignment vertical="bottom"/>
    </xf>
    <xf borderId="2" fillId="12" fontId="16" numFmtId="0" xfId="0" applyAlignment="1" applyBorder="1" applyFont="1">
      <alignment horizontal="left"/>
    </xf>
    <xf borderId="2" fillId="12" fontId="5" numFmtId="0" xfId="0" applyAlignment="1" applyBorder="1" applyFont="1">
      <alignment horizontal="center"/>
    </xf>
    <xf borderId="2" fillId="12" fontId="5" numFmtId="0" xfId="0" applyBorder="1" applyFont="1"/>
    <xf borderId="2" fillId="6" fontId="8" numFmtId="0" xfId="0" applyAlignment="1" applyBorder="1" applyFont="1">
      <alignment horizontal="center" shrinkToFit="0" vertical="bottom" wrapText="0"/>
    </xf>
    <xf borderId="2" fillId="5" fontId="4" numFmtId="0" xfId="0" applyAlignment="1" applyBorder="1" applyFont="1">
      <alignment horizontal="left"/>
    </xf>
    <xf borderId="2" fillId="6" fontId="18" numFmtId="0" xfId="0" applyAlignment="1" applyBorder="1" applyFont="1">
      <alignment horizontal="left" shrinkToFit="0" vertical="top" wrapText="0"/>
    </xf>
    <xf borderId="2" fillId="5" fontId="4" numFmtId="0" xfId="0" applyAlignment="1" applyBorder="1" applyFont="1">
      <alignment horizontal="left" shrinkToFit="0" vertical="top" wrapText="0"/>
    </xf>
    <xf borderId="2" fillId="0" fontId="16" numFmtId="0" xfId="0" applyAlignment="1" applyBorder="1" applyFont="1">
      <alignment horizontal="left"/>
    </xf>
    <xf borderId="2" fillId="0" fontId="4" numFmtId="0" xfId="0" applyAlignment="1" applyBorder="1" applyFont="1">
      <alignment horizontal="left"/>
    </xf>
    <xf borderId="2" fillId="13" fontId="5" numFmtId="0" xfId="0" applyAlignment="1" applyBorder="1" applyFill="1" applyFont="1">
      <alignment vertical="bottom"/>
    </xf>
    <xf borderId="2" fillId="12" fontId="5" numFmtId="169" xfId="0" applyAlignment="1" applyBorder="1" applyFont="1" applyNumberFormat="1">
      <alignment horizontal="center"/>
    </xf>
    <xf borderId="2" fillId="12" fontId="4" numFmtId="0" xfId="0" applyAlignment="1" applyBorder="1" applyFont="1">
      <alignment horizontal="left" shrinkToFit="0" vertical="top" wrapText="0"/>
    </xf>
    <xf borderId="2" fillId="6" fontId="4" numFmtId="0" xfId="0" applyAlignment="1" applyBorder="1" applyFont="1">
      <alignment horizontal="left" vertical="top"/>
    </xf>
    <xf borderId="2" fillId="3" fontId="4" numFmtId="0" xfId="0" applyAlignment="1" applyBorder="1" applyFont="1">
      <alignment horizontal="left"/>
    </xf>
    <xf borderId="2" fillId="3" fontId="5" numFmtId="20" xfId="0" applyAlignment="1" applyBorder="1" applyFont="1" applyNumberFormat="1">
      <alignment vertical="bottom"/>
    </xf>
    <xf borderId="2" fillId="11" fontId="15" numFmtId="0" xfId="0" applyAlignment="1" applyBorder="1" applyFont="1">
      <alignment horizontal="center" vertical="center"/>
    </xf>
    <xf borderId="2" fillId="3" fontId="5" numFmtId="0" xfId="0" applyAlignment="1" applyBorder="1" applyFont="1">
      <alignment horizontal="center"/>
    </xf>
    <xf borderId="2" fillId="3" fontId="5" numFmtId="169" xfId="0" applyAlignment="1" applyBorder="1" applyFont="1" applyNumberFormat="1">
      <alignment horizontal="center" vertical="bottom"/>
    </xf>
    <xf borderId="2" fillId="7" fontId="4" numFmtId="0" xfId="0" applyAlignment="1" applyBorder="1" applyFont="1">
      <alignment horizontal="left" shrinkToFit="0" vertical="top" wrapText="0"/>
    </xf>
    <xf borderId="2" fillId="0" fontId="5" numFmtId="169" xfId="0" applyAlignment="1" applyBorder="1" applyFont="1" applyNumberFormat="1">
      <alignment horizontal="center" vertical="bottom"/>
    </xf>
    <xf borderId="2" fillId="5" fontId="4" numFmtId="169" xfId="0" applyAlignment="1" applyBorder="1" applyFont="1" applyNumberFormat="1">
      <alignment horizontal="center" shrinkToFit="0" vertical="top" wrapText="0"/>
    </xf>
    <xf borderId="2" fillId="6" fontId="5" numFmtId="169" xfId="0" applyAlignment="1" applyBorder="1" applyFont="1" applyNumberFormat="1">
      <alignment horizontal="center" vertical="bottom"/>
    </xf>
    <xf borderId="2" fillId="5" fontId="16" numFmtId="0" xfId="0" applyBorder="1" applyFont="1"/>
    <xf borderId="2" fillId="0" fontId="4" numFmtId="0" xfId="0" applyAlignment="1" applyBorder="1" applyFont="1">
      <alignment horizontal="left" vertical="top"/>
    </xf>
    <xf borderId="2" fillId="7" fontId="5" numFmtId="0" xfId="0" applyAlignment="1" applyBorder="1" applyFont="1">
      <alignment horizontal="left" vertical="bottom"/>
    </xf>
    <xf borderId="2" fillId="12" fontId="5" numFmtId="169" xfId="0" applyAlignment="1" applyBorder="1" applyFont="1" applyNumberFormat="1">
      <alignment horizontal="center" vertical="bottom"/>
    </xf>
    <xf borderId="2" fillId="7" fontId="5" numFmtId="0" xfId="0" applyAlignment="1" applyBorder="1" applyFont="1">
      <alignment vertical="bottom"/>
    </xf>
    <xf borderId="2" fillId="12" fontId="16" numFmtId="0" xfId="0" applyBorder="1" applyFont="1"/>
    <xf borderId="2" fillId="5" fontId="5" numFmtId="0" xfId="0" applyAlignment="1" applyBorder="1" applyFont="1">
      <alignment horizontal="center" vertical="bottom"/>
    </xf>
    <xf borderId="2" fillId="5" fontId="5" numFmtId="0" xfId="0" applyAlignment="1" applyBorder="1" applyFont="1">
      <alignment horizontal="left" vertical="bottom"/>
    </xf>
    <xf borderId="2" fillId="12" fontId="5" numFmtId="49" xfId="0" applyAlignment="1" applyBorder="1" applyFont="1" applyNumberFormat="1">
      <alignment horizontal="center" vertical="bottom"/>
    </xf>
    <xf borderId="2" fillId="12" fontId="4" numFmtId="0" xfId="0" applyAlignment="1" applyBorder="1" applyFont="1">
      <alignment vertical="top"/>
    </xf>
    <xf borderId="2" fillId="0" fontId="5" numFmtId="0" xfId="0" applyAlignment="1" applyBorder="1" applyFont="1">
      <alignment horizontal="right" vertical="bottom"/>
    </xf>
    <xf borderId="2" fillId="6" fontId="16" numFmtId="0" xfId="0" applyAlignment="1" applyBorder="1" applyFont="1">
      <alignment horizontal="left" vertical="bottom"/>
    </xf>
    <xf borderId="2" fillId="8" fontId="5" numFmtId="0" xfId="0" applyAlignment="1" applyBorder="1" applyFont="1">
      <alignment vertical="bottom"/>
    </xf>
    <xf borderId="2" fillId="8" fontId="4" numFmtId="0" xfId="0" applyAlignment="1" applyBorder="1" applyFont="1">
      <alignment vertical="top"/>
    </xf>
    <xf borderId="2" fillId="8" fontId="4" numFmtId="0" xfId="0" applyAlignment="1" applyBorder="1" applyFont="1">
      <alignment horizontal="left" vertical="top"/>
    </xf>
    <xf borderId="2" fillId="8" fontId="5" numFmtId="49" xfId="0" applyAlignment="1" applyBorder="1" applyFont="1" applyNumberFormat="1">
      <alignment horizontal="center" vertical="bottom"/>
    </xf>
    <xf borderId="2" fillId="0" fontId="4" numFmtId="0" xfId="0" applyAlignment="1" applyBorder="1" applyFont="1">
      <alignment shrinkToFit="0" vertical="top" wrapText="0"/>
    </xf>
    <xf borderId="2" fillId="14" fontId="5" numFmtId="0" xfId="0" applyAlignment="1" applyBorder="1" applyFill="1" applyFont="1">
      <alignment vertical="bottom"/>
    </xf>
    <xf borderId="2" fillId="14" fontId="4" numFmtId="0" xfId="0" applyAlignment="1" applyBorder="1" applyFont="1">
      <alignment horizontal="left" shrinkToFit="0" vertical="top" wrapText="0"/>
    </xf>
    <xf borderId="2" fillId="14" fontId="5" numFmtId="49" xfId="0" applyAlignment="1" applyBorder="1" applyFont="1" applyNumberFormat="1">
      <alignment horizontal="center" vertical="bottom"/>
    </xf>
    <xf borderId="2" fillId="8" fontId="4" numFmtId="0" xfId="0" applyAlignment="1" applyBorder="1" applyFont="1">
      <alignment horizontal="left" shrinkToFit="0" vertical="top" wrapText="0"/>
    </xf>
    <xf borderId="2" fillId="8" fontId="5" numFmtId="169" xfId="0" applyAlignment="1" applyBorder="1" applyFont="1" applyNumberFormat="1">
      <alignment horizontal="center" vertical="bottom"/>
    </xf>
    <xf borderId="2" fillId="0" fontId="19" numFmtId="0" xfId="0" applyAlignment="1" applyBorder="1" applyFont="1">
      <alignment horizontal="left"/>
    </xf>
    <xf borderId="2" fillId="0" fontId="20" numFmtId="0" xfId="0" applyBorder="1" applyFont="1"/>
    <xf borderId="2" fillId="0" fontId="20" numFmtId="0" xfId="0" applyAlignment="1" applyBorder="1" applyFont="1">
      <alignment horizontal="left"/>
    </xf>
    <xf borderId="2" fillId="0" fontId="20" numFmtId="0" xfId="0" applyAlignment="1" applyBorder="1" applyFont="1">
      <alignment horizontal="left" shrinkToFit="0" vertical="top" wrapText="0"/>
    </xf>
    <xf borderId="3" fillId="7" fontId="5" numFmtId="0" xfId="0" applyBorder="1" applyFont="1"/>
    <xf borderId="2" fillId="7" fontId="19" numFmtId="0" xfId="0" applyAlignment="1" applyBorder="1" applyFont="1">
      <alignment horizontal="left" shrinkToFit="0" vertical="top" wrapText="0"/>
    </xf>
    <xf borderId="3" fillId="0" fontId="5" numFmtId="0" xfId="0" applyAlignment="1" applyBorder="1" applyFont="1">
      <alignment horizontal="left"/>
    </xf>
    <xf borderId="9" fillId="7" fontId="21" numFmtId="0" xfId="0" applyAlignment="1" applyBorder="1" applyFont="1">
      <alignment horizontal="center" shrinkToFit="0" vertical="center" wrapText="0"/>
    </xf>
    <xf borderId="10" fillId="0" fontId="14" numFmtId="0" xfId="0" applyBorder="1" applyFont="1"/>
    <xf borderId="11" fillId="0" fontId="14" numFmtId="0" xfId="0" applyBorder="1" applyFont="1"/>
    <xf borderId="12" fillId="0" fontId="14" numFmtId="0" xfId="0" applyBorder="1" applyFont="1"/>
    <xf borderId="13" fillId="0" fontId="14" numFmtId="0" xfId="0" applyBorder="1" applyFont="1"/>
    <xf borderId="1" fillId="0" fontId="14" numFmtId="0" xfId="0" applyBorder="1" applyFont="1"/>
    <xf borderId="2" fillId="3" fontId="5" numFmtId="0" xfId="0" applyAlignment="1" applyBorder="1" applyFont="1">
      <alignment horizontal="left" vertical="bottom"/>
    </xf>
    <xf borderId="2" fillId="10" fontId="5" numFmtId="0" xfId="0" applyAlignment="1" applyBorder="1" applyFont="1">
      <alignment vertical="bottom"/>
    </xf>
    <xf borderId="9" fillId="7" fontId="22" numFmtId="0" xfId="0" applyAlignment="1" applyBorder="1" applyFont="1">
      <alignment horizontal="center" vertical="center"/>
    </xf>
    <xf borderId="6" fillId="7" fontId="23" numFmtId="0" xfId="0" applyBorder="1" applyFont="1"/>
    <xf borderId="2" fillId="0" fontId="7" numFmtId="0" xfId="0" applyBorder="1" applyFont="1"/>
    <xf borderId="2" fillId="3" fontId="4" numFmtId="0" xfId="0" applyAlignment="1" applyBorder="1" applyFont="1">
      <alignment vertical="top"/>
    </xf>
    <xf borderId="2" fillId="0" fontId="7" numFmtId="169" xfId="0" applyAlignment="1" applyBorder="1" applyFont="1" applyNumberFormat="1">
      <alignment horizontal="center"/>
    </xf>
    <xf borderId="3" fillId="7" fontId="4" numFmtId="0" xfId="0" applyAlignment="1" applyBorder="1" applyFont="1">
      <alignment horizontal="left" shrinkToFit="0" vertical="top" wrapText="0"/>
    </xf>
    <xf borderId="3" fillId="7" fontId="5" numFmtId="0" xfId="0" applyAlignment="1" applyBorder="1" applyFont="1">
      <alignment vertical="bottom"/>
    </xf>
    <xf borderId="2" fillId="0" fontId="5" numFmtId="0" xfId="0" applyAlignment="1" applyBorder="1" applyFont="1">
      <alignment vertical="top"/>
    </xf>
    <xf borderId="2" fillId="6" fontId="7" numFmtId="0" xfId="0" applyBorder="1" applyFont="1"/>
    <xf borderId="6" fillId="11" fontId="15" numFmtId="0" xfId="0" applyAlignment="1" applyBorder="1" applyFont="1">
      <alignment horizontal="center"/>
    </xf>
    <xf borderId="2" fillId="3" fontId="6" numFmtId="0" xfId="0" applyBorder="1" applyFont="1"/>
    <xf borderId="2" fillId="3" fontId="7" numFmtId="0" xfId="0" applyAlignment="1" applyBorder="1" applyFont="1">
      <alignment vertical="bottom"/>
    </xf>
    <xf borderId="2" fillId="0" fontId="4" numFmtId="169" xfId="0" applyAlignment="1" applyBorder="1" applyFont="1" applyNumberFormat="1">
      <alignment horizontal="center" shrinkToFit="0" vertical="top" wrapText="0"/>
    </xf>
    <xf borderId="2" fillId="0" fontId="4" numFmtId="49" xfId="0" applyAlignment="1" applyBorder="1" applyFont="1" applyNumberFormat="1">
      <alignment vertical="top"/>
    </xf>
    <xf borderId="2" fillId="0" fontId="6" numFmtId="0" xfId="0" applyAlignment="1" applyBorder="1" applyFont="1">
      <alignment vertical="bottom"/>
    </xf>
    <xf borderId="2" fillId="0" fontId="6" numFmtId="0" xfId="0" applyAlignment="1" applyBorder="1" applyFont="1">
      <alignment horizontal="left" vertical="bottom"/>
    </xf>
    <xf borderId="2" fillId="0" fontId="6" numFmtId="49" xfId="0" applyAlignment="1" applyBorder="1" applyFont="1" applyNumberFormat="1">
      <alignment horizontal="center" vertical="bottom"/>
    </xf>
    <xf borderId="2" fillId="3" fontId="6" numFmtId="0" xfId="0" applyAlignment="1" applyBorder="1" applyFont="1">
      <alignment vertical="bottom"/>
    </xf>
    <xf borderId="2" fillId="3" fontId="6" numFmtId="0" xfId="0" applyAlignment="1" applyBorder="1" applyFont="1">
      <alignment horizontal="left" shrinkToFit="0" vertical="top" wrapText="0"/>
    </xf>
    <xf borderId="2" fillId="3" fontId="6" numFmtId="49" xfId="0" applyAlignment="1" applyBorder="1" applyFont="1" applyNumberFormat="1">
      <alignment horizontal="center" vertical="bottom"/>
    </xf>
    <xf borderId="2" fillId="11" fontId="6" numFmtId="0" xfId="0" applyAlignment="1" applyBorder="1" applyFont="1">
      <alignment vertical="bottom"/>
    </xf>
    <xf borderId="2" fillId="11" fontId="6" numFmtId="0" xfId="0" applyAlignment="1" applyBorder="1" applyFont="1">
      <alignment vertical="top"/>
    </xf>
    <xf borderId="2" fillId="11" fontId="6" numFmtId="49" xfId="0" applyAlignment="1" applyBorder="1" applyFont="1" applyNumberFormat="1">
      <alignment horizontal="center" vertical="bottom"/>
    </xf>
    <xf borderId="2" fillId="11" fontId="6" numFmtId="0" xfId="0" applyAlignment="1" applyBorder="1" applyFont="1">
      <alignment horizontal="left" shrinkToFit="0" vertical="top" wrapText="0"/>
    </xf>
    <xf borderId="2" fillId="15" fontId="6" numFmtId="0" xfId="0" applyAlignment="1" applyBorder="1" applyFill="1" applyFont="1">
      <alignment vertical="bottom"/>
    </xf>
    <xf borderId="2" fillId="15" fontId="6" numFmtId="0" xfId="0" applyAlignment="1" applyBorder="1" applyFont="1">
      <alignment horizontal="left" shrinkToFit="0" vertical="top" wrapText="0"/>
    </xf>
    <xf borderId="2" fillId="15" fontId="6" numFmtId="49" xfId="0" applyAlignment="1" applyBorder="1" applyFont="1" applyNumberFormat="1">
      <alignment horizontal="center" vertical="bottom"/>
    </xf>
    <xf borderId="2" fillId="15" fontId="6" numFmtId="0" xfId="0" applyBorder="1" applyFont="1"/>
    <xf borderId="2" fillId="11" fontId="6" numFmtId="0" xfId="0" applyBorder="1" applyFont="1"/>
    <xf borderId="2" fillId="11" fontId="6" numFmtId="0" xfId="0" applyAlignment="1" applyBorder="1" applyFont="1">
      <alignment horizontal="left"/>
    </xf>
    <xf borderId="2" fillId="11" fontId="5" numFmtId="0" xfId="0" applyAlignment="1" applyBorder="1" applyFont="1">
      <alignment vertical="bottom"/>
    </xf>
    <xf borderId="2" fillId="0" fontId="6" numFmtId="0" xfId="0" applyAlignment="1" applyBorder="1" applyFont="1">
      <alignment vertical="top"/>
    </xf>
    <xf borderId="2" fillId="6" fontId="6" numFmtId="0" xfId="0" applyAlignment="1" applyBorder="1" applyFont="1">
      <alignment vertical="top"/>
    </xf>
    <xf borderId="2" fillId="5" fontId="6" numFmtId="49" xfId="0" applyAlignment="1" applyBorder="1" applyFont="1" applyNumberFormat="1">
      <alignment horizontal="center" vertical="bottom"/>
    </xf>
    <xf borderId="2" fillId="0" fontId="6" numFmtId="0" xfId="0" applyAlignment="1" applyBorder="1" applyFont="1">
      <alignment horizontal="left" shrinkToFit="0" vertical="top" wrapText="0"/>
    </xf>
    <xf borderId="2" fillId="6" fontId="6" numFmtId="0" xfId="0" applyAlignment="1" applyBorder="1" applyFont="1">
      <alignment horizontal="left" shrinkToFit="0" vertical="top" wrapText="0"/>
    </xf>
    <xf borderId="2" fillId="3" fontId="6" numFmtId="0" xfId="0" applyAlignment="1" applyBorder="1" applyFont="1">
      <alignment horizontal="left"/>
    </xf>
    <xf borderId="0" fillId="0" fontId="6" numFmtId="0" xfId="0" applyAlignment="1" applyFont="1">
      <alignment horizontal="left" shrinkToFit="0" vertical="top" wrapText="0"/>
    </xf>
    <xf borderId="0" fillId="3" fontId="6" numFmtId="0" xfId="0" applyAlignment="1" applyFont="1">
      <alignment horizontal="left" shrinkToFit="0" vertical="top" wrapText="0"/>
    </xf>
    <xf borderId="2" fillId="0" fontId="7" numFmtId="0" xfId="0" applyAlignment="1" applyBorder="1" applyFont="1">
      <alignment horizontal="center"/>
    </xf>
    <xf borderId="0" fillId="3" fontId="6" numFmtId="0" xfId="0" applyFont="1"/>
    <xf borderId="0" fillId="3" fontId="4" numFmtId="0" xfId="0" applyAlignment="1" applyFont="1">
      <alignment horizontal="left" shrinkToFit="0" vertical="top" wrapText="0"/>
    </xf>
    <xf borderId="0" fillId="11" fontId="6" numFmtId="0" xfId="0" applyFont="1"/>
    <xf borderId="0" fillId="11" fontId="4" numFmtId="0" xfId="0" applyAlignment="1" applyFont="1">
      <alignment horizontal="left" shrinkToFit="0" vertical="top" wrapText="0"/>
    </xf>
    <xf borderId="2" fillId="11" fontId="5" numFmtId="49" xfId="0" applyAlignment="1" applyBorder="1" applyFont="1" applyNumberFormat="1">
      <alignment horizontal="center" vertical="bottom"/>
    </xf>
    <xf borderId="3" fillId="7" fontId="15" numFmtId="0" xfId="0" applyAlignment="1" applyBorder="1" applyFont="1">
      <alignment vertical="bottom"/>
    </xf>
    <xf borderId="9" fillId="0" fontId="5" numFmtId="0" xfId="0" applyAlignment="1" applyBorder="1" applyFont="1">
      <alignment vertical="bottom"/>
    </xf>
    <xf borderId="14" fillId="0" fontId="4" numFmtId="0" xfId="0" applyAlignment="1" applyBorder="1" applyFont="1">
      <alignment vertical="top"/>
    </xf>
    <xf borderId="10" fillId="0" fontId="4" numFmtId="0" xfId="0" applyAlignment="1" applyBorder="1" applyFont="1">
      <alignment vertical="top"/>
    </xf>
    <xf borderId="5" fillId="0" fontId="5" numFmtId="49" xfId="0" applyAlignment="1" applyBorder="1" applyFont="1" applyNumberFormat="1">
      <alignment horizontal="center" vertical="bottom"/>
    </xf>
    <xf borderId="5" fillId="0" fontId="5" numFmtId="0" xfId="0" applyAlignment="1" applyBorder="1" applyFont="1">
      <alignment vertical="bottom"/>
    </xf>
    <xf borderId="5" fillId="0" fontId="4" numFmtId="0" xfId="0" applyAlignment="1" applyBorder="1" applyFont="1">
      <alignment vertical="top"/>
    </xf>
    <xf borderId="0" fillId="5" fontId="4" numFmtId="0" xfId="0" applyAlignment="1" applyFont="1">
      <alignment horizontal="left" shrinkToFit="0" vertical="top" wrapText="0"/>
    </xf>
    <xf borderId="2" fillId="0" fontId="24" numFmtId="0" xfId="0" applyAlignment="1" applyBorder="1" applyFont="1">
      <alignment vertical="top"/>
    </xf>
    <xf borderId="0" fillId="3" fontId="24" numFmtId="0" xfId="0" applyAlignment="1" applyFont="1">
      <alignment vertical="top"/>
    </xf>
    <xf borderId="2" fillId="3" fontId="24" numFmtId="0" xfId="0" applyAlignment="1" applyBorder="1" applyFont="1">
      <alignment vertical="top"/>
    </xf>
    <xf borderId="2" fillId="3" fontId="7" numFmtId="49" xfId="0" applyAlignment="1" applyBorder="1" applyFont="1" applyNumberFormat="1">
      <alignment horizontal="center" vertical="bottom"/>
    </xf>
    <xf borderId="6" fillId="11" fontId="3" numFmtId="0" xfId="0" applyAlignment="1" applyBorder="1" applyFont="1">
      <alignment horizontal="center" vertical="bottom"/>
    </xf>
    <xf borderId="5" fillId="10" fontId="25" numFmtId="168" xfId="0" applyAlignment="1" applyBorder="1" applyFont="1" applyNumberFormat="1">
      <alignment horizontal="center" shrinkToFit="0" vertical="bottom" wrapText="1"/>
    </xf>
    <xf borderId="2" fillId="6" fontId="24" numFmtId="0" xfId="0" applyAlignment="1" applyBorder="1" applyFont="1">
      <alignment vertical="top"/>
    </xf>
    <xf borderId="2" fillId="0" fontId="7" numFmtId="49" xfId="0" applyAlignment="1" applyBorder="1" applyFont="1" applyNumberFormat="1">
      <alignment horizontal="center" vertical="bottom"/>
    </xf>
    <xf borderId="0" fillId="6" fontId="26" numFmtId="0" xfId="0" applyAlignment="1" applyFont="1">
      <alignment horizontal="left" shrinkToFit="0" vertical="top" wrapText="0"/>
    </xf>
    <xf borderId="0" fillId="3" fontId="5" numFmtId="0" xfId="0" applyAlignment="1" applyFont="1">
      <alignment horizontal="left"/>
    </xf>
    <xf borderId="6" fillId="11" fontId="3" numFmtId="0" xfId="0" applyAlignment="1" applyBorder="1" applyFont="1">
      <alignment horizontal="center" vertical="center"/>
    </xf>
    <xf borderId="5" fillId="5" fontId="25" numFmtId="168" xfId="0" applyAlignment="1" applyBorder="1" applyFont="1" applyNumberFormat="1">
      <alignment horizontal="center" shrinkToFit="0" vertical="bottom" wrapText="1"/>
    </xf>
    <xf borderId="2" fillId="6" fontId="6" numFmtId="0" xfId="0" applyBorder="1" applyFont="1"/>
    <xf borderId="5" fillId="0" fontId="7" numFmtId="0" xfId="0" applyAlignment="1" applyBorder="1" applyFont="1">
      <alignment vertical="bottom"/>
    </xf>
    <xf borderId="5" fillId="0" fontId="7" numFmtId="49" xfId="0" applyAlignment="1" applyBorder="1" applyFont="1" applyNumberFormat="1">
      <alignment horizontal="center" vertical="bottom"/>
    </xf>
    <xf borderId="8" fillId="6" fontId="7" numFmtId="0" xfId="0" applyAlignment="1" applyBorder="1" applyFont="1">
      <alignment vertical="bottom"/>
    </xf>
    <xf borderId="1" fillId="6" fontId="24" numFmtId="0" xfId="0" applyAlignment="1" applyBorder="1" applyFont="1">
      <alignment vertical="top"/>
    </xf>
    <xf borderId="1" fillId="6" fontId="7" numFmtId="49" xfId="0" applyAlignment="1" applyBorder="1" applyFont="1" applyNumberFormat="1">
      <alignment horizontal="center" vertical="bottom"/>
    </xf>
    <xf borderId="1" fillId="6" fontId="7" numFmtId="0" xfId="0" applyAlignment="1" applyBorder="1" applyFont="1">
      <alignment vertical="bottom"/>
    </xf>
    <xf borderId="8" fillId="0" fontId="7" numFmtId="0" xfId="0" applyAlignment="1" applyBorder="1" applyFont="1">
      <alignment vertical="bottom"/>
    </xf>
    <xf borderId="1" fillId="0" fontId="24" numFmtId="0" xfId="0" applyAlignment="1" applyBorder="1" applyFont="1">
      <alignment vertical="top"/>
    </xf>
    <xf borderId="1" fillId="0" fontId="7" numFmtId="49" xfId="0" applyAlignment="1" applyBorder="1" applyFont="1" applyNumberFormat="1">
      <alignment horizontal="center" vertical="bottom"/>
    </xf>
    <xf borderId="2" fillId="0" fontId="27" numFmtId="0" xfId="0" applyAlignment="1" applyBorder="1" applyFont="1">
      <alignment vertical="bottom"/>
    </xf>
    <xf borderId="2" fillId="5" fontId="24" numFmtId="0" xfId="0" applyAlignment="1" applyBorder="1" applyFont="1">
      <alignment vertical="top"/>
    </xf>
    <xf borderId="2" fillId="5" fontId="7" numFmtId="49" xfId="0" applyAlignment="1" applyBorder="1" applyFont="1" applyNumberFormat="1">
      <alignment horizontal="center" vertical="bottom"/>
    </xf>
    <xf borderId="2" fillId="5" fontId="7" numFmtId="0" xfId="0" applyAlignment="1" applyBorder="1" applyFont="1">
      <alignment vertical="bottom"/>
    </xf>
    <xf borderId="2" fillId="16" fontId="5" numFmtId="49" xfId="0" applyAlignment="1" applyBorder="1" applyFill="1" applyFont="1" applyNumberFormat="1">
      <alignment horizontal="center" vertical="bottom"/>
    </xf>
    <xf borderId="0" fillId="6" fontId="4" numFmtId="0" xfId="0" applyAlignment="1" applyFont="1">
      <alignment horizontal="left" shrinkToFit="0" vertical="top" wrapText="0"/>
    </xf>
    <xf borderId="0" fillId="12" fontId="4" numFmtId="0" xfId="0" applyAlignment="1" applyFont="1">
      <alignment horizontal="left" shrinkToFit="0" vertical="top" wrapText="0"/>
    </xf>
    <xf borderId="0" fillId="12" fontId="16" numFmtId="0" xfId="0" applyFont="1"/>
    <xf borderId="0" fillId="0" fontId="7" numFmtId="0" xfId="0" applyAlignment="1" applyFont="1">
      <alignment horizontal="center"/>
    </xf>
    <xf borderId="0" fillId="3" fontId="7" numFmtId="169" xfId="0" applyAlignment="1" applyFont="1" applyNumberFormat="1">
      <alignment horizontal="center"/>
    </xf>
    <xf borderId="0" fillId="3" fontId="7" numFmtId="0" xfId="0" applyFont="1"/>
    <xf borderId="0" fillId="3" fontId="28" numFmtId="0" xfId="0" applyFont="1"/>
    <xf borderId="0" fillId="5" fontId="28" numFmtId="0" xfId="0" applyFont="1"/>
    <xf borderId="0" fillId="5" fontId="16" numFmtId="0" xfId="0" applyFont="1"/>
    <xf borderId="2" fillId="8" fontId="6" numFmtId="0" xfId="0" applyBorder="1" applyFont="1"/>
    <xf borderId="5" fillId="3" fontId="7" numFmtId="0" xfId="0" applyAlignment="1" applyBorder="1" applyFont="1">
      <alignment vertical="bottom"/>
    </xf>
    <xf borderId="0" fillId="8" fontId="4" numFmtId="0" xfId="0" applyAlignment="1" applyFont="1">
      <alignment horizontal="left" shrinkToFit="0" vertical="top" wrapText="0"/>
    </xf>
    <xf borderId="2" fillId="3" fontId="7" numFmtId="169" xfId="0" applyAlignment="1" applyBorder="1" applyFont="1" applyNumberFormat="1">
      <alignment horizontal="center"/>
    </xf>
    <xf borderId="2" fillId="3" fontId="7" numFmtId="0" xfId="0" applyBorder="1" applyFont="1"/>
    <xf borderId="2" fillId="6" fontId="29" numFmtId="0" xfId="0" applyAlignment="1" applyBorder="1" applyFont="1">
      <alignment vertical="center"/>
    </xf>
    <xf borderId="2" fillId="6" fontId="28" numFmtId="0" xfId="0" applyBorder="1" applyFont="1"/>
    <xf borderId="2" fillId="6" fontId="7" numFmtId="169" xfId="0" applyAlignment="1" applyBorder="1" applyFont="1" applyNumberFormat="1">
      <alignment horizontal="center"/>
    </xf>
    <xf borderId="0" fillId="6" fontId="28" numFmtId="0" xfId="0" applyFont="1"/>
    <xf borderId="2" fillId="8" fontId="24" numFmtId="0" xfId="0" applyAlignment="1" applyBorder="1" applyFont="1">
      <alignment vertical="top"/>
    </xf>
    <xf borderId="2" fillId="8" fontId="7" numFmtId="49" xfId="0" applyAlignment="1" applyBorder="1" applyFont="1" applyNumberFormat="1">
      <alignment horizontal="center" vertical="bottom"/>
    </xf>
    <xf borderId="2" fillId="8" fontId="7" numFmtId="0" xfId="0" applyAlignment="1" applyBorder="1" applyFont="1">
      <alignment vertical="bottom"/>
    </xf>
    <xf borderId="0" fillId="3" fontId="16" numFmtId="0" xfId="0" applyFont="1"/>
    <xf borderId="2" fillId="6" fontId="7" numFmtId="49" xfId="0" applyAlignment="1" applyBorder="1" applyFont="1" applyNumberFormat="1">
      <alignment horizontal="center" vertical="bottom"/>
    </xf>
    <xf borderId="2" fillId="6" fontId="7" numFmtId="0" xfId="0" applyAlignment="1" applyBorder="1" applyFont="1">
      <alignment vertical="bottom"/>
    </xf>
    <xf borderId="2" fillId="6" fontId="5" numFmtId="0" xfId="0" applyAlignment="1" applyBorder="1" applyFont="1">
      <alignment horizontal="center" vertical="bottom"/>
    </xf>
    <xf borderId="0" fillId="6" fontId="16" numFmtId="0" xfId="0" applyFont="1"/>
    <xf borderId="2" fillId="8" fontId="22" numFmtId="0" xfId="0" applyAlignment="1" applyBorder="1" applyFont="1">
      <alignment horizontal="center" vertical="center"/>
    </xf>
    <xf borderId="0" fillId="6" fontId="5" numFmtId="0" xfId="0" applyAlignment="1" applyFont="1">
      <alignment horizontal="left"/>
    </xf>
    <xf borderId="2" fillId="7" fontId="5" numFmtId="49" xfId="0" applyAlignment="1" applyBorder="1" applyFont="1" applyNumberFormat="1">
      <alignment horizontal="center" vertical="bottom"/>
    </xf>
    <xf borderId="2" fillId="5" fontId="7" numFmtId="169" xfId="0" applyAlignment="1" applyBorder="1" applyFont="1" applyNumberFormat="1">
      <alignment horizontal="center"/>
    </xf>
    <xf borderId="2" fillId="5" fontId="7" numFmtId="0" xfId="0" applyBorder="1" applyFont="1"/>
    <xf borderId="7" fillId="11" fontId="3" numFmtId="0" xfId="0" applyAlignment="1" applyBorder="1" applyFont="1">
      <alignment horizontal="center" vertical="bottom"/>
    </xf>
    <xf borderId="1" fillId="5" fontId="7" numFmtId="168" xfId="0" applyAlignment="1" applyBorder="1" applyFont="1" applyNumberFormat="1">
      <alignment vertical="bottom"/>
    </xf>
    <xf borderId="12" fillId="0" fontId="7" numFmtId="0" xfId="0" applyAlignment="1" applyBorder="1" applyFont="1">
      <alignment vertical="bottom"/>
    </xf>
    <xf borderId="8" fillId="11" fontId="3" numFmtId="0" xfId="0" applyAlignment="1" applyBorder="1" applyFont="1">
      <alignment horizontal="center" vertical="bottom"/>
    </xf>
    <xf borderId="2" fillId="6" fontId="6" numFmtId="0" xfId="0" applyAlignment="1" applyBorder="1" applyFont="1">
      <alignment vertical="bottom"/>
    </xf>
    <xf borderId="2" fillId="0" fontId="7" numFmtId="0" xfId="0" applyAlignment="1" applyBorder="1" applyFont="1">
      <alignment horizontal="left" vertical="bottom"/>
    </xf>
    <xf borderId="2" fillId="6" fontId="30" numFmtId="0" xfId="0" applyBorder="1" applyFont="1"/>
    <xf borderId="2" fillId="6" fontId="24" numFmtId="0" xfId="0" applyAlignment="1" applyBorder="1" applyFont="1">
      <alignment horizontal="left" shrinkToFit="0" vertical="top" wrapText="0"/>
    </xf>
    <xf borderId="2" fillId="3" fontId="30" numFmtId="0" xfId="0" applyBorder="1" applyFont="1"/>
    <xf borderId="2" fillId="3" fontId="24" numFmtId="0" xfId="0" applyAlignment="1" applyBorder="1" applyFont="1">
      <alignment horizontal="left" shrinkToFit="0" vertical="top" wrapText="0"/>
    </xf>
    <xf borderId="0" fillId="12" fontId="6" numFmtId="0" xfId="0" applyFont="1"/>
    <xf borderId="2" fillId="17" fontId="5" numFmtId="0" xfId="0" applyAlignment="1" applyBorder="1" applyFill="1" applyFont="1">
      <alignment horizontal="left" vertical="bottom"/>
    </xf>
    <xf borderId="0" fillId="6" fontId="6" numFmtId="0" xfId="0" applyAlignment="1" applyFont="1">
      <alignment vertical="bottom"/>
    </xf>
    <xf borderId="0" fillId="6" fontId="24" numFmtId="0" xfId="0" applyAlignment="1" applyFont="1">
      <alignment horizontal="left" shrinkToFit="0" vertical="top" wrapText="0"/>
    </xf>
    <xf borderId="0" fillId="6" fontId="7" numFmtId="169" xfId="0" applyAlignment="1" applyFont="1" applyNumberFormat="1">
      <alignment horizontal="center"/>
    </xf>
    <xf borderId="0" fillId="6" fontId="7" numFmtId="0" xfId="0" applyFont="1"/>
    <xf borderId="2" fillId="18" fontId="5" numFmtId="0" xfId="0" applyAlignment="1" applyBorder="1" applyFill="1" applyFont="1">
      <alignment vertical="bottom"/>
    </xf>
    <xf borderId="2" fillId="19" fontId="5" numFmtId="0" xfId="0" applyAlignment="1" applyBorder="1" applyFill="1" applyFont="1">
      <alignment vertical="bottom"/>
    </xf>
    <xf borderId="0" fillId="19" fontId="4" numFmtId="0" xfId="0" applyAlignment="1" applyFont="1">
      <alignment horizontal="left" shrinkToFit="0" vertical="top" wrapText="0"/>
    </xf>
    <xf borderId="2" fillId="19" fontId="5" numFmtId="49" xfId="0" applyAlignment="1" applyBorder="1" applyFont="1" applyNumberFormat="1">
      <alignment horizontal="center" vertical="bottom"/>
    </xf>
    <xf borderId="0" fillId="3" fontId="5" numFmtId="0" xfId="0" applyAlignment="1" applyFont="1">
      <alignment vertical="bottom"/>
    </xf>
    <xf borderId="2" fillId="19" fontId="4" numFmtId="0" xfId="0" applyAlignment="1" applyBorder="1" applyFont="1">
      <alignment horizontal="left" shrinkToFit="0" vertical="top" wrapText="0"/>
    </xf>
    <xf borderId="2" fillId="20" fontId="5" numFmtId="0" xfId="0" applyAlignment="1" applyBorder="1" applyFill="1" applyFont="1">
      <alignment vertical="bottom"/>
    </xf>
    <xf borderId="0" fillId="3" fontId="7" numFmtId="0" xfId="0" applyAlignment="1" applyFont="1">
      <alignment vertical="bottom"/>
    </xf>
    <xf borderId="2" fillId="8" fontId="5" numFmtId="0" xfId="0" applyBorder="1" applyFont="1"/>
    <xf borderId="2" fillId="11" fontId="7" numFmtId="0" xfId="0" applyBorder="1" applyFont="1"/>
    <xf borderId="2" fillId="11" fontId="7" numFmtId="0" xfId="0" applyAlignment="1" applyBorder="1" applyFont="1">
      <alignment vertical="bottom"/>
    </xf>
    <xf borderId="2" fillId="10" fontId="25" numFmtId="168" xfId="0" applyAlignment="1" applyBorder="1" applyFont="1" applyNumberFormat="1">
      <alignment horizontal="center" shrinkToFit="0" vertical="bottom" wrapText="1"/>
    </xf>
    <xf borderId="2" fillId="3" fontId="31" numFmtId="0" xfId="0" applyAlignment="1" applyBorder="1" applyFont="1">
      <alignment vertical="bottom"/>
    </xf>
    <xf borderId="0" fillId="0" fontId="7" numFmtId="169" xfId="0" applyAlignment="1" applyFont="1" applyNumberFormat="1">
      <alignment horizontal="center"/>
    </xf>
    <xf borderId="5" fillId="8" fontId="7" numFmtId="0" xfId="0" applyAlignment="1" applyBorder="1" applyFont="1">
      <alignment vertical="bottom"/>
    </xf>
    <xf borderId="5" fillId="8" fontId="5" numFmtId="0" xfId="0" applyAlignment="1" applyBorder="1" applyFont="1">
      <alignment vertical="bottom"/>
    </xf>
    <xf borderId="0" fillId="3" fontId="7" numFmtId="0" xfId="0" applyAlignment="1" applyFont="1">
      <alignment horizontal="left"/>
    </xf>
    <xf borderId="2" fillId="3" fontId="31" numFmtId="0" xfId="0" applyBorder="1" applyFont="1"/>
    <xf borderId="0" fillId="6" fontId="5" numFmtId="0" xfId="0" applyAlignment="1" applyFont="1">
      <alignment vertical="bottom"/>
    </xf>
    <xf borderId="5" fillId="6" fontId="6" numFmtId="0" xfId="0" applyBorder="1" applyFont="1"/>
    <xf borderId="5" fillId="3" fontId="6" numFmtId="0" xfId="0" applyBorder="1" applyFont="1"/>
    <xf borderId="10" fillId="6" fontId="6" numFmtId="0" xfId="0" applyBorder="1" applyFont="1"/>
    <xf borderId="6" fillId="6" fontId="4" numFmtId="0" xfId="0" applyAlignment="1" applyBorder="1" applyFont="1">
      <alignment horizontal="left" shrinkToFit="0" vertical="top" wrapText="0"/>
    </xf>
    <xf borderId="10" fillId="3" fontId="6" numFmtId="0" xfId="0" applyBorder="1" applyFont="1"/>
    <xf borderId="2" fillId="5" fontId="6" numFmtId="0" xfId="0" applyBorder="1" applyFont="1"/>
    <xf borderId="5" fillId="6" fontId="24" numFmtId="0" xfId="0" applyAlignment="1" applyBorder="1" applyFont="1">
      <alignment vertical="top"/>
    </xf>
    <xf borderId="5" fillId="6" fontId="7" numFmtId="49" xfId="0" applyAlignment="1" applyBorder="1" applyFont="1" applyNumberFormat="1">
      <alignment horizontal="center" vertical="bottom"/>
    </xf>
    <xf borderId="5" fillId="6" fontId="7" numFmtId="0" xfId="0" applyAlignment="1" applyBorder="1" applyFont="1">
      <alignment vertical="bottom"/>
    </xf>
    <xf borderId="2" fillId="6" fontId="7" numFmtId="0" xfId="0" applyAlignment="1" applyBorder="1" applyFont="1">
      <alignment horizontal="center"/>
    </xf>
    <xf borderId="2" fillId="8" fontId="5" numFmtId="0" xfId="0" applyAlignment="1" applyBorder="1" applyFont="1">
      <alignment horizontal="left" vertical="bottom"/>
    </xf>
    <xf borderId="3" fillId="6" fontId="5" numFmtId="0" xfId="0" applyAlignment="1" applyBorder="1" applyFont="1">
      <alignment vertical="bottom"/>
    </xf>
    <xf borderId="7" fillId="11" fontId="3" numFmtId="0" xfId="0" applyAlignment="1" applyBorder="1" applyFont="1">
      <alignment vertical="bottom"/>
    </xf>
    <xf borderId="3" fillId="3" fontId="7" numFmtId="0" xfId="0" applyAlignment="1" applyBorder="1" applyFont="1">
      <alignment vertical="bottom"/>
    </xf>
    <xf borderId="4" fillId="3" fontId="24" numFmtId="0" xfId="0" applyAlignment="1" applyBorder="1" applyFont="1">
      <alignment vertical="top"/>
    </xf>
    <xf borderId="5" fillId="3" fontId="24" numFmtId="0" xfId="0" applyAlignment="1" applyBorder="1" applyFont="1">
      <alignment vertical="top"/>
    </xf>
    <xf borderId="5" fillId="3" fontId="7" numFmtId="49" xfId="0" applyAlignment="1" applyBorder="1" applyFont="1" applyNumberFormat="1">
      <alignment horizontal="center" vertical="bottom"/>
    </xf>
    <xf borderId="5" fillId="3" fontId="31" numFmtId="0" xfId="0" applyAlignment="1" applyBorder="1" applyFont="1">
      <alignment vertical="bottom"/>
    </xf>
    <xf borderId="2" fillId="7" fontId="7" numFmtId="0" xfId="0" applyBorder="1" applyFont="1"/>
    <xf borderId="1" fillId="8" fontId="7" numFmtId="0" xfId="0" applyAlignment="1" applyBorder="1" applyFont="1">
      <alignment vertical="bottom"/>
    </xf>
    <xf borderId="5" fillId="3" fontId="5" numFmtId="0" xfId="0" applyAlignment="1" applyBorder="1" applyFont="1">
      <alignment vertical="bottom"/>
    </xf>
    <xf borderId="3" fillId="8" fontId="5" numFmtId="0" xfId="0" applyAlignment="1" applyBorder="1" applyFont="1">
      <alignment vertical="bottom"/>
    </xf>
    <xf borderId="3" fillId="21" fontId="5" numFmtId="0" xfId="0" applyAlignment="1" applyBorder="1" applyFill="1" applyFont="1">
      <alignment vertical="bottom"/>
    </xf>
    <xf borderId="2" fillId="8" fontId="4" numFmtId="0" xfId="0" applyAlignment="1" applyBorder="1" applyFont="1">
      <alignment horizontal="center" vertical="center"/>
    </xf>
    <xf borderId="2" fillId="6" fontId="5" numFmtId="169" xfId="0" applyAlignment="1" applyBorder="1" applyFont="1" applyNumberFormat="1">
      <alignment vertical="bottom"/>
    </xf>
    <xf borderId="5" fillId="3" fontId="4" numFmtId="0" xfId="0" applyAlignment="1" applyBorder="1" applyFont="1">
      <alignment horizontal="left" shrinkToFit="0" vertical="top" wrapText="0"/>
    </xf>
    <xf borderId="3" fillId="3" fontId="4" numFmtId="0" xfId="0" applyAlignment="1" applyBorder="1" applyFont="1">
      <alignment horizontal="left" shrinkToFit="0" vertical="top" wrapText="0"/>
    </xf>
    <xf borderId="5" fillId="6" fontId="4" numFmtId="0" xfId="0" applyAlignment="1" applyBorder="1" applyFont="1">
      <alignment horizontal="left" shrinkToFit="0" vertical="top" wrapText="0"/>
    </xf>
    <xf borderId="3" fillId="6" fontId="4" numFmtId="0" xfId="0" applyAlignment="1" applyBorder="1" applyFont="1">
      <alignment horizontal="left" shrinkToFit="0" vertical="top" wrapText="0"/>
    </xf>
    <xf borderId="2" fillId="6" fontId="5" numFmtId="166" xfId="0" applyAlignment="1" applyBorder="1" applyFont="1" applyNumberFormat="1">
      <alignment vertical="bottom"/>
    </xf>
    <xf borderId="0" fillId="6" fontId="32" numFmtId="0" xfId="0" applyAlignment="1" applyFont="1">
      <alignment horizontal="left"/>
    </xf>
    <xf borderId="14" fillId="0" fontId="14" numFmtId="0" xfId="0" applyBorder="1" applyFont="1"/>
    <xf borderId="15" fillId="0" fontId="14" numFmtId="0" xfId="0" applyBorder="1" applyFont="1"/>
    <xf borderId="2" fillId="21" fontId="5" numFmtId="0" xfId="0" applyAlignment="1" applyBorder="1" applyFont="1">
      <alignment horizontal="left" vertical="bottom"/>
    </xf>
    <xf borderId="2" fillId="21" fontId="5" numFmtId="49" xfId="0" applyAlignment="1" applyBorder="1" applyFont="1" applyNumberFormat="1">
      <alignment horizontal="center" vertical="bottom"/>
    </xf>
    <xf borderId="2" fillId="21" fontId="5" numFmtId="0" xfId="0" applyAlignment="1" applyBorder="1" applyFont="1">
      <alignment vertical="bottom"/>
    </xf>
    <xf borderId="2" fillId="22" fontId="5" numFmtId="49" xfId="0" applyAlignment="1" applyBorder="1" applyFill="1" applyFont="1" applyNumberFormat="1">
      <alignment horizontal="left" vertical="bottom"/>
    </xf>
    <xf borderId="0" fillId="6" fontId="7" numFmtId="169" xfId="0" applyFont="1" applyNumberFormat="1"/>
    <xf borderId="0" fillId="3" fontId="4" numFmtId="169" xfId="0" applyAlignment="1" applyFont="1" applyNumberFormat="1">
      <alignment horizontal="center" shrinkToFit="0" vertical="top" wrapText="0"/>
    </xf>
    <xf borderId="0" fillId="6" fontId="4" numFmtId="169" xfId="0" applyAlignment="1" applyFont="1" applyNumberFormat="1">
      <alignment horizontal="center" shrinkToFit="0" vertical="top" wrapText="0"/>
    </xf>
    <xf borderId="2" fillId="6" fontId="8" numFmtId="0" xfId="0" applyAlignment="1" applyBorder="1" applyFont="1">
      <alignment shrinkToFit="0" vertical="bottom" wrapText="0"/>
    </xf>
    <xf borderId="0" fillId="6" fontId="8" numFmtId="0" xfId="0" applyAlignment="1" applyFont="1">
      <alignment shrinkToFit="0" vertical="bottom" wrapText="0"/>
    </xf>
    <xf borderId="0" fillId="10" fontId="7" numFmtId="168" xfId="0" applyAlignment="1" applyFont="1" applyNumberFormat="1">
      <alignment vertical="bottom"/>
    </xf>
    <xf borderId="2" fillId="10" fontId="3" numFmtId="168" xfId="0" applyAlignment="1" applyBorder="1" applyFont="1" applyNumberFormat="1">
      <alignment horizontal="center" vertical="bottom"/>
    </xf>
    <xf borderId="2" fillId="6" fontId="7" numFmtId="169" xfId="0" applyBorder="1" applyFont="1" applyNumberFormat="1"/>
    <xf borderId="0" fillId="2" fontId="33" numFmtId="0" xfId="0" applyAlignment="1" applyFont="1">
      <alignment horizontal="center" vertical="center"/>
    </xf>
    <xf borderId="0" fillId="2" fontId="33" numFmtId="3" xfId="0" applyAlignment="1" applyFont="1" applyNumberFormat="1">
      <alignment horizontal="center" vertical="center"/>
    </xf>
    <xf borderId="0" fillId="2" fontId="33" numFmtId="10" xfId="0" applyAlignment="1" applyFont="1" applyNumberFormat="1">
      <alignment horizontal="center" vertical="center"/>
    </xf>
    <xf borderId="0" fillId="4" fontId="3" numFmtId="0" xfId="0" applyAlignment="1" applyFont="1">
      <alignment horizontal="center" vertical="center"/>
    </xf>
    <xf borderId="0" fillId="0" fontId="7" numFmtId="0" xfId="0" applyAlignment="1" applyFont="1">
      <alignment vertical="center"/>
    </xf>
    <xf borderId="0" fillId="0" fontId="8" numFmtId="0" xfId="0" applyAlignment="1" applyFont="1">
      <alignment horizontal="center" shrinkToFit="0" vertical="bottom" wrapText="0"/>
    </xf>
    <xf borderId="0" fillId="0" fontId="8" numFmtId="0" xfId="0" applyAlignment="1" applyFont="1">
      <alignment horizontal="right" shrinkToFit="0" vertical="bottom" wrapText="0"/>
    </xf>
    <xf borderId="0" fillId="0" fontId="8" numFmtId="9" xfId="0" applyAlignment="1" applyFont="1" applyNumberFormat="1">
      <alignment horizontal="right" shrinkToFit="0" vertical="bottom" wrapText="0"/>
    </xf>
    <xf borderId="0" fillId="0" fontId="8" numFmtId="10" xfId="0" applyAlignment="1" applyFont="1" applyNumberFormat="1">
      <alignment horizontal="right" shrinkToFit="0" vertical="bottom" wrapText="0"/>
    </xf>
    <xf borderId="0" fillId="0" fontId="8" numFmtId="3" xfId="0" applyAlignment="1" applyFont="1" applyNumberFormat="1">
      <alignment horizontal="right" shrinkToFit="0" vertical="bottom" wrapText="0"/>
    </xf>
    <xf borderId="2" fillId="0" fontId="7" numFmtId="0" xfId="0" applyAlignment="1" applyBorder="1" applyFont="1">
      <alignment shrinkToFit="0" vertical="bottom" wrapText="0"/>
    </xf>
    <xf borderId="0" fillId="0" fontId="7" numFmtId="164" xfId="0" applyAlignment="1" applyFont="1" applyNumberFormat="1">
      <alignment horizontal="right" vertical="bottom"/>
    </xf>
    <xf borderId="0" fillId="23" fontId="34" numFmtId="0" xfId="0" applyAlignment="1" applyFill="1" applyFont="1">
      <alignment vertical="bottom"/>
    </xf>
    <xf borderId="2" fillId="23" fontId="34" numFmtId="0" xfId="0" applyAlignment="1" applyBorder="1" applyFont="1">
      <alignment shrinkToFit="0" vertical="bottom" wrapText="0"/>
    </xf>
    <xf borderId="2" fillId="23" fontId="35" numFmtId="0" xfId="0" applyAlignment="1" applyBorder="1" applyFont="1">
      <alignment shrinkToFit="0" vertical="bottom" wrapText="0"/>
    </xf>
    <xf borderId="2" fillId="23" fontId="7" numFmtId="0" xfId="0" applyAlignment="1" applyBorder="1" applyFont="1">
      <alignment vertical="bottom"/>
    </xf>
    <xf borderId="2" fillId="23" fontId="36" numFmtId="0" xfId="0" applyAlignment="1" applyBorder="1" applyFont="1">
      <alignment vertical="bottom"/>
    </xf>
    <xf borderId="2" fillId="23" fontId="36" numFmtId="0" xfId="0" applyAlignment="1" applyBorder="1" applyFont="1">
      <alignment shrinkToFit="0" vertical="bottom" wrapText="0"/>
    </xf>
    <xf borderId="0" fillId="23" fontId="37" numFmtId="0" xfId="0" applyAlignment="1" applyFont="1">
      <alignment vertical="bottom"/>
    </xf>
    <xf borderId="2" fillId="23" fontId="37" numFmtId="0" xfId="0" applyAlignment="1" applyBorder="1" applyFont="1">
      <alignment vertical="bottom"/>
    </xf>
    <xf borderId="2" fillId="23" fontId="37" numFmtId="0" xfId="0" applyAlignment="1" applyBorder="1" applyFont="1">
      <alignment shrinkToFit="0" vertical="bottom" wrapText="0"/>
    </xf>
    <xf borderId="0" fillId="0" fontId="38" numFmtId="0" xfId="0" applyFont="1"/>
    <xf borderId="0" fillId="0" fontId="38" numFmtId="164" xfId="0" applyFont="1" applyNumberFormat="1"/>
    <xf borderId="0" fillId="24" fontId="39" numFmtId="0" xfId="0" applyAlignment="1" applyFill="1" applyFont="1">
      <alignment horizontal="center" shrinkToFit="0" wrapText="1"/>
    </xf>
    <xf borderId="0" fillId="25" fontId="40" numFmtId="0" xfId="0" applyAlignment="1" applyFill="1" applyFont="1">
      <alignment vertical="bottom"/>
    </xf>
    <xf borderId="0" fillId="22" fontId="41" numFmtId="0" xfId="0" applyAlignment="1" applyFont="1">
      <alignment horizontal="center" vertical="bottom"/>
    </xf>
    <xf borderId="0" fillId="24" fontId="39" numFmtId="0" xfId="0" applyAlignment="1" applyFont="1">
      <alignment horizontal="center" shrinkToFit="0" vertical="center" wrapText="1"/>
    </xf>
    <xf borderId="0" fillId="24" fontId="42" numFmtId="0" xfId="0" applyAlignment="1" applyFont="1">
      <alignment horizontal="center" shrinkToFit="0" vertical="center" wrapText="1"/>
    </xf>
    <xf borderId="0" fillId="23" fontId="43" numFmtId="0" xfId="0" applyAlignment="1" applyFont="1">
      <alignment vertical="bottom"/>
    </xf>
    <xf borderId="0" fillId="0" fontId="7" numFmtId="0" xfId="0" applyAlignment="1" applyFont="1">
      <alignment horizontal="right" vertical="bottom"/>
    </xf>
    <xf borderId="0" fillId="0" fontId="7" numFmtId="170" xfId="0" applyAlignment="1" applyFont="1" applyNumberFormat="1">
      <alignment horizontal="right" vertical="bottom"/>
    </xf>
    <xf borderId="0" fillId="5" fontId="41" numFmtId="0" xfId="0" applyAlignment="1" applyFont="1">
      <alignment horizontal="center" vertical="bottom"/>
    </xf>
    <xf borderId="0" fillId="5" fontId="44" numFmtId="9" xfId="0" applyAlignment="1" applyFont="1" applyNumberFormat="1">
      <alignment horizontal="center" vertical="bottom"/>
    </xf>
    <xf borderId="0" fillId="26" fontId="43" numFmtId="0" xfId="0" applyAlignment="1" applyFill="1" applyFont="1">
      <alignment horizontal="center"/>
    </xf>
    <xf borderId="0" fillId="26" fontId="43" numFmtId="1" xfId="0" applyAlignment="1" applyFont="1" applyNumberFormat="1">
      <alignment horizontal="center"/>
    </xf>
    <xf borderId="0" fillId="0" fontId="7" numFmtId="1" xfId="0" applyAlignment="1" applyFont="1" applyNumberFormat="1">
      <alignment vertical="bottom"/>
    </xf>
    <xf borderId="0" fillId="0" fontId="7" numFmtId="170" xfId="0" applyAlignment="1" applyFont="1" applyNumberFormat="1">
      <alignment vertical="bottom"/>
    </xf>
    <xf borderId="0" fillId="0" fontId="7" numFmtId="10" xfId="0" applyFont="1" applyNumberFormat="1"/>
    <xf borderId="0" fillId="25" fontId="45" numFmtId="0" xfId="0" applyAlignment="1" applyFont="1">
      <alignment horizontal="center" vertical="bottom"/>
    </xf>
    <xf borderId="0" fillId="27" fontId="46" numFmtId="0" xfId="0" applyAlignment="1" applyFill="1" applyFont="1">
      <alignment horizontal="center"/>
    </xf>
    <xf borderId="0" fillId="0" fontId="7" numFmtId="171" xfId="0" applyFont="1" applyNumberFormat="1"/>
    <xf borderId="0" fillId="28" fontId="47" numFmtId="0" xfId="0" applyAlignment="1" applyFill="1" applyFont="1">
      <alignment vertical="bottom"/>
    </xf>
    <xf borderId="0" fillId="5" fontId="48" numFmtId="1" xfId="0" applyAlignment="1" applyFont="1" applyNumberFormat="1">
      <alignment horizontal="center" vertical="bottom"/>
    </xf>
    <xf borderId="0" fillId="24" fontId="49" numFmtId="10" xfId="0" applyAlignment="1" applyFont="1" applyNumberFormat="1">
      <alignment horizontal="center"/>
    </xf>
    <xf borderId="0" fillId="22" fontId="48" numFmtId="1" xfId="0" applyAlignment="1" applyFont="1" applyNumberFormat="1">
      <alignment horizontal="center" vertical="bottom"/>
    </xf>
    <xf borderId="0" fillId="22" fontId="50" numFmtId="9" xfId="0" applyAlignment="1" applyFont="1" applyNumberFormat="1">
      <alignment horizontal="center" vertical="bottom"/>
    </xf>
    <xf borderId="0" fillId="5" fontId="50" numFmtId="9" xfId="0" applyAlignment="1" applyFont="1" applyNumberFormat="1">
      <alignment horizontal="center" vertical="bottom"/>
    </xf>
    <xf borderId="0" fillId="0" fontId="7" numFmtId="1" xfId="0" applyFont="1" applyNumberFormat="1"/>
    <xf borderId="0" fillId="27" fontId="35" numFmtId="0" xfId="0" applyAlignment="1" applyFont="1">
      <alignment horizontal="center"/>
    </xf>
    <xf borderId="0" fillId="27" fontId="35" numFmtId="1" xfId="0" applyAlignment="1" applyFont="1" applyNumberFormat="1">
      <alignment horizontal="center"/>
    </xf>
    <xf borderId="0" fillId="2" fontId="35" numFmtId="0" xfId="0" applyAlignment="1" applyFont="1">
      <alignment vertical="bottom"/>
    </xf>
    <xf borderId="0" fillId="27" fontId="46" numFmtId="0" xfId="0" applyAlignment="1" applyFont="1">
      <alignment horizontal="center" vertical="bottom"/>
    </xf>
    <xf borderId="0" fillId="24" fontId="49" numFmtId="10" xfId="0" applyAlignment="1" applyFont="1" applyNumberFormat="1">
      <alignment horizontal="center" vertical="bottom"/>
    </xf>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276225</xdr:colOff>
      <xdr:row>17</xdr:row>
      <xdr:rowOff>95250</xdr:rowOff>
    </xdr:from>
    <xdr:ext cx="6305550" cy="4838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20" sheet="Hedef Liste"/>
  </cacheSource>
  <cacheFields>
    <cacheField name="Restaurant ID" numFmtId="0">
      <sharedItems>
        <s v="6011db81bb98bb6dff370268"/>
        <s v="6002f166e2740f0a9319bef3"/>
        <s v="5ffcabd15757432cd8db3247"/>
        <s v="601af201499bfc3d0aab2620"/>
        <s v="60900b0d800b49719bcac447"/>
        <s v="61e6cb8253b020c4c8ae77bb"/>
        <s v="601954628ecbe9f3ef5c861c"/>
        <s v="6155b04f0f840cd101625ed8"/>
        <s v="601fd7b7d7f75e71dfdbdc56"/>
        <s v="604c813fcc98d71d93a662aa"/>
        <s v="61d7f93fb1d37d9493fdf1ff"/>
        <s v="6026dd5755fa61c439fcfb44"/>
        <s v="617943787f837320f378cefb"/>
        <s v="61d5f0ab342ac96ba015df68"/>
        <s v="603028708364b83200993c49"/>
        <s v="614eab7b73bb3d6c3ed878ef"/>
        <s v="6198872fa140e20233da85e4"/>
        <s v="5fe63c3571e89c393095c2fa"/>
        <s v="621cfa0f0cf860fb14ef3a1d"/>
        <s v="61e054500aa66b3de81593f0"/>
        <s v="5ff358d8ce622f2f40cd2e9b"/>
        <s v="60562dab6bf3018ad33586e4"/>
        <s v="618d58f6cdedebd544e666a4"/>
        <s v="6036aa1b05dd29c17cfede64"/>
        <s v="61f5274f704da279242021af"/>
        <s v="616daadb1b2b12101fbc719c"/>
        <s v="609a744d9dabfad14f81496a"/>
        <s v="61c4b19704cd9dcf2ac81453"/>
        <s v="602ad0999710c010c1d1dfc5"/>
        <s v="602acb366a39b523b96ae197"/>
        <s v="60466fa40a4ea4073fb2b2b0"/>
        <s v="60089558f9bae48434535aa8"/>
        <s v="6183c05d8b3c8cc7d7acff21"/>
        <s v="616e8ff56c1a4d2de2c771db"/>
        <s v="60139c0fbb98bb5216377bb6"/>
        <s v="6034127beeb805b0274dfb4e"/>
        <s v="6155b7955833eea31f13d649"/>
        <s v="6046680319345fcddd41a395"/>
        <s v="62433ecb55b5dbf7d4e0443e"/>
        <s v="6255beed4cc11c0ca3ca9b8e"/>
        <s v="61fab4a70ef815418f4aafa2"/>
        <s v="616713e2ab37a839c410d79e"/>
        <s v="61aba68e0d214a838b25358e"/>
        <s v="6172520b26a37d0def0b6348"/>
        <s v="621cfec626ef38339ed2f935"/>
        <s v="61e942892f86de6bc2ddc537"/>
        <s v="624863415636241ece994a5d"/>
        <s v="601c42000339e65ea8bcd14f"/>
        <s v="619e5e58266cf46d98fdcbc6"/>
        <s v="6027d8996c06ceef08791d93"/>
        <s v="61ebcab437511f6340c21c01"/>
        <s v="6023cf711ac2f5625125969f"/>
        <s v="61dc5644252ae4a7ac60e479"/>
        <s v="6143497b378b9969ec6ee047"/>
        <s v="5fdf5fcc0345d26b727f465a"/>
        <s v="5fe6b71c3458672d21458cea"/>
        <s v="615efa9543b5a3c401b72f80"/>
        <s v="60897755588eb081814b89a0"/>
        <s v="60897c64d69d45bbd352ff1b"/>
        <s v="60675a246d836b7e4da482e8"/>
        <s v="6161e99e5bfa2b85384268da"/>
        <s v="624031d073980c853acdd9fd"/>
        <s v="612102f163c2dc9257725973"/>
        <s v="6001f937fd3d0e7752030f37"/>
        <s v="610d42351cebd11d73f7cd17"/>
        <s v="60d45e4719768b65af61c29b"/>
        <s v="619fbe8750f740d4ab2a8dec"/>
        <s v="602109d56d12e9fd884907e1"/>
        <s v="61ddbbe6c988c9b2f73c24ba"/>
        <s v="61ebf9cfe66f62a559e1c0ea"/>
        <s v="5fe25653a8ae935542baa9be"/>
        <s v="619bbcce4020edf8c8c7e447"/>
        <s v="61b2031470bb7f4a8c34ebb3"/>
        <s v="6081a2ad22a2d62ed68d11db"/>
        <s v="60742ca418f85db3119c644b"/>
        <s v="60d9e0979aeceb46809f15b0"/>
        <s v="624f1ac851392c6ec8db7497"/>
        <s v="6033881baa09e0a37e2b409e"/>
        <s v="6048d1f38aa12145b8713ce1"/>
        <s v="5fe6cac797764a03545a7474"/>
        <s v="61234bb614f75845be481295"/>
        <s v="5fe4fe8a4669ba622d463092"/>
        <s v="5ff62d9fa1e3212d5887542c"/>
        <s v="6001fee8f1067e07ff50ce2c"/>
        <s v="5ff6332965ba5259742b37c3"/>
        <s v="60632e123730cf1dd15397c3"/>
        <s v="6217cc9cba4c45ed61382603"/>
        <s v="600d8c9b12a3f1000d264670"/>
        <s v="601f7aeaa3e4010051001bdc"/>
        <s v="620e98d1edcf8a5cb6eeafd9"/>
        <s v="6202cfabdb3c2ab3674ada18"/>
        <s v="601ed51398337b025a4d3318"/>
        <s v="61f2d37442b5faae58984d5b"/>
        <s v="5fef569dcf33769320b53456"/>
        <s v="5fef4789f351dc261c67ae8f"/>
        <s v="624fd6d41f0b1b4b21800a9e"/>
        <s v="6257297d41ce262fab220143"/>
        <s v="60b4c528288ff74b1fb91ed3"/>
        <s v="61e835e14c8d3be253130610"/>
        <s v="5feccaf2345867fe5946437a"/>
        <s v="5ff8a740def5a025a455d3ae"/>
        <s v="61f6484ad22f357f92ddead7"/>
        <s v="6238d8ea17072271e94fb211"/>
        <s v="622305f81b903af1334de201"/>
        <s v="600c5aaf0354af3ca8848c8e"/>
        <s v="60089a0ee4ab4eb865924a4b"/>
        <s v="6178e7b1f0ecc41ccf000aa8"/>
        <s v="624fd0145cfde8a867485498"/>
        <s v="61ac5ec5ad353b6070a375f4"/>
        <s v="61abc040898b1b6fcf904c92"/>
        <s v="60952f87249e92892f846069"/>
        <s v="619243a46232aa59c0f83bd2"/>
        <s v="619fb96b06cdc82eb01aca7b"/>
        <s v="602d3418e77af67cdb145446"/>
        <s v="5fe397d9d3f42ba97baf449d"/>
        <s v="61a504994cb7b3701d751395"/>
        <s v="600d90d6104d8be4f7f2c1b6"/>
        <s v="5ffdead4f21cfb18ed9913df"/>
        <s v="601190ba61fea793271e2e3d"/>
        <s v="600f2b3fb19691a7633d9c43"/>
        <s v="61b42dd6a4d0b1e1cfad3271"/>
        <s v="60118d0b94d17a88aea70386"/>
        <s v="60c0f69ce8b45a94e5b3f47c"/>
        <s v="6182bde9420dd30d6f2b09b8"/>
        <s v="616e888b3dfe10e02c2164f8"/>
        <s v="601453ec4492cd32afb7b79e"/>
        <s v="61deee9b15db9b8e00a1d1af"/>
        <s v="6214aad150f495e14385e5ed"/>
        <s v="6058f86e407cdbd8f0968696"/>
        <s v="60156b363a7478ddc760b657"/>
        <s v="61cee41317d62db5c1627158"/>
        <s v="60279fb77cc399aae05545ef"/>
        <s v="617d83874f4f4979597e9ca4"/>
        <s v="620e91c51f690c72e47a11e6"/>
        <s v="61725782f0ecc485492f70b1"/>
        <s v="600b16c4e940197cb5eb3206"/>
        <s v="622c389eb4daa5f2a8c03bbd"/>
        <s v="5ffc92665f0ab4b544e7da57"/>
        <s v="617adf64354b4e69e626b8fd"/>
        <s v="6141caef88a74f3a64dc01a9"/>
        <s v="61d2eb0c59fc59e9c6cf8359"/>
        <s v="5fff4d4a62a03e7e75a26212"/>
        <s v="62482668fd40bb15ca300ecc"/>
        <s v="613f2827aec06927672d2e30"/>
        <s v="610cf69e8324cf96e3f6ca1e"/>
        <s v="601304a54e3bdf491366b10f"/>
        <s v="5fe4f6804743e1ced351b244"/>
        <s v="607f232879796f399e5a4291"/>
        <s v="62279c412b92ae7db5d546cb"/>
        <s v="5fdf470361e7ff7ac8fbccf4"/>
        <s v="60c6fa9d8454244e8db178d3"/>
        <s v="611cf9a2b3ae9e3df630e3e3"/>
        <s v="60302be66f409c1e9ed0f143"/>
        <s v="614333f454ce8aaed6349995"/>
        <s v="6005f1c835cc593316fd4596"/>
        <s v="61671b87ab5019845dc90296"/>
        <s v="60c89177e94523fb6b26d11e"/>
        <s v="62122a315c18454e35194be0"/>
        <s v="6076f4f81b062706923cdc37"/>
        <s v="6220c5d72c081592ade0bfe5"/>
        <s v="602bf716965500ca550e1617"/>
        <s v="600890bc26a65a52ae334c49"/>
        <s v="61f64262ce72a5052debc1f6"/>
        <s v="6195cbe3adfb064b2f870606"/>
        <s v="5fdf6a0135987ab9bc5edb40"/>
        <s v="5ff0b9295118f15e328deccd"/>
        <s v="6009e3d9b4fcb4246d76285d"/>
        <s v="61d7a882a739433e0c048a8c"/>
        <s v="6240963e6919db117352eab8"/>
        <s v="6021716650118c0747ab87f0"/>
        <s v="5fe6590c4f55ab4bbd9c73b5"/>
        <s v="611a7a47ebdacb3112d1682f"/>
        <s v="62486d4fa06ee93d52bebd8b"/>
        <s v="62586d6f7481909b2adf825f"/>
        <s v="5ff8ad273b0c6d0d6a0de500"/>
        <s v="600c568e276d0f72157a5da0"/>
        <s v="61687b6b5e2ddf6be592dddf"/>
        <s v="5fde286ebf67ee8869770c01"/>
        <s v="5ff4ca3a333ef5625db0982c"/>
        <s v="620f6d4afd74147f0778293e"/>
        <s v="6075973c1b91d06747eeb547"/>
        <s v="622c3c70d5b9ab4e3dec0e0a"/>
        <s v="624563d2a2292d21a28ca4e0"/>
        <s v="6228fe792c2a7ede597d1171"/>
        <s v="60edbc5e2881cc51037ea5f3"/>
        <s v="602bfe04f376832a689e5b36"/>
        <s v="619f56b1bc70d91622964dc4"/>
        <s v="61ae4902e925bc62e1aaa30e"/>
        <s v="618ea3914d6cd5e65662ef45"/>
        <s v="60c8f6cca504f7ff827bda96"/>
        <s v="5ff4bf1ce5886ac1319637ec"/>
        <s v="60130e750a16ee0591e0f108"/>
        <s v="5ff89c904a4dfa852daad285"/>
        <s v="6102a596803da1c3d325d8fb"/>
        <s v="60b08a388d255513457ccaf1"/>
        <s v="6008629de4ab4e729b924769"/>
        <s v="62453e5f3aadf142fbac7b98"/>
        <s v="61801d370941d25cb366c23d"/>
        <s v="606dfa0bc42d19905a2765fa"/>
        <s v="61ebf6014aacfceb71dc082d"/>
        <s v="60892eda8dbc26671d8a4fb9"/>
        <s v="601ecb5e71c5457b1a019232"/>
        <s v="6172825d785351a056ee7caa"/>
        <s v="5fe4f95bb928c48b6a8a7daa"/>
        <s v="604cd6d8e8226cb11e752617"/>
        <s v="61ab866477539c6dfda1dbc2"/>
        <s v="613c4b9b954ae5c19662fe2f"/>
        <s v="5ffde4f165ba5209202caad8"/>
        <s v="60c1003fcc16a68ee2032caf"/>
        <s v="61dc4e46f1bdc4a7c7105c71"/>
        <s v="60ccda5ab1569187cd672908"/>
        <s v="612cb02d29ab9b270cf0ed28"/>
        <s v="5ff7847ddef3887b26df142c"/>
        <s v="5fdfa40d3e964bf538e98b51"/>
        <s v="6202cc95964d395f018892b8"/>
        <s v="61c07601eea087de54154df1"/>
        <s v="621d026022a8cd406b40f311"/>
        <s v="6080050c5d6f24b0119dc51c"/>
        <s v="6066f902306c3514b7e66c3e"/>
        <s v="60929dff709514875611973d"/>
        <s v="604a247d60f6a2b577b46b63"/>
        <s v="618d50ce4405f43091c3cca6"/>
        <s v="610693c59fec2d2e19f71605"/>
        <s v="61424234f208657bbea128f4"/>
        <s v="5ffdf4cef1123556deafeb08"/>
        <s v="6076bdf18d60243cffce3c51"/>
        <s v="6093d54481067337b9f57d85"/>
        <s v="5fdfd39120df6e0601c18440"/>
        <s v="61d7b66aa3d93e78748b0dc8"/>
        <s v="600b26460909cf92cc57b33d"/>
        <s v="6181845ced77df0bf283031f"/>
        <s v="602589d85bb03e5adf4e33d1"/>
        <s v="6203d3444a1464e9241053d0"/>
        <s v="6001e3ab0d6f5951419bdc46"/>
        <s v="61fa89289feb5e657c97ef19"/>
        <s v="600c40ce0354afe6aa848a83"/>
        <s v="61ddc0138ac5466122369c46"/>
        <s v="60a37f23346c9a820222ba08"/>
        <s v="60534e66bd0550b752da239e"/>
        <s v="6054f4ea98acb279ea86c6ca"/>
        <s v="5fdf4c33cd2760c2ca9f766c"/>
        <s v="618bb9f71370eb9caf09a328"/>
        <s v="6202bdda00f12602aada42ef"/>
        <s v="61b24915ee597b9f6a61c531"/>
        <s v="62517123e32832b74e46adbb"/>
        <s v="614b52bfdeb539c3805f3c35"/>
        <s v="61f2b98b1d78142bb89f39da"/>
        <s v="61fd5cce441eff6cea685e38"/>
        <s v="61c4ad64d03667230f1513cf"/>
        <s v="5fdf41970654ee6da6e8a3b5"/>
        <s v="61fa354e9c46ddafa310e9e8"/>
        <s v="62189d30cd6c0d5429ba9f23"/>
        <s v="5fe23beed3f42b1acbaf1b12"/>
        <s v="5fe9691871e89c6c8b95fb8d"/>
        <s v="5fe373e523ff89158ea7b6b4"/>
        <s v="6193f0138b8b2a80e5f1d3ed"/>
        <s v="6130617d5b62c75615e4e5da"/>
        <s v="6203d5c32ea4fe8851ebbb1b"/>
        <s v="619bd5f9ed72467e3b374b73"/>
        <s v="613064e9fb46a3b0c731e15a"/>
        <s v="6255b8994e0ef9a6bb29ae2f"/>
        <s v="61ebc667de52b07d0b8b24be"/>
        <s v="6151f574d2336339351ec3c6"/>
        <s v="61d7bc9b778c6ced818c338e"/>
        <s v="5ff4d26812b715a45ba61ff3"/>
        <s v="61d854fef31fd0609bc4b057"/>
        <s v="6197f0174c13b41213e76bfa"/>
        <s v="6195375fce71df7a5758176e"/>
        <s v="5fea0b5505d6ff2caace9540"/>
        <s v="60e85916b4bc54430c8aa575"/>
        <s v="60218c081f27d5219a8845aa"/>
        <s v="604f65fceb5cb5362fc0cfce"/>
        <s v="6094f97c4b60a1b18865c12c"/>
        <s v="607d9e8b1dc0b088050a3086"/>
        <s v="609144522bf28920b58050c5"/>
        <s v="62163cd1e648cab4be1105f6"/>
        <s v="61e26fdf4acbd10fb4a8de7e"/>
        <s v="605231c4e7317c52ee8ab29f"/>
        <s v="6019d66a4b02ad037ec8e71f"/>
        <s v="5fe030d3798e59498934701f"/>
        <s v="62224ae6eb4d366635d2e51d"/>
        <s v="61c1da4c2378a846ea7c9f2a"/>
        <s v="6161726bb8abc14145b5cbba"/>
        <s v="613b691b1eec6b0ee0709d4d"/>
        <s v="61654fb8537c3744edf9b2c4"/>
        <s v="60ddcaba47f9fc2a91705e48"/>
        <s v="6129d23aa0c9298150525760"/>
        <s v="619b8a6d1a54f2ff90890418"/>
        <s v="624b239e3a20a91c8b1e899a"/>
        <s v="6246d6b111bd17738ad8d671"/>
        <s v="61e554ae641b0b5c5d0d8276"/>
        <s v="6009ca76056c792096c0cb4a"/>
        <s v="608c1766ea6074b61414ac02"/>
        <s v="609a400500cbda66d9cecff6"/>
        <s v="60ae1c614782709eb4b9d34e"/>
        <s v="6157eef97c2f59196d43757d"/>
        <s v="6148c2b9fd671b5faea8e083"/>
        <s v="61fe8308e0e4c600b62328be"/>
        <s v="6058f5d46bf301420935c5e2"/>
        <s v="6001eebd48574700e4e6f69d"/>
        <s v="601a9538587d0e0735b6aaca"/>
        <s v="5fe5728c802fc0e59e3836de"/>
        <s v="603b5dfe33826773a9401a91"/>
        <s v="606f3b828725a4f1a11a64fd"/>
        <s v="62434673cb9bfd6ff6a8ef52"/>
        <s v="60b5f5a3288ff75359ba401a"/>
        <s v="60369578c9f056ad6f8f0b37"/>
        <s v="60c472fe6e8b421588346095"/>
        <s v="61ab822c2c7e5b7e314c9a6e"/>
        <s v="62567acf16586570b08308d7"/>
        <s v="6222444b602e780abb17268c"/>
        <s v="61648d152e51431b6b5ae849"/>
        <s v="616479a477cb229f19630ea9"/>
        <s v="6234559748a285e58f942b58"/>
        <s v="615ed9c4567bc348cb6fe997"/>
        <s v="61432169a77003e6fabf05fe"/>
        <s v="6172f1942f3f4b440f867f07"/>
        <s v="60210b9198337b48e94db3e3"/>
        <s v="6258724707781c6755fe0fa7"/>
        <s v="611a7e62b93507c8c2d8a299"/>
        <s v="5fdf309dd3f42b5253aea0a0"/>
        <s v="5fdf3a5edaff164c676db02a"/>
        <s v="60cf34550190be4a5e162531"/>
        <s v="624587f0bc50d1f8cdb0770a"/>
        <s v="61c04a86b39692bb8c2a31ef"/>
        <s v="60e7507c591af8ceeaa8b383"/>
        <s v="6193ed70e15469ca965ab046"/>
        <s v="61d31e93abd2909b61e9e2d9"/>
        <s v="606321eebf03aade4f31e827"/>
        <s v="6238d1016e655870d42f4dc9"/>
        <s v="602e99fd43eb4c1cdebeb7b5"/>
        <s v="62433b0530ab3a7714462f8f"/>
        <s v="61991baa7440a7e4ad3dc28f"/>
        <s v="62168284affe6905a98c3187"/>
        <s v="619bc2ac74a1d149cbd10255"/>
        <s v="6202c5377609f50da2ad2be0"/>
        <s v="60e75841eaf6552241d70712"/>
        <s v="60d604d0072a73f2aa382f7e"/>
        <s v="60daefcac27ccfb24f749e51"/>
        <s v="6019d1af8ecbe91d2c5c98f8"/>
        <s v="61163f0a0cbe706bb4eb7119"/>
        <s v="6050ffde05149032e3194d13"/>
        <s v="613c568ca1d221e34234ffb4"/>
        <s v="60d5cdc1348f5b3b9d96331c"/>
        <s v="605ef7029c5540b624b2c332"/>
        <s v="6214f27934e08c7ad1b94e42"/>
        <s v="61266a668b11d7a04a0e590b"/>
        <s v="6022d6c68efa606e1a9f4455"/>
        <s v="61f810515bb759cb926e9788"/>
        <s v="60bde363eb1f3ee0209f7a4c"/>
        <s v="61430da48593396685ad5ab6"/>
        <s v="5fe74101e4a5e2e69a78cfba"/>
        <s v="5fe21886bbf1bd4c15fae921"/>
        <s v="5fe112d8a8ae93b4a1ba616b"/>
        <s v="612389846213e4434c0c9565"/>
        <s v="624c7efb3b23384b143b0450"/>
        <s v="60dd83c48e09e07ae38a46b7"/>
        <s v="6009c0009611de95e5cd123a"/>
        <s v="61e59bc93de7d90515107c3e"/>
        <s v="61afa3e780c46d596ea77fa3"/>
        <s v="6246e59ce1172c85b6ca21f5"/>
        <s v="610bc5f5f16340ab63e6113d"/>
        <s v="6116399ddd34f5d9c63f51bb"/>
        <s v="6011cd9f4e3bdf0f076671f6"/>
        <s v="6065db0f0fac63ed037171f3"/>
        <s v="603e835960cc467924887114"/>
        <s v="61dc36488b09b77cdb88b534"/>
        <s v="5fdf715da8b06d2229a4860f"/>
        <s v="5fde14fcfdea333118dec8b6"/>
        <s v="5ff35dbfee0f720340a8eec4"/>
        <s v="5fdf6cb40345d20df07f472d"/>
        <s v="605a434e5e7ded0aada65b83"/>
        <s v="6177cb00bb5c99a86ef21066"/>
        <s v="608c304c45155b365df0bdd7"/>
        <s v="60953c09341caca6a6445563"/>
        <s v="6074421cb71d5c5e27f93abc"/>
        <s v="5fe241e222f5bd501ed7512e"/>
        <s v="5fe247d90654ee6397e8e94b"/>
        <s v="5fdfaa4322f5bd69f9d6fa06"/>
        <s v="61c498eef5376a3e03881a5c"/>
        <s v="60fbc48dce606f41e4cdaf11"/>
        <s v="6012f47b3a7478c414603e03"/>
        <s v="6090e9c4de884e6268cdf829"/>
        <s v="6228f2cf5725ea9522029e00"/>
        <s v="60b4f59f1d8d00d734afe35f"/>
        <s v="60afb51e15f840846e8f710a"/>
        <s v="6232cc3fd90d328cd3e34fe0"/>
        <s v="61cb5f29c7650baff1370f1d"/>
        <s v="619b681cf68d6251945303f8"/>
        <s v="619b6be5e4cef6f645181b2e"/>
        <s v="619b70843bd6127d1fe64c56"/>
        <s v="61f80c1345fd4de9d1c65609"/>
        <s v="615492fc1b93b176bdcfa714"/>
        <s v="617ac7f8f0ecc4651d426cbc"/>
        <s v="624544007fb712901dcc3cb8"/>
        <s v="603e93f756cff12cf0d7465d"/>
        <s v="5fde3e352a802b2b35fc967c"/>
        <s v="60be60d7eb49656b46730648"/>
        <s v="6213e33c9dc76f7182aa5d6f"/>
        <s v="5fdf53a0a8ae934007b9fcc1"/>
        <s v="6065d53a55059dd84ccb696b"/>
        <s v="61ce06e6ebc7c596ecd4a2e1"/>
        <s v="600f133b0909cf310d585537"/>
        <s v="5fe3af060654ee79e4e913a1"/>
        <s v="602ae1f6f37683535e9d8589"/>
        <s v="6259c42e989a0f642fc06b0e"/>
        <s v="618130ba792553a2119e2039"/>
        <s v="61115289ead9f771bee2f062"/>
        <s v="61248dc945b70250f5b3228f"/>
        <s v="619d2423c52e2f2a5fc34692"/>
        <s v="624c83f9243b4949c07428ed"/>
        <s v="5fdfb2c022f5bdcedcd6fa31"/>
        <s v="5fe24dc923ff895f3ca771fb"/>
        <s v="60463c2041a4912812974c59"/>
        <s v="6026d563ff60ad8f5fc077b9"/>
        <s v="604e2512d977096de84ebaf0"/>
        <s v="5fdf3e8e24561e176695d04e"/>
        <s v="6202d2f31d1b7f77f01665b6"/>
        <s v="6022c4c30737d6cfa910f66a"/>
        <s v="607997747481550b89de53b8"/>
        <s v="613b72717cc7852e91667d67"/>
        <s v="61cc4c69f86a5fea5cc8282a"/>
        <s v="606ca74c84a0b15c5f7b64ca"/>
        <s v="60abdbf188417b7385a9d007"/>
        <s v="606cb5f584a0b1ceb47b65bf"/>
        <s v="606caf4427d7eb518fe26600"/>
        <s v="60abe2ab5dea45365472a2d1"/>
        <s v="60abd5e734a9a609528f25b6"/>
        <s v="60fbfc02de747acddddae402"/>
        <s v="6075d6057b5fd6704837cc71"/>
        <s v="5fe38ce222f5bd539ad77ad7"/>
        <s v="5fe38989d3f42bc1c2af4329"/>
        <s v="604347fe133a29bc31416454"/>
        <s v="625ace2683823e7f3368993e"/>
        <s v="62246383875dbf3b45419735"/>
        <s v="5fff64871f40a3d04091bcce"/>
        <s v="62162d41f693541d8857015d"/>
        <s v="6047751e8aa12166f670ebc0"/>
        <s v="61ade1516141fb4ddb543e22"/>
        <s v="619b812d3e14ff041b099a4c"/>
        <s v="620756027d99ae7c697b8f99"/>
        <s v="60119a09f55f403d6dc8f178"/>
        <s v="60bfab9faf36eb6929858b46"/>
        <s v="60b654c83226ccb3818e49a8"/>
        <s v="60b68edbb2463a5737b3807e"/>
        <s v="60b68ba48324ac3196cfa133"/>
        <s v="60b65b88d6b6214536e1baf0"/>
        <s v="60b647e73226cc447d8e47dc"/>
        <s v="6024335e799d210ac6c27674"/>
        <s v="620e880267b01130818215f2"/>
        <s v="61e55e3ae2b19cb4d7ca918b"/>
        <s v="60da14790cec2d483cfd2eba"/>
        <s v="623a278aad77ab1f9a3a12c0"/>
        <s v="602c06c229d1d322338af545"/>
        <s v="61a4c895df79612091dd9f2b"/>
        <s v="5ffdef8d35e580d24e4526d6"/>
        <s v="624e8feda2d048336c747ca2"/>
        <s v="6198acb0720a1ca04abbae69"/>
        <s v="5ff759e75f23495099731ee9"/>
        <s v="61bc7cb3859f527d8b4eecb0"/>
        <s v="5ff75098e3751993c7da292c"/>
        <s v="61ab7e708557e84b236230a6"/>
        <s v="61fe1453d31375b6c482becb"/>
        <s v="6224bf10068ef9c089c4a353"/>
        <s v="6092641e337ea24fae6b461f"/>
        <s v="5feb753e630a76f4e9ff16c5"/>
        <s v="6214fdf8d3fd5e6b67e2058c"/>
        <s v="610e5bb2f1b83dff6bf066af"/>
        <s v="61d7a53ce117d1366184c657"/>
        <s v="6053300dae18d77b5b6eeb5a"/>
        <s v="60009e90f112357913b0844b"/>
        <s v="61efb1cd9216bd45713acbb6"/>
        <s v="60706bb48725a4ed4e1a7f94"/>
        <s v="60c0978908c08490cc75284a"/>
        <s v="60b86409a1e656404aff5600"/>
        <s v="60a66c3bd1cdf4bec38babba"/>
        <s v="607066c420210e567bbe71d9"/>
        <s v="6051082c962fbd123952b69e"/>
        <s v="60c722ac4ea7e3d7f5ba8bbc"/>
        <s v="624d333c9f0b0d5c6524ff56"/>
        <s v="61bc68e6f668876dd2fa9ac6"/>
        <s v="6027f128de46fc2c4be394cb"/>
        <s v="615d7d9fb64635fc76a90ba2"/>
        <s v="620bc3a896cb9086fcf7ff4a"/>
        <s v="6172ededc2962df84e68df82"/>
        <s v="606f4df718f078221f650d9d"/>
        <s v="61df2879e2b19c8060b3a4e4"/>
        <s v="603d33d69c50f5de86a0c4d7"/>
        <s v="62456a5085d9c2aa4a1d2e35"/>
        <s v="60e479149a637f1453055b39"/>
        <s v="6021843e5993bfa8f98fb83f"/>
        <s v="6005ec7b3c420030aebedd0c"/>
        <s v="61dec2261d132530eb56be39"/>
        <s v="6162ab0b42e971d0b55582c6"/>
        <s v="6033946ae87c9207e0875e00"/>
        <s v="607db9d110bf223eb3b6753e"/>
        <s v="61a4c1220aedac86280c0eb3"/>
        <s v="62012bdff454381ce6c2122f"/>
        <s v="608fe48e68f4686a097baeee"/>
        <s v="611cf4c851d7d8ca5d2668d3"/>
        <s v="619546e677a79ec1e669756c"/>
        <s v="613b61f0eac66c51d343684a"/>
        <s v="5fde37e3e7ba498209a093e7"/>
        <s v="61b70c0d74e4debc2d13d177"/>
        <s v="62167dfb38a68e1feb0ed251"/>
        <s v="6198e24106cdc8dfe72567a0"/>
        <s v="601a70035ad05126c49863cd"/>
        <s v="6230eb609fd075e113f463e4"/>
        <s v="6213d0222d382ba448c06387"/>
        <s v="6177b9bf3486e07715d975b8"/>
        <s v="60886cdfee9c1fd2ddd043c9"/>
        <s v="6088720d1949c7566f255153"/>
        <s v="624b3045243b4980fa498b21"/>
        <s v="6019a5c0093f1d4fb77074dd"/>
        <s v="600c3cf20909cf776e57dd66"/>
        <s v="5fe65f4ccf33764b3fb351c7"/>
        <s v="60d35b06717e1b8551a4df6b"/>
        <s v="5fdf9ee624561e482d95d566"/>
        <s v="62585db51c5e6ef17e1a7a01"/>
        <s v="615d976a6626511093650def"/>
        <s v="6155f51cb17010407d27c183"/>
        <s v="5fdfd13a22f5bdb49cd6fb99"/>
        <s v="606e09766fb181a222ce9e0c"/>
        <s v="624fdc7eb1c55f32f54a9fd5"/>
        <s v="600c4684104d8bee63f29f43"/>
        <s v="5fe40e62879562f5a9cd02a2"/>
        <s v="6037e8fa451e50807e797013"/>
        <s v="6196383bda87953c7b2d4f71"/>
        <s v="600883d2056c796527c08e56"/>
        <s v="600889b49873d842d68c460c"/>
        <s v="61c1d1727d272caf4205f96c"/>
        <s v="606f544c354eaae9e6ab7f33"/>
        <s v="603e997eb2bbe6d2bfcc554b"/>
        <s v="6011c10ff179e4b2b02594ce"/>
        <s v="5fece578f0267c3338134614"/>
        <s v="602ffcce6f409c9f51d0eadb"/>
        <s v="61d7c00bc62f4988c247191e"/>
        <s v="61449261b7b3651ef3954bb2"/>
        <s v="622f6679c900da5b77d23715"/>
        <s v="608befc5ee9c1f9915d0be6a"/>
        <s v="61a63de57d818575eccf0a81"/>
        <s v="6033a5938653ef28dbd2bb41"/>
        <s v="61d48ff5c180db9ad3141153"/>
        <s v="60b218c136f23589fee91fa4"/>
        <s v="612a36dfa30d791d2acd4fd5"/>
        <s v="602e1c318364b8297f98c137"/>
        <s v="6213dfa368cd085137cfc553"/>
        <s v="603a8896303c95276c2f8a6b"/>
        <s v="6112cb78a75efdb4e0d9d413"/>
        <s v="5ff4afc458f3ac23d7e7464d"/>
        <s v="5ff4b54eac60e8c4446f4b5c"/>
        <s v="61bb15d43b26a20d134ea136"/>
        <s v="606f45e029574adaf1537fff"/>
        <s v="608185d40e33f3771df7ebc2"/>
        <s v="62512be91912336e3e53e32c"/>
        <s v="60158fe53d98ed4352ac83f5"/>
        <s v="60632920aa4729706daa9808"/>
        <s v="61a8a60dbbe3168d1e47b07f"/>
        <s v="61c95e955b3375db1a0cdcd1"/>
        <s v="600720295e157f0992d88ce9"/>
        <s v="61a4b642ce62fadcbdda682d"/>
        <s v="61fa61f3361337eb08ce9890"/>
        <s v="62525b3d5cfde8830ca8a3a9"/>
        <s v="619d1ef20b5c73526dba788f"/>
        <s v="60259059fc9e27288db6c1cc"/>
        <s v="62244b84e034d3cd6368873a"/>
        <s v="616031b2197eb96c1ebad55e"/>
        <s v="6005dae537de628c4fb36f8a"/>
        <s v="61f02a9eb61f54a1785b0b7f"/>
        <s v="60ae4b505716ffbc40f81ea7"/>
        <s v="60897242c6f49179d43ceb19"/>
        <s v="61d803da820ae0810fcd4540"/>
        <s v="5fe39b7035987abb215f3a21"/>
        <s v="5fe02b88cd276002e49fa003"/>
        <s v="61a9fc4cd832b39223110de5"/>
        <s v="61924869eab7553166af60a8"/>
        <s v="602ea60217a3762c7c363bfa"/>
        <s v="61f02e5a8f58ca57939715ce"/>
        <s v="6245dccaf2065d0b8a42dfda"/>
        <s v="60bdeaab0355c7493937d2c5"/>
        <s v="6176adbf4f4f493af2a6f2c3"/>
        <s v="6258691dd94ebd7bb425169e"/>
        <s v="61af29d7a061500d8a504931"/>
        <s v="600b1ca4e94019dd5eeb32bc"/>
        <s v="619530fd635dc1da4437edbf"/>
        <s v="5ffe01024a4dfa0712aba0a5"/>
        <s v="5fe0f0fedaff16445f6e1cbc"/>
        <s v="61890205f5a47de5c5cc9290"/>
        <s v="60f05e12127af30624c45754"/>
        <s v="60b0f0fd2e1abcc6e54531de"/>
        <s v="61c16f5522356b62bb1935e3"/>
        <s v="61890c5370d84bff26c00a9f"/>
        <s v="61bc5248dda99d71cda97f20"/>
        <s v="60951bcbdf86fb62d89bb26e"/>
        <s v="624b0dccf530774a458ee6b6"/>
        <s v="603d3bdf41ca7f765c6dc120"/>
        <s v="6019948e669ec378e17523fa"/>
        <s v="61821f8bb84a05d0a206ace0"/>
        <s v="620e8305f9be3bb77737f42f"/>
        <s v="60393196be8cfda3b795f15e"/>
        <s v="5fe885ffac60e870386ccc1c"/>
        <s v="5fe889c8333ef5db00aec28f"/>
        <s v="6037de6c37deb54f936ec927"/>
        <s v="5ffcb129bd264d8699532f94"/>
        <s v="617669cc4a7131774c25c3a2"/>
        <s v="6176a989ea59b03d71fe410b"/>
        <s v="60c10a089abe5c425f4ddaa5"/>
        <s v="6001dd8544f1b44ebcb9f058"/>
        <s v="601447e6d9ee3c144a041a1e"/>
        <s v="619b862a720a1c859a1b0e20"/>
        <s v="61fa5e7185de2ede75c4206f"/>
        <s v="61fbcdb56a81285756970d08"/>
        <s v="61afa8a07565e1a9b29293b0"/>
        <s v="6096636d91f44761fbd93040"/>
        <s v="5fdf1bc539426cb82d623eb7"/>
        <s v="60c476d10e86510ef88ca337"/>
        <s v="61fa78f15bbc9a2ce5d159a3"/>
        <s v="60b91ad92d660e7fb1198a72"/>
        <s v="5fe251f6a8ae93f4cfbaa9a3"/>
        <s v="624e8d2bf6d138617df3d513"/>
        <s v="617ad328c8ea1e4c3a3489f7"/>
        <s v="61e446dc47ac9f759d67bac6"/>
        <s v="6246df8562586de3952737bc"/>
        <s v="61c057b47baa10ae6737f10b"/>
        <s v="623359c9cf63c24ecde3efda"/>
        <s v="62192a0c395f2a6aa52e89e4"/>
        <s v="6032952929d1d392c28c4b70"/>
        <s v="5ff4c5e6f351dcb550689d91"/>
        <s v="604f1eaf2a6e315650d8d815"/>
        <s v="6035413a53d6fa715f7dcdcf"/>
        <s v="615dd85b8f102cc3915ca379"/>
        <s v="5feb69f987a63becfc3273b2"/>
        <s v="622643c183e9720eeaacec38"/>
        <s v="602192f0450e7fc163dfe7d7"/>
        <s v="604cd2f9c0b961f5996a2bb2"/>
        <s v="605b8cb763464d21c7f3cb06"/>
        <s v="5fe795ba37c1dbe5425506c0"/>
        <s v="5fe79918ad8a3856f9251ffb"/>
        <s v="6240405a57f34cf2d007c0d7"/>
        <s v="6110ccb7ead9f7d9d4ca114c"/>
        <s v="614eb54e0783f8bf8a656700"/>
        <s v="603fd87e4366fc3c88c8eaf5"/>
        <s v="605e07d106714e5001670856"/>
        <s v="608955d3d69d456afc52fd5e"/>
        <s v="602333f3215fd174b8daab7b"/>
        <s v="621d06830cf8603ad7f3ce43"/>
        <s v="61d9bfd00013502f78eee1b5"/>
        <s v="600d94530909cf3f715809e7"/>
        <s v="61c36894847fcac3be29c5b8"/>
        <s v="60380b1e33826779db3f91c1"/>
        <s v="620e9d56d94a78cb71df8d93"/>
        <s v="603a649e3bc290dd8d2c7297"/>
        <s v="622cd637a6d59c1a8c0d5bfc"/>
        <s v="615eddb183bf6564b90e1d8d"/>
        <s v="6058ea7b63464df43bf369ad"/>
        <s v="605dc373aa47293fe0a9592c"/>
        <s v="603ea41a991a8fc09a195f0a"/>
        <s v="60fe6f9b807cd3242cdefc09"/>
        <s v="60156f34caa06161827f7078"/>
        <s v="624e97b9b1916d00b886cff6"/>
        <s v="6218a81cc63d13944dbf11d0"/>
        <s v="620a93242a4ff4625b3021dc"/>
        <s v="62345a9e9bd43d7613d956fa"/>
        <s v="612917376a242fa11ef60b9e"/>
        <s v="61704da56c25810f555e9812"/>
        <s v="6019a29984e0f93f11198ffd"/>
        <s v="606611c6d7217474741c1a71"/>
        <s v="610ab2650cbd860767589455"/>
        <s v="616e8cc6d8b95a763c3b7094"/>
        <s v="60192e9f44f8b43fc79c0327"/>
        <s v="600094f25f2349fae0749e70"/>
        <s v="60c72d7f5001d221c83a192c"/>
        <s v="620b3b19a2928d5767bd2c6d"/>
        <s v="605623b4862a5504b6f0ec8f"/>
        <s v="620a96f0cc3fb662d78c675e"/>
        <s v="60476c5d17e42464330ddd80"/>
        <s v="61b9e60449a699b8686fe240"/>
        <s v="603030261794319eb5076cd9"/>
        <s v="62322e2ca01880562c0e7090"/>
        <s v="60075c9fb4fcb4d14775c52e"/>
        <s v="6007580bc795bd5431423842"/>
        <s v="600753c55918d614d8f31836"/>
        <s v="623b5b8b46062174e062ad7d"/>
        <s v="61dc2f8549f2ae422adfb002"/>
        <s v="61c20d5311cb0511dfa12401"/>
        <s v="5ff77f4a5f2349557873245c"/>
        <s v="61d7af88a3d93e19f28afde5"/>
        <s v="60157914d9ee3ceaad044bf4"/>
        <s v="61a634401f41adc73cbf472a"/>
        <s v="622f83903f649a6fc1ae1e42"/>
        <s v="611f6e05aa7da73602e3854d"/>
        <s v="60e75397591af8aaa8a92345"/>
        <s v="605999e5eac9932667c6e846"/>
        <s v="608195e9afd96d7c99f6f3a3"/>
        <s v="615c210f3939a88571f75731"/>
        <s v="60db338cff292d047820209d"/>
        <s v="61c04e77d897495c97439ae9"/>
        <s v="61c9fd78ba5cfa89a768d51c"/>
        <s v="605371afa213e8042a90f1bb"/>
        <s v="606e03a0f1f29d0e7a6492f9"/>
        <s v="62504dcd1f0b1b267b93d7c8"/>
        <s v="62403876e73c795030af3066"/>
        <s v="5fecf2355118f10b248d38df"/>
        <s v="60a77b4df8e6e4c04a0bb543"/>
        <s v="6202110f996e877387092beb"/>
        <s v="60236212468b4697fd6c6d2e"/>
        <s v="619e5760c52e2f5e44ea53c2"/>
        <s v="6009e9488c17d695f3e2a8fd"/>
        <s v="6249bf4f62586dd82c93c5dc"/>
        <s v="611cc0a34394c37859397237"/>
        <s v="606c989eaeffd77f583e00e5"/>
        <s v="5fe3848cea741e6fb9d9d7f6"/>
        <s v="5fe891f712a850a10dbb5481"/>
        <s v="5fdef4d7bc2d63dbb712a5e7"/>
        <s v="5fde50132ef1233fba201b9c"/>
        <s v="5fe0dd74ea741ee053d981ab"/>
        <s v="5fe50dd356b07d5f4cf91ea5"/>
        <s v="5fe5099c2ccf23434704d51b"/>
        <s v="5ff0bdfcac60e8010b6eae2f"/>
        <s v="5fef33f35118f141c78d9d06"/>
        <s v="6014579c4e3bdf66ff6736df"/>
        <s v="608bbe73f372e120dc257ca0"/>
        <s v="5fe21eebd3f42be29daf161d"/>
        <s v="60aa21394be77eac0e461338"/>
        <s v="60660a581f3a0915f18bbe5b"/>
        <s v="605103c2808b167a5dc1a3d1"/>
        <s v="605a491e7310775664c9ad1d"/>
        <s v="6058e8115d3a672c3cc77a68"/>
        <s v="60588a9f8054c523227f59bd"/>
        <s v="6022bb3f176fcc42a1ffc219"/>
        <s v="5fe22403a8ae9303aabaa767"/>
        <s v="60a3d85a02be5b69477bb9fb"/>
        <s v="6058e53e889b9bd5543bfe66"/>
        <s v="5fe0e3ea9a19ed517ee4852b"/>
        <s v="600b1081500762077c2ea83f"/>
        <s v="5fe22a6b39426c4b0862a726"/>
        <s v="5fde587cbd719fa669bceeb4"/>
        <s v="61ee7eb3165be76da69a05a8"/>
        <s v="608faf9968f46857b37ba622"/>
        <s v="60353851ceff7f3751a193b1"/>
        <s v="624f15ff137477354b8c0f0f"/>
        <s v="6049059e0392aae66a231d63"/>
        <s v="6111105b797cf75da8899241"/>
        <s v="600f0b650475c80927abe95b"/>
        <s v="60801c63d415f08f59add799"/>
        <s v="601ab5df170b8d9a9ead27b1"/>
        <s v="605ddf68d79a791937474db1"/>
        <s v="608532f16502c28567deaabd"/>
        <s v="623a14b7ff0c5cd06f19513b"/>
        <s v="622dc7ba4142c946987da443"/>
        <s v="602782e8e217615cfd3cc526"/>
        <s v="5fdf8c76daff1648a66db3ab"/>
        <s v="60491b696c9d2760bb2cf9e7"/>
        <s v="60ebe0ab2c81c158e7c601ec"/>
        <s v="6193f2f7e15469bd635c0ea5"/>
        <s v="604c859ad0cf9066734d315b"/>
        <s v="6183c6355bc96073ff122fa4"/>
        <s v="603ea9c9ff40492fe909259b"/>
        <s v="61fa84843967d3656c7d3526"/>
        <s v="60f548a4526e3b43fecef05e"/>
        <s v="60b7b502c3a73051b66a9927"/>
        <s v="61d5f82a58423676c1c4acd9"/>
        <s v="5fe4084ebd719f4e7bbdc1c3"/>
        <s v="61d7b2b1ed453125e91eeb39"/>
        <s v="60d5d4a16cdd95a661d4cb5a"/>
        <s v="60ed4770de55345c43aa807f"/>
        <s v="6238d468ba92b90c6192f2a9"/>
        <s v="600209a499ddd4b0c6f970d4"/>
        <s v="608d0a408a6396cfc10470db"/>
        <s v="60a670b9a312a130b1573353"/>
        <s v="6224b9490067fdf2be5beed3"/>
        <s v="61b4b59133320b2d99bfd4df"/>
        <s v="624e8a29fd40bbdedbfccbe9"/>
        <s v="624c8d8cb8241b281f9f2b1f"/>
        <s v="601aa4e6ef295e7d15faa710"/>
        <s v="620166ca2f885b0f972f42ae"/>
        <s v="621220cc1cba4e5eff442fba"/>
        <s v="6191fdccec9dff3c0f4ed141"/>
        <s v="62108e87025f5c6775ddecc1"/>
        <s v="61b2f3e1e0a3eb9f0b200842"/>
        <s v="60c24eca8e22c41969445113"/>
        <s v="62322697d089cf29e591a0b0"/>
        <s v="60e1d6ece439d8867d92931d"/>
        <s v="61e04cc9c5cc8c3dfbfa87fb"/>
        <s v="6012ca9ebb98bb26f8373051"/>
        <s v="60309939fbe5053a1baa26d7"/>
        <s v="5fef0d1712b715c4a1a53702"/>
        <s v="6193e996df8b022f2c58b38e"/>
        <s v="5fff6b4837b181f7af07eb2c"/>
        <s v="623b62e8182a186a4a5cb49a"/>
        <s v="60f40fa4eef5499f71519025"/>
        <s v="6141d7053d4e2e57e1d0147e"/>
        <s v="61ed0bbb557c8b4660b32d5d"/>
        <s v="6009d57f9873d838838c991e"/>
        <s v="6183bc52420dd3e3804144ed"/>
        <s v="6176b2b24f99cdb4a79ced77"/>
        <s v="616beadb1b4399d2ae4983e6"/>
        <s v="618931020fc81986c8d4b513"/>
        <s v="6013098f998c13d18586d711"/>
        <s v="600b1918fb76e32d4a2e062d"/>
        <s v="60427a3c7f1ab80697d8baf6"/>
        <s v="602568c90aeff91b79b89846"/>
        <s v="5ff16664f351dc4322681a97"/>
        <s v="61d3f21ffb6558b6492c35b9"/>
        <s v="614eb070ebca3be1a0a42e87"/>
        <s v="6093ea5164639822e52521e5"/>
        <s v="614611c8b7b3657332c6ba9e"/>
        <s v="60a2a1e95d669818692a311b"/>
        <s v="60885bad77461ce66af05e36"/>
        <s v="5ffddeb6e2d9e017b0038dcf"/>
        <s v="5fff34da35e5806889459549"/>
        <s v="61ba267bc1195e2548977a41"/>
        <s v="60892106ed7a3e4d6e73f17c"/>
        <s v="60f18be47b3ba370dd4c18dd"/>
        <s v="615600384826e8c435ec4afe"/>
        <s v="60073a4a0a01975968f2cbcd"/>
        <s v="60afabe9b252d067a28d1a37"/>
        <s v="623021e395feffdf70a03288"/>
        <s v="608fb391c7045561e716b52d"/>
        <s v="60ede13d48bb37553e07602f"/>
        <s v="605b348998acb21bae87b88c"/>
        <s v="5fde0f873587c39ed452dd53"/>
        <s v="5fde0193e8c6244f711ef0a1"/>
        <s v="5fddf4dee8c62468d21eefd9"/>
        <s v="5fde06a8909a7245afbce97e"/>
        <s v="618e330b81db4e31ef2bb674"/>
        <s v="60d373c76322ffb4e88a603a"/>
        <s v="61d88c9a282cba923913a78a"/>
        <s v="5fe234e88795624899ccc4b8"/>
        <s v="5fdf917fa8ae93e23eba0104"/>
        <s v="61cac021d57f56412df56ae3"/>
        <s v="6008a3e6e4ab4e7da4924aca"/>
        <s v="613c428a3f62ae2afdc4ea1b"/>
        <s v="60a7b9b6c9ebe37812a6127c"/>
        <s v="60192aa9fa957273355b6a5b"/>
        <s v="613f225f7cc78511e4cee2fc"/>
        <s v="5fe64deb58f3ac1ea7e4c7ea"/>
        <s v="5fdfb710daff163d5a6db4cc"/>
        <s v="61670fd6662651ad0a866ef0"/>
        <s v="602177de252c448b691416a1"/>
        <s v="61a23aede8624b75d076f39b"/>
        <s v="61a2405407c5f61d4adf95f8"/>
        <s v="6149930e87c8ff817cb75dd6"/>
        <s v="6235c663171eba46e81e1a9c"/>
        <s v="623b5fdf5a5ce46b04a5b58c"/>
        <s v="5fe10e6b8795623550cc669f"/>
        <s v="61d7d8c600a8620b59f6ef7f"/>
        <s v="6081896a711e03c829e50a32"/>
        <s v="61e5508509889368ec526695"/>
        <s v="60db2e4e5d0c6337a2b7c10a"/>
        <s v="5ffa172edef5a061fe5617ef"/>
        <s v="61426d0b5ce320707bc7950e"/>
        <s v="61026685f7462a3c164f8336"/>
        <s v="61025cf6bddc0d317e934271"/>
        <s v="60884b52ed7a3e871e73c400"/>
        <s v="5ffa0c5e5f0ab46841e792fb"/>
        <s v="5ffb0bfdf21cfb4ed9989fce"/>
        <s v="6230e7c9a44dbfe1f1cd141a"/>
        <s v="5fecea9e630a7662d7ff3be8"/>
        <s v="60bfa5c84d4076c6e37bc2c5"/>
        <s v="616d560a12ca392aa29df2b7"/>
        <s v="602d2a5a29d1d3acae8b9ba9"/>
        <s v="604353d1972cd01512c29f03"/>
        <s v="60c22587cc16a60a750351ea"/>
        <s v="61fa6be1752cbfa43c56bf59"/>
        <s v="60b0f7768617c14fd479ac15"/>
        <s v="602d3c287491a96048064111"/>
        <s v="6234628fb42bfb22fe58f847"/>
        <s v="61decc385d0f8071d495cbd4"/>
        <s v="621a4a88b2ece3151d5d2f05"/>
        <s v="61f02787a6b5baf3bd6a3550"/>
        <s v="5ffc9750def5a0f0cd566089"/>
        <s v="5fff5a19f73b332316d19748"/>
        <s v="61b784653e26963c04d2a336"/>
        <s v="621e037fdd2d4021368c3a2f"/>
        <s v="62455de36fc03bc94e0468a7"/>
        <s v="60799e7bd4c524002d6168cd"/>
        <s v="601573d40a16eed549e180d9"/>
        <s v="61c567bef098dc45919cfb81"/>
        <s v="60d383a17761e54ded06a4e0"/>
        <s v="602adc70fbe505b515a7dd3b"/>
        <s v="600b2b0d5007621b232eaa91"/>
        <s v="604b6a1825b0d3a4ba092b42"/>
        <s v="624342259c82c26f8f8a8e37"/>
        <s v="602d54e425e3a672b9ec875f"/>
        <s v="61ab9c06044d1a1d1f028d04"/>
        <s v="615ddd0dab501992dcb18eb7"/>
        <s v="61debdba3bee815a3cc2dd2d"/>
        <s v="614b49d2c01d6742176999ac"/>
        <s v="608853927e659867d7c1eaa5"/>
        <s v="620f416f2c39acb2c851e137"/>
        <s v="61dd651dea057186d1bc1d36"/>
        <s v="5fe4df22d75b1db94c0bbf1a"/>
        <s v="606f485b15d7fa25a368f527"/>
        <s v="61fd60f2779cc977fa20fe83"/>
        <s v="610014e93b6c6a088bc24397"/>
        <s v="5fe6387097764ae0cb5a6ed9"/>
        <s v="5fe634c3ce622f9485cb3f9d"/>
        <s v="611a29cb55ea9b6c5ae35524"/>
        <s v="61fe11029c109b9bfeaa8def"/>
        <s v="619d156e99e414845abe2455"/>
        <s v="6185668ac3d5eec10a5f1fa8"/>
        <s v="6028f0e755fa615f2bfd5238"/>
        <s v="612487fc5f281b7f75719a7e"/>
        <s v="5fde6430856302c46654fb48"/>
        <s v="602595c10aeff913e0b8ad3c"/>
        <s v="603d251fa696171fac579482"/>
        <s v="5fdf842ca8ae937f3cba00b3"/>
        <s v="606760ce1d9276454b9212cd"/>
        <s v="612e06d924a19a963a100161"/>
        <s v="603fc6bf92e907bc644f7700"/>
        <s v="61431ad8de418918a0fd11fb"/>
        <s v="610124d6e784a1de47a3693c"/>
        <s v="61fabd7facf8f642fac4f5ad"/>
        <s v="61b9d7c8cfa49e6af2e8e101"/>
        <s v="60072be6e13dbd68ec5c06e9"/>
        <s v="61818cb4454d0a9dae033f4e"/>
        <s v="624bf09618048d21e9b9a2d6"/>
        <s v="61d7ac34a3d93efec98af65c"/>
        <s v="620e8c0f08ba856a7b456859"/>
        <s v="618905fa6ff68d1849921b12"/>
        <s v="61d8893649f2ae2e5f47fb80"/>
        <s v="61d80c1f9acef37490acbe99"/>
        <s v="6011d7e2aa213a2aede255b8"/>
        <s v="618bfebffae9cafa52e96c43"/>
        <s v="6038063abee4b9424ce9195b"/>
        <s v="623a0f76ecc8f7623ec25f60"/>
        <s v="6023b98d0737d69f9c110db0"/>
        <s v="61bc57d8f66887dfa4f5b28f"/>
        <s v="6113a86e3f99ce2a270abe5b"/>
        <s v="60b38e099add5748605655da"/>
        <s v="5ff4a770dc26c750a3d1e932"/>
        <s v="603936e69ae2e8914a32fd7d"/>
        <s v="6024286becc77369905acab3"/>
        <s v="6256775277674f7508505bb1"/>
        <s v="61c60340d03667b6e2570b6c"/>
        <s v="61d3f93eb2d3e022fad67a45"/>
        <s v="61ee936a64df74de4a08a20e"/>
        <s v="61ab8ac64b9bec56004d3085"/>
        <s v="625863444794d2733829727b"/>
        <s v="601ae10c3740f1e777a0d11f"/>
        <s v="6155eb97f26487e4012fbdcb"/>
        <s v="6019c7c4c046ba7044bb2bab"/>
        <s v="61f2bd0b1028204f823afc9e"/>
        <s v="61b9dca2d03b71af93a27ef3"/>
        <s v="621a5ef9953d599be7fadd0f"/>
        <s v="609916b9790a597b2d68be83"/>
        <s v="614c8081f8f3972fb68d60d3"/>
        <s v="60119f64f179e467522592f8"/>
        <s v="615d87b4d2c86b36d641450b"/>
        <s v="602422366fcc5ca048832b87"/>
        <s v="617023fb6c2581824c547a0b"/>
        <s v="60422036133a2988eb41312b"/>
        <s v="62331a806b28262c67abfdcc"/>
        <s v="61e6728ca3b8a6274f7f1bff"/>
        <s v="6227a655edca319d3f706bee"/>
        <s v="61c1ca0504cd9d2406312082"/>
        <s v="6092674a75239b863c0e5b78"/>
        <s v="5fdf50786ce3dd00b0cf9fc6"/>
        <s v="62402a3e0925f90ee11cf682"/>
        <s v="5ff8cc0cbd264d3a6652b3e1"/>
        <s v="6224cb985f5ecbf158f0a92c"/>
        <s v="61b095812645d249e5cf7ca5"/>
        <s v="604313f8dbe4c4dfefd8fa11"/>
        <s v="5fdf568d35987ae5ea5eda04"/>
        <s v="61f273317996060690e7b58e"/>
        <s v="602bf01417a37670303595b6"/>
        <s v="61c5814de2ed2f00fd775604"/>
        <s v="6204a7664df2b037f89f3500"/>
        <s v="5fef5e73a415e944023ce9c5"/>
        <s v="6220fc3ecd345935e59b81a0"/>
        <s v="62322acd6e655826681bcd01"/>
        <s v="624b3681f8bbfc38ec449dba"/>
        <s v="6201633091e67d74b344493d"/>
        <s v="6245cf3469b397f00dd51dbb"/>
        <s v="6214f74a2d382bb438d267f4"/>
        <s v="6129dadef7784d30863b6e2f"/>
        <s v="60aa250ab96a64963edc5c8f"/>
        <s v="60cb96e5bdf108598abd12e7"/>
        <s v="602e9dd1fbe50517b3a9750e"/>
        <s v="619e48c8df7961349debd66e"/>
        <s v="620b8ea8b111d76a487ac592"/>
        <s v="615ad045af900e5330cc5139"/>
        <s v="60d079bb243ca1b61ea5bdf4"/>
        <s v="60f560aafdec86af2f18f6d1"/>
        <s v="618e9e80e154692d84a45d9b"/>
        <s v="618f87ed4c33d5bc20af98c8"/>
        <s v="618f8c7077a79e433f95a88a"/>
        <s v="60660cc6d7217403e51c1a29"/>
        <s v="6011a6d7caa061bcd47eb809"/>
        <s v="622cdf015b3d4a97f7bdfa18"/>
        <s v="608bdc9322a2d618278ded5a"/>
        <s v="616d52eda233cc755611b11f"/>
        <s v="608864a116b1d8994032e07e"/>
        <s v="624337f8e670bc6f5fefde51"/>
        <s v="6169bbffae7533788a272d3f"/>
        <s v="61d47e79a7df7c56adabc8cf"/>
        <s v="6187a39dbb45d9df672ebe49"/>
        <s v="617c173ac2962d6492877857"/>
        <s v="61d84d1a03ec5100dde43a98"/>
        <s v="6005ba0cc795bd061841c81d"/>
        <s v="6259be998cb8549b4376d3e9"/>
        <s v="6259bb42d725020771c5d72b"/>
        <s v="623a0acbf26865729f6a77c9"/>
        <s v="6083114f0bbb7eb7ca3ebcc3"/>
        <s v="606f08520e14ae86900fc7df"/>
        <s v="624fe18adbdd87e21a6b5121"/>
        <s v="5ff761d3757a6c3dfa603768"/>
        <s v="621a53ebfc019fd8406be590"/>
        <s v="619d0d78eac700debaa64f83"/>
        <s v="61a90ed0383c18f791454ce7"/>
        <s v="603a1310982a6728600a9580"/>
        <s v="61c36c910775a993577f6dd2"/>
        <s v="6022dbdf966d0a1ed5db8430"/>
        <s v="613c4efed92583e616fd382a"/>
        <s v="608017ebdf4d783f5bed4de9"/>
        <s v="601ee57571c545633001941c"/>
        <s v="60d043755e802702387813a6"/>
        <s v="61b4995e74e4de678fa9677b"/>
      </sharedItems>
    </cacheField>
    <cacheField name="Restoran&#10;Adı" numFmtId="0">
      <sharedItems>
        <s v="@'li Burger, Erdemli (Merkez Mah.)"/>
        <s v="01 Mis Börek, Mezitli (Fatih Mah.)"/>
        <s v="12:15 Tantuni &amp; Döner &amp; Sakatat, Yenişehir (Güvenevler Mah.)"/>
        <s v="1991 Tarihi Ortaköy Kumpircisi, Yenişehir (Çiftlikköy Mah.)"/>
        <s v="33 Orhan Usta Tantuni, Mezitli (Akdeniz Mah.)"/>
        <s v="33 Öz Mersin Döner, Mezitli (Viranşehir Mah.)"/>
        <s v="33 Öz Mersin Tantuni, Mezitli (Viranşehir Mah.)"/>
        <s v="421 Burger, Yenişehir (İnönü Mah.)"/>
        <s v="63 Ciğer Kebap , Yenişehir (Barboros Mah.)"/>
        <s v="Abidin Tantuni, Yenişehir (Aydınlıkevler Mah.)"/>
        <s v="Acı Tantuni, Akdeniz (Camişerif Mah.)"/>
        <s v="Acı Tantuni, Akdeniz (Kiremithane Mah.)"/>
        <s v="Acı Tantuni, Yenişehir (Gazi Mah.)"/>
        <s v="Acılı İskenderun Döner, Tarsus (Caminur Mah.)"/>
        <s v="Acıpare Fast &amp; Food, Yenişehir (Aydınlıkevler Mah.)"/>
        <s v="Acıyörem Çiğ Köfte, Yenişehir (Çiftlikköy Mah.)"/>
        <s v="Ad-Mun Döner, Akdeniz (Mahmudiye Mah.)"/>
        <s v="Ada Et Döner, Yenişehir (Cumhuriyet Mah.)"/>
        <s v="Adana Ocakbaşı, Silifke (Göksu Mah.)"/>
        <s v="Adanalı Bekir Usta, Mezitli (Viranşehir Mah.)"/>
        <s v="Adım 46 Kebap, Mezitli (Merkez Mah.)"/>
        <s v="Adıyaman Çiğ Köfte Hayri Usta, Tarsus (Ergenekon Mah.)"/>
        <s v="Adıyaman Çiğ Köfte, Akdeniz (Çankaya Mah.-Çarşı)"/>
        <s v="Adıyaman Çiğ Köftecisi Servet Usta, Toroslar (Kurdali Mah.)"/>
        <s v="Adıyaman Çiğ Köftesi, Tarsus (Şehitler Tepesi Mah.)"/>
        <s v="Adıyaman Çiğköfte Evi, Toroslar (Zeki Ayan Mah.)"/>
        <s v="Adıyaman Çiğköfte Salih Usta, Tarsus (Gazipaşa Mah.)"/>
        <s v="Adıyamanlı Çiğ Köfte, Toroslar (Osmaniye Mah.)"/>
        <s v="Adıyamanlı Çiğ Köfteci Hasan Aybak, Akdeniz (Çankaya Mah.)"/>
        <s v="Adıyamanlı Çiğ Köfteci Hasan Aybak, Mezitli (Merkez Mah.)"/>
        <s v="Adıyamanlı Çiğ Köfteci Hasan Aybak, Tarsus (Öğretmenler Mah.)"/>
        <s v="Adıyamanlı Çiğ Köftecim, Akdeniz (Mahmudiye Mah.-Çarşı Şube)"/>
        <s v="Adıyamanlı Çiğ Köftecim, Toroslar (Sağlık Mah.)"/>
        <s v="Adıyamanlı Çiğ Köftecim, Yenişehir (Aydınlıkevler Mah.)"/>
        <s v="Adıyamanlı Çiğ Köftecim, Yenişehir (Güvenevler Mah.-Pozcu.)"/>
        <s v="Adıyamanlı Çiğköfteci Ahmet Usta, (Altaylılar Mah.-Ülküköy)"/>
        <s v="Adıyamanlı Çiğköfteci Ali Baba, Toroslar (Halkkent Mah.)"/>
        <s v="Adıyamanlı Çiğköfteci Hasan Aybak, (Altaylılar Mah.-Ülküköy)"/>
        <s v="Adıyamanlı Çiğköfteci Hasan Aybak, Tarsus (İsmetpaşa Mah.)"/>
        <s v="Adıyamanlı Çiğköfteci Hasan Aybak, Tarsus (Mithatpaşa Mah.)"/>
        <s v="Adıyamanlı Çiğköfteci Hasan Aybak, Tarsus (Şehitishak Mah.)"/>
        <s v="Adıyamanlı İkram Çiğköfteci, Akdeniz (Kiremithane Mah.)"/>
        <s v="Adıyamanlı İkram Çiğköfteci, Akdeniz (Yeni Mah.)"/>
        <s v="Adıyamanlı İkram Çiğköfteci, Toroslar (Demirtaş Mah.)"/>
        <s v="Adıyamanlı İkram Çiğköfteci, Yenişehir (Gazi Mah.)"/>
        <s v="Adıyörem Çiğ Köfte, Tarsus (Yeni Ömerli Mah.)"/>
        <s v="Adoss Restaurant &amp; Cafe, Yenişehir (Güvenevler Mah.)"/>
        <s v="Afiyet Döner &amp; Fast Food, Yenişehir (İnönü Mah.)"/>
        <s v="Ahmet Usta Börekçilik, Yenişehir (Batıkent Mah.)"/>
        <s v="Ailem Ev Yemekleri, Yenişehir (Çiftlikköy Mah.)"/>
        <s v="Akdo Dondurmahane, Erdemli (Akdeniz Mah.)"/>
        <s v="Akmanlar 3 Lahmacun &amp; Pizza &amp; Pide, Akdeniz (Mesudiye Mah.)"/>
        <s v="Aksay Baklavaları, Tarsus (Kırklarsırtı Mah.)"/>
        <s v="Ala Restaurant, Yenişehir (İnönü Mah.)"/>
        <s v="Ala Tantuni, Yenişehir (Çiftlikköy Mah.)"/>
        <s v="Alaaddin Gurme Antakya Döner, Yenişehir (Çiftlikköy Mah.)"/>
        <s v="Alaçatı Muhallebicisi, Mezitli (Fatih Mah.)"/>
        <s v="Alanya Unlu Mamülleri, Mezitli (Merkez Mah.)"/>
        <s v="Alanya Unlu Mamülleri, Mezitli (Viranşehir Mah.)"/>
        <s v="Aldo Özkaymak, Yenişehir (Menteş Mah.)"/>
        <s v="Ali Amca Ankara Kokoreç &amp; Sıcak Midye, Yenişehir/Çiftlikköy Mah."/>
        <s v="Alice Tantuni &amp; Kebap Salonu, Akdeniz (Nusratiye Mah.)"/>
        <s v="Alpi Közde Piliç, Mezitli (Yeni Mah.)"/>
        <s v="Alsancak Izgara, Tarsus (Şehitler Tepesi Mah.)"/>
        <s v="Altı Kardeşler Kebap &amp; Tantuni, Toroslar (Yalınayak Mah.)"/>
        <s v="Amanos Dürüm Center, Tarsus (Şehitmustafa Mah. Merkez)"/>
        <s v="Anadolu Kebap &amp; Lahmacun &amp; Pide, Yenişehir (Çiftlikköy Mah.)"/>
        <s v="Anatolia Pizza, Mezitli (Merkez Mah.)"/>
        <s v="Andoy Piliçistan, Akdeniz (Müfide İlhan Mah.)"/>
        <s v="Annemin Mutfağı, Yenişehir (Güvenevler Mah.-Pozcu)"/>
        <s v="Antakya Döner, Yenişehir (Güvenevler Mah.)"/>
        <s v="Antakya Express Döner &amp; Kebap, Erdemli (Akdeniz Mah.)"/>
        <s v="Antakya Şef Döner, Erdemli (Akdeniz Mah.)"/>
        <s v="Antakyalı Kral Künefe, Erdemli (Merkez Mah.)"/>
        <s v="Arabica Coffee House, Yenişehir (İnönü Mah.)"/>
        <s v="Arka Bahçe Kahvaltı, Silifke (Göksu Mah.)"/>
        <s v="Arpaç Tantuni &amp; Kebap, Toroslar (Arpaçsakarlar Mah.)"/>
        <s v="Askar Künefe &amp; Dondurma, Yenişehir (Fuat Morel Mah.)"/>
        <s v="Aslan Paça &amp; Izgara, Erdemli (Alata Mah.)"/>
        <s v="Aspava Kebap &amp; Lahmacun, Yenişehir (Çiftlikköy Mah.)"/>
        <s v="Asrın Pide &amp; Lahmacun Fırını, Akdeniz (İhsaniye Mah.)"/>
        <s v="Asrın Tantunisi, Yenişehir (Menteş Mah.)"/>
        <s v="Atakule Kumpir &amp; Pizza, Yenişehir (Limonluk Mah.)"/>
        <s v="Atakule Kumpir, Tarsus (Anıt Mah.)"/>
        <s v="Atakule Kumpir, Yenişehir (Akkent Mah.)"/>
        <s v="AtaPlus Pizza &amp; Kumpir &amp; Döner, Akdeniz (İhsaniye Mah.-Merkez)"/>
        <s v="Atlantik Coffee Roastery, Toroslar (Portakal Mah.)"/>
        <s v="Atom Cafe, Mezitli (Menderes Mah.)"/>
        <s v="Atomcu Einstein, Mezitli (Akdeniz Mah.)"/>
        <s v="Atomcu Sadık Usta, Mezitli (Atatürk Mah.)"/>
        <s v="Atomcu Sadık Usta, Yenişehir (Barbaros Mah.)"/>
        <s v="ATS İstanbul Kafe &amp; Restoran, Toroslar (Zeki Ayan Mah.)"/>
        <s v="Aure Cafe, Yenişehir (İnönü Mah.)"/>
        <s v="Ayak Üstü Burger, Tarsus (Şehitmustafa Mah.-Merkez.)"/>
        <s v="Ayak Üstü Burger, Yenişehir (İnönü Mah.)"/>
        <s v="Aydın Pişirim Fırını, Erdemli (Tömük Mah.)"/>
        <s v="Aysa Kebap, Toroslar (Mithat Toroğlu Mah.)"/>
        <s v="Ayvalık Tosthub, Yenişehir (Akkent Mah.)"/>
        <s v="Ayyıldız Kebap, Tarsus (Altaylılar Mah.- Ülküköy)"/>
        <s v="Ayyıldız Pasta &amp; Fırın, Mezitli (Akdeniz Mah.)"/>
        <s v="Aziz Ocakbaşı, Toroslar (Akbelen Mah.)"/>
        <s v="B Burger, Yenişehir (Limonluk Mah.)"/>
        <s v="Bab's Döner, Yenişehir (İnönü Mah.)"/>
        <s v="Babosh Kebap, Toroslar (Alsancak Mah.)"/>
        <s v="Baca Antakya Döner &amp; Fast Food, Akdeniz (Camişerif Mah.)"/>
        <s v="Bacanaklar Tantuni &amp; Döner, Toroslar (Portakal Mah.)"/>
        <s v="Baklavacı Hacı Seyit, Tarsus (Ergenekon Mah.)"/>
        <s v="Baklavasan, Mezitli (Merkez Mah.)"/>
        <s v="Baklavasan, Toroslar (Tozkoparan Mah.)"/>
        <s v="Balıkçı Hasan Reis, Mezitli (Tece Mah.)"/>
        <s v="Balıkçı Kemali`nin Yeri, Erdemli ( Kargıpınarı Mah.)"/>
        <s v="Balıkçı Levent, Akdeniz (Mesudiye Mah.)"/>
        <s v="Balıkçı Polat, Yenişehir (Cumhuriyet Mah.)"/>
        <s v="Balıkçı Şükrü, Mezitli (Atatürk Mah.)"/>
        <s v="Banbo Döner &amp; Tantuni, Yenişehir (Cumhuriyet Mah.)"/>
        <s v="Banvit Antakya Döner &amp; Tantuni, Mezitli (Viranşehir Mah.)"/>
        <s v="Barbeque Burger, Yenişehir (Hürriyet Mah.)"/>
        <s v="Barista Brother, Yenişehir (Güvenevler Mah.)"/>
        <s v="Başak Fırın Pide &amp; Lahmacun, Mezitli (Atatürk Mah.)"/>
        <s v="Batıkent Lahmacun, Yenişehir (Batıkent Mah.)"/>
        <s v="Battalbey Çiğköfte, Mezitli (Menderes Mah.)"/>
        <s v="Battalbey Çiğköfte, Tarsus (Eski Ömerli Mah.)"/>
        <s v="Bayram Usta Tantuni &amp; Biftek Salonu, Toroslar (Çağdaşkent Mah.)"/>
        <s v="Benim Döner İskenderun Usulü, Yenişehir (Çiftlikköy Mah.)"/>
        <s v="Bereket Lahmacun Fırını, Erdemli (Alata Mah.)"/>
        <s v="Beslen Tantuni &amp; Döner, Mezitli (Menderes Mah.)"/>
        <s v="Beslen Tantuni, Akdeniz (Çankaya Mah.- Çarşı )"/>
        <s v="Bey Döner &amp; Tantuni, Mezitli (Kuyuluk Mah.)"/>
        <s v="Bey Döner, Toroslar (Tozkoparan Mah.)"/>
        <s v="Bey Kebap , Toroslar (Çağdaşkent Mah.)"/>
        <s v="Beyaz Tantuni, Akdeniz (Nusratiye Mah.)"/>
        <s v="Beyzadem Çigköfte &amp; Tantuni, Toroslar (Turgut Türkalp Mah.)"/>
        <s v="Bi Dürüm Çiğ Köfte, Tarsus (Altaylılar Mah.- Ülküköy.)"/>
        <s v="Bi Pide'm Pide &amp; Lahmacun, Toroslar (M. Kemal Mah.)"/>
        <s v="Bi Takviye Tantuni &amp; Döner, Toroslar (Tozkoparan Mah.)"/>
        <s v="Bi'yer Cafe &amp; Restaurant, Yenişehir (Dumlupınar Mah.)"/>
        <s v="Biber Tantuni, Mezitli (Menderes Mah.)"/>
        <s v="Biberzade Adıyaman Çiğköftecisi, Yenişehir (Çiftlikköy Mah.)"/>
        <s v="Bir Tat 33 Tantuni, Toroslar (Çağdaşkent Mah.)"/>
        <s v="Bir Tek 33 Ciğer &amp; Kebap &amp; Lahmacun, Akdeniz (Çankaya Mah.)"/>
        <s v="Bir Tek 33 Tantuni, Akdeniz (İhsaniye Mah.-Merkez)"/>
        <s v="Bir Tek 33 Tantuni, Mezitli (Akdeniz Mah.)"/>
        <s v="Bir Tek 33 Tantuni, Yenişehir (İnönü Mah.)"/>
        <s v="Bitost, Akdeniz (Kültür Mah.)"/>
        <s v="Bizim Ev Yemekleri, Yenişehir (Güvenevler Mah.)"/>
        <s v="Bizim Kebap, Yenişehir (Güvenevler Mah.)"/>
        <s v="Bizim Kuzu Kokoreç, Toroslar (Çopurlu Mah.)"/>
        <s v="Bizim Pide &amp; Lahmacun Salonu, Mezitli (Merkez Mah.)"/>
        <s v="Black Meat Burger &amp; Grill , Yenişehir (Güvenevler Mah.)"/>
        <s v="Blue Et Blanc Cafe, Silifke (Göksu Mah.)"/>
        <s v="Blues House Kafe, Yenişehir (Aydınlıkevler Mah.)"/>
        <s v="Blush Flower &amp; Coffee, Yenişehir (Güvenevler Mah.)"/>
        <s v="Boğaziçi Pide &amp; Lahmacun &amp; Pizza, Akdeniz (Nusratiye Mah.)"/>
        <s v="Bolulu Hasan Usta, Yenişehir (Akkent Mah.)"/>
        <s v="Boss Çiğköfte &amp; Kumru &amp; Waffle, Anamur (İskele Mah.)"/>
        <s v="Bozan Usta Tantuni, Yenişehir (Aydınlıkevler Mah.)"/>
        <s v="Brasserie 1890, Yenişehir (Eğriçam Mah.)"/>
        <s v="Brewser Coffee House, Yenişehir (Barbaros Mah.)"/>
        <s v="Buğday Cafe, Yenişehir (Barboros Mah.)"/>
        <s v="Buse Golden Chicken Barbecue, Toroslar (Sağlık Mah.)"/>
        <s v="Butfly, Yenişehir (Güvenevler Mah.)"/>
        <s v="Bülent Usta Tantuni &amp; Döner Salonu, Toroslar (Yalınayak Mah.)"/>
        <s v="By Tacos, Yenişehir (Çiftlikköy Mah.)"/>
        <s v="By Tiryaki Döner &amp; Köfte, Akdeniz (İhsaniye Mah.)"/>
        <s v="Cadde 33 Tantuni &amp; Döner, Akdeniz (Çankaya Mah.-Çarşı)"/>
        <s v="Cadde 38 Tantuni Biftek &amp; Döner, Yenişehir (Menteş Mah.)"/>
        <s v="Cadde Çiğ Köfteci, Mezitli (Merkez Mah.)"/>
        <s v="Cadde Etiler, Yenişehir (Çiftlikköy Mah.)"/>
        <s v="Cadde Katık Döner , Yenişehir (İnönü Mah.)"/>
        <s v="Cadde Katık Döner, Mezitli (Akdeniz Mah.)"/>
        <s v="Cadde Meze, Yenişehir (Çiftlikköy Mah.)"/>
        <s v="Cadde Pizza, Yenişehir (Çiftlikköy Mah.)"/>
        <s v="Cafe Betül, Yenişehir (Fuat Morel Mah.)"/>
        <s v="Cafe Burger 85, Yenişehir (Barboros Mah.)"/>
        <s v="Cafe Kampüs, Tarsus (Kırklarsırtı Mah.)"/>
        <s v="Cafe Meritalia , Yenişehir (İnönü Mah.)"/>
        <s v="Cafe Meritalia, Akdeniz (Çankaya Mah.-Çarşı)"/>
        <s v="Cafe Mia Bakery &amp; Chocolate, Yenişehir (Çiftlikköy Mah.)"/>
        <s v="Cafe Motto, Tarsus (Şehitishak Mah.)"/>
        <s v="Cafe Pilav, Yenişehir (Aydınlıkevler Mah.)"/>
        <s v="Cafe-Deyiz, Erdemli (Merkez Mah.)"/>
        <s v="Cafe.R.Lia Pizza, Mezitli (Yeni Mah.)"/>
        <s v="Cajun Corner, Yenişehir (Güvenevler Mah.)"/>
        <s v="Camuzlar Balık Evi, Yenişehir (Cumhuriyet Mah.)"/>
        <s v="Camuzlar Deniz Ürünleri, Yenişehir (Fuat Morel Mah.)"/>
        <s v="Can Tantuni, Toroslar (Yusuf Kılıç Mah.)"/>
        <s v="Canciğer Kebap Salonu, Yenişehir (Güvenevler Mah.)"/>
        <s v="Cann Dondurma, Erdemli (Alata Mah.)"/>
        <s v="Caps Burger, Yenişehir (Çiftlikköy Mah.)"/>
        <s v="Casa Mia Donut &amp; Berliner &amp; Bakery Yenişehir (İnönü Mah.)"/>
        <s v="Cebrail Usta Tantuni, Yenişehir (Çiftlikköy Mah.)"/>
        <s v="Cennet'im Kelle Söğüş, Akdeniz (Kiremithane Mah.)"/>
        <s v="Cevheroğlu Su Börekcisi, Yenişehir (50.Yıl Mah.)"/>
        <s v="Cevheroğlu Su Börekçisi, Akdeniz (Yenimahalle Mah.)"/>
        <s v="Cevheroğlu Su Börekçisi, Toroslar (H.Okan Merzeci Mah.)"/>
        <s v="Chef Ahmet Usta, Akdeniz (Çilek Mah.)"/>
        <s v="Chef Börek, Erdemli (Merkez Mah.)"/>
        <s v="Chef Chicken, Tarsus (Öğretmenler Mah.)"/>
        <s v="Chef Kebap&amp; Kaburga &amp; Büryan, Erdemli (Akdeniz Mah.)"/>
        <s v="Chef Kokoreç, Yenişehir (Menteş Mah.)"/>
        <s v="Chef Rock's , Yenişehir (Güvenevler Mah.)"/>
        <s v="Chef Rosso, Yenişehir (Güvenevler Mah.)"/>
        <s v="Chef Sabo &amp; Chinese Food, Yenişehir (Limonluk Mah.)"/>
        <s v="Chef's City Burger, Mezitli ( Merkez Mah.)"/>
        <s v="Cheff Boss 27 Cafe &amp; Restaurant, Mezitli (Deniz Mah.)"/>
        <s v="Cheff'in Yeri, Yenişehir (Hürriyet Mah.)"/>
        <s v="Chicken Stop, Anamur (İskele Mah.)"/>
        <s v="Chicken Stop, Erdemli (Akdeniz Mah.)"/>
        <s v="Chiko Döner, Tarsus (Şehitmustafa Mah.-Merkez.)"/>
        <s v="Chocolate Club, Akdeniz (Kültür Mah.)"/>
        <s v="Cıllı Tantuni &amp; Döner, Mezitli (Menderes Mah.)"/>
        <s v="Ciğerci Bahattin , Yenişehir (Çiftlikköy Mah.)"/>
        <s v="Ciğerci Bülent, Toroslar (Çağdaşkent Mah.)"/>
        <s v="Ciğerci Bülent, Toroslar (Çukurova Mah.)"/>
        <s v="Ciğerci Cengiz, Toroslar (Arpaçsakarlar Mah.)"/>
        <s v="Ciğerci Dede, Mezitli (Atatürk Mah.)"/>
        <s v="Ciğerci Doğan, Akdeniz (Üçocak Mah.)"/>
        <s v="Ciğerci Doğan, Toroslar (Çukurova Mah.)"/>
        <s v="Ciğerci Doğan, Toroslar (Osmaniye Mah.)"/>
        <s v="Ciğerci Doğan, Yenişehir (Limonluk Mah.)"/>
        <s v="Ciğerci Emin Usta, Toroslar (Çukurova Mah.)"/>
        <s v="Ciğerci Fırat, Toroslar (Turuçlu Mah.)"/>
        <s v="Ciğerci Hulusi, Yenişehir (50.Yıl Mah.)"/>
        <s v="Ciğerci İbo, Akdeniz (Yeni Mah.)"/>
        <s v="Ciğerci İbo, Yenişehir (Çiftlikköy Mah.)"/>
        <s v="Ciğerci İsmail Usta, Mezitli (Atatürk Mah.)"/>
        <s v="Ciğerci Kardeşler, Akdeniz (Mithatpaşa Mah.)"/>
        <s v="Ciğerci Ramazan, Erdemli (Akdeniz Mah.)"/>
        <s v="Ciğerci Süleyman Usta, Yenişehir (Eğriçam Mah.)"/>
        <s v="Ciğerci Yakup, Yenişehir (Pirireis Mah.)"/>
        <s v="Ciğerci Yusuf, Akdeniz (Turgutreis Mah.)"/>
        <s v="Ciğerci Yusuf, Tarsus (Altaylılar Mah.-Ülküköy)"/>
        <s v="Ciğercim Murat Usta, Akdeniz (Çankaya Mah.)"/>
        <s v="Cihangir Antep, Yenişehir (Bahçelievler Mah.)"/>
        <s v="Citrus Lounge, Yenişehir (Barbaros Mah.)"/>
        <s v="City Express Pizza, Erdemli (Merkez Mah.)"/>
        <s v="Coffee House, Tarsus (Merkez-Şehitmustafa Mah.)"/>
        <s v="Creppy, Mezitli (Merkez Mah.)"/>
        <s v="Creppy, Yenişehir (Güvenevler Mah.)"/>
        <s v="Crunchy's Pizza &amp; Burger, Yenişehir (Çiftlikköy Mah.)"/>
        <s v="Crunchy's Pizza &amp; Burger, Yenişehir (Furatmurel Mah.)"/>
        <s v="Cumhuriyet 2 Lahmacun &amp; Etli Pide, Yenişehir (Cumhuriyet Mah.)"/>
        <s v="Cup Of Coffee, Mezitli (Menderes Mah.)"/>
        <s v="Cupkofi, Yenişehir (Aydınlıkevler Mah.)"/>
        <s v="Cuprıce, Yenişehir (Pirireis Mah.)"/>
        <s v="Çağlar Et &amp; Tavuk, Toroslar (Mevlana Mah.)"/>
        <s v="Çalıkuşu Çiçeği &amp; Waffle, Silifke (Göksu Mah.)"/>
        <s v="Çapa Waffle , Yenişehir (Çiftlikköy Mah.)"/>
        <s v="Çatapatso, Tarsus (Yeni Ömerli Mah.)"/>
        <s v="Çiçek Döner, Mezitli (Atatürk Mah.)"/>
        <s v="Çifte Kumru, Yenişehir (Güvenevler Mah.)"/>
        <s v="Çiftlik Cızzgara Közde Piliç &amp; Et Köfte"/>
        <s v="Çiftlik Döner &amp; Tantuni , Yenişehir (İnönü Mah.)"/>
        <s v="Çiftyol Ocakbaşı, Yenişehir (Eğriçam Mah.)"/>
        <s v="Çiğ Köfteci Ömer Usta, Akdeniz (Mithatpaşa Mah.)"/>
        <s v="Çiğ Köfteci Ömür Usta, Erdemli (Merkez Mah.)"/>
        <s v="Çiğ Köfteci Ömür Usta, Toroslar (Akbelen Mah.)"/>
        <s v="Çiğköfte Evi, Erdemli (Akdeniz Mah.)"/>
        <s v="Çiğköfteci Emrah Usta, Silifke (Göksu Mah.)"/>
        <s v="Çiğköfteci Halil Usta, Erdemli (Merkez Mah.)"/>
        <s v="Çiğköfteci Ömer Usta, Erdemli (Akdeniz Mah.)"/>
        <s v="Çiğköfteci Ömer Usta, Yenişehir (Güvenevler Mah.)"/>
        <s v="Çiğköfteci Ömür Usta, Mezitli (Deniz Mah.)"/>
        <s v="Çiğköfteci Ömür Usta, Tarsus (Yeni Ömerli Mah.)"/>
        <s v="Çiğköfteci Ömür Usta, Toroslar (Mithat Toroğlu Mah.)"/>
        <s v="Çiğköfteci Rıdvan Usta, Yenişehir (Çiftlikköy Mah.)"/>
        <s v="Çiğköftem, Mezitli (Tece Mah.)"/>
        <s v="Çiğköftem, Tarsus (Şehit Mustafa Mah.-Merkez)"/>
        <s v="Çiğköftem, Tarsus (Şehitler Tepesi Mah.)"/>
        <s v="Çiğköftem, Toroslar (Çağdaşkent Mah.)"/>
        <s v="Çiğköftem, Yenişehir (Aydınlıkevler Mah.)"/>
        <s v="Çiğköftem, Yenişehir (Pirireis Mah.)"/>
        <s v="Çikolata Durağı, Yenişehir (Aydınlıkevler Mah.)"/>
        <s v="Çikolook, Anamur (Yeşilyurt Mah.)"/>
        <s v="Çingil Kafe &amp; Restaurant, Tarsus (Anıt Mah.)"/>
        <s v="Çoban Katık Döner, Erdemli (Merkez Mah.)"/>
        <s v="Çorbacım , Yenişehir (Çitflikköy Mah.)"/>
        <s v="Çoşkun Usta Kebap, Akdeniz (Camişerif Mah.)"/>
        <s v="D &amp; B Kumpir, Erdemli (Merkez Mah.)"/>
        <s v="D-Öner Mangal, Yenişehir (Barboros Mah.)"/>
        <s v="Dağkapı Ciğercisi 21, Yenişehir (İnönü Mah.)"/>
        <s v="Dalgıç Tantuni, Yenişehir (Çiftlikköy Mah.)"/>
        <s v="Damak Dondurma, Akdeniz (Siteler Mah.)"/>
        <s v="Damak Döner, Silifke (Göksu Mah.)"/>
        <s v="Damak Döner, Silifke (Taşucu Mah.)"/>
        <s v="Damak Tantuni &amp; Döner, Akdeniz (Mesudiye Mah.)"/>
        <s v="Datlım Patisserie, Erdemli (Merkez Mah.)"/>
        <s v="Dede Restaurant, Akdeniz (Camişerif Mah.)"/>
        <s v="Demirkesen Kebap, Yenişehir (Menteş Mah.)"/>
        <s v="Deniz Express Döner, Akdeniz (Mahmudiye Mah.)"/>
        <s v="Deniz Kafe &amp; Ev Yemekleri , Mezitli (Yenimahalle Mah.)"/>
        <s v="Deniz Kızı Pastanesi, Akdeniz (Çankaya Mah.)"/>
        <s v="Deniz Su Börekçisi, Mezitli (Viranşehir Mah.)"/>
        <s v="Deniz Tantuni &amp; Döner, Akdeniz (Kiremithane Mah.)"/>
        <s v="Deniz Usta Tantana Tantuni, Mezitli (Atatürk Mah.)"/>
        <s v="Deren's Kebap 2, Yenişehir (Çiftlikköy Mah.)"/>
        <s v="Deren's Kebap, Yenişehir (Eğriçam Mah.-Göçmen)"/>
        <s v="Derin Cafe, Mezitli (Merkez Mah.)"/>
        <s v="Develiler Seç Baklava, Yenişehir (Limonluk Mah.)"/>
        <s v="Dilek Tantuni, Yenişehir (Bahçelievler Mah.)"/>
        <s v="Dinçer Tantuni &amp; Döner, Mezitli (Akdeniz Mah.)"/>
        <s v="Doğa Çorba Kahvaltı, Toroslar (Korukent Mah.)"/>
        <s v="Doğal Ekmek Fırında, Mezitli (Atatürk Mah.)"/>
        <s v="Doğala Kebap, Mezitli (Merkez Mah.)"/>
        <s v="Doğan Kaymaklı, Yenişehir (Bahçelievler Mah.)"/>
        <s v="Doğan Usta Tantuni &amp; Biftek Salonu , Toroslar (Yalınayak Mah.)"/>
        <s v="Dom Dom Tantuni &amp; Çiğköfte, Akdeniz (Kiremithane Mah.)"/>
        <s v="Donas, Yenişehir (Güvenevler Mah.)"/>
        <s v="Dondurmacım, Mezitli (Merkez Mah.)"/>
        <s v="Dondurmacım, Yenişehir (Hürriyet Mah.)"/>
        <s v="Dostlar Tantuni &amp; Döner, Erdemli (Merkez Mah.)"/>
        <s v="Doymix, Akdeniz (Çankaya Mah.-Çarşı)"/>
        <s v="Dönerium, Erdemli (Merkez Mah.)"/>
        <s v="Dönerzade Mersin Tantuni, Anamur (Esentepe Mah.)"/>
        <s v="Dönıs, Mezitli (Akdeniz Mah.)"/>
        <s v="Dörtyol Çiğköfte, Akdeniz (Nusratiye Mah.)"/>
        <s v="Draft &amp; B.O.B Burger, Mezitli (Fatih Mah.)"/>
        <s v="Duru Patisserie , Yenişehir (Aydınlıkevler Mah.)"/>
        <s v="Duru Patisserie, Mezitli (Viranşehir Mah.)"/>
        <s v="Duru Tantuni &amp; Biftek, Yenişehir (Çiftlikköy Mah.)"/>
        <s v="Duru Tavukçuluk, Toroslar (Tozkoparan Mah.)"/>
        <s v="Duygulu Mutfak, Yenişehir (Eğriçam Mah.)"/>
        <s v="Dündar Büfe &amp; Fast Food, Tarsus (Altaylılar Mah.)"/>
        <s v="Dünya Döner, Tarsus (Yeni Ömerli Mah.)"/>
        <s v="Dünya Döner, Yenişehir (Gazi Mah.)"/>
        <s v="E Vitamin Bar, Anamur (Yalıevleri Mah.)"/>
        <s v="Edip Usta, Mezitli (Viranşehir Mah.)"/>
        <s v="Efendi's Izgara, Tarsus (Şehitishak Mah.)"/>
        <s v="Efsane Antakya Döner, Erdemli (Merkez Mah.)"/>
        <s v="Efsane Önal Kardeşler Pide &amp; Patisserie, Akdeniz (Kültür Mah.)"/>
        <s v="Efsane Tantuni, Akdeniz (Çankaya Mah.)"/>
        <s v="Ehl-i Antep Künefe &amp; Katmer, Mezitli (Deniz Mah.)"/>
        <s v="Ehl-i Antep Künefe &amp; Katmer, Tarsus (Ergenekon Mah.)"/>
        <s v="Ekmek Teknesi, Akdeniz (Kiremithane Mah.)"/>
        <s v="Eko Tantuni, Silifke (Taşucu Mah.)"/>
        <s v="Ekrem Çoşkun Döner, Akdeniz (İhsaniye Mah.)"/>
        <s v="Ekrem Çoşkun Döner, Mezitli (Merkez Mah.)"/>
        <s v="Elit 33 Tantuni, Yenişehir (Batıkent Mah.)"/>
        <s v="Elit Tantuni, Toroslar (Osmaniye Mah.)"/>
        <s v="Emir Izgara, Yenişehir (Hürriyet Mah.)"/>
        <s v="Emir Tantuni, Erdemli (Kargıpınarı Mah.)"/>
        <s v="Emirgan Pastaneleri, Toroslar (Yusuf Kılıç Mah.)"/>
        <s v="Emmoğlum Gökhan Tatlı &amp; Dondurma, Mezitli (Çankaya Mah.)"/>
        <s v="En Cici Tantuni, Mezitli (Kuyuluk Mah.)"/>
        <s v="Ender Kahvaltı, Erdemli (Merkez Mah.)"/>
        <s v="Enessa Patisserie &amp; Cafe, Toroslar (Çağdaşkent Mah.)"/>
        <s v="Enfes 33 Döner &amp; Tantuni, Yenişehir (Pirireis Mah.)"/>
        <s v="Enjoy Burger House, Erdemli (Merkez Mah.)"/>
        <s v="Enjoy Burger House, Mezitli (Menderes Mah.)"/>
        <s v="Enjoy Burger House, Yenişehir (Güvenevler Mah.)"/>
        <s v="Er- Tür Piliç, Erdemli (Merkez Mah.)"/>
        <s v="Erdal Pizza, Anamur (İskele Mah.)"/>
        <s v="Eren Künefe &amp; Baklava, Mezitli (Merkez Mah.)"/>
        <s v="Eren Ocakbaşı &amp; Meze, Mezitli (Çankaya Mah.)"/>
        <s v="Es Tantuni &amp; Döner, Tarsus (Şehitishak Mah.)"/>
        <s v="Eslem Pide &amp; Lahmacun, Yenişehir (Çiftlikköy Mah.)"/>
        <s v="Esnaf Tost, Silifke (Saray Mah.)"/>
        <s v="Etçim Tavuk &amp; Mangal, Toroslar (Çukurova Mah.)"/>
        <s v="Etlice Ocakbaşı &amp; Çorba, Yenişehir (Çiftlikköy Mah.)"/>
        <s v="Etobur Barbecue, Erdemli (Novacity AVM-Merkez Mah.)"/>
        <s v="Etobur Tantuni, Erdemli (Novacity Avm-Merkez)"/>
        <s v="Express Yaprak Döner, Yenişehir (Çiftlikköy Mah.)"/>
        <s v="Extra Kebap &amp; Tantuni, Yenişehir (Limonluk Mah.)"/>
        <s v="Eyfel Pastanesi , Yenişehir (Bahçelievler Mah.)"/>
        <s v="Eyfel Tatlım Benim , Yenişehir (Bahçelievler Mah.)"/>
        <s v="Eylül Dondurma &amp; Baklava &amp; Börek , Mezitli (Merkez Mah.)"/>
        <s v="Eymen Et &amp; Mangal , Yenişehir (Menteş Mah.)"/>
        <s v="Eymen Usta Biftek &amp; Tantuni, Mezitli (Tece Mah.)"/>
        <s v="Fatih Et Lokantası, Akdeniz (Çankaya Mah.)"/>
        <s v="Fd Fast Good, Mezitli (Tece Mah.)"/>
        <s v="Ferhat Patisserie, Akdeniz (Nusratiye Mah.)"/>
        <s v="Fıstık Tantuni, Toroslar (Mustafa Kemal Mah.)"/>
        <s v="Fiori, Yenişehir (Eğriçam Mah.)"/>
        <s v="Fiori, Yenişehir (Güvenevler Mah.)"/>
        <s v="Flash Tantuni &amp; Biftek (Bahçelievler Mah.)"/>
        <s v="Flash Tantuni, Akdeniz (Mesudiye Mah.)"/>
        <s v="Flora Patisserie, Yenişehir (Eğriçam Mah.)"/>
        <s v="François Restaurant-Cafe, Akdeniz (Kültür Mah.)"/>
        <s v="Fresh Chicken Közde Piliç, Akdeniz (Çankaya Mah.)"/>
        <s v="Funda'nın Mutfağı, Mezitli (Yeni Mah.)"/>
        <s v="Furkan Tantuni, Mezitli (Menderes Mah.)"/>
        <s v="Gaıa &amp; Co Coffee, Yenişehir (Güvenevler Mah.)"/>
        <s v="Garden House Cafe &amp; Restaurant, Yenişehir (Çiftlikköy Mah.)"/>
        <s v="Gargi Magical Tastes, Yenişehir (Barbaros Mah.)"/>
        <s v="Gaziantep Uzman Baklavaları, Akdeniz (Bahçe Mah.)"/>
        <s v="Gaziantep Uzman Baklavaları, Toroslar ( Kürdali Mah.)"/>
        <s v="Gaziantep Uzman Baklavaları, Toroslar (Çavuşlu Mah.)"/>
        <s v="Gaziantep Yörem Kebap, Akdeniz (Çankaya Mah.)"/>
        <s v="Gece Kuşu Kebap, Mezitli (Menderes Mah.)"/>
        <s v="Gıybet Cafe Lounge, Tarsus (ŞehitMustafa Mah.)"/>
        <s v="Gold Chicken, Mezitli (Tece Mah.)"/>
        <s v="Göksel Ekstra, Tarsus (Şehit Mustafa Mah.)"/>
        <s v="Göksel Tantuni , Yenişehir (Akkent Mah.)"/>
        <s v="Göksel Tantuni + Plus, Yenişehir (50.Yıl Mah.)"/>
        <s v="Göksel Tantuni, Akdeniz (İhsaniye Mah.- Merkez)"/>
        <s v="Göksel Tantuni, Mezitli (Merkez Mah.)"/>
        <s v="Göksel Tantuni, Silifke (Göksu Mah.)"/>
        <s v="Göksel Tantuni, Tarsus (Fevzi Çakmak Mah.Tarsu Avm)"/>
        <s v="Göksel Tantuni, Toroslar (Zeki Ayan Mah.- Merkez)"/>
        <s v="Göksel Tantuni, Yenişehir (Dumlupınar Mah.)"/>
        <s v="Göksel Tantuni, Yenişehir (Güvenevler Mah.)"/>
        <s v="Gönlübol 5 Yıldız Pide &amp; Lahmacun , (Hüseyin Okan Merzeci Mah.)"/>
        <s v="Gönlübol Kardeşler &amp; Lahmacun, Yenişehir (Güvenevler Mah.)"/>
        <s v="Gönül Kahvesi, Yenişehir (Limonluk Mah.)"/>
        <s v="Gören Adıyaman Çiğ Köfte, Tarsus (Öğretmenler Mah.)"/>
        <s v="Gözde Tantuni &amp; Döner, Akdeniz (İhsaniye Mah.)"/>
        <s v="Grand Deniz Yıldızı, Mezitli (Akdeniz Mah.)"/>
        <s v="Granosa Makarna &amp; Pizza (Güvenevler Mah.)"/>
        <s v="Gurme Döner , Mezitli (Yeni Mah.)"/>
        <s v="Gusto Kafe, Tarsus (ŞehitMustafa Mah.)"/>
        <s v="Gül 'ün Ev Lezzetleri, Mezitli (Menderes Mah.)"/>
        <s v="Gül Et Restaurant, Mezitli (Çamlıca Mah.)"/>
        <s v="Gül Kafe Plus , Mezitli (Fatih Mah.)"/>
        <s v="Gülbeden Sokak Lezzetleri, Tarsus (Eski Ömerli Mah.)"/>
        <s v="Güllek Baklava &amp; Künefe , Toroslar (Kürdali Mah.)"/>
        <s v="Gülnarlı Yahya Usta Tantuni &amp; Döner, Toroslar (Tozkoparan Mah.)"/>
        <s v="Gülsoy Künefe , Toroslar (Yalınayak Mah.)"/>
        <s v="Gümüş Tekin 2 Pide &amp; Lahmacun, Toroslar (Demirtaş Mah.)"/>
        <s v="Gündoğdu İskender, Akdeniz (Çankaya Mah.)"/>
        <s v="Gündoğdu İskender, Erdemli (Merkez Mah.-Novacity Avm)"/>
        <s v="Gündoğdu İskender, Mezitli (Merkez Mah.)"/>
        <s v="Gündoğdu İskender, Yenişehir (Güvenevler Mah.)"/>
        <s v="Gündoğdu İskender, Yenişehir (Güvenevler Mah.Forum Avm)"/>
        <s v="Gündoğdu Kebap Ocakbaşı, Yenişehir (Güvenevler Mah.)"/>
        <s v="Gürsu Sıkma &amp; Börek, Yenişehir (İnönü Mah.)"/>
        <s v="Güven Et &amp; Piliç Mangal, Toroslar (Selçuklar Mah.)"/>
        <s v="Hacıbaba ,Yenişehir (İnönü Mah.)"/>
        <s v="Hacıbaba Concept, Mezitli (Yenimahalle Mah.)"/>
        <s v="Hacıbaba, Akdeniz (Çankaya Mah.)"/>
        <s v="Hacıbey Çiğköfte, Akdeniz (Çankaya Mah.)"/>
        <s v="Hacıbey Közde Döner &amp; İskender, Tarsus (Şehit Mustafa Mah.)"/>
        <s v="Hacıbey Tantuni,Yenişehir (Çiftlikköy Mah.)"/>
        <s v="Hakanka'fe, Yenişehir (İnönü Mah.)"/>
        <s v="Halil İbrahim Kebap &amp; Tantuni Salonu, Toroslar (Halkkent Mah.)"/>
        <s v="Hallaç Tantuni &amp; Döner, Toroslar (Sağlık Mah.)"/>
        <s v="Haluk Abi Fındık Lahmacun &amp; Kebap, Tarsus (Caminur Mah.)"/>
        <s v="Hamburg Burger Cafe, Toroslar (H.Okan Merzeci Mah.)"/>
        <s v="Hamburworld, Erdemli (Merkez Mah.)"/>
        <s v="Hamur Patisseri, Yenişehir (Çiftlikköy Mah.)"/>
        <s v="Hamza Efendi Baklava, Akdeniz (Yeni Mah.)"/>
        <s v="Hamza Efendi Baklava, Tarsus (Şehit İshak Mah.)"/>
        <s v="Hamza Efendi Baklava, Toroslar (Mithat Toroğlu Mah.)"/>
        <s v="Hamza Efendi Baklava, Toroslar (Tozkoparan Mah.)"/>
        <s v="Hamza Efendi Baklava, Toroslar (Yalınayak Mah.)"/>
        <s v="Han Künefe, Mezitli (Akdeniz Mah.)"/>
        <s v="Hancook Coffee &amp; Food Frıends, Yenişehir (Aydınlıkevler Mah.)"/>
        <s v="Happy People, Yenişehir (Güvenler Mah.)"/>
        <s v="Harabe Restaurant, Silifke (Saray Mah.)"/>
        <s v="Has Adıyaman Çiğ Köfte, Toroslar (Korukent Mah.)"/>
        <s v="Has Adıyaman Çiğköfte, Akdeniz (Kiremithane Mah.)"/>
        <s v="Has Beyzade Baklava &amp; Künefe &amp; Börek, Tarsus (Altaylılar Mah.)"/>
        <s v="Has Cevheroğlu Tereyağlı Su Börekçisi, Yenişehir (Hürriyet Mah.)"/>
        <s v="Has Çiğ Köfte Dünyası, Tarsus (Anıt Mah.)"/>
        <s v="Has Çiğköfte Dünyası, Tarsus (Öğretmenler Mah.)"/>
        <s v="Has Develiler Baklava, Akdeniz (İhsaniye Mah.Merkez.)"/>
        <s v="Has Develiler Baklava, Toroslar (H.Okan Merzeci Mah.)"/>
        <s v="Has Develiler Künefe Dünyası,Yenişehir (Menteş Mah.)"/>
        <s v="Has Künefe, Yenişehir (Güvenevler Mah.)"/>
        <s v="Hasan Aybak Çiğköfte, Akdeniz (Nusratiye Mah.)"/>
        <s v="Hasan Aybak Çiğköfte, Yenişehir (Hürriyet Mah.)"/>
        <s v="Hasan Usta Tantuni &amp; Döner, Mezitli (Viranşehir Mah.)"/>
        <s v="Hasan Usta Tantuni, Yenişehir (Güvenevler Mah.)"/>
        <s v="Hasırcızade Baklava &amp; Künefe, Yenişehir (Çiftlikköy Mah.)"/>
        <s v="Hatay Et &amp; Piliç &amp; Mangal, Yenişehir (Bahçelievler Mah.)"/>
        <s v="Hayati Meyve Suları, Toroslar (Sağlık Mah.)"/>
        <s v="Haydo Midye &amp; Kokoreç, Yenişehir (Çiftlikköy Mah.)"/>
        <s v="Hb Börek Gemisi, Yenişehir (Çiftlikköy Mah.)"/>
        <s v="Helin Pide &amp; Lahmacun, Yenişehir (Menteş Mah.)"/>
        <s v="Helvacı Ali, Mezitli (Merkez Mah.)"/>
        <s v="Helvacı Yakub Efendi, Yenişehir (İnönü Mah.)"/>
        <s v="Helvacı Yakub Efendi, Yenişehir (Limonluk Mah.)"/>
        <s v="Himmet Künefe &amp; Baklava, Yenişehir (Barbaros Mah.)"/>
        <s v="Hmbrgr Homemade Burgers,Yenişehir (Güvenevler Mah.)"/>
        <s v="House Burger, Silifke (Göksu Mah.)"/>
        <s v="Hs Döner Burger, Toroslar (Yalınayak Mah.)"/>
        <s v="Irmak Yatık Döner, Silifke (Göksu Mah.)"/>
        <s v="Iron Chef Pizza, Yenişehir (Hürriyet Mah.)"/>
        <s v="İçel Kebap &amp; Lahmacun, Yenişehir (Menteş Mah.)"/>
        <s v="İkizler Ev Yemekleri &amp; Börek, Yenişehir (Fuat Morel Mah.)"/>
        <s v="İnan Tantuni &amp; Biftek Salonu, Toroslar (Selçuklar Mah.)"/>
        <s v="İnci Baba Kokoreç, Akdeniz (Siteler Mah.)"/>
        <s v="İnci Midye &amp; Kokoreç, Mezitli (Atatürk Mah.)"/>
        <s v="İnci Midye &amp; Kokoreç, Yenişehir (Aydınlıkevler Mah.)"/>
        <s v="İpek Kafeterya, Silifke (Sarıcılar Mah.)"/>
        <s v="İrem Cafe &amp; Ev Yemekleri &amp; Döner &amp; Tantuni, Erdemli / Merkez Mah"/>
        <s v="İrfan Börek, Toroslar (Turgut Türkalp Mah.)"/>
        <s v="İskenderci Rahmi Usta, Yenişehir (Güvenevler Mah.)"/>
        <s v="İskenderun Antika Döner, Tarsus (Şehit Mustafa Mah.)"/>
        <s v="İskenderun Katık Döner, Tarsus (Yeni Ömerli Mah.)"/>
        <s v="İsmail Usta Tantuni &amp; Biftek, Mezitli (Atatürk Mah.)"/>
        <s v="İsotking Çiğköfte, Toroslar (Çağdaşkent Mah.)"/>
        <s v="İsotkinğ Çiğköfte, Akdeniz (Kültür Mah.)"/>
        <s v="İstanbul Börekçisi &amp; Kır Pidesi &amp; Tantuni (Çiftlikköy Mah.)"/>
        <s v="İstanbul Börekçisi, Akdeniz (Mesudiye Mah.)"/>
        <s v="İstanbul Çiğ Köfte, Yenişehir (Aydınlıkevler Mah.)"/>
        <s v="İstanbul Sokak Lezzetleri, Mezitli (Yeni Mah.)"/>
        <s v="İşidoğru Tatlıcılık, Tarsus (Caminur Mah.)"/>
        <s v="İtalino Macarina , Yenişehir (Aydınlıkevler Mah.)"/>
        <s v="İzol Börek, Silifke (Göksu Mah.)"/>
        <s v="Julienne Butik Yemekçilik, Yenişehir (Limonluk Mah.)"/>
        <s v="Jungle Cafe, Yenişehir (Dumlupınar Mah.)"/>
        <s v="Kadir Usta Et &amp; Mangal, Yenişehir (Çiftlikköy Mah.)"/>
        <s v="Kadir Usta Ocakbaşı &amp; Lahmacun, Yenişehir (Çiftlikköy Mah.)"/>
        <s v="Kadir Usta Tantuni, Mezitli (Akdeniz Mah.)"/>
        <s v="Kafana Göre Coffee, Yenişehir (Çiftlikköy Mah.)"/>
        <s v="Kahve Çekirdeği, Mezitli (Merkez Mah.)"/>
        <s v="Kahve Çekirdeği, Yenişehir (Eğriçam Mah.Marina Avm)"/>
        <s v="Kalenderbey Tantuni &amp; Döner, Yenişehir (İnönü Mah.)"/>
        <s v="Kaptan Balıkçılık, Tarsus (Şehitler Tepesi Mah.)"/>
        <s v="Karamel Cafe, Yenişehir (Limonluk Mah.)"/>
        <s v="Karataş Balıkçılık, Yenişehir (Çiftlikköy Mah.)"/>
        <s v="Kardeşler Kebap Evi, Toroslar (Çavuşlu Mah.)"/>
        <s v="Kastınmoni Kır Pidesi &amp; Börek Evi, Yenişehir (Çiftlikköy Mah.)"/>
        <s v="Katık Döner, Akdeniz (Bahçe Mah.)"/>
        <s v="Katık Döner, Mezitli (Akdeniz Mah.)"/>
        <s v="Katık Döner, Pozcu (İnönü Mah.)"/>
        <s v="Katık Döner, Yenişehir (Çiftlikköy Mah.Üniversite Cad.)"/>
        <s v="Katık Döner, Yenişehir, (Çiftlikköy Mah.-Fakülte Cad.)"/>
        <s v="Katık Döner, Yenişehir, (Çiftlikköy Mah.-Üniversite Cad.)"/>
        <s v="KatKat Döner&amp; Tantuni, Yenişehir (Çiftlikköy Mah.)"/>
        <s v="Kaya Tantuni &amp; Döner Salonu, Akdeniz (İhsaniye Mah.)"/>
        <s v="Kaya Tantuni, Toroslar (Yusuf Kılıç Mah.)"/>
        <s v="Kayhan Tantuni, Toroslar (Akbelen Mah.)"/>
        <s v="Kayhan Tantuni, Toroslar (Zeki Ayan Mah.-Merkez)"/>
        <s v="Kayseri Döner, Erdemli (Merkez Mah.)"/>
        <s v="Kebapçı Adnan Usta, Toroslar (Portakal Mah.)"/>
        <s v="Kebapçı Erhan, Tarsus (Öğretmenler Mah.)"/>
        <s v="Kebapçı Mahmut Usta, Erdemli (Merkez Mah.)"/>
        <s v="Kebapçı Ökkeş,Tarsus (Yeni Ömerli Mah.)"/>
        <s v="Kemal Usta Kebap, Erdemli (Limonlu Mah.)"/>
        <s v="Kepirx Et Uzmanı, Yenişehir (Hürriyet Mah.)"/>
        <s v="Kepirx Et Uzmanı, Yenişehir(Çiftlikköy Mah.)"/>
        <s v="Kerebiçci Hayri Usta, Yenişehir ( Güvenevler Mah.)"/>
        <s v="Kerebiçci Hayri Usta, Yenişehir (Eğriçam Mah.)"/>
        <s v="Kerebiçci Oğuz, Akdeniz (Barış Mah.)"/>
        <s v="Kerebiçci Oğuz, Mezitli (Merkez Mah.)"/>
        <s v="Kerebiçci Oğuz, Mezitli (Merkez Mah.Fındıkpınarı Cad.)"/>
        <s v="Kerebiçci Oğuz, Yenişehir (Barbaros Mah.)"/>
        <s v="Kerebiçci Oğuz, Yenişehir (Çiftlikköy Mah.)"/>
        <s v="Kerebiçci Oğuz, Yenişehir (Hürriyet Mah.)"/>
        <s v="Kerebiçci Sabahat, Yenişehir (Aydınlıkevler Mah.)"/>
        <s v="Kerebiççim, Mezitli (Yeni Mah.)"/>
        <s v="Ketchap Burger, Erdemli (Alata Mah.)"/>
        <s v="Ketchap Burger, Tarsus (Şehitler Tepesi Mah.)"/>
        <s v="Ketchap Burger, Tarsus (Şehitmustafa Mah.-Merkez.)"/>
        <s v="Keyf-i Mersin Tantuni, Mezitli (Viranşehir Mah.)"/>
        <s v="Keyfi Sultan Künefe, Erdemli (Merkez Mah.)"/>
        <s v="Keyveni Sıkma Börek, Yenişehir (Bahçelievler Mah.)"/>
        <s v="Kırmızı Beyaz Tantuni &amp; Döner Salaonu, Erdemli (Akdeniz Mah.)"/>
        <s v="Kırmızı Döner, Tarsus (82 Evler Mah.)"/>
        <s v="Kırmızı Lahmacun, Akdeniz (Yenimahalle Mah.)"/>
        <s v="Kırmızı Tantuni, Erdemli (Merkez Mah.)"/>
        <s v="Kibrit Fast &amp; Food, Erdemli (Kargıpınarı Mah.)"/>
        <s v="Kifidis Büyüksaat Kebapçısı, Akdeniz (Camişerif Mah.)"/>
        <s v="Kilo Tavuk &amp; Meze, Erdemli (Merkez Mah.)"/>
        <s v="Koçaş Tantuni, Erdemli (Merkez Mah.)"/>
        <s v="Kokomusta, Tarsus (Eski Ömerli Mah.)"/>
        <s v="Kokoreç Dünyası, Erdemli (Alata Mah.)"/>
        <s v="Kokoreçci Ahmet, Yenişehir (Pirireis Mah.)"/>
        <s v="Kolej Burger, Erdemli (Akdeniz Mah.)"/>
        <s v="Korukent Pide &amp; Lahmacun Salonu, Toroslar (Korukent Mah.)"/>
        <s v="Köfteci Ramiz, Erdemli (Arpaçbahşiş Mah.)"/>
        <s v="Köfteci, Tarsus (Öğretmenler Mah.)"/>
        <s v="Köksal Tantuni &amp; Döner, Akdeniz (Camişerif Mah.)"/>
        <s v="Köse, Akdeniz (Bahçe Mah.İstiklal Şube)"/>
        <s v="Köse, Tarsus (Anıt Mah.)"/>
        <s v="Köseoğlu Fırın &amp; Mutfak &amp; Patiseri , Yenişehir (Çiftlikköy Mah.)"/>
        <s v="Köşem Et Lokantası, Yenişehir (Barbaros Mah.)"/>
        <s v="Köşk-ü Ala Restaurant, Silifke (Taşucu Mah.)"/>
        <s v="Köylüm 33, Toroslar (Yusuf Kılıç Mah.)"/>
        <s v="Közde Izgara &amp; Kebap, Mezitli (75.Yıl Mah.)"/>
        <s v="Közde Piliç, Tarsus (Caminur Mah.)"/>
        <s v="Kral Tantuni, Anamur (Saray Mah.)"/>
        <s v="Kriti Kafe &amp; Mantı Evi, Toroslar (Osmaniye Mah.)"/>
        <s v="Kukla İskender, Yenişehir (Akkent Mah.)"/>
        <s v="Kushi Sushi, Yenişehir (İnönü Mah.)"/>
        <s v="Kuzey Tantuni, Yenişehir (Menteş Mah.)"/>
        <s v="Künefeci Emin Usta, Akdeniz (Kiremithane Mah.)"/>
        <s v="Künefeci ilhamizade , Yenişehir (Deniz Mah.)"/>
        <s v="La Vanille Patisserie, Yenişehir (Çiftlikköy Mah.)"/>
        <s v="La Vita Akdeniz Patiseri, Mezitli (Merkez Mah.)"/>
        <s v="Lagün Park Cafe &amp; Restaurant, Erdemli (Alata Mah.)"/>
        <s v="Lahmacun Dünyası, Erdemli (Merkez Mah.)"/>
        <s v="Lamore Pizza, Mezitli (Merkez Mah.)"/>
        <s v="Lavinia Pasta &amp; Cafe, Akdeniz (Güneş Mah.)"/>
        <s v="Les Poulets, Yenişehir (Güvenevler Mah.)"/>
        <s v="Letafet Baklava &amp; Kadayıf, Yenişehir (Barboros Mah.)"/>
        <s v="Lezzet Durağı Ahmet Usta, Mezitli (Tece Mah.)"/>
        <s v="Lezzet O, Yenişehir (Akkent Mah.)"/>
        <s v="Lezzet Saati Kafe &amp; Ev Yemekleri, Toroslar (Portakal Mah.)"/>
        <s v="Lezzet Tantuni &amp; Döner &amp; Fast Food, Yenişehir (Hürriyet Mah.)"/>
        <s v="Lezzet-İ Antep Sofrası, Akdeniz (Mesudiye Mah.)"/>
        <s v="Lidas Cafe, Toroslar (Osmaniye Mah.)"/>
        <s v="Lider Tantuni, Mezitli (Tece Mah.)"/>
        <s v="Lido Pizza, Mezitli (Merkez Mah.)"/>
        <s v="Lido Pizza,Yenişehir (Barboros Mah.)"/>
        <s v="Liman Restaurant, Yenişehir (Dumlupınar Mah.)"/>
        <s v="Limon Ev Yemekleri, Mezitli (Menderes Mah.)"/>
        <s v="Limon Tantuni, Yenişehir (Çiftlikköy Mah.)"/>
        <s v="Liva Restaurant Cafe , Anamur (Sağlık Mah.)"/>
        <s v="Lokmanya, Silifke (Saray Mah.)"/>
        <s v="Lomani Cafe, Yenişehir (Çiftlikköy Mah.)"/>
        <s v="London Cafe, Yenişehir (Eğriçam Mah.)"/>
        <s v="Lotus Tantuni, Toroslar (Sağlık Mah.)"/>
        <s v="Lounge Sports Street Food, Yenişehir (Güvenevler Mah.)"/>
        <s v="Lova Garden Burger, Yenişehir (Afetevler Mah.)"/>
        <s v="Mahsunzade Künefe &amp; Kadayıf, Yenişehir (Cumhuriyet Mah.)"/>
        <s v="Makarnacım Mix,Yenişehir (İnönü Mah.)"/>
        <s v="Mansuroğlu Döner , Yenişehir (Güvenevler Mah.)"/>
        <s v="Mantız Kebap, Yenişehir (Çiftlikköy Mah.)"/>
        <s v="Marifetli Eller, Akdeniz (Nusratiye Mah.)"/>
        <s v="Marka Çiğ Köfte, Yenişehir (Bahçelievler Mah.)"/>
        <s v="Marka Közde Piliç, Mezitli (Menderes Mah.)"/>
        <s v="Marka Tantuni &amp; Biftek, Mezitli (Akdeniz Mah.)"/>
        <s v="Matiat Fast Food, Yenişehir (İnönü Mah.Pozcu)"/>
        <s v="Mavi Sofra, Erdemli (Merkez Mah.)"/>
        <s v="Mcy Döner, Anamur ( Esentepe Mah.)"/>
        <s v="Meet Chicken, Erdemli (Merkez Mah.)"/>
        <s v="Mega Midye &amp; Kokoreç, Yenişehir (Çiftlikköy Mah.)"/>
        <s v="Mehdi Usta Ehli Ciğer, Akdeniz (İhsaniye Mah.)"/>
        <s v="Mehmet Usta'nın Yeri, Mezitli (Atatürk Mah.)"/>
        <s v="Melek Tantuni, Mezitli (Menderes Mah.)"/>
        <s v="Melek Tantuni, Yenişehir (Aydınlıkevler Mah.)"/>
        <s v="Melek Tantuni, Yenişehir (Hürriyet Mah.)"/>
        <s v="Memetcan Tantuni, Yenişehir (Eğriçam Mah.)"/>
        <s v="Memoş Tantuni, Mezitli (Merkez Mah.)"/>
        <s v="Memoş Tantuni, Yenişehir (Barbaros Mah.)"/>
        <s v="Memoş Tantuni, Yenişehir (Çiftlikköy Mah.)"/>
        <s v="Meri Paşa Antakya Döner, Akdeniz ( Bahçe Mah.)"/>
        <s v="Meri Paşa Antakya Döner, Yenişehir ( Aydınlıkevler Mah.)"/>
        <s v="Merkez Biftek &amp;Tantuni &amp; Döner (Davultepe Mah.)"/>
        <s v="Merkez Biftek Tantuni &amp; Döner , Mezitli (Fatih Mah.)"/>
        <s v="Merkez Tantuni Döner, Erdemli (Merkez Mah.)"/>
        <s v="Mersin Kerebiç &amp; Cezerye &amp; Lokum , Yenişehir (Çiftlikköy Mah.)"/>
        <s v="Mersin Murat Tantuni, Mezitli (Akdeniz Mah.)"/>
        <s v="Mersin Special Tantuni, Mezitli (Davultepe Mah.)"/>
        <s v="Mersin Şef Tantuni, Yenişehir (İnönü Mah.)"/>
        <s v="Mersin Tantuni &amp; Döner, Akdeniz (Çankaya Mah.)"/>
        <s v="Mersin Tantuni, Akdeniz (Hamidiye Mah.)"/>
        <s v="Mersinim Tantuni &amp; Döner, Akdeniz (Mahmudiye Mah.)"/>
        <s v="Mersinli Hasan Usta Tantuni, Yenişehir (Hürriyet Mah.)"/>
        <s v="Mert Tantuni, Yenişehir (Güvenevler Mah.)"/>
        <s v="Meryy Chef, Yenişehir (Çiftlikköy Mah.)"/>
        <s v="Mesut Usta Baklava, Yenişehir (Cumhuriyet Mah.)"/>
        <s v="Meşhur Adıyaman Çiğ Köftecisi Ömer Aybak, Mezitli (Akdeniz Mah.)"/>
        <s v="Meşhur Adıyaman Çiğköftecisi Ahmet Aybak, (Menderes Mah.)"/>
        <s v="Meşhur Adıyaman Çiğköftecisi Ömer Aybak, Akdeniz (Çankaya Mah.)"/>
        <s v="Meşhur Adıyamanlı Çiğköfteci Ali Baba, Toroslar (Kurdali Mah.)"/>
        <s v="Meşhur Pilavcı Emin Usta, Yenişehir (İnönü Mah.)"/>
        <s v="Meteor Çiğ Köfte, Toroslar (Çağdaşkent Mah.)"/>
        <s v="Meydan Izgara, Tarsus (Öğretmenler Mah.)"/>
        <s v="Meyli Restaurant, Akdeniz ( Camişerif Mah.)"/>
        <s v="Mezecim, Yenişehir (Dumlupınar Mah.)"/>
        <s v="Mezitalya Makarna &amp; Pizza &amp; Salata, Mezitli (Merkez Mah.)"/>
        <s v="Mezitli Mangal, Mezitli (Menderes Mah.)"/>
        <s v="Mığçıoğlu Ocakbaşı, Yenişehir (Güvenevler Mah.)"/>
        <s v="Midye Dünyam, Yenişehir (Çiftlikköy Mah.)"/>
        <s v="Midyeci Orhan, Mezitli (Merkez Mah.)"/>
        <s v="Midyecim Benim, Akdeniz (Güneş Mah.)"/>
        <s v="Mina Patisserie, Mezitli (Davultepe Mah.)"/>
        <s v="Minik Tantuni &amp; Döner Salonu, Akdeniz (İhsaniye Mah.)"/>
        <s v="Miraç Marka Közde Piliç, Mezitli (Merkez Mah.)"/>
        <s v="Miray Döner, Yenişehir (Bahçelievler Mah.)"/>
        <s v="Miray Izgara &amp; Tavuk , Tarsus (Yeni Mahalle.)"/>
        <s v="Mis Çınar Mangal, Yenişehir (Eğriçam Mah.-Göçmen.)"/>
        <s v="Misg'ilim Künefe &amp; Katmer, Silifke (Göksu Mah.)"/>
        <s v="Misk-Et Restaurant, Yenişehir (Deniz Mah.)"/>
        <s v="Miskin Fast Food, Erdemli (Merkez Mah.)"/>
        <s v="Mizan Dondurma, Yenişehir (Hürriyet Mah.)"/>
        <s v="Mizan Tavukçuluk &amp; Piliç Dünyası, Yenişehir (Cumhuriyet Mah.)"/>
        <s v="Mola Tantuni, Akdeniz (Mahmudiye Mah.)"/>
        <s v="Mono Craft Waffle, Erdemli (Merkez Mah.)"/>
        <s v="Mr.Salih Usta Tantuni &amp; Biftek, Mezitli (Yenimahalle Mah.)"/>
        <s v="Mr.Salih Usta Tantuni &amp; Biftek, Yenişehir (Güvenevler Mah.)"/>
        <s v="Mr.Salih Usta Tantuni &amp; Biftek, Yenişehir (İnönü Mah.)"/>
        <s v="MT Yaprak Döner, Yenişehir (Gazi Mah.)"/>
        <s v="Mualla Tatlı Krallığı, Mezitli (Yeni Mah.)"/>
        <s v="Multi Mutfak, Toroslar (Zeki Ayan Mah.)"/>
        <s v="Murat Tantuni , Akdeniz (Hamidiye Mah.)"/>
        <s v="Muy Tantuni, Akdeniz (Çankaya Mah.)"/>
        <s v="Mürşit Çayeli Kuru Fasulyecisi, Yenişehir (50.Yıl Mah.)"/>
        <s v="Narin 2 Pide &amp; Pişirim Fırını, Mezitli (Viranşehir Mah.)"/>
        <s v="Naz Kebap &amp; Döner Salonu, Erdemli (Merkez Mah.)"/>
        <s v="Necatibey Döner, Yenişehir (İnönü Mah.)"/>
        <s v="Nefis 33 Tantuni &amp; Döner Salonu, Toroslar (Yusuf Kılıç Mah.)"/>
        <s v="Neşe’n Tantuni, Mezitli (Menderes Mah.)"/>
        <s v="Net Maras Dondurma, Mezitli (Menderes Mah.)"/>
        <s v="Nihat Pide &amp; Lahmacun Salonu, Toroslar (Sağlık Mah.)"/>
        <s v="Nizam Ustam, Tarsus (Şehitkerim Mah.-Mersin Cad.)"/>
        <s v="Nokta Döner Tantuni, Erdemli (Merkez Mah.)"/>
        <s v="Nova Cafe &amp; Restaurant, Tarsus (Altaylılar Mah.)"/>
        <s v="Nuces Coffee &amp; Nuts, Yenişehir (Barbaros Mah.)"/>
        <s v="Nusret Patisserie &amp; Tandır, Mezitli (Merkez Mah.)"/>
        <s v="O Ses Çiğ Köfte Cetvel, Tarsus (Anıt Mah.)"/>
        <s v="O Tat Çiğköfte, Toroslar (Çavuşlu Mah.)"/>
        <s v="Obur Makarna &amp; Salata , Tarsus (Yeni Ömerli Mah.)"/>
        <s v="Obuzlar Tat Unlu Mamülleri Toroslar (Mevlana Mah.)"/>
        <s v="Oğuz Kokoreç, Toroslar (Çavuşlu Mah.)"/>
        <s v="Oliva Pizza, Erdemli (Kargıpınarı Mah.)"/>
        <s v="Onur Kebap Salonu, Tarsus (Gazi Paşa Mah.)"/>
        <s v="Onur Tantuni &amp; Biftek, Toroslar (Çağdaşkent Mah.)"/>
        <s v="Onur Tantuni, Toroslar (Mithat Toroğlu Mah.)"/>
        <s v="Onur Tantuni, Yenişehir (İnönü Mah.)"/>
        <s v="Orhan Usta Tantuni, Toroslar (Alsancak Mah.)"/>
        <s v="Oses Çiğ Köfte , Akdeniz (Hamidiye Mah.)"/>
        <s v="Oses Çiğ Köfte , Mezitli (Viranşehir Mah.)"/>
        <s v="Oses Çiğ Köfte , Toroslar (Mithat Toroğlu Mah.)"/>
        <s v="Oses Çiğ Köfte , Yenişehir (Çiftlikköy Mah.)"/>
        <s v="Oses Çiğ Köfte , Yenişehir (Eğriçam Mah.)"/>
        <s v="Oses Çiğ Köfte, Akdeniz (Çankaya Mah.-Çarşı )"/>
        <s v="Oses Çiğ Köfte, Akdeniz (Çankaya Mah.)"/>
        <s v="Oses Çiğ Köfte, Akdeniz (İhsaniye Mah-Metropol Şube)"/>
        <s v="Oses Çiğ Köfte, Akdeniz (Mesudiye Mah.)"/>
        <s v="Oses Çiğ Köfte, Erdemli (Merkez Mah.)"/>
        <s v="Oses Çiğ Köfte, Erdemli (Tömük Mah.)"/>
        <s v="Oses Çiğ Köfte, Mezitli (Akdeniz Mah.)"/>
        <s v="Oses Çiğ Köfte, Silifke (Göksu Mah.)"/>
        <s v="Oses Çiğ Köfte, Tarsus (Duatepe Mah.)"/>
        <s v="Oses Çiğ Köfte, Tarsus (Şehit Kerim Mah-Mersin Cad.)"/>
        <s v="Oses Çiğ Köfte, Tarsus (Yeni Ömerli Mah.)"/>
        <s v="Oses Çiğ Köfte, Toroslar (Hüseyin Okan Merzeci Mah.)"/>
        <s v="Oses Çiğ Köfte, Toroslar (Sağlık Mah.)"/>
        <s v="Oses Çiğ Köfte, Yenişehir (Aydınlıkevler Mah.)"/>
        <s v="Oses Çiğ Köfte, Yenişehir (Batıkent Mah.)"/>
        <s v="Oses Çiğ Köfte, Yenişehir (Çiftlikköy Mah.)"/>
        <s v="Oses Çiğ Köfte, Yenişehir (Fuat Morel Cad.)"/>
        <s v="Oses Çiğ Köfte, Yenişehir (Gazi Mah.)"/>
        <s v="Oses Çiğ Köfte, Yenişehir (Güvenevler Mah.)"/>
        <s v="Oses Çiğ Köfte, Yenişehir (Hürriyet Mah.)"/>
        <s v="Oses Çiğköfte, Tarsus (Öğretmenler Mah.)"/>
        <s v="Osman Tantuni, Mezitli (Akdeniz Mah.)"/>
        <s v="Osman Usta Tantuni &amp; Biftek, Yenişehir (Hürriyet Mah.)"/>
        <s v="Osmanlı Aile Lokantası, Akdeniz (İhsaniye Mah.)"/>
        <s v="Ottobros Burger, Yenişehir (Çiftlikköy Mah.)"/>
        <s v="Ozan Pişirim Fırını, Mezitli (Atatürk Mah.)"/>
        <s v="Öküz Burger Homemade, Yenişehir (Gazi Mah.)"/>
        <s v="Öz Adana Et Lokantası, Akdeniz (İhsaniye Mah.)"/>
        <s v="Öz Diyar Burma &amp; Kadayıf, Yenişehir (Bahçelievler Mah.)"/>
        <s v="Öz Karadeniz Balık ve Köfte Salonu, Akdeniz (Camişerif Mah.)"/>
        <s v="Öz Kardeşler Tantuni, Toroslar (Osmaniye Mah.)"/>
        <s v="Öz Mersin Tantuni &amp; Restaurant, Mezitli (Yeni Mah.)"/>
        <s v="Öz Yaprak Tantuni, Yenişehir (Cumhuriyet Mah.)"/>
        <s v="Özen Patiseri, Mezitli (Akdeniz Mah.)"/>
        <s v="Özer Kardeşler Bilge Pişirim Fırını, Mezitli (Atatürk Mah.)"/>
        <s v="Özhan Tantuni &amp; Döner , Mezitli (Atatürk Mah.)"/>
        <s v="Özkaymak Dondurma, Silifke (Göksu Mah.)"/>
        <s v="Özkaymak, Akdeniz (Mesudiye Mah.)"/>
        <s v="Özkaymak, Mezitli (Viranşehir Mah.)"/>
        <s v="Özkaymak, Yenişehir (Gazi Mah.)"/>
        <s v="Özlem Künefe &amp; Börek, Mezitli (Akdeniz Mah.)"/>
        <s v="Özlem Lokantası, Tarsus (Gaziler Mah.)"/>
        <s v="Öztoprak Kebap &amp; Lahmacun, Toroslar (Turgut Türkalp Mah.)"/>
        <s v="Öztürk Kahvaltı, Erdemli (Merkez Mah.)"/>
        <s v="Pak Fırın, Yenişehir (Bahçelievler Mah.)"/>
        <s v="Pakfırın, Yenişehir (Bahçelievler Mah.)"/>
        <s v="Palmiras Tantuni &amp; Döner, Yenişehir (Çiftlikköy Mah.)"/>
        <s v="Palmiye Pide &amp; Lahmacun, Akdeniz (Nusratiye Mah.)"/>
        <s v="Park Cafe &amp; Gözleme Salonu, Mezitli (Merkez Mah.)"/>
        <s v="Pars Izgara &amp; Tavuk &amp; Lahmacun, Silifke (Gazi Mah.)"/>
        <s v="Pasta Evi, Yenişehir (Çiftlikköy Mah.)"/>
        <s v="Pastawilla, Tarsus (Altaylılar Mah.)"/>
        <s v="Pastry Co, Mezitli (Fatih Mah.)"/>
        <s v="Paşa Efendi Künefe &amp; Baklava, Yenişehir (Eğriçam Mah.)"/>
        <s v="Paşa Tavuk Mangal, Toroslar (Akbelen Mah.)"/>
        <s v="Pati Fast &amp; Food, Akdeniz (Kiremithane Mah.)"/>
        <s v="Pazar Balık Lokantası, Silifke (Toros Mah.)"/>
        <s v="Perfetto Pasta &amp; Pizza, Yenişehir ( Çiftlikköy Mah.)"/>
        <s v="Petek Pastanesi &amp; Cafe, Yenişehir (Batıkent Mah.)"/>
        <s v="Pınar Mangal, Erdemli (Merkez Mah.)"/>
        <s v="Pideland, Toroslar (Osmaniye Mah.)"/>
        <s v="Piknik Izgara, Akdeniz (Çankaya Mah.)"/>
        <s v="Piknik Közde Piliç, Yenişehir (Bahçelievler Mah.)"/>
        <s v="Piliç Durağı, Yenişehir (Batıkent Mah.)"/>
        <s v="Piliçkolik, Erdemli (Tömük Mah.)"/>
        <s v="Pir-i Börek, Tarsus (ŞehitMustafa Mah.)"/>
        <s v="Pizza Fındık, Toroslar ( Çağdaşkent Mah.)"/>
        <s v="Pizza Land, Mezitli (Akdeniz Mah.)"/>
        <s v="Pizza Land, Tarsus (İsmetpaşa Mah.Yarenlik Alanı.)"/>
        <s v="Pizza Majestik, Akdeniz (İhsaniye Mah.-Merkez.)"/>
        <s v="Pizza Mizza, Yenişehir (Akkent Mah.)"/>
        <s v="Pizza Moena, Akdeniz (İhsaniye Mah.)"/>
        <s v="Pizza Pepino, Tarsus (Ergenekon Mah.)"/>
        <s v="Pizza Story, Toroslar (Çağdaşkent Mah.)"/>
        <s v="Pizza Taxi, Tarsus (İsmetpaşa Mah.)"/>
        <s v="Pizzacım, Anamur (Saray Mah.)"/>
        <s v="Pomidori Pizza, Yenişehir (Güvenevler Mah.)"/>
        <s v="Pozcu Lahmacun, Yenişehir (Cumhuriyet Mah.)"/>
        <s v="Pozcu Ocakbaşı, Yenişehir (Güvenevler Mah.)"/>
        <s v="Qnefeland, Erdemli (Çeşmeli Mah.)"/>
        <s v="Rainbow Burger, Akdeniz (Çankaya Mah.)"/>
        <s v="Ramazan Usta Kebap, Yenişehir (Güvenevler Mah.)"/>
        <s v="Ramo Döner, Akdeniz (Camişerif Mah.)"/>
        <s v="Rastlantı Cafe, Yenişehir (Palmiye Mah.)"/>
        <s v="Recep Usta Tantuni &amp; Biftek, Mezitli (Merkez Mah.)"/>
        <s v="Red Buffalo Burger, Yenişehir (Çiftlikköy Mah.)"/>
        <s v="Retro Burger, Anamur (Yeşilyurt Mah.)"/>
        <s v="Rhosus Döner, Yenişehir (Çiftlikköy Mah.)"/>
        <s v="Rıdvan Usta Çiğ Köfte, Silifke (Susanoğlu Mah.)"/>
        <s v="Rich Kitchen, Yenişehir (Dumlupınar Mah.)"/>
        <s v="Rio Pasta Cafe, Yenişehir (Hürriyet Mah.)"/>
        <s v="Robert's Coffee, Yenişehir (Akkent Mah.)"/>
        <s v="Rocco's Chef Pizza, Mezitli (Viranşehir Mah.)"/>
        <s v="Rocco's Chef Pizza,Yenişehir (Güvenevler Mah.)"/>
        <s v="Rock'n'Roll Burger, Akdeniz (Kültür Mah.)"/>
        <s v="Rocs Coffee, Yenişehir (Barbaros Mah.)"/>
        <s v="Rodi Makarna, Akdeniz (Camişerif Mah.)"/>
        <s v="Roma Dondurma, Mezitli (Viranşehir Mah.)"/>
        <s v="Romado Dondurma, Mezitli (Viranşehir Mah.)"/>
        <s v="Route 33, Silifke (Taşucu)"/>
        <s v="Rozana Bakery, Mezitli (Atatürk Mah.)"/>
        <s v="Rubicon Coffee Roasters Co, Yenişehir (İnönü Mah.)"/>
        <s v="Ruçhan Usta Tantuni &amp; Biftek, Erdemli (Akdeniz Mah.)"/>
        <s v="Rüzgar Tantuni, Yenişehir (Çiftlikköy Mah.)"/>
        <s v="Sabah Döner, Akdeniz (Çankaya Mah./ Çarşı.)"/>
        <s v="Sabah Et Lokantası , Akdeniz (Çankaya Mah.)"/>
        <s v="Sabah Et Lokantası ,Yenişehir (Güvenevler Mah.-Pozcu)"/>
        <s v="Sabah Et Lokantası, Mezitli (Merkez Mah.)"/>
        <s v="Sabah İskender &amp; Lahmacun, Yenişehir (Güvenevler Mah.)"/>
        <s v="Sabah İskender, Yenişehir (Limonluk Mah.)"/>
        <s v="Saçkan Mersin Tantuni, Anamur (Saray Mah.)"/>
        <s v="Saha Döner &amp; Burger, Yenişehir (Güvenevler Mah.)"/>
        <s v="Salaş Ciğer &amp; Kebap, Yenişehir(Akkent Mah.)"/>
        <s v="Samet Usta Tantuni &amp; Döner Salonu, Akdeniz (Mesudiye Mah.)"/>
        <s v="Sanat Cafe &amp; Fast Food, Akdeniz (Camişerif Mah.)"/>
        <s v="Sancak Chicken, Mezitli (Tece Mah.)"/>
        <s v="Saray Tantuni, Erdemli (Merkez Mah.)"/>
        <s v="Sarıyer Börekçisi, Tarsus (İsmetpaşa Mah.-Yarenlik Alanı.)"/>
        <s v="Saygın Kebap, Mezitli (Merkez Mah.)"/>
        <s v="Seçkin Lahmacun &amp; Pide , Yenişehir (Güvenevler Mah.)"/>
        <s v="Sedef Tantuni &amp; Pide (Güvenevler Mah.)"/>
        <s v="Selim Usta Tantuni, Yenişehir (Güvenevler Mah.Pozcu)"/>
        <s v="Sempi Tavukçuluk, Akdeniz (Turgutreis Mah.)"/>
        <s v="Sen Tavukçuluk, Akdeniz (Gündoğdu Mah.)"/>
        <s v="Sen Tavukçuluk, Toroslar (Yalınayak Mah.)"/>
        <s v="Sepet Cafe, Yenişehir (Gazi Mah.)"/>
        <s v="Sevimli Restaurant &amp; Cafe, Yenişehir (Cumhuriyet Mah.)"/>
        <s v="Seyfocan Tantuni &amp; Kokoreç, Akdeniz (Mahmudiye Mah.)"/>
        <s v="Seyit Usta Lahmacun &amp; Tantuni , Yenişehir (Palmiye Mah.)"/>
        <s v="Sherbetto Künefe, Mezitli (Viranşehir Mah.)"/>
        <s v="Sicilya Pizza, Mezitli (Atatürk Mah.)"/>
        <s v="Simidçe, Yenişehir (Çiftlikköy Mah.)"/>
        <s v="Simitx, Yenişehir (Güvenevler Mah.)"/>
        <s v="Sivas Köftecisi, Akdeniz (Camişerif Mah.)"/>
        <s v="Sml Catering Döner &amp; Lahmacun, Yenişehir (Cumhuriyet Mah.)"/>
        <s v="Sofioğlu Fındık Lahmacun , Tarsus (Caminur Mah.)"/>
        <s v="Sofioğlu Fındık Lahmacun &amp; Humus , Yenişehir (Güvenevler Mah.)"/>
        <s v="Sokak Lezzetleri, Mezitli (Atatürk Mah.)"/>
        <s v="Soli Kebap &amp; Lahmacun, Mezitli (Merkez Mah.)"/>
        <s v="Somato, Yenişehir (Çiftlikköy Mah.)"/>
        <s v="Son-Et Tantuni &amp; Döner, Tarsus (Şehitmustafa Mah.)"/>
        <s v="Sos Pizza &amp; Burger, Tarsus (Yeni Ömerli Mah.)"/>
        <s v="Sosando Soslu Döner, Yenişehir (Güvenevler Mah.)"/>
        <s v="Sosyete Çiğ Köfte, Mezitli (Yeni Mah.)"/>
        <s v="Sosyete Tantuni, Yenişehir (Cumhuriyet Mah.)"/>
        <s v="Soulmate Coffee, Yenişehir (Akkent Mah.)"/>
        <s v="Special Közde Piliç Dünyası,Mezitli (Yeni Mah.)"/>
        <s v="Spice 2 Et &amp; Tavuk &amp; Mangal, Mezitli (Viranşehir Mah.)"/>
        <s v="Star Börekçilik,Akdeniz (Bahçe Mah.)"/>
        <s v="Starstation Coffee, Yenişehir (Çiftlikköy Mah.)"/>
        <s v="Steak Tantuni &amp; Döner, Mezitli (Merkez Mah.- Eskiköy Cad.)"/>
        <s v="Su Börekçiniz Fatmazel, Yenişehir (Eğriçam Mah.)"/>
        <s v="Sude Et Lokantası, Toroslar (Tozkoparan Mah.)"/>
        <s v="Suna Kahvaltı Salonu, Erdemli (Akdeniz Mah.)"/>
        <s v="Suphi Döner &amp; Fast, Mezitli (Merkez Mah.)"/>
        <s v="Suphi Döner &amp; Şalgam &amp; Tantuni, Akdeniz (Kiremithane Mah.)"/>
        <s v="Susam Sokağı Tantuni &amp; Döner, Erdemli (Merkez Mah.)"/>
        <s v="Süleyman Usta Tantuni, Anamur (Yeşilyurt Mah.)"/>
        <s v="Şahin Kebap, Silifke (Gazi Mah.)"/>
        <s v="Şato Kebapçılık, Yenişehir (Palmiye Mah.)"/>
        <s v="Şef İbo, Mezitli (Viranşehir Mah.)"/>
        <s v="Şef Künefe &amp; Kadayıf &amp; Baklava, Tarsus (Çağlayan Mah.)"/>
        <s v="Şef Sofrası, Akdeniz (İhsaniye Mah.)"/>
        <s v="Şefim Döner, Yenişehir (Güvenevler Mah.)"/>
        <s v="Şehr-i Antep Künefe &amp; Katmer, Erdemli (Merkez Mah.)"/>
        <s v="Şehr-i Antep Künefe &amp; Katmer, Yenişehir (Limonluk Mah.)"/>
        <s v="Şehr-i Divan Paça Salonu, Mezitli (Viranşehir Mah.)"/>
        <s v="Şekeroğlu Gaziantep Sofrası, Akdeniz (Turgutreis Mah.)"/>
        <s v="Şen Piliç &amp; Izgara, Toroslar (Yalınayak Mah.)"/>
        <s v="Şerbetlim Dondurma &amp; Künefe, Yenişehir (Akkent Mah.)"/>
        <s v="Şeref Tantuni, Toroslar (Osmaniye Mah.)"/>
        <s v="Şırdancı Cemil, Mezitli (Menderes Mah.)"/>
        <s v="Şırdancı Hamit, Mezitli (Merkez Mah.)"/>
        <s v="Şırdancı Nuri, Akdeniz (Gündoğdu Mah.)"/>
        <s v="Şişko Döner, Mezitli (Merkez Mah.)"/>
        <s v="Şişko Tantuni,Yenişehir (İnönü Mah.)"/>
        <s v="Şölen Tantuni, Akdeniz (Camişerif Mah.)"/>
        <s v="T!kTok Kokoreç, Toroslar (Akbelen Mah.)"/>
        <s v="Tadım Pide &amp; Kebap, Anamur (Akarca Mah.)"/>
        <s v="Tadım Tantuni &amp; Döner, Mezitli (Merkez Mah.)"/>
        <s v="Tadım Tantuni &amp; Döner, Mezitli (Yenimahalle Mah.)"/>
        <s v="Tadın Tantuni &amp; Biftek, Tarsus (Mithatpaşa Mah.)"/>
        <s v="Taksim Islak Burger, Akdeniz (Nusratiye Mah.)"/>
        <s v="Taniduk Köfte &amp; Balık Restaurant, Akdeniz (Cami Şerif Mah.)"/>
        <s v="Tantuni Bey Eyüp Usta, Toroslar (Korukent Mah.)"/>
        <s v="Tarihi Antep Çiğ Köfte, Mezitli (Akdeniz Mah.)"/>
        <s v="Tarihi Antep Çiğ Köfte, Tarsus (82 Evler Mah.)"/>
        <s v="Tarihi Antep Çiğ Köfte, Yenişehir (Palmiye Mah.)"/>
        <s v="Tarihi Antep Çiğköfte, Erdemli (Alata Mah.)"/>
        <s v="Tarihi Antep Çiğköfte, Silifke (Saray Mah.)"/>
        <s v="Tarihi Antep Çiğköfte, Yenişehir (Bahçelievler Mah.)"/>
        <s v="Tarihi Tabla Börekçisi, Mezitli (Viranşehir Mah.)"/>
        <s v="Tarsus Döner, Tarsus (Şehitmustafa Mah.-Merkez.)"/>
        <s v="Tarsuslu Bacı &amp; Bozo Usta, Akdeniz (Kültür Mah.)"/>
        <s v="Taste Point, Yenişehir (Aydınlıkevler Mah.)"/>
        <s v="Taş Ocağı Ev Yemekleri, Erdemli (Kargıpınarı Mah.)"/>
        <s v="Taşkın Tantuni, Toroslar (Portakal Mah.)"/>
        <s v="Tat Döner &amp; İskender, Mezitli (Davultepe Mah.)"/>
        <s v="Tat Döner &amp; İskender, Mezitli (Merkez Mah.)"/>
        <s v="Tat-Pi Közde Piliç, Yenişehir (Güvenevler Mah.)"/>
        <s v="Tatlıcan, Yenişehir (Hürriyet Mah.)"/>
        <s v="Tatlıcı Mehmet Kuş, Yenişehir (Cumhuriyet Mah.)"/>
        <s v="Tatlıcı Reisoğlu, Yenişehir (Gazi Mah.)"/>
        <s v="Tatlıcı Sami, Tarsus (Kırklarsırtı Mah.)"/>
        <s v="Tatlıses Çiğköfte, Erdemli (Akdeniz Mah.)"/>
        <s v="Tava Turka, Silifke (Göksu Mah.)"/>
        <s v="Tavada Tavuk, Erdemli (Merkez Mah.)"/>
        <s v="Tavlı Baklava &amp; Dondurma &amp; Künefe, Tarsus (Şehitler Tepesi Mah.)"/>
        <s v="Tavuk Mangal, Toroslar (Çukurova Mah.)"/>
        <s v="Tayfun Aile Et Lokantası, Akdeniz (Nusretiye Mah.)"/>
        <s v="Tayfun Et Kebap &amp; Steakhouse, Yenişehir (Çiftlikköy Mah.)"/>
        <s v="Taze Anadolu Makarnaları, Yenişehir (Aydınlıkevler Mah.)"/>
        <s v="Tece Künefe &amp; Unlu Mamülleri, Mezitli (Tece Mah.)"/>
        <s v="Tek Tantuni, Yenişehir (İnönü Mah.)"/>
        <s v="Tekçe Lokma Cafe, Yenişehir (Menteş Mah.)"/>
        <s v="Tekin Ali Usta,Silifke (Göksu Mah.)"/>
        <s v="Tekin Gurme, Silifke (Göksu Mah.)"/>
        <s v="Telvem Coffee &amp; Chocolate, Mezitli (Akdeniz Mah.)"/>
        <s v="Teps-i Künefe, Yenişehir (Aydınlıkevler Mah.)"/>
        <s v="Teras Dürüm, Tarsus (Ergenekon Mah.)"/>
        <s v="Texas Tantuni &amp; Döner, Yenişehir (Güvenevler Mah.- Pozcu)"/>
        <s v="The Cups Coffee &amp; Cake, Yenişehir (İnönü Mah.)"/>
        <s v="The Green Kitchen, Yenişehir (Eğriçam Mah.)"/>
        <s v="The520 Shanghai Edition, Yenişehir (Eğriçam Mah.-Göçmen.)"/>
        <s v="Tiffsteak Burger, Yenişehir (Aydınlıkevler Mah.)"/>
        <s v="Tiko Handmade Burger, Yenişehir (Palmiye Mah.)"/>
        <s v="Topraklar, Erdemli (Kargıpınarı Mah.)"/>
        <s v="Toros Et-Piliç-Mangal Dünyası, Toroslar (Selçuklar Mah.)"/>
        <s v="Toros Tantuni, Tarsus (Yeni Ömerli Mah.)"/>
        <s v="Torte Eatery, Yenişehir (İnönü Mah.)"/>
        <s v="Tost X, Yenişehir (Çiftlikköy Mah.)"/>
        <s v="Trakya Köfte, Yenişehir (İnönü Mah.)"/>
        <s v="TRC American Diner, Mezitli (Fatih Mah.)"/>
        <s v="Tunç Fındık Lahmacun, Yenişehir (Güvenevler Mah.)"/>
        <s v="Turunç Büfe, Silifke (Göksu Mah.)"/>
        <s v="Tutku Tantuni, Yenişehir (Pirireis Mah.)"/>
        <s v="Tutkunuz Antakya Döner, Akdeniz (Yeni Mah.)"/>
        <s v="Twins Kebab, Mezitli (Tece Mah.)"/>
        <s v="Uğrak Tantuni &amp; Döner, Erdemli (Merkez Mah.)"/>
        <s v="Uğur Kebap &amp; Ciğer, Yenişehir (Hürriyet Mah.)"/>
        <s v="Uğur Usta Közde Piliç , Yenişehir (Çiftlikköy Mah.)"/>
        <s v="Uğur Yemekçilik , Yenişehir (Güvenevler Mah.)"/>
        <s v="Uğur Yemekçilik 2, Yenişehir (Çiftlikköy Mah.)"/>
        <s v="Umut Patisserie, Yenişehir (İnönü Mah.)"/>
        <s v="Umut Pide &amp; Lahmacun, Mezitli (Akdeniz Mah.)"/>
        <s v="Utku Tantuni, Akdeniz (Mahmudiye Mah.)"/>
        <s v="Ünal Burger, Tarsus (Yeni Ömerli Mah.)"/>
        <s v="Üni Marmaris Cafe, Yenişehir (Çiftlikköy Mah.)"/>
        <s v="Üniversite Fast &amp; Food, Silifke (Taşucu Mah.)"/>
        <s v="Ünlüoğlu Cici Baklava &amp; Künefe, Akdeniz (Kiremithane Mah.)"/>
        <s v="Venesia Pizza, Yenişehir (Çiftlikköy Mah.)"/>
        <s v="Vitamin Park, Erdemli (Merkez Mah.)"/>
        <s v="Waffle Crow, Tarsus (Şehitmustafa Mah.-Merkez.)"/>
        <s v="Waffle Mood, Tarsus (Yeni Ömerli Mah.)"/>
        <s v="Waffle Party, Mezitli (Merkez Mah.)"/>
        <s v="Waffle Party, Yenişehir (Güvenevler Mah.)"/>
        <s v="Waflin, Tarsus (Şehitmustafa Mah.)"/>
        <s v="Wake Up Coffee House, Tarsus (Yeni Ömerli Mah.)"/>
        <s v="Wings, Yenişehir (Güvenevler Mah.)"/>
        <s v="Wonka Chocolate, Yenişehir (İnönü Mah.)"/>
        <s v="Yağmur Pasta &amp; Unlu Mamuller, Akdeniz (Karacailyas Mah.)"/>
        <s v="Yalçın Patisserie, Yenişehir (Bahçelievler Mah.)"/>
        <s v="Yandım Usta Çiğ Köfte, Mezitli (Menderes Mah.)"/>
        <s v="Yaprak Tantuni, Mezitli (Tece Mah.)"/>
        <s v="Yaprak Tantuni, Yenişehir (Güvenevler Mah.)"/>
        <s v="Yaren Döner, Tarsus (Yeni Ömerli Mah.)"/>
        <s v="Yaren Ev Yemekleri, Yenişehir (Güvenevler Mah.)"/>
        <s v="Yaren Kafe Ev Yemekleri &amp; Meze , Yenişehir (Hürriyet Mah.)"/>
        <s v="Yasemin Gurme, Yenişehir (Menteş Mah.)"/>
        <s v="Yasemin Lychee, Yenişehir (50.Yıl Mah.)"/>
        <s v="Yasemin Marin, Yenişehir (Eğriçam Mah.)"/>
        <s v="Yelken Balıkçılık, Mezitli (Menderes Mah.)"/>
        <s v="Yeşil Biftek Et &amp; Tavuk Tantuni, Yenişehir (Menteş Mah.)"/>
        <s v="Yeşil Ehli Antep Künefe, Mezitli (Yeni Mah.)"/>
        <s v="Yıldırımlar Restaurant, Tarsus (Cumhuriyet Mah.)"/>
        <s v="Yıldız Et Restaurant, Yenişehir (Bahçelievler Mah.)"/>
        <s v="Yılmaz Tantuni &amp; Döner &amp; Kebap Salonu, Akdeniz (Mahmudiye Mah.)"/>
        <s v="Yılmaz Tantuni ve Biftek Salonu, Yenişehir (Barbaros Mah.)"/>
        <s v="Yiğit Tantuni, Erdemli (Akdeniz Mah.)"/>
        <s v="Yonca Tantuni &amp; Döner, Toroslar (Yalınayak Mah.)"/>
        <s v="Yunus Usta Tantuni, Toroslar (Çağdaşkent Mah.)"/>
        <s v="Yusuf Usta Et &amp; Mangal , Yenişehir (Çiftlikköy Mah.)"/>
        <s v="Yusuf Ustam Tantuni, Akdeniz (Gündoğdu Mah.)"/>
        <s v="Yuvam Ev Yemekleri, Akdeniz (Çankaya Mah.)"/>
        <s v="Yürü Künefe, Akdeniz (Cami Şerif Mah.)"/>
        <s v="Yürü Künefe, Yenişehir (Pirireis Mah.)"/>
        <s v="Zafer Tantuni &amp; Döner, Toroslar (Yalınayak Mah.)"/>
        <s v="Zagor Cafe, Erdemli (Merkez Mah.)"/>
        <s v="Zeki Usta Kebap, Yenişehir (Hürriyet Mah.)"/>
        <s v="Zekon Döner, Yenişehir (Dumlupınar Mah.)"/>
        <s v="Zeliş Ev Yemekleri, Mezitli (Yeni Mah.)"/>
        <s v="Zirve Döner, Silifke (Gazi Mah.)"/>
        <s v="Zirve Pide ve Lahmacun, Akdeniz (Cami Şerif Mah.)"/>
        <s v="Zirve Tantuni &amp; Döner, Yenişehir (Batıkent Mah.)"/>
        <s v="Ziver Usta Tantuni &amp; Biftek Salonu, Toroslar"/>
        <s v="Ziyade, Yenişehir (Güvenevler Mah.)"/>
        <s v="Ziyafet Çiğ Köfte, Mezitli (Akdeniz Mah.)"/>
        <s v="Ziyafet Çiğ Köfte, Toroslar (Selçuklar Mah.)"/>
        <s v="Ziyafet Maraş Dondurma, Mezitli (Akdeniz Mah.)"/>
        <s v="Zührem Patisserie, Yenişehir (Pirireis Mah.)"/>
        <s v="Zümrüt Baklava &amp; Pasta, Silifke (Göksu Mah.)"/>
        <s v="Zümrüt Ev Yemekleri, Mezitli (Seymenli Mah.)"/>
      </sharedItems>
    </cacheField>
    <cacheField name="Satışa&#10;Açık Mı?" numFmtId="0">
      <sharedItems>
        <s v="DOĞRU"/>
        <s v="YANLIŞ"/>
      </sharedItems>
    </cacheField>
    <cacheField name="Mutfak" numFmtId="0">
      <sharedItems>
        <s v="Burger"/>
        <s v="Börek"/>
        <s v="Döner"/>
        <s v="Sokak Lezzetleri"/>
        <s v="Tavuk"/>
        <s v="Kebap"/>
        <s v="Çiğ Köfte"/>
        <s v="Ev Yemekleri"/>
        <s v="Pasta &amp; Tatlı"/>
        <s v="Pizza"/>
        <s v="Pide"/>
        <s v="Kahvaltı"/>
        <s v="İçecek"/>
        <s v="Tost &amp; Sandviç"/>
        <s v="Balık &amp; Deniz Ürünleri"/>
        <s v="Lahmacun"/>
        <s v="Kahve"/>
        <s v="Dünya Mutfağı"/>
        <s v="Köfte"/>
        <s v="Dondurma"/>
        <s v="Uzak Doğu"/>
        <s v="Steak"/>
        <s v="Salata"/>
        <s v="Mantı"/>
        <s v="Uzakdoğu Mutfağı"/>
        <s v="Fit"/>
        <s v="Diğer"/>
      </sharedItems>
    </cacheField>
    <cacheField name="TOPLAM&#10;SİPARİŞ" numFmtId="0">
      <sharedItems containsString="0" containsBlank="1" containsNumber="1" containsInteger="1">
        <n v="853.0"/>
        <n v="2570.0"/>
        <n v="14612.0"/>
        <n v="6257.0"/>
        <n v="2608.0"/>
        <n v="1212.0"/>
        <n v="7107.0"/>
        <n v="1396.0"/>
        <n v="2176.0"/>
        <n v="1132.0"/>
        <n v="345.0"/>
        <n v="1837.0"/>
        <n v="1424.0"/>
        <n v="281.0"/>
        <n v="582.0"/>
        <n v="312.0"/>
        <n v="87.0"/>
        <n v="565.0"/>
        <n v="693.0"/>
        <n v="815.0"/>
        <n v="3419.0"/>
        <n v="1773.0"/>
        <n v="762.0"/>
        <n v="564.0"/>
        <n v="174.0"/>
        <n v="73.0"/>
        <n v="81.0"/>
        <n v="44.0"/>
        <n v="348.0"/>
        <n v="1350.0"/>
        <n v="858.0"/>
        <n v="671.0"/>
        <m/>
        <n v="391.0"/>
        <n v="609.0"/>
        <n v="335.0"/>
        <n v="1367.0"/>
        <n v="985.0"/>
        <n v="79.0"/>
        <n v="71.0"/>
        <n v="169.0"/>
        <n v="663.0"/>
        <n v="7.0"/>
        <n v="188.0"/>
        <n v="27.0"/>
        <n v="52.0"/>
        <n v="2.0"/>
        <n v="24.0"/>
        <n v="139.0"/>
        <n v="1805.0"/>
        <n v="58.0"/>
        <n v="439.0"/>
        <n v="436.0"/>
        <n v="65.0"/>
        <n v="1878.0"/>
        <n v="1779.0"/>
        <n v="126.0"/>
        <n v="406.0"/>
        <n v="4703.0"/>
        <n v="626.0"/>
        <n v="12.0"/>
        <n v="1891.0"/>
        <n v="1395.0"/>
        <n v="886.0"/>
        <n v="1690.0"/>
        <n v="7815.0"/>
        <n v="27394.0"/>
        <n v="94.0"/>
        <n v="55667.0"/>
        <n v="712.0"/>
        <n v="1766.0"/>
        <n v="978.0"/>
        <n v="128.0"/>
        <n v="905.0"/>
        <n v="4.0"/>
        <n v="8414.0"/>
        <n v="239.0"/>
        <n v="4761.0"/>
        <n v="753.0"/>
        <n v="3779.0"/>
        <n v="2009.0"/>
        <n v="2339.0"/>
        <n v="562.0"/>
        <n v="2879.0"/>
        <n v="5.0"/>
        <n v="4023.0"/>
        <n v="1228.0"/>
        <n v="448.0"/>
        <n v="695.0"/>
        <n v="1618.0"/>
        <n v="2149.0"/>
        <n v="2490.0"/>
        <n v="11.0"/>
        <n v="2809.0"/>
        <n v="1634.0"/>
        <n v="3711.0"/>
        <n v="2315.0"/>
        <n v="59.0"/>
        <n v="162.0"/>
        <n v="1454.0"/>
        <n v="567.0"/>
        <n v="400.0"/>
        <n v="1094.0"/>
        <n v="922.0"/>
        <n v="137.0"/>
        <n v="549.0"/>
        <n v="2251.0"/>
        <n v="823.0"/>
        <n v="1995.0"/>
        <n v="6453.0"/>
        <n v="317.0"/>
        <n v="4006.0"/>
        <n v="140.0"/>
        <n v="2268.0"/>
        <n v="256.0"/>
        <n v="754.0"/>
        <n v="3028.0"/>
        <n v="2586.0"/>
        <n v="725.0"/>
        <n v="53.0"/>
        <n v="150.0"/>
        <n v="4017.0"/>
        <n v="552.0"/>
        <n v="926.0"/>
        <n v="9.0"/>
        <n v="30.0"/>
        <n v="9349.0"/>
        <n v="32.0"/>
        <n v="1470.0"/>
        <n v="418.0"/>
        <n v="1031.0"/>
        <n v="64.0"/>
        <n v="2819.0"/>
        <n v="36.0"/>
        <n v="1166.0"/>
        <n v="791.0"/>
        <n v="1006.0"/>
        <n v="48490.0"/>
        <n v="502.0"/>
        <n v="357.0"/>
        <n v="7096.0"/>
        <n v="526.0"/>
        <n v="640.0"/>
        <n v="133.0"/>
        <n v="1774.0"/>
        <n v="229.0"/>
        <n v="47.0"/>
        <n v="54.0"/>
        <n v="13.0"/>
        <n v="180.0"/>
        <n v="253.0"/>
        <n v="2705.0"/>
        <n v="5792.0"/>
        <n v="1205.0"/>
        <n v="736.0"/>
        <n v="194.0"/>
        <n v="104.0"/>
        <n v="3772.0"/>
        <n v="28180.0"/>
        <n v="4453.0"/>
        <n v="18.0"/>
        <n v="1.0"/>
        <n v="476.0"/>
        <n v="2429.0"/>
        <n v="68.0"/>
        <n v="1471.0"/>
        <n v="1050.0"/>
        <n v="43.0"/>
        <n v="453.0"/>
        <n v="314.0"/>
        <n v="748.0"/>
        <n v="10044.0"/>
        <n v="1670.0"/>
        <n v="8.0"/>
        <n v="1596.0"/>
        <n v="287.0"/>
        <n v="3012.0"/>
        <n v="3323.0"/>
        <n v="4057.0"/>
        <n v="2150.0"/>
        <n v="1742.0"/>
        <n v="125.0"/>
        <n v="499.0"/>
        <n v="470.0"/>
        <n v="334.0"/>
        <n v="1377.0"/>
        <n v="123.0"/>
        <n v="3030.0"/>
        <n v="1968.0"/>
        <n v="113.0"/>
        <n v="1351.0"/>
        <n v="67.0"/>
        <n v="1814.0"/>
        <n v="514.0"/>
        <n v="346.0"/>
        <n v="2388.0"/>
        <n v="69.0"/>
        <n v="2058.0"/>
        <n v="10158.0"/>
        <n v="129.0"/>
        <n v="10.0"/>
        <n v="198.0"/>
        <n v="1839.0"/>
        <n v="1752.0"/>
        <n v="3053.0"/>
        <n v="121.0"/>
        <n v="358.0"/>
        <n v="516.0"/>
        <n v="686.0"/>
        <n v="7645.0"/>
        <n v="970.0"/>
        <n v="209.0"/>
        <n v="1491.0"/>
        <n v="153.0"/>
        <n v="805.0"/>
        <n v="214.0"/>
        <n v="1604.0"/>
        <n v="154.0"/>
        <n v="969.0"/>
        <n v="6.0"/>
        <n v="410.0"/>
        <n v="305.0"/>
        <n v="1619.0"/>
        <n v="2773.0"/>
        <n v="2875.0"/>
        <n v="245.0"/>
        <n v="1608.0"/>
        <n v="51.0"/>
        <n v="92.0"/>
        <n v="4571.0"/>
        <n v="118.0"/>
        <n v="1866.0"/>
        <n v="6993.0"/>
        <n v="77568.0"/>
        <n v="107.0"/>
        <n v="395.0"/>
        <n v="49.0"/>
        <n v="352.0"/>
        <n v="908.0"/>
        <n v="894.0"/>
        <n v="296.0"/>
        <n v="292.0"/>
        <n v="339.0"/>
        <n v="4784.0"/>
        <n v="449.0"/>
        <n v="487.0"/>
        <n v="14.0"/>
        <n v="666.0"/>
        <n v="2185.0"/>
        <n v="243.0"/>
        <n v="226.0"/>
        <n v="468.0"/>
        <n v="5199.0"/>
        <n v="2843.0"/>
        <n v="37.0"/>
        <n v="176.0"/>
        <n v="1540.0"/>
        <n v="1063.0"/>
        <n v="1744.0"/>
        <n v="4451.0"/>
        <n v="706.0"/>
        <n v="826.0"/>
        <n v="1436.0"/>
        <n v="223.0"/>
        <n v="1389.0"/>
        <n v="540.0"/>
        <n v="2997.0"/>
        <n v="89.0"/>
        <n v="2313.0"/>
        <n v="1812.0"/>
        <n v="2121.0"/>
        <n v="619.0"/>
        <n v="1727.0"/>
        <n v="7017.0"/>
        <n v="77.0"/>
        <n v="871.0"/>
        <n v="1987.0"/>
        <n v="892.0"/>
        <n v="135.0"/>
        <n v="4457.0"/>
        <n v="1631.0"/>
        <n v="1666.0"/>
        <n v="2922.0"/>
        <n v="1042.0"/>
        <n v="1557.0"/>
        <n v="3627.0"/>
        <n v="776.0"/>
        <n v="3185.0"/>
        <n v="1354.0"/>
        <n v="437.0"/>
        <n v="72.0"/>
        <n v="462.0"/>
        <n v="190.0"/>
        <n v="4002.0"/>
        <n v="5237.0"/>
        <n v="1661.0"/>
        <n v="105.0"/>
        <n v="193.0"/>
        <n v="114.0"/>
        <n v="298.0"/>
        <n v="2014.0"/>
        <n v="580.0"/>
        <n v="1065.0"/>
        <n v="1497.0"/>
        <n v="1736.0"/>
        <n v="4164.0"/>
        <n v="923.0"/>
        <n v="213.0"/>
        <n v="134.0"/>
        <n v="163.0"/>
        <n v="1554.0"/>
        <n v="455.0"/>
        <n v="883.0"/>
        <n v="8638.0"/>
        <n v="6777.0"/>
        <n v="15.0"/>
        <n v="145.0"/>
        <n v="241.0"/>
        <n v="1103.0"/>
        <n v="83.0"/>
        <n v="1941.0"/>
        <n v="1089.0"/>
        <n v="1776.0"/>
        <n v="1747.0"/>
        <n v="3870.0"/>
        <n v="119.0"/>
        <n v="1905.0"/>
        <n v="4044.0"/>
        <n v="1079.0"/>
        <n v="703.0"/>
        <n v="1362.0"/>
        <n v="122.0"/>
        <n v="39.0"/>
        <n v="319.0"/>
        <n v="938.0"/>
        <n v="2670.0"/>
        <n v="1269.0"/>
        <n v="660.0"/>
        <n v="523.0"/>
        <n v="2148.0"/>
        <n v="28.0"/>
        <n v="186.0"/>
        <n v="267.0"/>
        <n v="155.0"/>
        <n v="1974.0"/>
        <n v="441.0"/>
        <n v="1783.0"/>
        <n v="966.0"/>
        <n v="696.0"/>
        <n v="2468.0"/>
        <n v="192.0"/>
        <n v="469.0"/>
        <n v="185.0"/>
        <n v="1339.0"/>
        <n v="164.0"/>
        <n v="141.0"/>
        <n v="2944.0"/>
        <n v="409.0"/>
        <n v="42.0"/>
        <n v="837.0"/>
        <n v="769.0"/>
        <n v="634.0"/>
        <n v="2549.0"/>
        <n v="1777.0"/>
        <n v="1317.0"/>
        <n v="1649.0"/>
        <n v="2195.0"/>
        <n v="3770.0"/>
        <n v="95.0"/>
        <n v="84.0"/>
        <n v="974.0"/>
        <n v="12753.0"/>
        <n v="17400.0"/>
        <n v="997.0"/>
        <n v="41.0"/>
        <n v="2377.0"/>
        <n v="3.0"/>
        <n v="4170.0"/>
        <n v="103.0"/>
        <n v="33.0"/>
        <n v="3876.0"/>
        <n v="313.0"/>
        <n v="31.0"/>
        <n v="66.0"/>
        <n v="76.0"/>
        <n v="2498.0"/>
        <n v="3597.0"/>
        <n v="4011.0"/>
        <n v="902.0"/>
        <n v="3804.0"/>
        <n v="182.0"/>
        <n v="961.0"/>
        <n v="1894.0"/>
        <n v="692.0"/>
        <n v="1703.0"/>
        <n v="2110.0"/>
        <n v="1833.0"/>
        <n v="386.0"/>
        <n v="235.0"/>
        <n v="1506.0"/>
        <n v="1646.0"/>
        <n v="1082.0"/>
        <n v="796.0"/>
        <n v="2931.0"/>
        <n v="1004.0"/>
        <n v="460.0"/>
        <n v="361.0"/>
        <n v="2062.0"/>
        <n v="723.0"/>
        <n v="4955.0"/>
        <n v="1344.0"/>
        <n v="2245.0"/>
        <n v="3119.0"/>
        <n v="1495.0"/>
        <n v="599.0"/>
        <n v="268.0"/>
        <n v="515.0"/>
        <n v="171.0"/>
        <n v="7909.0"/>
        <n v="477.0"/>
        <n v="341.0"/>
        <n v="360.0"/>
        <n v="34.0"/>
        <n v="522.0"/>
        <n v="252.0"/>
        <n v="465.0"/>
        <n v="423.0"/>
        <n v="6021.0"/>
        <n v="3141.0"/>
        <n v="2666.0"/>
        <n v="5413.0"/>
        <n v="5643.0"/>
        <n v="12547.0"/>
        <n v="238.0"/>
        <n v="25.0"/>
        <n v="5553.0"/>
        <n v="1730.0"/>
        <n v="201.0"/>
        <n v="1403.0"/>
        <n v="909.0"/>
        <n v="16.0"/>
        <n v="784.0"/>
        <n v="82.0"/>
        <n v="127.0"/>
        <n v="45.0"/>
        <n v="108.0"/>
        <n v="489.0"/>
        <n v="674.0"/>
        <n v="1607.0"/>
        <n v="50.0"/>
        <n v="3360.0"/>
        <n v="4383.0"/>
        <n v="5105.0"/>
        <n v="93.0"/>
        <n v="994.0"/>
        <n v="735.0"/>
        <n v="842.0"/>
        <n v="1016.0"/>
        <n v="6833.0"/>
        <n v="131.0"/>
        <n v="1949.0"/>
        <n v="1680.0"/>
        <n v="381.0"/>
        <n v="942.0"/>
        <n v="734.0"/>
        <n v="183.0"/>
        <n v="211.0"/>
        <n v="431.0"/>
        <n v="630.0"/>
        <n v="200.0"/>
        <n v="3632.0"/>
        <n v="896.0"/>
        <n v="373.0"/>
        <n v="290.0"/>
        <n v="167.0"/>
        <n v="982.0"/>
        <n v="2164.0"/>
        <n v="1677.0"/>
        <n v="3089.0"/>
        <n v="376.0"/>
        <n v="955.0"/>
        <n v="278.0"/>
        <n v="3547.0"/>
        <n v="17.0"/>
        <n v="586.0"/>
        <n v="665.0"/>
        <n v="307.0"/>
        <n v="488.0"/>
        <n v="1190.0"/>
        <n v="184.0"/>
        <n v="1478.0"/>
        <n v="2423.0"/>
        <n v="615.0"/>
        <n v="1545.0"/>
        <n v="1358.0"/>
        <n v="1174.0"/>
        <n v="685.0"/>
        <n v="231.0"/>
        <n v="529.0"/>
        <n v="4856.0"/>
        <n v="28190.0"/>
        <n v="2022.0"/>
        <n v="1958.0"/>
        <n v="530.0"/>
        <n v="101.0"/>
        <n v="195.0"/>
        <n v="1290.0"/>
        <n v="2452.0"/>
        <n v="596.0"/>
        <n v="2394.0"/>
        <n v="333.0"/>
        <n v="4336.0"/>
        <n v="1058.0"/>
        <n v="2232.0"/>
        <n v="10323.0"/>
        <n v="3656.0"/>
        <n v="342.0"/>
        <n v="474.0"/>
        <n v="3640.0"/>
        <n v="1124.0"/>
        <n v="2032.0"/>
        <n v="2324.0"/>
        <n v="148.0"/>
        <n v="1076.0"/>
        <n v="528.0"/>
        <n v="727.0"/>
        <n v="1010.0"/>
        <n v="1225.0"/>
        <n v="29.0"/>
        <n v="350.0"/>
        <n v="263.0"/>
        <n v="20.0"/>
        <n v="496.0"/>
        <n v="1059.0"/>
        <n v="7139.0"/>
        <n v="2001.0"/>
        <n v="156.0"/>
        <n v="2389.0"/>
        <n v="7610.0"/>
        <n v="637.0"/>
        <n v="1426.0"/>
        <n v="165.0"/>
        <n v="673.0"/>
        <n v="556.0"/>
        <n v="1163.0"/>
        <n v="2529.0"/>
        <n v="1272.0"/>
        <n v="900.0"/>
        <n v="854.0"/>
        <n v="1790.0"/>
        <n v="143.0"/>
        <n v="5261.0"/>
        <n v="3437.0"/>
        <n v="521.0"/>
        <n v="372.0"/>
        <n v="786.0"/>
        <n v="60.0"/>
        <n v="2020.0"/>
        <n v="2329.0"/>
        <n v="1024.0"/>
        <n v="948.0"/>
        <n v="1566.0"/>
        <n v="1038.0"/>
        <n v="480.0"/>
        <n v="397.0"/>
        <n v="2168.0"/>
        <n v="6184.0"/>
        <n v="3875.0"/>
        <n v="1183.0"/>
        <n v="207.0"/>
        <n v="1239.0"/>
        <n v="399.0"/>
        <n v="4012.0"/>
        <n v="3020.0"/>
        <n v="421.0"/>
        <n v="412.0"/>
        <n v="1140.0"/>
        <n v="1375.0"/>
        <n v="1960.0"/>
        <n v="4283.0"/>
        <n v="804.0"/>
        <n v="2052.0"/>
        <n v="2932.0"/>
        <n v="210.0"/>
        <n v="1285.0"/>
        <n v="380.0"/>
        <n v="85.0"/>
        <n v="1110.0"/>
        <n v="11935.0"/>
        <n v="2278.0"/>
        <n v="658.0"/>
        <n v="1394.0"/>
        <n v="1998.0"/>
        <n v="4527.0"/>
        <n v="2239.0"/>
        <n v="1764.0"/>
        <n v="1045.0"/>
        <n v="583.0"/>
        <n v="1578.0"/>
        <n v="212.0"/>
        <n v="177.0"/>
        <n v="63.0"/>
        <n v="1164.0"/>
        <n v="315.0"/>
        <n v="138.0"/>
        <n v="1070.0"/>
        <n v="1318.0"/>
        <n v="303.0"/>
        <n v="2671.0"/>
        <n v="1479.0"/>
        <n v="1694.0"/>
        <n v="2753.0"/>
        <n v="80.0"/>
        <n v="2810.0"/>
        <n v="5571.0"/>
        <n v="368.0"/>
        <n v="4708.0"/>
        <n v="2450.0"/>
        <n v="286.0"/>
        <n v="1177.0"/>
        <n v="7638.0"/>
        <n v="6585.0"/>
        <n v="112.0"/>
        <n v="270.0"/>
        <n v="16137.0"/>
        <n v="494.0"/>
        <n v="531.0"/>
        <n v="288.0"/>
        <n v="2519.0"/>
        <n v="230.0"/>
        <n v="283.0"/>
        <n v="1550.0"/>
        <n v="147.0"/>
        <n v="1265.0"/>
        <n v="320.0"/>
        <n v="454.0"/>
        <n v="5858.0"/>
        <n v="13619.0"/>
        <n v="12306.0"/>
        <n v="49960.0"/>
        <n v="62490.0"/>
        <n v="4480.0"/>
        <n v="4191.0"/>
        <n v="963.0"/>
        <n v="3549.0"/>
        <n v="22.0"/>
        <n v="475.0"/>
        <n v="1051.0"/>
        <n v="1314.0"/>
        <n v="187.0"/>
        <n v="3032.0"/>
        <n v="3305.0"/>
        <n v="607.0"/>
        <n v="2905.0"/>
        <n v="590.0"/>
        <n v="144.0"/>
        <n v="19.0"/>
        <n v="1001.0"/>
        <n v="800.0"/>
        <n v="1073.0"/>
        <n v="4714.0"/>
        <n v="393.0"/>
        <n v="9092.0"/>
        <n v="1235.0"/>
        <n v="719.0"/>
        <n v="2800.0"/>
        <n v="4595.0"/>
        <n v="2725.0"/>
        <n v="5767.0"/>
        <n v="1643.0"/>
        <n v="456.0"/>
        <n v="2358.0"/>
        <n v="611.0"/>
        <n v="602.0"/>
        <n v="217.0"/>
        <n v="48.0"/>
        <n v="227.0"/>
        <n v="3707.0"/>
        <n v="1316.0"/>
        <n v="206.0"/>
        <n v="86.0"/>
        <n v="1516.0"/>
        <n v="228.0"/>
        <n v="1385.0"/>
        <n v="809.0"/>
        <n v="1381.0"/>
        <n v="61.0"/>
        <n v="343.0"/>
        <n v="1530.0"/>
        <n v="710.0"/>
        <n v="3366.0"/>
        <n v="758.0"/>
        <n v="2378.0"/>
        <n v="1709.0"/>
        <n v="863.0"/>
        <n v="628.0"/>
        <n v="856.0"/>
        <n v="704.0"/>
        <n v="4561.0"/>
        <n v="257.0"/>
        <n v="1598.0"/>
        <n v="505.0"/>
        <n v="1711.0"/>
        <n v="90.0"/>
        <n v="679.0"/>
        <n v="264.0"/>
        <n v="109.0"/>
        <n v="875.0"/>
        <n v="1131.0"/>
        <n v="520.0"/>
        <n v="5177.0"/>
        <n v="20338.0"/>
        <n v="492.0"/>
        <n v="377.0"/>
        <n v="2442.0"/>
        <n v="172.0"/>
        <n v="9020.0"/>
        <n v="975.0"/>
        <n v="935.0"/>
        <n v="741.0"/>
        <n v="720.0"/>
        <n v="4063.0"/>
        <n v="1279.0"/>
        <n v="248.0"/>
        <n v="2011.0"/>
        <n v="2076.0"/>
        <n v="1422.0"/>
        <n v="459.0"/>
        <n v="1942.0"/>
        <n v="1746.0"/>
        <n v="100.0"/>
        <n v="35.0"/>
        <n v="392.0"/>
        <n v="56.0"/>
        <n v="1093.0"/>
        <n v="237.0"/>
        <n v="308.0"/>
        <n v="921.0"/>
        <n v="1222.0"/>
        <n v="1330.0"/>
        <n v="1147.0"/>
        <n v="9422.0"/>
        <n v="149.0"/>
        <n v="1084.0"/>
        <n v="299.0"/>
        <n v="111.0"/>
        <n v="250.0"/>
        <n v="21.0"/>
        <n v="3465.0"/>
        <n v="699.0"/>
        <n v="793.0"/>
        <n v="2310.0"/>
        <n v="146.0"/>
        <n v="132.0"/>
        <n v="709.0"/>
        <n v="204.0"/>
      </sharedItems>
    </cacheField>
    <cacheField name="SON 2 &#10;HAFTA" numFmtId="0">
      <sharedItems containsString="0" containsBlank="1" containsNumber="1" containsInteger="1">
        <n v="28.0"/>
        <n v="112.0"/>
        <n v="168.0"/>
        <n v="297.0"/>
        <n v="135.0"/>
        <m/>
        <n v="597.0"/>
        <n v="175.0"/>
        <n v="72.0"/>
        <n v="75.0"/>
        <n v="40.0"/>
        <n v="50.0"/>
        <n v="189.0"/>
        <n v="39.0"/>
        <n v="34.0"/>
        <n v="65.0"/>
        <n v="76.0"/>
        <n v="90.0"/>
        <n v="67.0"/>
        <n v="61.0"/>
        <n v="14.0"/>
        <n v="38.0"/>
        <n v="12.0"/>
        <n v="36.0"/>
        <n v="62.0"/>
        <n v="58.0"/>
        <n v="51.0"/>
        <n v="63.0"/>
        <n v="71.0"/>
        <n v="47.0"/>
        <n v="18.0"/>
        <n v="20.0"/>
        <n v="2.0"/>
        <n v="1.0"/>
        <n v="10.0"/>
        <n v="114.0"/>
        <n v="15.0"/>
        <n v="93.0"/>
        <n v="96.0"/>
        <n v="143.0"/>
        <n v="6.0"/>
        <n v="31.0"/>
        <n v="102.0"/>
        <n v="59.0"/>
        <n v="66.0"/>
        <n v="125.0"/>
        <n v="658.0"/>
        <n v="1176.0"/>
        <n v="7.0"/>
        <n v="2031.0"/>
        <n v="30.0"/>
        <n v="187.0"/>
        <n v="70.0"/>
        <n v="4.0"/>
        <n v="153.0"/>
        <n v="244.0"/>
        <n v="207.0"/>
        <n v="193.0"/>
        <n v="117.0"/>
        <n v="138.0"/>
        <n v="42.0"/>
        <n v="216.0"/>
        <n v="299.0"/>
        <n v="98.0"/>
        <n v="291.0"/>
        <n v="199.0"/>
        <n v="11.0"/>
        <n v="352.0"/>
        <n v="118.0"/>
        <n v="74.0"/>
        <n v="13.0"/>
        <n v="56.0"/>
        <n v="225.0"/>
        <n v="274.0"/>
        <n v="21.0"/>
        <n v="26.0"/>
        <n v="52.0"/>
        <n v="77.0"/>
        <n v="200.0"/>
        <n v="107.0"/>
        <n v="169.0"/>
        <n v="68.0"/>
        <n v="162.0"/>
        <n v="35.0"/>
        <n v="120.0"/>
        <n v="55.0"/>
        <n v="48.0"/>
        <n v="683.0"/>
        <n v="16.0"/>
        <n v="64.0"/>
        <n v="194.0"/>
        <n v="232.0"/>
        <n v="154.0"/>
        <n v="44.0"/>
        <n v="2556.0"/>
        <n v="164.0"/>
        <n v="27.0"/>
        <n v="3.0"/>
        <n v="271.0"/>
        <n v="104.0"/>
        <n v="253.0"/>
        <n v="1846.0"/>
        <n v="33.0"/>
        <n v="5.0"/>
        <n v="24.0"/>
        <n v="195.0"/>
        <n v="341.0"/>
        <n v="745.0"/>
        <n v="22.0"/>
        <n v="140.0"/>
        <n v="159.0"/>
        <n v="268.0"/>
        <n v="221.0"/>
        <n v="160.0"/>
        <n v="80.0"/>
        <n v="19.0"/>
        <n v="83.0"/>
        <n v="53.0"/>
        <n v="246.0"/>
        <n v="86.0"/>
        <n v="396.0"/>
        <n v="122.0"/>
        <n v="181.0"/>
        <n v="123.0"/>
        <n v="37.0"/>
        <n v="54.0"/>
        <n v="49.0"/>
        <n v="203.0"/>
        <n v="157.0"/>
        <n v="95.0"/>
        <n v="485.0"/>
        <n v="3946.0"/>
        <n v="9.0"/>
        <n v="8.0"/>
        <n v="23.0"/>
        <n v="126.0"/>
        <n v="133.0"/>
        <n v="173.0"/>
        <n v="434.0"/>
        <n v="32.0"/>
        <n v="287.0"/>
        <n v="229.0"/>
        <n v="17.0"/>
        <n v="362.0"/>
        <n v="1292.0"/>
        <n v="149.0"/>
        <n v="383.0"/>
        <n v="82.0"/>
        <n v="190.0"/>
        <n v="60.0"/>
        <n v="85.0"/>
        <n v="384.0"/>
        <n v="252.0"/>
        <n v="127.0"/>
        <n v="130.0"/>
        <n v="57.0"/>
        <n v="73.0"/>
        <n v="389.0"/>
        <n v="245.0"/>
        <n v="46.0"/>
        <n v="132.0"/>
        <n v="29.0"/>
        <n v="131.0"/>
        <n v="78.0"/>
        <n v="124.0"/>
        <n v="184.0"/>
        <n v="142.0"/>
        <n v="224.0"/>
        <n v="115.0"/>
        <n v="424.0"/>
        <n v="202.0"/>
        <n v="109.0"/>
        <n v="151.0"/>
        <n v="87.0"/>
        <n v="113.0"/>
        <n v="88.0"/>
        <n v="139.0"/>
        <n v="94.0"/>
        <n v="25.0"/>
        <n v="269.0"/>
        <n v="411.0"/>
        <n v="345.0"/>
        <n v="111.0"/>
        <n v="562.0"/>
        <n v="150.0"/>
        <n v="370.0"/>
        <n v="241.0"/>
        <n v="284.0"/>
        <n v="233.0"/>
        <n v="205.0"/>
        <n v="79.0"/>
        <n v="84.0"/>
        <n v="152.0"/>
        <n v="249.0"/>
        <n v="228.0"/>
        <n v="703.0"/>
        <n v="213.0"/>
        <n v="97.0"/>
        <n v="129.0"/>
        <n v="425.0"/>
        <n v="262.0"/>
        <n v="346.0"/>
        <n v="1267.0"/>
        <n v="165.0"/>
        <n v="43.0"/>
        <n v="638.0"/>
        <n v="121.0"/>
        <n v="267.0"/>
        <n v="89.0"/>
        <n v="45.0"/>
        <n v="215.0"/>
        <n v="91.0"/>
        <n v="283.0"/>
        <n v="103.0"/>
        <n v="302.0"/>
        <n v="119.0"/>
        <n v="191.0"/>
        <n v="312.0"/>
        <n v="108.0"/>
        <n v="1214.0"/>
        <n v="237.0"/>
        <n v="171.0"/>
        <n v="147.0"/>
        <n v="105.0"/>
        <n v="445.0"/>
        <n v="219.0"/>
        <n v="116.0"/>
        <n v="351.0"/>
        <n v="563.0"/>
        <n v="338.0"/>
        <n v="250.0"/>
        <n v="491.0"/>
        <n v="541.0"/>
        <n v="557.0"/>
        <n v="1706.0"/>
        <n v="1770.0"/>
        <n v="416.0"/>
        <n v="469.0"/>
        <n v="148.0"/>
        <n v="824.0"/>
        <n v="41.0"/>
        <n v="128.0"/>
        <n v="179.0"/>
        <n v="177.0"/>
        <n v="1093.0"/>
        <n v="659.0"/>
        <n v="69.0"/>
        <n v="327.0"/>
        <n v="136.0"/>
        <n v="513.0"/>
        <n v="669.0"/>
        <n v="367.0"/>
      </sharedItems>
    </cacheField>
    <cacheField name="RESİMLİ&#10;ÜRÜN" numFmtId="0">
      <sharedItems containsSemiMixedTypes="0" containsString="0" containsNumber="1" containsInteger="1">
        <n v="2.0"/>
        <n v="3.0"/>
        <n v="14.0"/>
        <n v="12.0"/>
        <n v="10.0"/>
        <n v="5.0"/>
        <n v="9.0"/>
        <n v="0.0"/>
        <n v="8.0"/>
        <n v="18.0"/>
        <n v="13.0"/>
        <n v="4.0"/>
        <n v="7.0"/>
        <n v="6.0"/>
        <n v="11.0"/>
        <n v="41.0"/>
        <n v="24.0"/>
        <n v="44.0"/>
        <n v="40.0"/>
        <n v="47.0"/>
        <n v="34.0"/>
        <n v="16.0"/>
        <n v="33.0"/>
        <n v="91.0"/>
        <n v="25.0"/>
        <n v="29.0"/>
        <n v="63.0"/>
        <n v="1.0"/>
        <n v="20.0"/>
        <n v="15.0"/>
        <n v="32.0"/>
        <n v="19.0"/>
        <n v="53.0"/>
        <n v="49.0"/>
        <n v="17.0"/>
        <n v="58.0"/>
        <n v="35.0"/>
        <n v="27.0"/>
        <n v="42.0"/>
        <n v="23.0"/>
        <n v="50.0"/>
        <n v="62.0"/>
        <n v="57.0"/>
        <n v="22.0"/>
        <n v="30.0"/>
        <n v="21.0"/>
        <n v="26.0"/>
        <n v="67.0"/>
        <n v="39.0"/>
        <n v="38.0"/>
        <n v="59.0"/>
        <n v="36.0"/>
        <n v="31.0"/>
        <n v="73.0"/>
        <n v="65.0"/>
        <n v="37.0"/>
        <n v="51.0"/>
        <n v="66.0"/>
        <n v="92.0"/>
        <n v="54.0"/>
        <n v="64.0"/>
        <n v="72.0"/>
        <n v="70.0"/>
        <n v="46.0"/>
        <n v="68.0"/>
        <n v="97.0"/>
        <n v="60.0"/>
        <n v="61.0"/>
        <n v="45.0"/>
        <n v="48.0"/>
        <n v="43.0"/>
        <n v="94.0"/>
      </sharedItems>
    </cacheField>
    <cacheField name="RESİMSİZ&#10;ÜRÜN" numFmtId="0">
      <sharedItems containsSemiMixedTypes="0" containsString="0" containsNumber="1" containsInteger="1">
        <n v="19.0"/>
        <n v="5.0"/>
        <n v="36.0"/>
        <n v="108.0"/>
        <n v="10.0"/>
        <n v="2.0"/>
        <n v="1.0"/>
        <n v="31.0"/>
        <n v="21.0"/>
        <n v="8.0"/>
        <n v="15.0"/>
        <n v="26.0"/>
        <n v="4.0"/>
        <n v="3.0"/>
        <n v="14.0"/>
        <n v="6.0"/>
        <n v="11.0"/>
        <n v="13.0"/>
        <n v="25.0"/>
        <n v="16.0"/>
        <n v="0.0"/>
        <n v="23.0"/>
        <n v="12.0"/>
        <n v="9.0"/>
        <n v="7.0"/>
        <n v="22.0"/>
        <n v="30.0"/>
        <n v="112.0"/>
        <n v="32.0"/>
        <n v="48.0"/>
        <n v="38.0"/>
        <n v="73.0"/>
        <n v="18.0"/>
        <n v="34.0"/>
        <n v="113.0"/>
        <n v="47.0"/>
        <n v="17.0"/>
        <n v="20.0"/>
        <n v="24.0"/>
        <n v="33.0"/>
        <n v="87.0"/>
        <n v="55.0"/>
        <n v="54.0"/>
        <n v="52.0"/>
        <n v="46.0"/>
        <n v="28.0"/>
        <n v="67.0"/>
        <n v="40.0"/>
        <n v="101.0"/>
        <n v="35.0"/>
        <n v="58.0"/>
        <n v="44.0"/>
        <n v="42.0"/>
        <n v="72.0"/>
        <n v="37.0"/>
        <n v="57.0"/>
        <n v="85.0"/>
        <n v="104.0"/>
        <n v="56.0"/>
        <n v="43.0"/>
        <n v="45.0"/>
        <n v="66.0"/>
        <n v="39.0"/>
        <n v="61.0"/>
        <n v="53.0"/>
        <n v="70.0"/>
        <n v="65.0"/>
        <n v="150.0"/>
        <n v="100.0"/>
        <n v="64.0"/>
        <n v="111.0"/>
        <n v="62.0"/>
        <n v="83.0"/>
        <n v="94.0"/>
        <n v="41.0"/>
        <n v="82.0"/>
        <n v="27.0"/>
        <n v="68.0"/>
        <n v="86.0"/>
        <n v="49.0"/>
        <n v="84.0"/>
        <n v="134.0"/>
        <n v="59.0"/>
        <n v="137.0"/>
        <n v="60.0"/>
        <n v="89.0"/>
        <n v="92.0"/>
        <n v="99.0"/>
        <n v="29.0"/>
        <n v="51.0"/>
        <n v="214.0"/>
        <n v="114.0"/>
        <n v="120.0"/>
        <n v="50.0"/>
        <n v="80.0"/>
        <n v="81.0"/>
        <n v="63.0"/>
        <n v="69.0"/>
        <n v="95.0"/>
        <n v="199.0"/>
        <n v="71.0"/>
        <n v="116.0"/>
      </sharedItems>
    </cacheField>
    <cacheField name="TOPLAM&#10;ÜRÜN" numFmtId="0">
      <sharedItems containsSemiMixedTypes="0" containsString="0" containsNumber="1" containsInteger="1">
        <n v="21.0"/>
        <n v="8.0"/>
        <n v="50.0"/>
        <n v="120.0"/>
        <n v="20.0"/>
        <n v="7.0"/>
        <n v="10.0"/>
        <n v="31.0"/>
        <n v="30.0"/>
        <n v="16.0"/>
        <n v="15.0"/>
        <n v="23.0"/>
        <n v="26.0"/>
        <n v="11.0"/>
        <n v="13.0"/>
        <n v="25.0"/>
        <n v="18.0"/>
        <n v="12.0"/>
        <n v="14.0"/>
        <n v="17.0"/>
        <n v="22.0"/>
        <n v="28.0"/>
        <n v="19.0"/>
        <n v="40.0"/>
        <n v="153.0"/>
        <n v="32.0"/>
        <n v="56.0"/>
        <n v="6.0"/>
        <n v="51.0"/>
        <n v="95.0"/>
        <n v="38.0"/>
        <n v="35.0"/>
        <n v="107.0"/>
        <n v="36.0"/>
        <n v="37.0"/>
        <n v="34.0"/>
        <n v="113.0"/>
        <n v="52.0"/>
        <n v="45.0"/>
        <n v="33.0"/>
        <n v="24.0"/>
        <n v="47.0"/>
        <n v="80.0"/>
        <n v="5.0"/>
        <n v="27.0"/>
        <n v="9.0"/>
        <n v="87.0"/>
        <n v="59.0"/>
        <n v="54.0"/>
        <n v="84.0"/>
        <n v="61.0"/>
        <n v="74.0"/>
        <n v="57.0"/>
        <n v="85.0"/>
        <n v="101.0"/>
        <n v="64.0"/>
        <n v="60.0"/>
        <n v="55.0"/>
        <n v="58.0"/>
        <n v="79.0"/>
        <n v="48.0"/>
        <n v="44.0"/>
        <n v="46.0"/>
        <n v="4.0"/>
        <n v="42.0"/>
        <n v="72.0"/>
        <n v="49.0"/>
        <n v="96.0"/>
        <n v="104.0"/>
        <n v="75.0"/>
        <n v="65.0"/>
        <n v="83.0"/>
        <n v="63.0"/>
        <n v="66.0"/>
        <n v="94.0"/>
        <n v="89.0"/>
        <n v="3.0"/>
        <n v="53.0"/>
        <n v="110.0"/>
        <n v="86.0"/>
        <n v="71.0"/>
        <n v="150.0"/>
        <n v="133.0"/>
        <n v="122.0"/>
        <n v="76.0"/>
        <n v="73.0"/>
        <n v="62.0"/>
        <n v="41.0"/>
        <n v="99.0"/>
        <n v="43.0"/>
        <n v="69.0"/>
        <n v="68.0"/>
        <n v="29.0"/>
        <n v="91.0"/>
        <n v="119.0"/>
        <n v="134.0"/>
        <n v="1.0"/>
        <n v="145.0"/>
        <n v="82.0"/>
        <n v="181.0"/>
        <n v="67.0"/>
        <n v="77.0"/>
        <n v="189.0"/>
        <n v="70.0"/>
        <n v="214.0"/>
        <n v="114.0"/>
        <n v="39.0"/>
        <n v="2.0"/>
        <n v="88.0"/>
        <n v="138.0"/>
        <n v="193.0"/>
        <n v="199.0"/>
        <n v="93.0"/>
      </sharedItems>
    </cacheField>
    <cacheField name="Ratio" numFmtId="9">
      <sharedItems containsSemiMixedTypes="0" containsString="0" containsNumber="1">
        <n v="0.1"/>
        <n v="0.38"/>
        <n v="0.28"/>
        <n v="0.5"/>
        <n v="0.71"/>
        <n v="0.9"/>
        <n v="0.0"/>
        <n v="0.3"/>
        <n v="0.78"/>
        <n v="0.87"/>
        <n v="0.73"/>
        <n v="0.33"/>
        <n v="0.54"/>
        <n v="0.44"/>
        <n v="0.67"/>
        <n v="0.86"/>
        <n v="1.0"/>
        <n v="0.47"/>
        <n v="0.69"/>
        <n v="0.83"/>
        <n v="0.36"/>
        <n v="0.64"/>
        <n v="0.45"/>
        <n v="0.32"/>
        <n v="0.4"/>
        <n v="0.46"/>
        <n v="0.63"/>
        <n v="0.23"/>
        <n v="0.42"/>
        <n v="0.27"/>
        <n v="0.75"/>
        <n v="0.79"/>
        <n v="0.93"/>
        <n v="0.49"/>
        <n v="0.29"/>
        <n v="0.26"/>
        <n v="0.16"/>
        <n v="0.59"/>
        <n v="0.24"/>
        <n v="0.31"/>
        <n v="0.85"/>
        <n v="0.76"/>
        <n v="0.55"/>
        <n v="0.2"/>
        <n v="0.77"/>
        <n v="0.14"/>
        <n v="0.43"/>
        <n v="0.56"/>
        <n v="0.92"/>
        <n v="0.19"/>
        <n v="0.91"/>
        <n v="0.07"/>
        <n v="0.8"/>
        <n v="0.61"/>
        <n v="0.25"/>
        <n v="0.72"/>
        <n v="0.21"/>
        <n v="0.22"/>
        <n v="0.97"/>
        <n v="0.18"/>
        <n v="0.58"/>
        <n v="0.88"/>
        <n v="0.57"/>
        <n v="0.7"/>
        <n v="0.41"/>
        <n v="0.09"/>
        <n v="0.11"/>
        <n v="0.12"/>
        <n v="0.39"/>
        <n v="0.17"/>
        <n v="0.94"/>
        <n v="0.62"/>
        <n v="0.08"/>
        <n v="0.89"/>
        <n v="0.74"/>
        <n v="0.05"/>
        <n v="0.51"/>
        <n v="0.34"/>
        <n v="0.48"/>
        <n v="0.03"/>
        <n v="0.52"/>
        <n v="0.96"/>
        <n v="0.35"/>
        <n v="0.6"/>
        <n v="0.95"/>
        <n v="0.68"/>
        <n v="0.53"/>
        <n v="0.84"/>
        <n v="0.65"/>
        <n v="0.82"/>
        <n v="0.81"/>
        <n v="0.13"/>
        <n v="0.01"/>
        <n v="0.06"/>
        <n v="0.04"/>
        <n v="0.98"/>
        <n v="0.02"/>
        <n v="0.37"/>
        <n v="0.15"/>
      </sharedItems>
    </cacheField>
    <cacheField name="Yetkili" numFmtId="0">
      <sharedItems containsBlank="1">
        <s v="Seviye Durma"/>
        <s v="Serhat Kırçiçek"/>
        <s v="Emirhan Ergül"/>
        <s v="Özkan Arıkan"/>
        <s v="Orhan Pelin"/>
        <s v="Ali Dinçel"/>
        <s v="Fatma Dilara İnan"/>
        <s v="Hacı Ahmet Uyar"/>
        <s v="Mehmet Sungu"/>
        <s v="Süleyman Acı"/>
        <s v="Osman Aydar"/>
        <s v="Fatih Şentürk"/>
        <s v="Selçuk Vakitbilir"/>
        <s v="Hüseyin Güzel"/>
        <s v="Hikmet Hakan Başkan"/>
        <s v="Mahmut Arslan"/>
        <s v="Bekir Ekici"/>
        <s v="Yıldız Uzcüce"/>
        <s v="Hayri Karakoç"/>
        <s v="Yunus Emre Pamukçu"/>
        <s v="Tarık Han Düşünüklü"/>
        <s v="Ömer Faruk Koyuncu"/>
        <s v="Muhammet Gazali Arslan"/>
        <s v="Halime Altay"/>
        <s v="Nuran Kamer"/>
        <s v="Şükrü Erdoğan"/>
        <s v="Rukiye Bağcı"/>
        <s v="Emre Kaya"/>
        <s v="Hacer Demir"/>
        <s v="Elburuz Çözel"/>
        <s v="Şevket Çetin"/>
        <s v="Pakize Aslan"/>
        <s v="Ömer Utku Armut"/>
        <s v="Ahmet Bağcı"/>
        <s v="HATİCE DAL"/>
        <s v="Onur Samancı"/>
        <s v="Fevziye Çimen"/>
        <s v="Mustafa Çelik"/>
        <s v="Beyza Ercan"/>
        <s v="Merve Babacan"/>
        <s v="Ümmügülsüm Nur"/>
        <s v="Songül Erdoğdu"/>
        <s v="Adem Kırtıl"/>
        <s v="AHMET ÖZBEY"/>
        <s v="Gökay Yentür"/>
        <s v="Aynur Fatma Gür"/>
        <s v="Gülşen Karayılan"/>
        <s v="deniz yeğin"/>
        <s v="Hatice Aksay"/>
        <s v="Ali Ceylan"/>
        <s v="Kadriye Yılmaz"/>
        <s v="Mehmet Yücel"/>
        <s v="Levent Dağlı"/>
        <s v="Azat Kenli"/>
        <s v="Süleyman Yiğit"/>
        <s v="Hasan Ali Börçek"/>
        <s v="NİLAY GEZİCİ"/>
        <s v="Serhat Alkaya"/>
        <s v="İsmail Çopur"/>
        <s v="Bülent Uzun"/>
        <s v="Fatma Bahçacı"/>
        <s v="Ali Çiftlik"/>
        <s v="İSA GÖNEN"/>
        <s v="Nejla Güreşci Özalp"/>
        <s v="Deniz Doğan"/>
        <s v="Suphi Süt"/>
        <s v="Burak Turhan"/>
        <s v="Hakan Mansuroğlu"/>
        <s v="Özgür Yıldızoğlu"/>
        <s v="Berna Ersöz"/>
        <s v="Cemre Pekel"/>
        <s v="Nazmi Kayacan"/>
        <s v="SONGÜL AŞKAR"/>
        <s v="İlkay Yavuklu"/>
        <s v="Mehmet Durdu"/>
        <s v="Mehmet Raşit Kaçar"/>
        <s v="Duygu İmamoğlu"/>
        <s v="Teoman Çetindağ"/>
        <s v="Hasan Günay"/>
        <s v="Selma Sarı"/>
        <s v="Muhammet Emnacar"/>
        <s v="Teybe Korkmaz"/>
        <s v="Mehmet Sait Bozkuş"/>
        <s v="Nurcan Sumer"/>
        <s v="Ahmet Hilmi Göçer"/>
        <s v="Beritan Kızıl"/>
        <s v="Burçak Seyis"/>
        <s v="EDA BAYRAM"/>
        <s v="Resul Uygez"/>
        <s v="Tekin Büyükboğa"/>
        <s v="Hasan Basri Aslan"/>
        <s v="Asım Turgut"/>
        <s v="Sedat Batur"/>
        <s v="Aziz Cengiz"/>
        <s v="HAKAN OKAN"/>
        <s v="Senem Elataş"/>
        <s v="Kadir Gökalp"/>
        <s v="Mehmet Bahar"/>
        <s v="Emre Öksüz"/>
        <s v="Burak Tutuk"/>
        <s v="Mehmet Koç"/>
        <s v="Şehriban Özdemir"/>
        <s v="Abuzer Özbilen"/>
        <s v="Yasemin Tunçöz"/>
        <s v="Kasım Polat"/>
        <s v="Şükrü Çiftçi"/>
        <s v="Çisem Türkmen"/>
        <s v="Aydın Özen"/>
        <s v="Doğan Yılmaz"/>
        <s v="Mustafa Yılmaz"/>
        <s v="Abdulkadir Tuncel"/>
        <s v="Bedri Batur"/>
        <s v="Fehmi Özen"/>
        <s v="İsmet Karataylı"/>
        <s v="Gamze Demir"/>
        <s v="Sezer Peltek"/>
        <s v="Ahmet Özkan"/>
        <s v="Filiz Kurtdoğmuş"/>
        <s v="Bilal Yılmaz"/>
        <s v="Abdulkadir Bakır"/>
        <s v="Kenan Tatlı"/>
        <s v="Süleyman Dağ"/>
        <s v="Ahmet Kent"/>
        <s v="Yüksel Aktaş"/>
        <s v="Rabia Dündar"/>
        <s v="Vedat Oysal"/>
        <s v="Metin Eskin"/>
        <s v="Kerim Kayan"/>
        <s v="İbrahim Mert"/>
        <s v="Şuayp Ekinci"/>
        <s v="Ahmet Dalkılıç"/>
        <s v="Muhammed Enes Taşçı"/>
        <s v="Mustafa Taşcı"/>
        <s v="Kalender Albıyık"/>
        <s v="Gizem Özkan"/>
        <s v="Selçuk Tanju Kumtepe"/>
        <s v="Hasan Kilisli"/>
        <s v="Ahmet Haris Levent"/>
        <s v="Mouaz Khamireh"/>
        <s v="Hüseyin Karaca"/>
        <s v="Şirvan Şen"/>
        <s v="Zeynep Vafa"/>
        <s v="Yena Yener Tatar"/>
        <s v="Hasan Bulut"/>
        <s v="Akgün Aksoy"/>
        <s v="Murat Bahadır Toslak"/>
        <s v="Osman Adsoy"/>
        <s v="Ramazan Öner"/>
        <s v="Nusret Taş"/>
        <s v="Zeynep Sera Hocalar"/>
        <s v="Senem Karaöğen"/>
        <s v="İsmail Güdek"/>
        <s v="Serdal Sezer"/>
        <s v="Bülent Akarsu"/>
        <s v="Hakan Esen"/>
        <s v="Ziya Badelli"/>
        <s v="Yafes Dinç"/>
        <s v="Gamze Yükkol"/>
        <s v="MAZLUM KOÇU"/>
        <s v="Yakup Karakulak"/>
        <s v="Selman Kaya (Vekaletname Mehmet Karaca)"/>
        <s v="Mustafa Isınlık"/>
        <s v="Murat Can Selçuk"/>
        <s v="Barış Baykul"/>
        <s v="Mehmet Kirkiz"/>
        <s v="Fatih Özer"/>
        <s v="Ali Erhan Yıldız"/>
        <s v="Faruk Sarica"/>
        <s v="Sibel Yüksel"/>
        <s v="Murat Durdu"/>
        <s v="Bünyamin Şeref"/>
        <s v="Ali İlvan"/>
        <s v="Hafize Gönen"/>
        <s v="Ali Karslı"/>
        <s v="Dila Kaya"/>
        <s v="Nurçe Yeniçıkan"/>
        <s v="Bekir Can Kılıç"/>
        <s v="Satılmış Can"/>
        <s v="Emine Solmaz"/>
        <s v="Ali Dağlıoğlu"/>
        <s v="Tutku Polat"/>
        <s v="Mikail Şeker"/>
        <s v="Abdulkerim Orhan"/>
        <s v="Semra Çetintaş"/>
        <s v="Medine Gürsoy"/>
        <s v="Jiyan Yılmaz"/>
        <s v="Yücel Memiş"/>
        <s v="Ahmet Yeter"/>
        <s v="Arslan İltekin"/>
        <s v="Nezir Kurt"/>
        <s v="Evren Kaya"/>
        <s v="Bektaş Elçi"/>
        <s v="İsmail Turan"/>
        <s v="Halime Yalçın"/>
        <s v="Yusuf Polat"/>
        <s v="Kader Alataş"/>
        <s v="Peyrüze Dal"/>
        <s v="Fadimana Küçükuğurlu"/>
        <s v="Aleyna Kaya"/>
        <s v="Hüseyin Torun"/>
        <s v="Bahri Can Yalçın"/>
        <s v="Osman Darende"/>
        <s v="Mehmet Şahin Altınsoy"/>
        <s v="Levent Butev"/>
        <s v="Müslüm Deniz Butev"/>
        <s v="Cengiz Özcan"/>
        <s v="Aykut Akbaş"/>
        <s v="Ahmet Özgişi"/>
        <s v="Engin Karaer"/>
        <s v="Furkan Gezer"/>
        <s v="Özgür Oğan"/>
        <s v="Abdullah Karagöz"/>
        <s v="Fırat Kaya"/>
        <s v="Cafer Sadık Ecevit"/>
        <s v="Murat Özdemir"/>
        <s v="Lezgin Şiban"/>
        <s v="İsmail Cide"/>
        <s v="Halil Akbulut"/>
        <s v="Keziban Kocakaplan"/>
        <s v="Süleyman Urjav"/>
        <s v="Veysel Narin"/>
        <s v="İkrami Çiçek"/>
        <s v="Yusuf Özen"/>
        <s v="Handan Günalp"/>
        <s v="Elif Baykara"/>
        <s v="Murat Çetinel"/>
        <s v="Gülçin Neylim"/>
        <s v="Handan Tok"/>
        <s v="Uğur Akın Kavak"/>
        <s v="Ali Karakılıç"/>
        <s v="Kerim Kesen"/>
        <s v="HANİFE HOCAOĞLU"/>
        <s v="Ertuğrul Akarçeşme"/>
        <s v="Enes Egemen Oflaz"/>
        <s v="Mualla Kuyu"/>
        <s v="Mümine Büyüktatlı"/>
        <s v="Mehmet Gazen"/>
        <s v="Yasin Güventürk"/>
        <s v="Mehmet Yigit"/>
        <s v="Bencemin Uzun"/>
        <s v="Emre Akçiçek"/>
        <s v="Yunus Akdemir"/>
        <s v="Halit Bürdanküçin"/>
        <s v="Müslüm Yapan"/>
        <s v="Filiz Karaca"/>
        <s v="Mine Ongun"/>
        <s v="Mert Can Çiftçier"/>
        <s v="Yıldız Akpınar"/>
        <s v="Emrah Karageçili"/>
        <s v="Serkan Arslan"/>
        <s v="Remzi Akın Akdemir"/>
        <s v="Emine Yılmaz"/>
        <s v="Arif Tuncer"/>
        <s v="Aslıhan Tuncer"/>
        <s v="Nayıf Arslan"/>
        <s v="Ali Furkan Kuru"/>
        <s v="Izzettin tumsal"/>
        <s v="Burhan Dal"/>
        <s v="Sevgi Şahin"/>
        <s v="Derya Taş"/>
        <s v="Musa Anter Özçelik"/>
        <s v="Özge Bahar"/>
        <s v="İlter Ceren"/>
        <s v="Yahya Okat"/>
        <s v="Yaşar Keskin"/>
        <s v="Zehra Belge"/>
        <s v="Kemal Yıldırım"/>
        <s v="Yiğit Keskin"/>
        <s v="Kadir Yardımcı"/>
        <s v="Aydın Güneri"/>
        <s v="Hüseyin Dalgıç"/>
        <s v="Elif Usanmaz"/>
        <s v="Tolga Kirar"/>
        <s v="ERGÜL SÖYLEMEZ"/>
        <s v="Mustafa Aydoğdu"/>
        <s v="Yahya İnce"/>
        <s v="Ferhat Demirkesen"/>
        <s v="Nebihe Gökçe Görü"/>
        <s v="Abidin Dinçel"/>
        <s v="Tevfik Uzunboy"/>
        <s v="Dilay Şan"/>
        <s v="Cahide Deniz"/>
        <s v="Deniz Yılmaz"/>
        <s v="Murat Çınar"/>
        <s v="Hayrettin Çınar"/>
        <s v="Mehmet ali Ruhcan"/>
        <s v="Mustafa Barış Topçu"/>
        <s v="MüslümÖzdemir"/>
        <s v="Vahibe Dinçer"/>
        <s v="CANAN DEMİRYÜREK POLAT"/>
        <s v="Mehmet Selim Akay"/>
        <s v="Mehmet Kadri Doğala"/>
        <s v="Oktay Yılmaz"/>
        <s v="Nedime Atila"/>
        <s v="EMRULLAH AKFIRAT"/>
        <s v="Cihan Höyüklüoğlu"/>
        <s v="Zeynep Acar"/>
        <s v="Mümin Baş"/>
        <s v="Metin Höyüklüoğlu"/>
        <s v="Furkan Ak"/>
        <s v="Burak Ateş"/>
        <s v="Mehmet Fatih Bilginer"/>
        <s v="Hatice Derince"/>
        <s v="Betül Tekçe"/>
        <s v="Mahsum Ceylan"/>
        <s v="Zeyni Ceylan"/>
        <s v="Serdal Müslüm Emlek"/>
        <s v="TURHAN BUDAK"/>
        <s v="Mehmet Duru"/>
        <s v="Yıldız Rağbetli"/>
        <s v="Ali Torun"/>
        <s v="Orçun Solunoğlu"/>
        <s v="EMİNE ÇETİNER"/>
        <s v="Edip Girgin"/>
        <s v="YUSUF POSTLU"/>
        <s v="Asilhan İlyaz"/>
        <s v="Mühdi Önal"/>
        <s v="Dilaver Sandal"/>
        <s v="Burhan Demir"/>
        <s v="Abdulkadir Orğun"/>
        <s v="Ekrem Gürbıyık"/>
        <s v="Funda Çelik"/>
        <s v="Mehmet Karataş"/>
        <s v="Ahmet Toprak"/>
        <s v="Mehmet Kerimoğlu"/>
        <s v="Murat Kılıç"/>
        <s v="Tolga Büyüksürücü"/>
        <s v="Erhan Çontar"/>
        <s v="Gökhan Gökbudak"/>
        <s v="Veli Can Çoşan"/>
        <s v="Ayşe Keş"/>
        <s v="Fatma Sümer"/>
        <s v="Mahsun Ergin"/>
        <s v="Orçun Ummak"/>
        <s v="Halil Yıldızer"/>
        <s v="Rıza Düzgün"/>
        <s v="Durhasan Kaan Erdal"/>
        <s v="Pelin Berfin Akdeniz"/>
        <s v="Eren Tekerek"/>
        <s v="Hayrettin İpekoğlu"/>
        <s v="İBRAHİM EFETÜRK"/>
        <s v="Habibe Şenel"/>
        <s v="Ertan Kaya"/>
        <s v="İsmail Cengiz"/>
        <s v="Umut Güzeloğlu"/>
        <s v="Özgür Özcan"/>
        <s v="Abdulvahit Okumuş"/>
        <s v="Burak Abakay"/>
        <s v="Burak Güldoğan"/>
        <s v="Tufan Topaktaş"/>
        <s v="Muhammed Canata"/>
        <s v="Zahir Kısa"/>
        <s v="Fırat Durak"/>
        <s v="Ali Omak"/>
        <s v="Ferhat Erenkara"/>
        <s v="Ezgi Özyıldırım"/>
        <s v="Erol Dinçer (Vekaletname Hüseyin Akın )"/>
        <s v="Sedat Akan"/>
        <s v="Sinem Ekin Acar"/>
        <s v="Leman Uyanık"/>
        <s v="Uğur Kaplan"/>
        <s v="Funda Şenoğul"/>
        <s v="Nilüfer Karatopak"/>
        <s v="Kerim Berk Dede"/>
        <s v="Halil İbrahim Çoşkun"/>
        <s v="Musa Uğur"/>
        <s v="Ebubekir Turgut"/>
        <s v="Ahmet Aktaş"/>
        <s v="Zeynep Erdoğan"/>
        <s v="Ali Sinan Ak"/>
        <s v="Efe Savaş"/>
        <s v="Yücel Kaplan"/>
        <s v="Beğüm Özbey"/>
        <s v="İshak Turgut"/>
        <s v="Ali Balamut"/>
        <s v="Muzaffer Pilor"/>
        <s v="Hakan Soysal"/>
        <s v="Edibe Oğuz"/>
        <s v="Ali Recai Sezgin"/>
        <s v="Melike Oğuz"/>
        <s v="Evren Balıkçı"/>
        <s v="Ramazan Asilkan"/>
        <s v="Emre Asilkan"/>
        <s v="Cemal Altan"/>
        <s v="Yusuf Düzgören"/>
        <s v="Rahime Şengül"/>
        <s v="Osman Özcan"/>
        <s v="Fatma Gül"/>
        <s v="Erdoğan Sarıdoğan"/>
        <s v="Kemal Kaya"/>
        <s v="Hacer Dinçbay Cura"/>
        <s v="Gülper Aydoğdu"/>
        <s v="Ercan Güzel"/>
        <s v="Yılmaz Gülbeden"/>
        <s v="Mehmet Salih Topuz"/>
        <s v="Sultan Ünal"/>
        <s v="Necat Gülsoy"/>
        <s v="Abdulgafar Gümüştekin"/>
        <s v="Ercan Gündoğdu"/>
        <s v="Naciye Yaşa"/>
        <s v="Semra Ergüvan"/>
        <s v="Şehmus Ceylan"/>
        <s v="Zeki Ceylan"/>
        <s v="ALİ KARAKUŞ"/>
        <s v="Abdulkadir Aksu"/>
        <s v="Ümmü Tor"/>
        <s v="Hakan Demirci"/>
        <s v="İsmail Dağ"/>
        <s v="Yakup Buğra Hallaç"/>
        <s v="Vecihe Özer"/>
        <s v="Kader Çelik"/>
        <s v="Serdal Demir"/>
        <s v="Canan Başlama"/>
        <s v="Mehmet Emin Çalışkan"/>
        <s v="Meriç Cavunt"/>
        <s v="Handan Büyükbaş"/>
        <s v="Gülcihan Gümüş"/>
        <s v="Ferhat Gürbıyık"/>
        <s v="EVREN AVÇİL"/>
        <s v="Alican Kaya"/>
        <s v="Ozan Akalper"/>
        <s v="Murat Çetintaş"/>
        <s v="SERAY KOLACI"/>
        <s v="Bekir Topçu"/>
        <s v="Ali Yiğit"/>
        <s v="Suat Özer"/>
        <s v="Gülşen Özyalçın"/>
        <s v="Mustafa Karagöz"/>
        <s v="OSMAN KARPUZ"/>
        <s v="Rojgül Özdemir"/>
        <s v="Ömer Ergüvan"/>
        <s v="Abdullah Çimen"/>
        <s v="Haydar Yıldırım"/>
        <s v="Bakil Dursun"/>
        <s v="Rıdvan Aşkan"/>
        <s v="Gizem Dağ"/>
        <s v="Mehmet Anıl Cebesoy"/>
        <s v="Buşra Erkol"/>
        <s v="Alper Kılıç"/>
        <s v="Halil Yazkan"/>
        <s v="Baki Özel"/>
        <s v="HAKAN DENİZ"/>
        <s v="Fatma Atar"/>
        <s v="Mehmet Reşit Demir"/>
        <s v="İmam Güneş"/>
        <s v="Engin Çetin"/>
        <s v="Yusuf İnan"/>
        <s v="Erdal Kaçar"/>
        <s v="Cesur Takak"/>
        <s v="ibrahim salcan"/>
        <s v="Veysel İpek"/>
        <s v="Nevzat Ünal"/>
        <s v="Mehmet İmre"/>
        <s v="Zübeyir Çelik"/>
        <s v="Hakan Gören"/>
        <s v="Ali Kısaçam"/>
        <s v="İsmail Pelin"/>
        <s v="Esma Alçiçek"/>
        <s v="Burak Akdemir"/>
        <s v="Ramazan Ertan"/>
        <s v="Orhan Söyler"/>
        <s v="Derya Bal"/>
        <s v="Büşra İşidoğru"/>
        <s v="Sergen Makal"/>
        <s v="Nimet Sarı"/>
        <s v="Cihan Kandan"/>
        <s v="Abdülkadir Bezek"/>
        <s v="Albayrak"/>
        <s v="Metehan Albayrak"/>
        <s v="Kadir Ekrem Toprak"/>
        <s v="Ali Kaan Kaya"/>
        <s v="Nalan Sakar"/>
        <s v="Orçun Ceylan"/>
        <s v="Yaşar Ömgen"/>
        <s v="Nuray Demiryürek Güreş"/>
        <s v="Süleyman Silgeciler"/>
        <s v="Aydın Uçan"/>
        <s v="Hüseyin Oduncu"/>
        <s v="Hakim Kaya"/>
        <s v="Zanyar Anık"/>
        <s v="Bekir Hakverdi"/>
        <s v="Ercan Genç"/>
        <s v="Şahin Kış"/>
        <s v="MURAT AKBULUT"/>
        <s v="Nazlı Kaya"/>
        <s v="Ferudun Taçyıldız"/>
        <s v="Hacı Ahmet Kaya"/>
        <s v="Faruk Kaya"/>
        <s v="Emre Kayhan"/>
        <s v="Nihat Bozkır"/>
        <s v="Adem Acun"/>
        <s v="Erhan Okur"/>
        <s v="Döne Özsan"/>
        <s v="Ökkeş Demir"/>
        <s v="Perihan siyahözengi"/>
        <s v="Hasan Karaer"/>
        <s v="Erdal Köçer"/>
        <s v="İbrahim Tosunoğlu"/>
        <s v="Pınar Tosunoğlu"/>
        <s v="Havva Mermi"/>
        <s v="ekrem yılmaz"/>
        <s v="İbrahim Burak Etiler"/>
        <s v="Fatma Gayir"/>
        <s v="Tutku Serin Dursun"/>
        <s v="Sabahat Kartal"/>
        <s v="Soner Aygül"/>
        <s v="Alper Beray Günaştı"/>
        <s v="Mehmet Sayan"/>
        <s v="Gülçin Kankaya"/>
        <s v="Zöhre Kalın"/>
        <s v="ÖMER BEDRİ ŞEN"/>
        <m/>
        <s v="Gökan Bekar"/>
        <s v="Mustafa Enç"/>
        <s v="Saniye Can"/>
        <s v="Murat Uçuz"/>
        <s v="Tahir Özgür"/>
        <s v="Muhittin Koçaş"/>
        <s v="Perihan Kaya"/>
        <s v="Kadriye Avağ"/>
        <s v="Ahmet Esin"/>
        <s v="Cihan Barış Gökşen"/>
        <s v="Murat Gülsever"/>
        <s v="Ayşe Koşar"/>
        <s v="Orhan Gazi Ergan"/>
        <s v="Neva Ünal"/>
        <s v="Hürü Melek İplik"/>
        <s v="Mesut Çam"/>
        <s v="Muhammet Ali Kaya"/>
        <s v="Serhat Atlan"/>
        <s v="Kudret Yüksel"/>
        <s v="Seçkin Doğan"/>
        <s v="Mehmet Yıldız"/>
        <s v="Hüseyin Necat Gizlenci"/>
        <s v="Nurettin Şan"/>
        <s v="Kudret Durna"/>
        <s v="Ömer Erdem"/>
        <s v="Emin Leylak"/>
        <s v="İlhami Aydın Cömert"/>
        <s v="Ümit Kısacık"/>
        <s v="Benevşe Kayabaşı"/>
        <s v="Murat Topal"/>
        <s v="Cuma Ali Kartal"/>
        <s v="Doğukan Üre"/>
        <s v="Serhat Taniş"/>
        <s v="Kerim Berk Dere"/>
        <s v="Merve Bozkurt"/>
        <s v="Kardelen Koktay"/>
        <s v="ARZU SİNEM SÖNMEZ"/>
        <s v="Baki Öztürk"/>
        <s v="Ufuk Torun"/>
        <s v="Mert Çakar"/>
        <s v="Ayşe Bağ"/>
        <s v="Mehmet Aydoğan"/>
        <s v="Deniz Çürük"/>
        <s v="Serap Özgür"/>
        <s v="Saime Passız"/>
        <s v="Mehmet Pınar"/>
        <s v="Gülbin Baysal"/>
        <s v="Sılahan Özarslan"/>
        <s v="Beşir Bayat"/>
        <s v="Ece Büşra İnci"/>
        <s v="Ahmet Bağ"/>
        <s v="Yüksel Kaya"/>
        <s v="Halife Karakuş"/>
        <s v="Muhammet Mahsun Doğan"/>
        <s v="Zehra Korkmaz"/>
        <s v="Mesrur Mansuroğlu"/>
        <s v="Müzehher Yılmaz"/>
        <s v="Burak Kazancı"/>
        <s v="Zahide İz"/>
        <s v="Cumali Arslan"/>
        <s v="BEDİRHAN HEDİYE"/>
        <s v="Erhan Karakuş"/>
        <s v="Hilal Demirdoğan"/>
        <s v="Mustafa Yayla"/>
        <s v="Metin Bozkurt"/>
        <s v="Melek Bulut"/>
        <s v="Mehmet Mehdi Kulbay"/>
        <s v="Hanım Yıldırım"/>
        <s v="Osman Özdemir"/>
        <s v="Yusuf Cılız"/>
        <s v="Ahmet Selçuk Özdemir"/>
        <s v="Gül Keleş"/>
        <s v="Fahri Örener"/>
        <s v="Remzi Efe Yaşa"/>
        <s v="Merve Ceylan"/>
        <s v="Rezzan Acar"/>
        <s v="Yasemin Yaşar Şimşek"/>
        <s v="Halil Deniz"/>
        <s v="Ali Deniz"/>
        <s v="HALİL ACER"/>
        <s v="Figen Yılmaz"/>
        <s v="Abdulbaki Tapar"/>
        <s v="Aygün Çelik"/>
        <s v="Badeeh Khanı"/>
        <s v="Seyhan Atman"/>
        <s v="Muhammet Takdemir"/>
        <s v="Turgut Atman"/>
        <s v="Ayşe Gümüşbaş"/>
        <s v="Tarık Durmuş"/>
        <s v="Meryem Ecer"/>
        <s v="Mesut Eley"/>
        <s v="Necati Aydın"/>
        <s v="Umut Erol"/>
        <s v="Gökhan Kavut"/>
        <s v="Havza Kevser Yağız"/>
        <s v="Mehmet Emin Aydın"/>
        <s v="Mert Dedecan"/>
        <s v="Selim Mert"/>
        <s v="Mehmet Özel"/>
        <s v="Velit Tolga Musto"/>
        <s v="GÜRAY GÜRBÜZ"/>
        <s v="Zeyneddin Kaya"/>
        <s v="Mustafa Öder"/>
        <s v="Özgör Gümüş"/>
        <s v="Cansu Küçüker"/>
        <s v="Sultan Takak"/>
        <s v="Ebru Çakır"/>
        <s v="Eyüp Güner"/>
        <s v="İsmet Hakverdi"/>
        <s v="Özer Kamalak"/>
        <s v="Recep İÇEN"/>
        <s v="Tuncay Bekçi"/>
        <s v="Esengül Koca"/>
        <s v="Aydın Kaplan"/>
        <s v="Emre Çelik"/>
        <s v="Savun Sezer Aykol"/>
        <s v="Sevgi Büyük"/>
        <s v="Mehmet Dölen"/>
        <s v="Yavuz Akkaya"/>
        <s v="Hasan Deloğlu"/>
        <s v="Hakan Tanrıkulu"/>
        <s v="NUH TAŞ"/>
        <s v="Esra Şakir"/>
        <s v="Murat Akbal"/>
        <s v="Sedat Gökçe"/>
        <s v="Salim Şişmanoğlu"/>
        <s v="Feyzi Olam"/>
        <s v="Özgür Sarın"/>
        <s v="Ahmet Dağ"/>
        <s v="Ramazan elmas"/>
        <s v="Mustafa Toprak Taşkesen"/>
        <s v="Vedat Kızılbuğ"/>
        <s v="Süheyla Polat"/>
        <s v="Mehmet Kara"/>
        <s v="Ali Ateş"/>
        <s v="Nuray Avşar"/>
        <s v="Muhammet Bozan"/>
        <s v="EBRU ARSLAN"/>
        <s v="METE BAĞCI"/>
        <s v="Çağlar Aldanbaş"/>
        <s v="Tahsin Obuz"/>
        <s v="Abdullah Çöp"/>
        <s v="Hurşit Tuncar"/>
        <s v="İbrahim Güzeler"/>
        <s v="Mehmet Acar"/>
        <s v="Bahar Gülmez"/>
        <s v="Güler Şensoy"/>
        <s v="Suat Çelik"/>
        <s v="Veysi Eskin"/>
        <s v="Mehmet Çolak"/>
        <s v="Gizem Huylu"/>
        <s v="İsmail Metik"/>
        <s v="Orhan Kulaç"/>
        <s v="Kemal Dur"/>
        <s v="Kudret Hasbolat"/>
        <s v="İsmail Gönüllü"/>
        <s v="Sercan Pempe"/>
        <s v="Maksude Şahin"/>
        <s v="Halil Cengiz"/>
        <s v="Ahmet Yılmaz"/>
        <s v="Hatice Deniz"/>
        <s v="Tunahan Yıldırım"/>
        <s v="Şahin Yüksekdağ"/>
        <s v="Ertuğrul Yılmaz"/>
        <s v="Nezahat Göztaşı"/>
        <s v="Nevriye Doğru"/>
        <s v="Ahmet Sevinç"/>
        <s v="Ahmet Gök"/>
        <s v="Hakan Çil"/>
        <s v="Özkan Elçi"/>
        <s v="Osman Tezel"/>
        <s v="Emre Ali Anay"/>
        <s v="Mehmet Toprak"/>
        <s v="Hasan Sefa Kazan"/>
        <s v="Muhammet Yılmaz"/>
        <s v="Murat Boldaş"/>
        <s v="Emre verep"/>
        <s v="Hanifi Kanlı"/>
        <s v="Cevher Pelin"/>
        <s v="CEMAL KILIÇ"/>
        <s v="Ziyattin Özister"/>
        <s v="Mehmet Bilge"/>
        <s v="Hasan Pamuk"/>
        <s v="Nuriddin Çapar"/>
        <s v="Serkan Top"/>
        <s v="Mustafa Kirman"/>
        <s v="Pınar Altuğ Eryiğit"/>
        <s v="Doğan Öztoprak"/>
        <s v="Ayşe Öztürk"/>
        <s v="Mert Uğurses"/>
        <s v="Levent Uğurses"/>
        <s v="Büşra Avcı Korkmaz"/>
        <s v="Halil İbrahim Ertürk"/>
        <s v="Ayşe Özcengiz"/>
        <s v="Murat Okatan"/>
        <s v="AHMET FINDIK"/>
        <s v="Süleyman Şahin"/>
        <s v="İzel Aytaç"/>
        <s v="Rıdvan Cabadak"/>
        <s v="Hasan Kışlar"/>
        <s v="Oğuzhan Mustafa Saruhanoğlu"/>
        <s v="MUHAMMET ÇELİK"/>
        <s v="Çağdaş Zakir Ceylan"/>
        <s v="Mehmet Veysel kaçan"/>
        <s v="Sadık Erdinç"/>
        <s v="İbrahim Kurşun"/>
        <s v="Mahmut Akıl Sayar"/>
        <s v="Onur Ölçücü"/>
        <s v="Yusuf Bülbül"/>
        <s v="Eşe Hasbolat"/>
        <s v="Merve Değirmenci"/>
        <s v="Mevlüt Çakır"/>
        <s v="Orhan Gümüş"/>
        <s v="Ahmet Hakan Eroğlu"/>
        <s v="Mustafa Ongun"/>
        <s v="Muhammet İlker Kul"/>
        <s v="SEVİM GÖÇER"/>
        <s v="Yiğitcan Fidan"/>
        <s v="Salim Börk"/>
        <s v="Ayşe Kaya"/>
        <s v="Halil Aslan"/>
        <s v="Hatip Şan"/>
        <s v="Baran Titiz"/>
        <s v="Mahmut Taşkın"/>
        <s v="Kadir Saçu"/>
        <s v="Ramazan Dayan"/>
        <s v="Mehmet Necat Keleş"/>
        <s v="İbrahim Cengiz İşlek"/>
        <s v="Mehmet Ali Okçu"/>
        <s v="Aytunç Güneş"/>
        <s v="Volkan Tufan"/>
        <s v="Ersin Yazar"/>
        <s v="Arzu Çamdal"/>
        <s v="Suphi İçin"/>
        <s v="Uğur Navruz"/>
        <s v="Şükrü Yalman"/>
        <s v="Çeşminaz Tosun"/>
        <s v="Serkan Söylemezoğlu"/>
        <s v="Fuad Atat"/>
        <s v="Mustafa Çelenk"/>
        <s v="Adnan Gönül"/>
        <s v="Tuğba Baykan"/>
        <s v="Ahmet Ali Kurnaz"/>
        <s v="NAJEM ALDEEN SHAKRA"/>
        <s v="Burak Şahin"/>
        <s v="Ruçhan Toklucu"/>
        <s v="Murat Yel"/>
        <s v="Sabahattin Gündoğdu"/>
        <s v="Abdulvahap Çoğaç"/>
        <s v="Serkan Tutkun"/>
        <s v="Safiye Alkan"/>
        <s v="Sadettin Arif Satar"/>
        <s v="KENAN GENÇ"/>
        <s v="Çağrı Ünel"/>
        <s v="Aslı Selağzı"/>
        <s v="Durmuş Kır"/>
        <s v="Gökhan Yaygan"/>
        <s v="Ekrem Taşkın"/>
        <s v="Abdulkadir Kaplan"/>
        <s v="Ercan Akar"/>
        <s v="Kemal Cemal Okuş"/>
        <s v="HİKMET BAKIRHAN"/>
        <s v="Cahit Eroğlu"/>
        <s v="Sevim Sağnak"/>
        <s v="SEFER BALIKÇI"/>
        <s v="Seyit Ahmet Horuzoğlu"/>
        <s v="Bedri Leylak"/>
        <s v="Güler Aykurt"/>
        <s v="Mustafa Hasdeniz"/>
        <s v="Hadi Daş"/>
        <s v="Emrah Aydur"/>
        <s v="Serhat Sümbül"/>
        <s v="Sercan Sofi"/>
        <s v="Sercan Sofİ"/>
        <s v="Tuba Kavuncu"/>
        <s v="Süleyman Işık Kurtoğlu"/>
        <s v="Şeref Kurt"/>
        <s v="Derya Öz"/>
        <s v="Derya Ceylan"/>
        <s v="Havva Gür"/>
        <s v="Ayşegül Çapanoğlu"/>
        <s v="Taner Bediroğlu"/>
        <s v="Yücel Baba"/>
        <s v="Abit Mesut Hakverdi"/>
        <s v="Ahmed Hendavi"/>
        <s v="Ecevit Kardaş"/>
        <s v="Elvın Seyıdov"/>
        <s v="Bahar Öztürk Akan"/>
        <s v="Fatma Güngör"/>
        <s v="Melek Dönmez"/>
        <s v="Eren Durmuş Suna"/>
        <s v="Ahmet Yanelli"/>
        <s v="Ahmet Yeşildağ"/>
        <s v="Mehmet Kaya"/>
        <s v="Süleyman Apaydın"/>
        <s v="Turan Oğur"/>
        <s v="Veysel Tahiroğlu"/>
        <s v="Abdulselam Balcıoğlu"/>
        <s v="Sibel Yiğittekin Özbek"/>
        <s v="Nuray Polat"/>
        <s v="Ahmet Keskin"/>
        <s v="Veysi Demirdaş"/>
        <s v="HAKİM BAŞARAN"/>
        <s v="Şehriban Ağca"/>
        <s v="Selma Öztünç"/>
        <s v="Aytaç Sevim"/>
        <s v="Muzaffer Ünsal"/>
        <s v="Fatma Yılmaz"/>
        <s v="Hamit Kaçar"/>
        <s v="Nurettin Etiz"/>
        <s v="İdris Bilek"/>
        <s v="Ulaş Heval Gevez"/>
        <s v="Şaban Gökgöz"/>
        <s v="Zübeyde Ceritlioğlu"/>
        <s v="Bayram Ergin"/>
        <s v="Vedat Ergin"/>
        <s v="Ali Tilgen"/>
        <s v="Hasan Yazıcı"/>
        <s v="Evren Avçil"/>
        <s v="Hacı Emin Özdemir"/>
        <s v="Abdurrahim Özkan"/>
        <s v="Nihayet Büşra Aydın"/>
        <s v="Mehmet Ercan"/>
        <s v="Ramazan Ercan"/>
        <s v="Tolga Pancar"/>
        <s v="Serdar Gençay"/>
        <s v="Pervin Güneş"/>
        <s v="Bilge Çimenlik"/>
        <s v="Gülistan Bayazıt"/>
        <s v="Ali Taş"/>
        <s v="Nedim Zengin"/>
        <s v="Şerif Dağ"/>
        <s v="Hayreddin Dağ"/>
        <s v="Mesut Tatar"/>
        <s v="Zeynep Ceylan"/>
        <s v="Mehmet Kuş"/>
        <s v="Kadriye Bozkurt"/>
        <s v="Müzehher Çağla Demirkıran"/>
        <s v="Osman Yüksel"/>
        <s v="Ersin Özer"/>
        <s v="Yunus Tavlı"/>
        <s v="Hanzade Dündar"/>
        <s v="HÜSEYİN ÇELİKEL"/>
        <s v="Tayfun İnce"/>
        <s v="Arzu Kipdemir"/>
        <s v="Maşallah Değer"/>
        <s v="Feridun Tekinalp"/>
        <s v="Hamza Tekçe"/>
        <s v="Zeynep Gürbüz"/>
        <s v="Mustafa Tekin"/>
        <s v="AYSEL KARAK"/>
        <s v="Özlem Gündüz"/>
        <s v="Turgut Kırvar"/>
        <s v="Hakan Özsu"/>
        <s v="Safinaz Sidar"/>
        <s v="Yağmur Başak Uzun"/>
        <s v="EBRU KAYA"/>
        <s v="Muhammed Can Taş"/>
        <s v="Ali Gökay Öztekin"/>
        <s v="Ali Toprak"/>
        <s v="Mustafa Ergüvan"/>
        <s v="İrfan Aydar"/>
        <s v="Zeynep Bener"/>
        <s v="Muhammet Alkan"/>
        <s v="Onur Köse"/>
        <s v="Ahmet Murat Dövenci"/>
        <s v="Tuncay Makal"/>
        <s v="Egemen Tarım"/>
        <s v="Ramazan Özer"/>
        <s v="Nagihan Apaydın"/>
        <s v="Ali Arslan"/>
        <s v="Gizem Erdaş"/>
        <s v="DENİZ DOĞAN"/>
        <s v="Bahattin Tomak"/>
        <s v="Ramazan Biçak"/>
        <s v="Murat Utku"/>
        <s v="RECEP ÜNAL"/>
        <s v="Ahmet Muhsin Tüfekçioğlu"/>
        <s v="Büşra Oruçoğlu"/>
        <s v="Ömer Yusuf Cici"/>
        <s v="Deaa Alden Alrachı"/>
        <s v="Güli Arslan"/>
        <s v="Burak Dalkıran"/>
        <s v="Öznur Özkan"/>
        <s v="Elif Tavşan"/>
        <s v="Kaan Pılatin"/>
        <s v="Murat Avcı"/>
        <s v="Engin Kahraman"/>
        <s v="Mustafa Yalçın"/>
        <s v="Gafure Dokumacı"/>
        <s v="Ahmet Yaprak"/>
        <s v="Burcu Yaprak"/>
        <s v="Behzat Dinmez"/>
        <s v="Selma Elveren"/>
        <s v="Şefik Gülay"/>
        <s v="İzel Özge Fideli"/>
        <s v="Evin Ölmez Çiftçi"/>
        <s v="Emine Er"/>
        <s v="Müslüm Demir"/>
        <s v="Sebahattin Yıldırım"/>
        <s v="Yıldız Say"/>
        <s v="Ziya Sevil"/>
        <s v="HATİCE NURAN KÖKSAL ANAREFE"/>
        <s v="Fatma Özmen"/>
        <s v="Cihan Apak"/>
        <s v="Serpil Süne"/>
        <s v="Yusuf Özer"/>
        <s v="Yusuf Korkusuz"/>
        <s v="Ayfer Çetin"/>
        <s v="Mahmut Yürü"/>
        <s v="ZAFER AYYILDIZ"/>
        <s v="Muhammed Aykaz"/>
        <s v="Zekeriya Öztaş"/>
        <s v="ECEVİT ARSLAN"/>
        <s v="Gizem Leman Ülkü"/>
        <s v="Şafak Canbaz"/>
        <s v="Muhammed Fidan"/>
        <s v="Cuma Tekcan"/>
        <s v="Ziver demir"/>
        <s v="Kadir Dal"/>
        <s v="Aydın Altun"/>
        <s v="Esra Kılıç"/>
        <s v="Ufuk Tekcan"/>
        <s v="Nevin Kara"/>
        <s v="Çetin Ağtaş"/>
      </sharedItems>
    </cacheField>
    <cacheField name="Telefon" numFmtId="0">
      <sharedItems containsSemiMixedTypes="0" containsString="0" containsNumber="1" containsInteger="1">
        <n v="5.333472405E9"/>
        <n v="5.532992238E9"/>
        <n v="5.525823245E9"/>
        <n v="5.525153333E9"/>
        <n v="5.378913233E9"/>
        <n v="3.243585861E9"/>
        <n v="3.243250421E9"/>
        <n v="3.243271463E9"/>
        <n v="3.243283031E9"/>
        <n v="3.242382306E9"/>
        <n v="5.39424248E9"/>
        <n v="3.246140909E9"/>
        <n v="5.079527788E9"/>
        <n v="5.455313302E9"/>
        <n v="5.528689353E9"/>
        <n v="3.243250293E9"/>
        <n v="3.247144646E9"/>
        <n v="3.243588844E9"/>
        <n v="5.304052009E9"/>
        <n v="3.246259393E9"/>
        <n v="5.527521733E9"/>
        <n v="5.339134933E9"/>
        <n v="5.302309957E9"/>
        <n v="5.526039802E9"/>
        <n v="5.316163321E9"/>
        <n v="5.372770233E9"/>
        <n v="3.242338202E9"/>
        <n v="3.243590233E9"/>
        <n v="5.317615261E9"/>
        <n v="3.243370037E9"/>
        <n v="3.243207037E9"/>
        <n v="5.366813996E9"/>
        <n v="5.337266702E9"/>
        <n v="3.246266626E9"/>
        <n v="5.510561079E9"/>
        <n v="5.530647233E9"/>
        <n v="3.246134373E9"/>
        <n v="3.246250747E9"/>
        <n v="5.511773355E9"/>
        <n v="5.528688433E9"/>
        <n v="5.43883336E9"/>
        <n v="5.531584E9"/>
        <n v="5.332258709E9"/>
        <n v="3.246143902E9"/>
        <n v="3.24328283E9"/>
        <n v="3.243285252E9"/>
        <n v="5.359598033E9"/>
        <n v="5.323018257E9"/>
        <n v="5.439471607E9"/>
        <n v="5.384111733E9"/>
        <n v="3.245026666E9"/>
        <n v="3.243310069E9"/>
        <n v="5.374255442E9"/>
        <n v="3.249994248E9"/>
        <n v="5.304774233E9"/>
        <n v="3.243580583E9"/>
        <n v="3.243288463E9"/>
        <n v="5.348133332E9"/>
        <n v="5.335015663E9"/>
        <n v="3.243575747E9"/>
        <n v="3.245033303E9"/>
        <n v="5.357711059E9"/>
        <n v="3.246132121E9"/>
        <n v="5.462334534E9"/>
        <n v="5.354218217E9"/>
        <n v="5.067190992E9"/>
        <n v="5.525296565E9"/>
        <n v="3.243267318E9"/>
        <n v="5.394236637E9"/>
        <n v="3.24515113E9"/>
        <n v="3.243571314E9"/>
        <n v="5.312595314E9"/>
        <n v="3.247140002E9"/>
        <n v="5.074307786E9"/>
        <n v="3.244732011E9"/>
        <n v="3.245153438E9"/>
        <n v="5.524594463E9"/>
        <n v="5.432401438E9"/>
        <n v="3.243415161E9"/>
        <n v="5.37783091E9"/>
        <n v="3.2461454E9"/>
        <n v="3.243369237E9"/>
        <n v="5.053366098E9"/>
        <n v="5.523658202E9"/>
        <n v="3.24502143E9"/>
        <n v="5.346801734E9"/>
        <n v="5.531263333E9"/>
        <n v="5.522491033E9"/>
        <n v="5.304677333E9"/>
        <n v="5.313470333E9"/>
        <n v="5.434081128E9"/>
        <n v="5.42317541E9"/>
        <n v="3.243410033E9"/>
        <n v="5.387494964E9"/>
        <n v="5.538865713E9"/>
        <n v="5.363007575E9"/>
        <n v="5.301185333E9"/>
        <n v="5.373717529E9"/>
        <n v="5.362294646E9"/>
        <n v="3.242373317E9"/>
        <n v="5.453242626E9"/>
        <n v="5.496250161E9"/>
        <n v="5.526602614E9"/>
        <n v="5.526602615E9"/>
        <n v="5.360306026E9"/>
        <n v="3.245577864E9"/>
        <n v="5.373734724E9"/>
        <n v="3.243275463E9"/>
        <n v="3.243593461E9"/>
        <n v="3.243250015E9"/>
        <n v="3.243572321E9"/>
        <n v="5.442540227E9"/>
        <n v="5.526112033E9"/>
        <n v="3.243581302E9"/>
        <n v="5.446140112E9"/>
        <n v="5.434776333E9"/>
        <n v="5.301108895E9"/>
        <n v="5.077248433E9"/>
        <n v="5.319378485E9"/>
        <n v="5.372805738E9"/>
        <n v="3.243581312E9"/>
        <n v="3.245026303E9"/>
        <n v="5.05005701E9"/>
        <n v="5.535799292E9"/>
        <n v="5.441552133E9"/>
        <n v="5.525325112E9"/>
        <n v="5.416488863E9"/>
        <n v="5.380249486E9"/>
        <n v="5.352392139E9"/>
        <n v="3.243221115E9"/>
        <n v="5.525996933E9"/>
        <n v="3.243575714E9"/>
        <n v="5.443451303E9"/>
        <n v="5.335084713E9"/>
        <n v="3.242390909E9"/>
        <n v="5.331652033E9"/>
        <n v="3.243595933E9"/>
        <n v="3.249994818E9"/>
        <n v="5.073023317E9"/>
        <n v="3.249990616E9"/>
        <n v="3.243268589E9"/>
        <n v="5.524072874E9"/>
        <n v="3.24290299E9"/>
        <n v="3.243410707E9"/>
        <n v="5.325224556E9"/>
        <n v="5.307804533E9"/>
        <n v="5.526476232E9"/>
        <n v="3.243367379E9"/>
        <n v="3.243267379E9"/>
        <n v="5.528570733E9"/>
        <n v="5.435007915E9"/>
        <n v="5.42291506E9"/>
        <n v="5.327172949E9"/>
        <n v="5.324224608E9"/>
        <n v="3.243275453E9"/>
        <n v="3.243200358E9"/>
        <n v="5.536317783E9"/>
        <n v="5.411623233E9"/>
        <n v="3.245038199E9"/>
        <n v="5.494999904E9"/>
        <n v="3.242384343E9"/>
        <n v="5.339735338E9"/>
        <n v="5.522292549E9"/>
        <n v="5.3885152E9"/>
        <n v="3.243253131E9"/>
        <n v="3.243596161E9"/>
        <n v="5.432145766E9"/>
        <n v="5.323047605E9"/>
        <n v="3.243285566E9"/>
        <n v="3.246262616E9"/>
        <n v="3.243256066E9"/>
        <n v="5.367188818E9"/>
        <n v="5.057103078E9"/>
        <n v="3.246226665E9"/>
        <n v="5.451952905E9"/>
        <n v="3.245153262E9"/>
        <n v="5.356273633E9"/>
        <n v="5.368304467E9"/>
        <n v="3.243290001E9"/>
        <n v="5.304411269E9"/>
        <n v="3.243219451E9"/>
        <n v="5.347840563E9"/>
        <n v="5.325409405E9"/>
        <n v="5.330211305E9"/>
        <n v="5.442286333E9"/>
        <n v="5.417853999E9"/>
        <n v="5.46665333E9"/>
        <n v="5.368464576E9"/>
        <n v="5.34653258E9"/>
        <n v="5.326845633E9"/>
        <n v="3.242342525E9"/>
        <n v="3.2451552E9"/>
        <n v="5.395490133E9"/>
        <n v="5.31781433E9"/>
        <n v="5.306781683E9"/>
        <n v="5.523036633E9"/>
        <n v="3.24329292E9"/>
        <n v="5.069133383E9"/>
        <n v="5.078744198E9"/>
        <n v="5.525353167E9"/>
        <n v="5.382979608E9"/>
        <n v="3.248165252E9"/>
        <n v="5.320650218E9"/>
        <n v="3.246242424E9"/>
        <n v="3.249991166E9"/>
        <n v="3.245033337E9"/>
        <n v="5.36683864E9"/>
        <n v="5.306373362E9"/>
        <n v="5.39483401E9"/>
        <n v="5.433944342E9"/>
        <n v="3.242375612E9"/>
        <n v="3.243240303E9"/>
        <n v="3.243227878E9"/>
        <n v="5.32343533E9"/>
        <n v="3.243241816E9"/>
        <n v="5.383586787E9"/>
        <n v="3.243250033E9"/>
        <n v="5.079928631E9"/>
        <n v="3.243583892E9"/>
        <n v="5.309789676E9"/>
        <n v="3.242340908E9"/>
        <n v="3.245153038E9"/>
        <n v="3.243286004E9"/>
        <n v="3.243289033E9"/>
        <n v="5.337715696E9"/>
        <n v="3.246261199E9"/>
        <n v="5.061927475E9"/>
        <n v="3.243250029E9"/>
        <n v="3.243280016E9"/>
        <n v="3.24515335E9"/>
        <n v="3.246130333E9"/>
        <n v="5.342261505E9"/>
        <n v="3.243265737E9"/>
        <n v="5.319909736E9"/>
        <n v="5.319909737E9"/>
        <n v="3.24327213E9"/>
        <n v="5.458617716E9"/>
        <n v="5.350136578E9"/>
        <n v="5.066458224E9"/>
        <n v="5.357943678E9"/>
        <n v="5.364004596E9"/>
        <n v="5.539128499E9"/>
        <n v="5.386754217E9"/>
        <n v="3.24357577E9"/>
        <n v="3.243285808E9"/>
        <n v="5.362426008E9"/>
        <n v="3.243260909E9"/>
        <n v="3.243260493E9"/>
        <n v="3.242343302E9"/>
        <n v="5.386183302E9"/>
        <n v="5.354850533E9"/>
        <n v="5.520700846E9"/>
        <n v="5.375926631E9"/>
        <n v="5.528369039E9"/>
        <n v="5.558950496E9"/>
        <n v="5.31625899E9"/>
        <n v="5.433797201E9"/>
        <n v="5.411474944E9"/>
        <n v="5.535311033E9"/>
        <n v="5.444800987E9"/>
        <n v="5.333726492E9"/>
        <n v="5.529353056E9"/>
        <n v="3.24616171E9"/>
        <n v="3.246255255E9"/>
        <n v="5.078378085E9"/>
        <n v="5.422540924E9"/>
        <n v="5.424319445E9"/>
        <n v="3.243272797E9"/>
        <n v="5.525259697E9"/>
        <n v="5.452246445E9"/>
        <n v="5.541475031E9"/>
        <n v="5.315541881E9"/>
        <n v="5.36469044E9"/>
        <n v="5.453922199E9"/>
        <n v="3.243277473E9"/>
        <n v="5.324383331E9"/>
        <n v="3.245041127E9"/>
        <n v="3.242346992E9"/>
        <n v="3.247143044E9"/>
        <n v="5.337140544E9"/>
        <n v="5.528814933E9"/>
        <n v="5.346744169E9"/>
        <n v="3.242383803E9"/>
        <n v="5.434853323E9"/>
        <n v="5.07989028E9"/>
        <n v="5.050745589E9"/>
        <n v="3.242312315E9"/>
        <n v="5.451230002E9"/>
        <n v="3.242371413E9"/>
        <n v="3.24358088E9"/>
        <n v="3.243610262E9"/>
        <n v="3.243413626E9"/>
        <n v="5.511531713E9"/>
        <n v="3.242332727E9"/>
        <n v="3.243253355E9"/>
        <n v="3.249990445E9"/>
        <n v="5.366141033E9"/>
        <n v="3.24359046E9"/>
        <n v="5.394017344E9"/>
        <n v="3.242320702E9"/>
        <n v="5.466963372E9"/>
        <n v="5.386498267E9"/>
        <n v="3.24325501E9"/>
        <n v="5.526172747E9"/>
        <n v="3.243282747E9"/>
        <n v="5.36231516E9"/>
        <n v="3.242370018E9"/>
        <n v="3.24515906E9"/>
        <n v="5.317259875E9"/>
        <n v="3.249994411E9"/>
        <n v="5.385202373E9"/>
        <n v="5.335293549E9"/>
        <n v="3.243288383E9"/>
        <n v="3.243288585E9"/>
        <n v="3.243610121E9"/>
        <n v="5.305154733E9"/>
        <n v="5.077043854E9"/>
        <n v="5.356970227E9"/>
        <n v="3.243256242E9"/>
        <n v="5.336804832E9"/>
        <n v="3.243588794E9"/>
        <n v="5.307111499E9"/>
        <n v="3.245154407E9"/>
        <n v="3.242373332E9"/>
        <n v="3.24237373E9"/>
        <n v="5.332206327E9"/>
        <n v="3.246258142E9"/>
        <n v="3.242385251E9"/>
        <n v="3.247414013E9"/>
        <n v="3.243362433E9"/>
        <n v="3.245031608E9"/>
        <n v="5.497323363E9"/>
        <n v="5.396909371E9"/>
        <n v="5.435575157E9"/>
        <n v="3.245444554E9"/>
        <n v="3.243209971E9"/>
        <n v="5.342927466E9"/>
        <n v="5.305951733E9"/>
        <n v="5.334617843E9"/>
        <n v="5.367997163E9"/>
        <n v="3.24325216E9"/>
        <n v="3.24933405E9"/>
        <n v="3.249992787E9"/>
        <n v="3.243252444E9"/>
        <n v="3.245154244E9"/>
        <n v="3.248142494E9"/>
        <n v="5.340561567E9"/>
        <n v="3.243582838E9"/>
        <n v="5.305906686E9"/>
        <n v="5.511457432E9"/>
        <n v="5.364862333E9"/>
        <n v="5.349694452E9"/>
        <n v="5.308280833E9"/>
        <n v="5.525022399E9"/>
        <n v="5.323507968E9"/>
        <n v="5.43568808E9"/>
        <n v="3.243293939E9"/>
        <n v="3.243293683E9"/>
        <n v="5.462064633E9"/>
        <n v="3.243360408E9"/>
        <n v="5.372858186E9"/>
        <n v="5.072040802E9"/>
        <n v="5.453862133E9"/>
        <n v="3.243361074E9"/>
        <n v="5.051523356E9"/>
        <n v="5.078763453E9"/>
        <n v="5.389540213E9"/>
        <n v="3.243272721E9"/>
        <n v="3.242382071E9"/>
        <n v="5.538875013E9"/>
        <n v="5.362117079E9"/>
        <n v="5.51447776E9"/>
        <n v="5.30775015E9"/>
        <n v="5.465928727E9"/>
        <n v="5.344230244E9"/>
        <n v="5.332784334E9"/>
        <n v="3.249998474E9"/>
        <n v="5.451502727E9"/>
        <n v="5.451512727E9"/>
        <n v="5.448742727E9"/>
        <n v="3.243583737E9"/>
        <n v="5.34702959E9"/>
        <n v="5.444430414E9"/>
        <n v="3.246241717E9"/>
        <n v="3.243410202E9"/>
        <n v="3.245032323E9"/>
        <n v="3.243365248E9"/>
        <n v="3.243575554E9"/>
        <n v="3.247143737E9"/>
        <n v="3.246132427E9"/>
        <n v="3.243210033E9"/>
        <n v="5.538533471E9"/>
        <n v="3.243263233E9"/>
        <n v="5.30366235E9"/>
        <n v="5.414620464E9"/>
        <n v="5.343199155E9"/>
        <n v="5.537879625E9"/>
        <n v="3.243364444E9"/>
        <n v="3.243590575E9"/>
        <n v="3.24326201E9"/>
        <n v="3.244000001E9"/>
        <n v="3.246222E9"/>
        <n v="5.326714792E9"/>
        <n v="5.510615627E9"/>
        <n v="3.243255339E9"/>
        <n v="5.441820133E9"/>
        <n v="5.336018872E9"/>
        <n v="3.243225004E9"/>
        <n v="5.421191333E9"/>
        <n v="5.358641838E9"/>
        <n v="3.242319677E9"/>
        <n v="3.245022107E9"/>
        <n v="3.243584411E9"/>
        <n v="3.243251212E9"/>
        <n v="3.243315502E9"/>
        <n v="3.243315302E9"/>
        <n v="5.33351659E9"/>
        <n v="5.350519063E9"/>
        <n v="4446908.0"/>
        <n v="3.24359303E9"/>
        <n v="3.242380023E9"/>
        <n v="5.306015666E9"/>
        <n v="3.246140088E9"/>
        <n v="5.364702226E9"/>
        <n v="5.398845236E9"/>
        <n v="3.242231686E9"/>
        <n v="3.243225655E9"/>
        <n v="5.300928835E9"/>
        <n v="5.061317966E9"/>
        <n v="5.37621872E9"/>
        <n v="5.498207302E9"/>
        <n v="5.498207305E9"/>
        <n v="5.498207306E9"/>
        <n v="5.498207303E9"/>
        <n v="5.498207301E9"/>
        <n v="5.353178183E9"/>
        <n v="5.380594633E9"/>
        <n v="3.243282999E9"/>
        <n v="3.247147136E9"/>
        <n v="5.374388133E9"/>
        <n v="5.527784702E9"/>
        <n v="3.246271617E9"/>
        <n v="3.249991995E9"/>
        <n v="5.454351801E9"/>
        <n v="5.314239643E9"/>
        <n v="3.242393706E9"/>
        <n v="3.243211127E9"/>
        <n v="3.243410327E9"/>
        <n v="3.24326009E9"/>
        <n v="5.448333265E9"/>
        <n v="5.331578233E9"/>
        <n v="5.438683302E9"/>
        <n v="3.243259329E9"/>
        <n v="3.243262379E9"/>
        <n v="3.24325007E9"/>
        <n v="5.324907323E9"/>
        <n v="5.321673162E9"/>
        <n v="5.308179541E9"/>
        <n v="5.445201788E9"/>
        <n v="5.393352575E9"/>
        <n v="5.316303868E9"/>
        <n v="5.301560633E9"/>
        <n v="5.449020027E9"/>
        <n v="5.462880502E9"/>
        <n v="5.436595393E9"/>
        <n v="5.461233347E9"/>
        <n v="3.247120014E9"/>
        <n v="5.523854963E9"/>
        <n v="5.399411536E9"/>
        <n v="5.423883533E9"/>
        <n v="5.378902693E9"/>
        <n v="5.424706843E9"/>
        <n v="3.243584777E9"/>
        <n v="5.313942433E9"/>
        <n v="5.465776644E9"/>
        <n v="3.245153712E9"/>
        <n v="3.2432166E9"/>
        <n v="5.527983313E9"/>
        <n v="3.246246333E9"/>
        <n v="3.243603077E9"/>
        <n v="3.243575045E9"/>
        <n v="5.372047478E9"/>
        <n v="5.374924233E9"/>
        <n v="3.243370553E9"/>
        <n v="5.519591089E9"/>
        <n v="5.304452668E9"/>
        <n v="5.342123693E9"/>
        <n v="3.2432848E9"/>
        <n v="5.521522428E9"/>
        <n v="5.302633378E9"/>
        <n v="5.317632484E9"/>
        <n v="5.306125344E9"/>
        <n v="5.350566033E9"/>
        <n v="5.380305048E9"/>
        <n v="5.36622408E9"/>
        <n v="5.305915033E9"/>
        <n v="5.527263433E9"/>
        <n v="3.243910061E9"/>
        <n v="5.51172732E9"/>
        <n v="5.51041622E9"/>
        <n v="3.245020666E9"/>
        <n v="3.242384056E9"/>
        <n v="3.242904445E9"/>
        <n v="5.355753871E9"/>
        <n v="3.243610272E9"/>
        <n v="3.245020231E9"/>
        <n v="3.243610166E9"/>
        <n v="3.243370693E9"/>
        <n v="3.243212223E9"/>
        <n v="3.243210456E9"/>
        <n v="3.243213356E9"/>
        <n v="5.06806388E9"/>
        <n v="5.510334596E9"/>
        <n v="5.456190169E9"/>
        <n v="5.075218228E9"/>
        <n v="5.369431356E9"/>
        <n v="5.07057937E9"/>
        <n v="3.243262614E9"/>
        <n v="3.243610191E9"/>
        <n v="3.243253454E9"/>
        <n v="3.243277069E9"/>
        <n v="3.24232133E9"/>
        <n v="5.461000042E9"/>
        <n v="3.245037861E9"/>
        <n v="5.416014088E9"/>
        <n v="5.445651769E9"/>
        <n v="5.071532191E9"/>
        <n v="5.36484584E9"/>
        <n v="5.303294832E9"/>
        <n v="3.245161333E9"/>
        <n v="5.3312712E9"/>
        <n v="3.243598989E9"/>
        <n v="3.245150335E9"/>
        <n v="3.243259592E9"/>
        <n v="5.075357373E9"/>
        <n v="3.246244243E9"/>
        <n v="5.53091881E9"/>
        <n v="3.245151318E9"/>
        <n v="5.527456785E9"/>
        <n v="3.242322101E9"/>
        <n v="5.386555757E9"/>
        <n v="3.24515404E9"/>
        <n v="5.397226633E9"/>
        <n v="5.448383633E9"/>
        <n v="5.366473839E9"/>
        <n v="3.245162525E9"/>
        <n v="5.461226066E9"/>
        <n v="5.465457373E9"/>
        <n v="5.386817578E9"/>
        <n v="3.242326067E9"/>
        <n v="3.242385673E9"/>
        <n v="3.246250161E9"/>
        <n v="5.444218611E9"/>
        <n v="3.243285935E9"/>
        <n v="3.247413327E9"/>
        <n v="5.53355635E9"/>
        <n v="5.32436545E9"/>
        <n v="3.246245E9"/>
        <n v="3.24888001E9"/>
        <n v="5.39229078E9"/>
        <n v="3.243412525E9"/>
        <n v="5.39227102E9"/>
        <n v="3.242388778E9"/>
        <n v="3.243411114E9"/>
        <n v="5.323613354E9"/>
        <n v="3.249337314E9"/>
        <n v="3.24515604E9"/>
        <n v="5.416794349E9"/>
        <n v="5.512705292E9"/>
        <n v="5.37823818E9"/>
        <n v="3.243265864E9"/>
        <n v="5.306553371E9"/>
        <n v="5.358301929E9"/>
        <n v="5.431636533E9"/>
        <n v="5.44698561E9"/>
        <n v="3.24327666E9"/>
        <n v="5.451052733E9"/>
        <n v="5.418350545E9"/>
        <n v="3.244822616E9"/>
        <n v="3.243278587E9"/>
        <n v="3.243278586E9"/>
        <n v="5.42485064E9"/>
        <n v="5.308722276E9"/>
        <n v="3.243610177E9"/>
        <n v="5.523885482E9"/>
        <n v="5.418286687E9"/>
        <n v="5.437913547E9"/>
        <n v="5.525051863E9"/>
        <n v="3.243223222E9"/>
        <n v="5.314734343E9"/>
        <n v="5.441992013E9"/>
        <n v="5.392028534E9"/>
        <n v="3.243293363E9"/>
        <n v="3.243291881E9"/>
        <n v="3.24502404E9"/>
        <n v="5.526403385E9"/>
        <n v="5.321000333E9"/>
        <n v="3.243580767E9"/>
        <n v="5.434996533E9"/>
        <n v="3.24327906E9"/>
        <n v="5.350290858E9"/>
        <n v="3.248145003E9"/>
        <n v="5.38740362E9"/>
        <n v="5.308404484E9"/>
        <n v="5.416814733E9"/>
        <n v="3.243588821E9"/>
        <n v="5.367804567E9"/>
        <n v="3.243283201E9"/>
        <n v="3.243291011E9"/>
        <n v="3.243262658E9"/>
        <n v="3.243571114E9"/>
        <n v="3.243255505E9"/>
        <n v="3.245021664E9"/>
        <n v="3.242376767E9"/>
        <n v="5.372165664E9"/>
        <n v="3.243585353E9"/>
        <n v="3.243585088E9"/>
        <n v="3.245150005E9"/>
        <n v="5.454987921E9"/>
        <n v="5.467883356E9"/>
        <n v="5.377175213E9"/>
        <n v="5.335947069E9"/>
        <n v="5.334160006E9"/>
        <n v="3.242381948E9"/>
        <n v="3.243370521E9"/>
        <n v="3.243265566E9"/>
        <n v="3.24328667E9"/>
        <n v="5.424093373E9"/>
        <n v="3.243252779E9"/>
        <n v="5.41908952E9"/>
        <n v="5.527561211E9"/>
        <n v="5.364150233E9"/>
        <n v="5.459503887E9"/>
        <n v="5.304268988E9"/>
        <n v="5.350880351E9"/>
        <n v="3.246241333E9"/>
        <n v="5.492003392E9"/>
        <n v="3.243261601E9"/>
        <n v="5.339286133E9"/>
        <n v="3.245036363E9"/>
        <n v="3.243253838E9"/>
        <n v="5.421221816E9"/>
        <n v="5.305732374E9"/>
        <n v="5.379603724E9"/>
        <n v="3.244815169E9"/>
        <n v="3.243362606E9"/>
        <n v="5.382565707E9"/>
        <n v="5.392509656E9"/>
        <n v="5.335177733E9"/>
        <n v="3.243280211E9"/>
        <n v="5.525089626E9"/>
        <n v="5.306422133E9"/>
        <n v="3.245154455E9"/>
        <n v="3.243294783E9"/>
        <n v="5.528713433E9"/>
        <n v="3.243360337E9"/>
        <n v="5.350505333E9"/>
        <n v="5.362677219E9"/>
        <n v="5.3466606E9"/>
        <n v="5.539337725E9"/>
        <n v="5.541740555E9"/>
        <n v="3.242390979E9"/>
        <n v="3.242330166E9"/>
        <n v="5.3364706E9"/>
        <n v="3.243571698E9"/>
        <n v="3.24515023E9"/>
        <n v="5.512714151E9"/>
        <n v="5.350589707E9"/>
        <n v="5.370581815E9"/>
        <n v="3.249991399E9"/>
        <n v="3.24320981E9"/>
        <n v="5.453587607E9"/>
        <n v="5.378548006E9"/>
        <n v="5.334507848E9"/>
        <n v="3.249995066E9"/>
        <n v="3.249990809E9"/>
        <n v="5.5588333E9"/>
        <n v="5.446332727E9"/>
        <n v="5.336136287E9"/>
        <n v="5.395102033E9"/>
        <n v="5.436333233E9"/>
        <n v="3.245443303E9"/>
        <n v="5.376689496E9"/>
        <n v="5.071651406E9"/>
        <n v="5.332768433E9"/>
        <n v="5.382509804E9"/>
        <n v="5.338183E9"/>
        <n v="5.356858656E9"/>
        <n v="5.3528052E9"/>
        <n v="5.319733565E9"/>
        <n v="5.308331783E9"/>
        <n v="5.330848601E9"/>
        <n v="5.300110888E9"/>
        <n v="5.468592108E9"/>
        <n v="5.307839034E9"/>
        <n v="5.345884492E9"/>
        <n v="3.24515594E9"/>
        <n v="5.455058033E9"/>
        <n v="5.388990133E9"/>
        <n v="3.24714008E9"/>
        <n v="5.526654233E9"/>
        <n v="5.355038334E9"/>
        <n v="5.464713033E9"/>
        <n v="5.4322603E9"/>
        <n v="3.24321213E9"/>
        <n v="5.313245055E9"/>
        <n v="3.24307797E9"/>
        <n v="5.539494979E9"/>
        <n v="5.524792201E9"/>
        <n v="3.249990535E9"/>
        <n v="3.24329333E9"/>
        <n v="5.342025005E9"/>
        <n v="5.413305333E9"/>
        <n v="3.243594757E9"/>
        <n v="3.243250233E9"/>
        <n v="3.243363071E9"/>
        <n v="3.245030015E9"/>
        <n v="3.24358058E9"/>
        <n v="3.249996589E9"/>
        <n v="3.24336466E9"/>
        <n v="3.243274269E9"/>
        <n v="3.242371489E9"/>
        <n v="3.243212017E9"/>
        <n v="3.243594033E9"/>
        <n v="5.541651033E9"/>
        <n v="5.357309265E9"/>
        <n v="3.243585862E9"/>
        <n v="3.243581424E9"/>
        <n v="5.322632668E9"/>
        <n v="3.243361983E9"/>
        <n v="3.243580817E9"/>
        <n v="3.243300014E9"/>
        <n v="5.303683845E9"/>
        <n v="3.246143749E9"/>
        <n v="5.388243783E9"/>
        <n v="5.535673163E9"/>
        <n v="5.352340532E9"/>
        <n v="5.307933833E9"/>
        <n v="5.350449302E9"/>
        <n v="5.536232451E9"/>
        <n v="5.050215732E9"/>
        <n v="5.364874247E9"/>
        <n v="3.246266062E9"/>
        <n v="5.30220328E9"/>
        <n v="3.243293E9"/>
        <n v="5.061507072E9"/>
        <n v="5.395769996E9"/>
        <n v="5.436483535E9"/>
        <n v="5.334102323E9"/>
        <n v="3.249331399E9"/>
        <n v="5.346288533E9"/>
        <n v="5.333326881E9"/>
        <n v="5.351052533E9"/>
        <n v="3.243257579E9"/>
        <n v="5.44854335E9"/>
        <n v="5.431560016E9"/>
        <n v="5.469650101E9"/>
        <n v="3.242230055E9"/>
        <n v="5.389312333E9"/>
        <n v="5.334892262E9"/>
        <n v="3.242333232E9"/>
        <n v="3.24341633E9"/>
        <n v="5.060589688E9"/>
        <n v="5.385210232E9"/>
        <n v="5.526903344E9"/>
        <n v="3.246242121E9"/>
        <n v="3.248142411E9"/>
        <n v="3.243280108E9"/>
        <n v="3.243273444E9"/>
        <n v="3.24327752E9"/>
        <n v="5.301258601E9"/>
        <n v="3.242316207E9"/>
        <n v="5.313857421E9"/>
        <n v="3.243365002E9"/>
        <n v="5.375800684E9"/>
        <n v="3.243581261E9"/>
        <n v="5.495295522E9"/>
        <n v="5.384045669E9"/>
        <n v="5.422505422E9"/>
        <n v="5.510885133E9"/>
        <n v="3.243289757E9"/>
        <n v="3.243255802E9"/>
        <n v="5.459630821E9"/>
        <n v="5.392084028E9"/>
        <n v="5.322680678E9"/>
        <n v="5.327070057E9"/>
        <n v="5.32405069E9"/>
        <n v="5.345671911E9"/>
        <n v="3.249992255E9"/>
        <n v="5.327648134E9"/>
        <n v="5.31692971E9"/>
        <n v="5.363666444E9"/>
        <n v="5.546945245E9"/>
        <n v="5.380535233E9"/>
        <n v="5.523335717E9"/>
        <n v="3.243360613E9"/>
        <n v="3.242388282E9"/>
        <n v="3.243291515E9"/>
        <n v="3.245022929E9"/>
        <n v="5.526794627E9"/>
        <n v="5.356241256E9"/>
        <n v="3.24814981E9"/>
        <n v="3.243260686E9"/>
        <n v="3.243414545E9"/>
        <n v="3.24337361E9"/>
        <n v="3.242323833E9"/>
        <n v="5.436445333E9"/>
        <n v="3.245150715E9"/>
        <n v="3.246222399E9"/>
        <n v="5.389663301E9"/>
        <n v="3.243277525E9"/>
        <n v="3.243283472E9"/>
        <n v="3.243277677E9"/>
        <n v="5.394083931E9"/>
        <n v="5.059983356E9"/>
        <n v="3.245033646E9"/>
        <n v="3.243287008E9"/>
        <n v="5.355044949E9"/>
        <n v="5.523339347E9"/>
        <n v="5.394992733E9"/>
        <n v="3.243573E9"/>
        <n v="3.243592639E9"/>
        <n v="5.530073996E9"/>
        <n v="3.243287979E9"/>
        <n v="3.242380458E9"/>
        <n v="3.24328329E9"/>
        <n v="3.246144951E9"/>
        <n v="3.243260747E9"/>
        <n v="5.531002643E9"/>
        <n v="5.442168096E9"/>
        <n v="5.432553338E9"/>
        <n v="5.49232202E9"/>
        <n v="5.330983373E9"/>
        <n v="3.243273131E9"/>
        <n v="5.510526273E9"/>
        <n v="3.243250605E9"/>
        <n v="5.424475403E9"/>
        <n v="5.539530733E9"/>
        <n v="5.312529612E9"/>
        <n v="5.357251918E9"/>
        <n v="5.330218033E9"/>
        <n v="5.362313218E9"/>
        <n v="5.374413981E9"/>
        <n v="5.339736233E9"/>
        <n v="5.308276203E9"/>
        <n v="5.323661782E9"/>
        <n v="5.343136153E9"/>
        <n v="3.245033363E9"/>
        <n v="3.248165599E9"/>
        <n v="5.357188147E9"/>
        <n v="3.243262631E9"/>
        <n v="5.396465833E9"/>
        <n v="5.013592003E9"/>
        <n v="5.308670338E9"/>
        <n v="3.243270102E9"/>
        <n v="5.326913314E9"/>
        <n v="5.333802733E9"/>
        <n v="5.394666421E9"/>
        <n v="5.376203327E9"/>
        <n v="5.417257356E9"/>
        <n v="3.245039851E9"/>
        <n v="3.243225133E9"/>
        <n v="5.399220403E9"/>
        <n v="5.306473221E9"/>
        <n v="5.411341234E9"/>
        <n v="3.243570747E9"/>
        <n v="3.24239014E9"/>
        <n v="3.242383552E9"/>
        <n v="5.382797267E9"/>
        <n v="5.330377997E9"/>
        <n v="3.2450242E9"/>
        <n v="3.2435978E9"/>
        <n v="5.433818363E9"/>
        <n v="5.31578637E9"/>
        <n v="5.354602338E9"/>
        <n v="5.054733349E9"/>
        <n v="5.551035125E9"/>
        <n v="5.333196308E9"/>
        <n v="5.314082804E9"/>
        <n v="5.30380399E9"/>
        <n v="5.303803911E9"/>
        <n v="5.315177033E9"/>
        <n v="5.39633124E9"/>
        <n v="3.24622003E9"/>
        <n v="5.380539654E9"/>
        <n v="5.050213333E9"/>
        <n v="5.316863189E9"/>
        <n v="5.395275987E9"/>
        <n v="5.492183355E9"/>
        <n v="5.436603419E9"/>
        <n v="5.411203358E9"/>
        <n v="5.074536299E9"/>
        <n v="3.243291966E9"/>
        <n v="5.070255432E9"/>
        <n v="5.062758166E9"/>
        <n v="5.441343563E9"/>
        <n v="3.247145367E9"/>
        <n v="3.246226244E9"/>
        <n v="5.076806969E9"/>
        <n v="3.243363342E9"/>
        <n v="3.243361925E9"/>
        <n v="5.424600151E9"/>
        <n v="5.306601033E9"/>
        <n v="3.243274142E9"/>
        <n v="5.380941922E9"/>
        <n v="5.319718822E9"/>
        <n v="3.24714337E9"/>
        <n v="5.336825983E9"/>
        <n v="3.243291133E9"/>
        <n v="5.072477211E9"/>
        <n v="3.243256565E9"/>
        <n v="5.336400633E9"/>
        <n v="5.383797536E9"/>
        <n v="5.050025452E9"/>
        <n v="5.36765856E9"/>
        <n v="3.243290929E9"/>
        <n v="5.362217978E9"/>
        <n v="3.243220024E9"/>
        <n v="3.246144917E9"/>
        <n v="5.304145535E9"/>
        <n v="5.383498842E9"/>
        <n v="5.322421375E9"/>
        <n v="3.245032218E9"/>
        <n v="5.362955137E9"/>
        <n v="5.073518508E9"/>
        <n v="3.243270028E9"/>
        <n v="5.375795565E9"/>
        <n v="5.335935402E9"/>
        <n v="3.245153912E9"/>
        <n v="5.528678688E9"/>
        <n v="5.333131856E9"/>
        <n v="3.243266599E9"/>
        <n v="5.301643778E9"/>
        <n v="5.38393318E9"/>
        <n v="3.246131131E9"/>
        <n v="5.308330083E9"/>
        <n v="5.494323433E9"/>
        <n v="3.242371188E9"/>
        <n v="5.550222053E9"/>
        <n v="5.303929621E9"/>
        <n v="5.304670333E9"/>
        <n v="5.340789116E9"/>
        <n v="5.413350807E9"/>
        <n v="5.524253585E9"/>
        <n v="5.337017327E9"/>
        <n v="5.449014858E9"/>
        <n v="5.39641992E9"/>
        <n v="5.516333001E9"/>
        <n v="3.243595534E9"/>
        <n v="5.342480101E9"/>
        <n v="5.523520933E9"/>
        <n v="3.246147015E9"/>
        <n v="3.243283434E9"/>
        <n v="5.52699257E9"/>
        <n v="5.30400999E9"/>
        <n v="3.243271324E9"/>
        <n v="3.245022542E9"/>
        <n v="5.443140429E9"/>
        <n v="5.4947774E9"/>
        <n v="5.431933327E9"/>
        <n v="5.382625594E9"/>
        <n v="3.243252231E9"/>
        <n v="3.243367465E9"/>
        <n v="3.243248233E9"/>
        <n v="5.533466518E9"/>
        <n v="5.551458933E9"/>
        <n v="5.531636347E9"/>
        <n v="3.243610825E9"/>
        <n v="5.462472133E9"/>
        <n v="5.539577441E9"/>
        <n v="3.242380391E9"/>
        <n v="3.243264691E9"/>
        <n v="5.317858325E9"/>
        <n v="5.4697521E9"/>
        <n v="3.24325909E9"/>
        <n v="5.352808772E9"/>
        <n v="5.413876343E9"/>
        <n v="3.247146333E9"/>
        <n v="3.242324027E9"/>
        <n v="5.385746386E9"/>
        <n v="5.377039429E9"/>
        <n v="5.550903333E9"/>
        <n v="5.510290508E9"/>
        <n v="5.057587323E9"/>
        <n v="3.243289494E9"/>
        <n v="5.427986788E9"/>
        <n v="5.36423643E9"/>
      </sharedItems>
    </cacheField>
    <cacheField name="İLÇE" numFmtId="0">
      <sharedItems>
        <s v="Erdemli"/>
        <s v="Mezitli"/>
        <s v="Yenişehir"/>
        <s v="Akdeniz"/>
        <s v="Tarsus"/>
        <s v="Silifke"/>
        <s v="Toroslar"/>
        <s v="Anamur"/>
      </sharedItems>
    </cacheField>
    <cacheField name="MAHALLE" numFmtId="0">
      <sharedItems>
        <s v="Merkez 1. Bölge"/>
        <s v="Fatih"/>
        <s v="Güvenevler"/>
        <s v="Çiftlikköy"/>
        <s v="Merkez"/>
        <s v="Viranşehir"/>
        <s v="İnönü"/>
        <s v="Barbaros"/>
        <s v="Aydınlıkevler"/>
        <s v="Cami Şerif"/>
        <s v="Kiremithane"/>
        <s v="Gazi"/>
        <s v="Caminur"/>
        <s v="Mahmudiye"/>
        <s v="Cumhuriyet"/>
        <s v="Göksu"/>
        <s v="Ergenekon"/>
        <s v="Çankaya"/>
        <s v="Kurdali"/>
        <s v="Şehitler Tepesi"/>
        <s v="Zeki Ayan"/>
        <s v="Gazipaşa"/>
        <s v="Osmaniye"/>
        <s v="Öğretmenler"/>
        <s v="Sağlık"/>
        <s v="Altaylılar"/>
        <s v="Halkkent"/>
        <s v="Anıt"/>
        <s v="Şehitishak"/>
        <s v="Barış"/>
        <s v="Yeni"/>
        <s v="Demirtaş"/>
        <s v="Palmiye"/>
        <s v="Yeni Ömerli"/>
        <s v="Batıkent"/>
        <s v="Akdeniz 2. Bölge"/>
        <s v="Mesudiye"/>
        <s v="Akşemsettin"/>
        <s v="Menteş"/>
        <s v="Nusratiye"/>
        <s v="Yalınayak"/>
        <s v="Şehitkerim"/>
        <s v="Müfide İlhan"/>
        <s v="Akdeniz 1. Bölge"/>
        <s v="Merkez 2. Bölge"/>
        <s v="Merkez Köyü 2. Bölge"/>
        <s v="Fuatmorel"/>
        <s v="Alata 2. Bölge"/>
        <s v="İhsaniye"/>
        <s v="Limonluk"/>
        <s v="Akkent"/>
        <s v="Portakal"/>
        <s v="Menderes"/>
        <s v="Akdeniz"/>
        <s v="Şehitmustafa"/>
        <s v="Kargıpınarı 2. Bölge"/>
        <s v="Mithat Toroğlu"/>
        <s v="Akbelen"/>
        <s v="Alsancak"/>
        <s v="Hüseyin Okan Merzeci"/>
        <s v="Tozkoparan"/>
        <s v="Seymenli"/>
        <s v="Kargıpınarı 1. Bölge"/>
        <s v="Atatürk"/>
        <s v="Hürriyet"/>
        <s v="Eski Ömerli"/>
        <s v="Çağdaşkent"/>
        <s v="Alata 1. Bölge"/>
        <s v="Çamlıca"/>
        <s v="Mevlana"/>
        <s v="Turgut Türkalp"/>
        <s v="Mustafa Kemal"/>
        <s v="Dumlupınar"/>
        <s v="Kültür"/>
        <s v="Çopurlu"/>
        <s v="İskele"/>
        <s v="Eğriçam"/>
        <s v="Mersin Üniversitesi Çiftlikköy Merkez Kampüsü"/>
        <s v="Kırklarsırtı"/>
        <s v="Yusuf Kılıç"/>
        <s v="50. Yıl"/>
        <s v="Çilek"/>
        <s v="Deniz"/>
        <s v="Çukurova"/>
        <s v="Üçocak"/>
        <s v="Turunçlu"/>
        <s v="Mithatpaşa"/>
        <s v="Pirireis"/>
        <s v="Turgutreis"/>
        <s v="Bahçelievler"/>
        <s v="İsmetpaşa"/>
        <s v="Tece"/>
        <s v="Yeşilyurt"/>
        <s v="Siteler"/>
        <s v="Taşucu"/>
        <s v="Merkez Köyü 1. Bölge"/>
        <s v="Saray"/>
        <s v="Kocahasanlı 2. Bölge"/>
        <s v="Hamidiye"/>
        <s v="Kuyuluk"/>
        <s v="Bahçe"/>
        <s v="Çavuşlu"/>
        <s v="Fevzi Çakmak"/>
        <s v="Korukent"/>
        <s v="Selçuklar"/>
        <s v="Sarıcalar"/>
        <s v="Limonlu 1. Bölge"/>
        <s v="Kızılmurat"/>
        <s v="Arpaçbahşiş 1. Bölge"/>
        <s v="75.yıl"/>
        <s v="Afetevler"/>
        <s v="Davultepe"/>
        <s v="Güneş"/>
        <s v="Yenice"/>
        <s v="Tömük 2. Bölge"/>
        <s v="Duatepe"/>
        <s v="Gaziler"/>
        <s v="Toros"/>
        <s v="Çeşmeli 2. Bölge"/>
        <s v="Atakent"/>
        <s v="Gündoğdu"/>
        <s v="Çağlayan"/>
        <s v="Akarca"/>
        <s v="Şahin"/>
        <s v="İstiklal"/>
        <s v="Karacailyas Evren"/>
      </sharedItems>
    </cacheField>
    <cacheField name="ADRES" numFmtId="0">
      <sharedItems>
        <s v="Merkez Mah.Erdemoğlu Bulvarı, Erdemli Kültür Merlezi No/44 Erdemli, Mersin"/>
        <s v="Fatih Mah. 30016 Sokak No/2-C Mezitli,Mersin"/>
        <s v="Güvenevler Mah.1904 Sokak No/6-A Yenişehir,Mersin"/>
        <s v="Çiftlikköy Mah.Üniversite Cad.No/42-D Yenişehir,Mersin"/>
        <s v="Akdeniz Mah.Zeytinli Cad. No/5-A Mezitli,Mersin"/>
        <s v="Viranşehir Mah.Milli Egemenlik Cad.No:11-F Mezitli,Mersin"/>
        <s v="Viranşehir mh.milli egemenlik caddesi no11/F - Eski Mezitli Belediye Binası Ve Teb Bankası Arasında 100 mtre aşagıda"/>
        <s v="İnönü Mah.1407 Sokak No/13-A Yenişehir,Mersin"/>
        <s v="Barboros Mah.Gazi Mustafa Kemal Bulvarı No/482-B Yenişehir,Mersin"/>
        <s v="Aydınlıkevler Mah.Gazi Mustafa Kemal Bulvarı No/416-A Yenişehir,Mersin"/>
        <s v="Camiserif Mah. İstiklal Cad Çınar İşhanı Altı No :24 Akdeniz/Mersin"/>
        <s v="Kiremithane Mah.Dr.Cemalettin Tanrıöver Sokak No/9-C Akdeniz,Mersin"/>
        <s v="Gazi Mah.G.M.K Bulvarı No/337 Yenişehir,Mersin"/>
        <s v="Caminur Mah.801 sokak No:1-A Tarsus,Mersin"/>
        <s v="Aydınlıkevler Mah.G.M.K Bulvarı No/402-B Yenişehir,Mersin"/>
        <s v="Çiftlikköy Mah.32133 sokak No/1-B Yenişehir,Mersin"/>
        <s v="Mahmudiye Mah.108.Cad No/14-A Akdeniz,Mersin"/>
        <s v="Cumhuriyet Mah.İsmet İnönü Bulvarı 254/B Yenişehir Mersin"/>
        <s v="Göksu Mah.Fatih Sultan Mehmet Cad.No:15-A Silifke,Mersin"/>
        <s v="Viranşehir Mah.3451 Sokak No/8-A Mezitli,Mersin"/>
        <s v="Merkez Mah.52060 Sokak Özkan Yılmaz Apt.NO/ 18 A Mezitli, Mersin"/>
        <s v="Ergenekon Mah.Fatih Sultan Mehmet Bulvarı No/37-C Tarsus, Erdemli"/>
        <s v="Çankaya Mah.Atatürk 1 Cad.No/26 Akdeniz,Mersin"/>
        <s v="Kurdali Mah.100125 Sokak No/21 Toroslar,Mersin"/>
        <s v="Şehitler Tepesi Mah.Kasım Ekenler Bulvarı No:207-B Tarsus,Mersin"/>
        <s v="Zeki Ayan Mah.Kuvayi Milliye Bulvarı No/261-C Toroslar,Mersin"/>
        <s v="Gazipaşa Mah.M.Akif Ersoy Cad.No/107-F Tarsus,Mersin"/>
        <s v="OSMANİYE MAH. AV. AHMET BOZ CAD. NO:8 K:1 D:4 TOROSLAR / MERSİN"/>
        <s v="Çankaya Mah.İstiklal Cad.No/63-C Akdeniz,Mersin"/>
        <s v="Merkez Mah.G.M.K Bulvarı No/800-G Mezitli,Mersin"/>
        <s v="Öğretmenler Mah.Dumlupınar Bulvarı No/5-D Tarsus,Mersin"/>
        <s v="Mahmudiye Mah.Zeytinli Bahçe Cad.No/103-B Akdeniz,Mersin"/>
        <s v="Sağlık Mah.Kuvayi Milliye Bulvarı No/178-A Toroslar,Mersin"/>
        <s v="Aydınlıkevler Mah.2009 sokak No/11-B Yenişehir,Mersin"/>
        <s v="İnönü Mah.Gazi Mustafa Kemal Bulvarı No/369-B Yenişehir,Mersin"/>
        <s v="Gaziler Mah.Gazi Paşa Bulvarı No/68-B Tarsus, Mersin"/>
        <s v="Halkkent Mah.Köroğlu Cad.No/7 HE Toroslar,Mersin"/>
        <s v="Ergenekon Mah.Fatih Sultan Mehmet Bulvarı No/7B Tarsus,Mersin"/>
        <s v="İsmetpaşa Mah. Rasim Dokur Blv. No:39D Tarsus/Mersin"/>
        <s v="Mithatpaşa Mah.Mehmet Akif Ersoy Cad.No:26-E Tarsus,Mersin"/>
        <s v="Şehitishak Mah.Nene Hatun Cad.Mo:8-A Tarsus, Mersin"/>
        <s v="Barış Mah.İstiklal Cad.No/123-A Akdeniz,Mersin"/>
        <s v="Yeni Mah.5351 Sokak Atatürk Lisesi ,Akdeniz,Mersin"/>
        <s v="Demirtaş Mah.77043 sokak No/1-A Toroslar,Mersin"/>
        <s v="Gazi Mah.2.Cad Burhan Apt No:35-C Yenişehir,Mersin"/>
        <s v="Yeni Ömerli Mah.Kardeş Langen Bulvarı No:4-C Tarsus,Mersin"/>
        <s v="Güvenevler Mah.G.M.K Bulvarı No:370-B Yenişehir,Mersin"/>
        <s v="İnönü Mahallesi . 1406 sokak . No 15/B YENİŞEHİR /Mersin"/>
        <s v="Batıkent Mah.İstemihan Talay Cad.No/169-AC Yenişehir,Mersin"/>
        <s v="Çiflikköy Mah.Üniversite Cad.No/51-A Yenişehir,Mersin"/>
        <s v="Akdeniz Mah.Alparslan Türkeş Bulvarı No:124-C Erdemli,Mersin"/>
        <s v="Mesudiye Mahallesi 5111 Sokak Maliye Binası Alt Sokağı"/>
        <s v="Kırklarsırtı Mah.Yüzbaşı Yaşar Cad.No:7-1 Tarsus,Mersin"/>
        <s v="İnönü Mah.6.Cadde No/8-A Yenişehir,Mersin"/>
        <s v="çiftlikkıöy mahallesi universite caddesi univercity park 47/A, 33140 yenişehir/Mersin"/>
        <s v="Çiftlikköy Mah.Üniversite Cad.Akademi Plaza 41 AC Yenişehir Mersin"/>
        <s v="Fatih Mah.Adnan Menderes Bulvarı No/234-D Mezitli,Mersin"/>
        <s v="Merkez Mah.Zeytinli Cad.No/34-E Mezitli,Mersin"/>
        <s v="Viranşehir Mah.34336 Sokak Mezitli,Mersin"/>
        <s v="Menteş Mah.Barboros Bulvarı No/89-A Yenişehir,Mersin"/>
        <s v="Çiftlikköy Mah.İstemihan Talay Cad.No/229 BC Yenişehir,Mersin"/>
        <s v="Nusratiye Mah. Mehmet Akif Ersoy Cad. No:57/C Akdeniz/Mersin"/>
        <s v="Yeni Mah.Babil Cad.No/16-A Mezitli,Mersin"/>
        <s v="Şehitler Tepesi Mah.Kasım Ekenler Bulvarı No/227-B Tarsus,Mersin"/>
        <s v="Yalınayak Mah.Çiftçiler Cad.No/165-B Toroslar,Mersin"/>
        <s v="Şehitkerim Mah.3427 Sokak No/8 Tarsus,Mersin"/>
        <s v="Çiftlikköy Mah.3209 Sokak Hayal Apt.13 nolu Bağımsız No/14 A Yenişehir, Mersin"/>
        <s v="mezitli merkez mahallesi 52060 sokak no9/A&#10; MEZİTLİ/MERSİN"/>
        <s v="Müfide İlhan Mah.6102 sokak No:37-A Akdeniz,Mersin"/>
        <s v="Güvenevler Mah. 1914. Sk. Boss Point İş Merkezi A Blok zemin kat No:17, 33140 Yenişehir/Mersin"/>
        <s v="Güvenevler, Güvenevler Mahallesi, Dumlupınar Cd. Dogan yıldız iş merkezi c blokNo:14, D:C, 33140 Yenişehir/Mersin"/>
        <s v="Akdeniz Mah.Alparslan Türkeş Bulvarı No/186-B Erdemli,Mersin"/>
        <s v="Akdeniz Mah.Yunus Emre Cad.No:95 Erdemli,Mersin"/>
        <s v="Merkez Mah.Sabahattin Çakmakoğlu Cad.No/24-C Erdemli,Mersin"/>
        <s v="İnönü Mah.1401 Sokak No/32-B Yenişehir Mersin"/>
        <s v="Göksu Mah.Ali Önder Sokak No/34-D Silifke,Mersin"/>
        <s v="arpaç sakallar mahallesi çiftçiler caddesi no:151/b toroslar/mersin"/>
        <s v="FUAT MOREL MAH. 28105 SOKAK NO:58/A YENİŞEHİR , MERSİN YAHYA GÜNSUR LİSESİ KARŞISI"/>
        <s v="Alata Mah.Alparslan Türkeş Bulvarı No/298-B Erdemli,Mersin"/>
        <s v="Çiftlikköy Mah.Üniversite Cad.No 34 A Yenişehir Mersin"/>
        <s v="İhsaniye Mah.Havuzlar Cad.No/40-E Akdeniz, Mersin"/>
        <s v="Menteş Mah.2535 sokak Argün Plaza A blok Altı No/14 C Yenişehir Mersin"/>
        <s v="Limonluk Mah.Vali Hüseyin Aksoy Cad.No/2-124 Yenişehir,Mersin"/>
        <s v="Anıt Mah.Kale Burcu Cad.No/2-2 Tarsus,Mersin"/>
        <s v="Akkent Mah.H.Okan Merzeci Bulvarı No/206-207 (Sayapark Avm) Yenişehir,Mersin"/>
        <s v="Nusratiye Mah.5026 Sokak Yiğit Apt.No/48-B Akdeniz,Mersin"/>
        <s v="Portakal Mah.203 sokak 1.Cad No:241-B Toroslar,Mersin"/>
        <s v="Menderes Mah.Bakanlık Cad.No/8 -B Mezitli,Mersin"/>
        <s v="Akdeniz Mah.Zeytinli Cad.No/3-B Mezitli,Mersin"/>
        <s v="Atatürk Mah.G.M.K Bulvarı No/684 Mezitli,Mersin"/>
        <s v="Barbaros Mah.G.M.K Bulvarı No:484-A Yenişehir,Mersin"/>
        <s v="Zeki Ayan Mah.82029 Sokak No/6-B Toroslar,Mersin"/>
        <s v="İnönü Mah.1405 Sokak No:14-1 Yenişehir,Mersin"/>
        <s v="Şehit Mustafa Mah.Cengiz Topel Cad.Solmaz İşHanı No/4 Tarsus ,Mersin"/>
        <s v="İnönü Mah.1405 Sokak Nigar Mutlu Apt."/>
        <s v="İnönü Mah. 1405 Sok. No:5B Yenişehir Mersin"/>
        <s v="Tömük Mah.Kale Cad.Akdeniz Şok Ziya Erden Sitesi 2 blok No:30 Erdemli,Mersin"/>
        <s v="Mithat Toroğlu Mah.Hüseyin Okan Merzeci Bulvarı No/329-B Toroslar,Mersin"/>
        <s v="Akkent Mah.2357 Sokak No:51-B Yenişehir,Mersin"/>
        <s v="Altaylılar Mah.Orhun Cad.No/67/1-A Tarsus,Mersin"/>
        <s v="Akdeniz Mah.Zeytinli Cad.Barış Plaza No/3 Mezitli,Mersin"/>
        <s v="Akbelen Mahallesi Sabahattin Çakmakoglu Caddesi No33/B, Toroslar, Mersin"/>
        <s v="Limonluk Mah. 18. Cad. İndigo Flat No:86E Yenişehir/Mersin"/>
        <s v="İnönü Mah.1405 Sokak No:41-A Yenişehir,Mersin"/>
        <s v="Alsancak Mah.76004 Sokak No/1-A Toroslar,Mersin"/>
        <s v="Camişerif Mah.5240 Sokak No/2 Akdeniz Mersin"/>
        <s v="Portakal Mah.Karaisalı Cad.Savan Evleri No/17-AB Toroslar,Mersin"/>
        <s v="Ergenekon Mah.Atatürk Bulvarı No:201-B Tarsus,Mersin"/>
        <s v="Merkez Mah.Fındıkpınarı Cad.No:16 Mezitli,Mersin"/>
        <s v="Tozkoparan Mah.Kuvayi Milliye Bulvarı No/232-234, Toroslar,Mersin"/>
        <s v="Seymenli Mah.Çaltana Cad.Çaltana Sitesi No/10-C Mezitli,Mersin"/>
        <s v="Kargıpınarı Mah. Sabahattin Çakmakoğlu Cad.No/260-A Erdemli,Mersin"/>
        <s v="Mesudıye mah. Mehmet Akif Ersoy Cad. Doğanay Apt. No:15/B Akdeniz/MERSİN"/>
        <s v="Cumhuriyet Mah.16.cadde No/18-A Yenişehir,Mersin"/>
        <s v="Atatürk atatürk mah.31047.sk vali egin şenol cad, 33340 Mezitli/Mersin"/>
        <s v="Cumhuriyet Mah.İsmet İnönü Bulvarı No:266-D Yenişehir,Mersin"/>
        <s v="Viranşehir Mah.Cengiz Topel Cad.34224 Sokak No/22 Viranşehir,Mezitli"/>
        <s v="Hürriyet Mah.İsmet İnönü Bulvarı No/123-A Yenişehir,Mersin"/>
        <s v="Güvenevler Mah.1915 Sokak No/14-A Yenişehir,Mersin"/>
        <s v="Atatürk Mah.31087 Sokak B blok No/9-A Mezitli,Mersin"/>
        <s v="Batıkent Mah.2635 sokak No:28-A Yenişehir ,Mersin"/>
        <s v="Menderes Mah.Şehit Fatih Soydan Cad.No/9-F Mezitli, Mersin"/>
        <s v="Eski Ömerli Mah.1337 Sokak No/15 -B Tarsus,Mersin"/>
        <s v="Çağdaşkent Mah.Fatih Sultan Mehmet Bulvarı No/50-C Toroslar,Mersin"/>
        <s v="Çiftlikköy Mah.Üniversite Cad.No/5-E Yenişehir,Mersin"/>
        <s v="Alata Mah.Alparslan Türkeş Bulvarı No/276-B Erdemli,Mersin"/>
        <s v="Menderes Mah.Şehit Fatih Soydan Cad.No:3-A Mezitli,Mersin"/>
        <s v="Çankaya Mah.4721 Sokak No:9-A Akdeniz,Mersin"/>
        <s v="Çamlıca Mah.Fındık Pınarı Cad.No/145-A Mezitli,Mersin"/>
        <s v="Çağdaşkent Mah.Gazi Osman Paşa Cad.No:95 Toroslar,Mersin"/>
        <s v="Nusratiye Mah.5021 Sokak No/33-C Akdeniz,Mersin"/>
        <s v="Turgut Türkalp Mah.79033 sokak No/9-A Toroslar,Mersin"/>
        <s v="Altaylılar Mah.0208 Sokak No:1-B Tarsus,Mersin"/>
        <s v="Mustafa Kemal Mah.98020 Sokak B blok No/3-D Toroslar,Mersin"/>
        <s v="Tozkoparan Mah.Kuvayi Milliye Cad.No/216-C Toroslar,Mersin"/>
        <s v="Dumlupınar Mah.1507 Sokak No:10-A Yenişehir,Mersin"/>
        <s v="Menderes Mah.Milli Egemenlik Cad.No/34-A Mezitli,Mersin"/>
        <s v="Çiftlikköy Mah.34.Cadde No/43 Yenişehir,Mersin"/>
        <s v="Çağdaşkent Mah.213.Cadde No/157-A Toroslar,Mersin"/>
        <s v="Çankaya Mah.108 Cad.No:11-B Akdeniz,Mersin"/>
        <s v="Barış Mah.Gazi Mustafa Kemal Bulvarı No/215-A ,Akdeniz, Mersin"/>
        <s v="Akdeniz Mah.G.M.K Bulvarı No:932-E Mezitli,Mersin"/>
        <s v="İnönü Mah.4.Cad No/9-A Yenişehir,Mersin"/>
        <s v="Kültür Mah.İclal Tan Sokak No/2-B Akdeniz,Mersin"/>
        <s v="Güvenevler Mah.1907 Sokak No/35-B Yenişehir,Mersin"/>
        <s v="Aydınlıkevler, Dumlupınar Cd. No:9, 33140 Yenişehir/Mersin"/>
        <s v="Çopurlu Mah.Merkez Sokak No/118-B Toroslar,Mersin"/>
        <s v="Merkez Mah.52070 Sokak No:3-BE Mezitli,Mersin"/>
        <s v="Güvenevler, 1914. Sk. Boss Point İş Merkezi B Blok No:5 FORUM CİVARI, 33140 Yenişehir/Mersin"/>
        <s v="Göksu Mah.Abdi İpekçi Cad No/11-A Silifke,Mersin"/>
        <s v="Aydınlıkevler Mah.G.M.K Bulvarı No/444-B Yenişehir,Mersin"/>
        <s v="Güvenevler Mah.18.Cadde No/33-D Yenişehir,Mersin"/>
        <s v="Nusratiye Mah.Çakmak Cad.No/86-A Akdeniz,Mersin"/>
        <s v="Akkent Mah.Hüseyin Okan Merzeci Bulvarı (Sayapark Avm)No/152-A Yenişehir,Mersin"/>
        <s v="İskele Mah.Mareşal Fevzi Çakmak Cad.No/71 Anamur,Mersin"/>
        <s v="Aydınlıkevler Mah.2001 Sokak No/57 A Yenişehir ,Mersin"/>
        <s v="Eğriçam Mah.Adnan Menderes Bulvarı Marina Avm No/33 Yenişehir,Mersin"/>
        <s v="Barbaros Mah.Adnan Menderes Bulvarı No:156 Yenişehir,Mersin"/>
        <s v="Barboros Mah.2182 Sokak No/2-A Yenişehir,Mersin"/>
        <s v="Sağlık Mah.202.Cadde No/3-5 Toroslar Mersin"/>
        <s v="Güvenevler Mah.1945 Sokak No:2-C Yenişehir,Mersin"/>
        <s v="Yalınayak Mah.Çiftçiler Cad.No/215-A Toroslar,Mersin"/>
        <s v="Çiftlikköy, Akademi plaza 41/AB, 33110 Yenişehir/Mersin"/>
        <s v="İhsaniye Mah.Kuvayi Milliye Cad.No/115 A Akdeniz,Mersin"/>
        <s v="Çankaya Mah.Kuvayi Milliye Cad.No/69-C Akdeniz,Mersin"/>
        <s v="Menteş Mah.38 Cadde No:47 Yenişehir,Mersin"/>
        <s v="Merkez Mah. 52003 Sok No:5A Mezitli/Mersin"/>
        <s v="Çiftlikköy Mah.Üniversite Cad.No/33-29 Yenişehir,Mersin"/>
        <s v="İnönü Mah.1405 Sokak Yenişehir ,Mersin"/>
        <s v="Akdeniz Mah.Gazi Mustafa Kemal Mah.No/902-D Mezitli,Mersin"/>
        <s v="Çiftlikköy Mah.Üniversite Cad.No/3 Yenişehir,Mersin"/>
        <s v="Fuat Morel Mah.Kanal Yolu 2819 Sokak No/23 Yenişehir,Mersin"/>
        <s v="Barboros Mah.Menderes Bulvarı No/144-C Yenişehir,Mersin"/>
        <s v="Kırklarsırtı Mah.2613 sokak No/9-B Tarsus,Mersin"/>
        <s v="İnönü, Kushimoto Sk., 33130 Yenişehir/Mersin"/>
        <s v="Çankaya Mah.4702 Sokak No/13 A Akdeniz, Mersin"/>
        <s v="Çiftlikköy Mah.34.Cad.No:83-D Yenişehir,Mersin"/>
        <s v="Şehitishak Mah.Atatürk Cad.No/114-A Tarsus,Mersin"/>
        <s v="Aydınlıkevler Mah.2004 Sokak No:13-A Yenişehir,Mersin"/>
        <s v="Merkez Mah.Celil Kiya Sokak No:6-D Erdemli,Mersin"/>
        <s v="Yeni Mahalle Mah.33166 Sokak No:46 Mezitli,Mersin"/>
        <s v="Güvenevler Mah.1910 Sokak N0/17-B Yenişehir,Mersin"/>
        <s v="Cumhuriyet Mah.İsmet İnönü Bulvarı No/99-A Yenişehir,Mersin"/>
        <s v="Fuat Morel Mah.İsmet İnönü Bulvarı 2818 Sokak No/330-A Yenişehir,Mersin"/>
        <s v="Yusuf Kılıç Mah.Kuvayi Milliye Cad.No:381-A Toroslar,Mersin"/>
        <s v="Güvenevler Mah.1904 Sokak No/22 Yenişehir,Mersin"/>
        <s v="Alata Mah.Erdemoğlu Mah.No/207-A Erdemli,Mersin"/>
        <s v="Çiftlikköy Mah.İstemihan Talay Cad.Özlem 1 Üniversite Konutları B blok No/229 Yenişehir,Mersin"/>
        <s v="İnönü Mah.1403 Sokak No/31-A Yenişehir,Mersin"/>
        <s v="Çiftlikköy Mah.Üniversite Cad.İhsan Yıldırım Apt.No/14 B Yenişehir,Mersin"/>
        <s v="Kiremithane Mah.İstiklal Cad.No/9-A Akdeniz,Mersin"/>
        <s v="50.Yıl Mah.20 Cad.Zigana Plus No/53-BD Yenişehir,Mersin"/>
        <s v="Yenimahalle Mah.Çakmak Cad.Starpet No/6-B Akdeniz,Mersin"/>
        <s v="Hüseyin Okan Merzeci Mah.Akbelen Bulvarı No:133 Toroslar,Mersin"/>
        <s v="Çilek Mah.63196 sokak Sanayi Sitesi No/3-43 Akdeniz,Mersin"/>
        <s v="Merkez Mah.Alparslan Türkeş Bulvarı No/63-F Erdemli, Mersin"/>
        <s v="Öğretmenler Mah.Şehit İsmet Akın Cad.No:3-AD Tarsus,Mersin"/>
        <s v="Akdeniz Mah.Alparslan Türkeş Bulvarı No/168-D Erdemli,Mersin"/>
        <s v="Menteş Mah.İstemihan Talay Cad.No/84-A Yenişehir,Mersin"/>
        <s v="Güvenevler Mah.Dumlupınar Cad.No/18-C Yenişehir,Mersin"/>
        <s v="Güvenevler, 1910. Sk. 13/A, 33140 Yenişehir/Mersin"/>
        <s v="Limonluk Mah.18.Cadde Moda Park Butik No/76-A Yenişehir,Mersin"/>
        <s v="Merkez Mah.Vatan Cad.No:21-D Mezitli,Mersin"/>
        <s v="Deniz Mah.Sahil yolu cad.Marvelous Evleri altı No/104-A Mezitli,Mersin"/>
        <s v="Hürriyet Mah.İsmet İnönü Bulvarı N0/280-D Yenişehir,Mersin"/>
        <s v="İskele Mah.1704 Sokak No/2-1 Mersin,Anamur"/>
        <s v="Akdeniz Mah.Alparslan Türkeş Bulvarı No:124-B Erdemli,Mersin"/>
        <s v="Şehit Mustafa Mah.3501 Sokak No/7-C Tarsus,Mersin"/>
        <s v="Kültür Mah.İsmet İnönü Bulvarı No/132-B Akdeniz,Mersin"/>
        <s v="Menderes Mahallesi Şehit Fatih Soydan Cad. No.3A Mezitli/Mersin"/>
        <s v="Çiftlikköy, Üniversite Cd., 33110 Yenişehir/Mersin"/>
        <s v="Çağdaşkent Mah.Mimar Sinan Bulvarı No:65-A Toroslar,Mersin"/>
        <s v="Çukurova Mah.223 Cad.No:233-A Toroslar,Mersin"/>
        <s v="Arpaçsakarlar Mah.Çiftçiler Cad.No:334-B Toroslar,Mersin"/>
        <s v="Atatürk Mah.Sanayi Cad.No/38-L Mezitli,Mersin"/>
        <s v="Üçocak Mah.M.Ahmet Cad.No/35-C Akdeniz,Mersin"/>
        <s v="Çukurova Mah.Akbelen Bulvarı No/214-A Toroslar,Mersin"/>
        <s v="Osmaniye Mah.Kuvayi Milliye Cad.No/241-A Toroslar,Mersin"/>
        <s v="Limonluk Mah.Hüseyin Okan Merzeci Bulvarı No/412-C Yenişehir,Mersin"/>
        <s v="Çukurova Mah.Gözne Cad.No/125-A Toroslar,Mersin"/>
        <s v="Turunçlu Mah.G.M.K Bulvarı No/158-A Toroslar,Mersin"/>
        <s v="50.Yıl Mah.2742 Sokak No/5-1 Yenişehir,Mersin"/>
        <s v="Yeni Mah.5340 Sokak No/12-A Akdeniz,Mersin"/>
        <s v="Çiftlikköy Mah.Üniversite Cad.No/57-A Yenişehir,Mersin"/>
        <s v="Atatürk, Vali Şenol Engin Cd., 33340 Mezitli/Mersin"/>
        <s v="Mithatpaşa Mah. Mersinli Ahmet Cad.No:43-A Akdeniz,Mersin"/>
        <s v="Akdeniz Mah.Alparslan Türkeş Bulvarı No/148-C Erdemli,Mersin"/>
        <s v="Eğriçam Mah.2224 Sokak No/13-C Yenişehir,Mersin"/>
        <s v="Pirireis Mah.İsmet İnönü Bulvarı No/22-A Yenişehir,Mersin"/>
        <s v="Turgutreis Mah.4132 Sokak No:2-A Akdeniz,Mersin"/>
        <s v="Altaylılar Mah.Turan Cad.No/1 A Tarsus,Mersin"/>
        <s v="Çankaya Mah.Atatürk 1 Cad.Mersin Çarşısı No:26 Akdeniz,Mersin"/>
        <s v="Bahçelievler Mah.1804 Sokak No/17-A Yenişehir,Mersin"/>
        <s v="Barbaros Mah.Adnan Menderes Bulvarı No:164-A Yenişehir, Mersin"/>
        <s v="Merkez Mah.Yunus Bey Cad.No/87-C Erdemli,Mersin"/>
        <s v="Şehitmustafa Mah.Muvaffak Uygur Bulvarı No/9 -B Tarsus,Mersin"/>
        <s v="Merkez Mah.Vatan Cad.No/11-C Mezitli,Mersin"/>
        <s v="Güvenevler Mah. 1914. Sok. Bosspoint İş Merkezi, 33140 Yenişehir/Mersin"/>
        <s v="Çiftlikköy Mah.Hüseyin Okan Merzeci Bulvarı No/692-AA Yenişehir,Mersin"/>
        <s v="Furatmorel Mah.Hüseyin Okan Merzeci Bulvarı No/692-AA Yenişehir,Mersin"/>
        <s v="Bahçelievler Mah.1809 sokak No/13-B Yenişehir,Mersin"/>
        <s v="Menderes Mah. Limon Cad. No:9A Mezitli Mersin"/>
        <s v="Aydınlıkevler Mah.2012 Sokak No/11-C Yenişehir,Mersin"/>
        <s v="Pirireis Mah.1116 Sokak No:16-B Yenişehir,Mersin"/>
        <s v="Mevlana Mah.Mersinli Ahmet Bulvarı No:107-C Toroslar,Mersin"/>
        <s v="Göksu Mah.Uyar Sokak No:5-B Silifke,Mersin"/>
        <s v="Özlem Üniversite konutları 2 B Blok no:63, Üniversite Cd., 33110 Yenişehir"/>
        <s v="Yeni Ömerli Mah.4114 sokak No:1-B Tarsus,Mersin"/>
        <s v="Atatürk Mah.31050 sokak No:2 Mezitli,Mersin"/>
        <s v="Güvenevler Mahallesi 1910 sokak no:7/B Yenişehir / Mersin"/>
        <s v="Çiftlikköy Mah.Üniversite Cad.Ziraat Bankası Karşısı 44 A Yenişehir Mersin"/>
        <s v="Gmk Bulvarı İnönü Mahallesi 387/b (mega Platin Karşısı) Pozcu Yenişehir Mersin"/>
        <s v="Eğriçam Mah.2256 Sokak No/24-A Yenişehir,Mersin"/>
        <s v="Mithatpaşa Mah.Çiftçiler Cad.No/24-C Akdeniz,Mersin"/>
        <s v="Mithatpaşa Mah.Çiftçiler Cad.No:24-A Akdeniz,Mersin"/>
        <s v="Merkez Mah.Şehit Ömer Serin Sokak No/5-C Erdemli,Mersin"/>
        <s v="Akbelen Mah.84115 Sokak No/9-A Toroslar,Mersin"/>
        <s v="Akdeniz Mah.Serinler Cad.No:41-E Erdemli,Mersin"/>
        <s v="Göksu Mah.Ali Öner Sokak No:4-A Silifke,Mersin"/>
        <s v="Merkez Mah.Türbe Cad.No/76-E Erdemli,Mersin"/>
        <s v="Akdeniz Mah.1002 Sokak No:4-D Erdemli,Mersin"/>
        <s v="Güvenevler Mah.Barboros Bulvarı İrfan Gök Apt.94/ C Yenişehir,Mersin"/>
        <s v="Deniz Mah.Balaban Cad.No:22-B Mezitli,Mersin"/>
        <s v="Yeni Ömerli Mah.Hilmi Seçkin Blv.No/21-B Tarsus, Mersin"/>
        <s v="Mithat Toroğlu Mah.Kuvayi Milliye Bulvarı No/320-B Toroslar,Mersin"/>
        <s v="Çiftlikköy Mah.Hüseyin Okan Merzeci Bulvarı Turk - Sat Sİtesi B blok No/688 İç Kapı No/1 Yenişehir Mersin"/>
        <s v="Deniz Mah.49304 Sokak Ablok No/8-B Mezitli,Mersin"/>
        <s v="Şahit mustafa mh muvaffak uygur blv. No 27/D kültür merkezin sağ çaprazında ciğerci apo yanı."/>
        <s v="Şehitler Tepesi mah. Atatürk Bulvarı Zeynep apt altı no: 216C"/>
        <s v="Çağdaşkent Mah.229.Cad N0/8-2A"/>
        <s v="Aydınlıkevler Mah.Dumlupınar Mah.No/19 Yenişehir, Mersin"/>
        <s v="Pirireis Mah.Silifke Cad.No/197 Yenişehir,Mersin"/>
        <s v="Aydınlıkevler Mah.Gazi Mustafa Kemal No:396-B Yenişehir,Mersin"/>
        <s v="Yeşilyurt Mah.23 Nisan Cad.No:43 Anamur,Mersin"/>
        <s v="Anıt Mah.Şehitler Cad.No/5-A Tarsus,Mersin"/>
        <s v="Merkez Mah.Alparslan Türkeş Bulvarı No/262 Erdemli,Mersin"/>
        <s v="Çiftlikköy, İsmet İnönü Blv. 688 B, 33110 Yenişehir/Mersin"/>
        <s v="Camişerif Mah.Uray Cad.No:35 FG Akdeniz,Mersin"/>
        <s v="Merkez Mah.Gezer Sokak No:5-D Erdemli,Mersin"/>
        <s v="Barboros Mah.Nevit Kodallı Cad.No/16 -A Yenişehir, Mersin"/>
        <s v="İnönü Mah.1405 Sokak.Mersin Vektör Konaklama No/14-B Yenişehir,Mersin"/>
        <s v="Çiftlikköy Mah.Hüseyin Okan Merzeci Bulvarı No/690 -A Yenişehir,Mersin"/>
        <s v="Siteler Mah.160.Cadde No/72-A Akdeniz,"/>
        <s v="Göksu Mah.Atatürk Bulvarı No/18 -C Silifke,Mersin"/>
        <s v="Taşucu Mah.Atatürk Cad.No/210-A Silifke ,Mersin"/>
        <s v="Mesudiye Mah. Kuvai Milliye Cad.Şenol Apt. No:64/B Akdeniz/Mersin"/>
        <s v="Kocahasanlı Mah.Atatürk Bulvarı No:14-A Erdemli,Mersin"/>
        <s v="Cami Şerif Mah.5222 Sokak No:5-A Akdeniz,Mersin"/>
        <s v="Menteş Mah.Hüseyin Okan Merzeci Bulvarı No/550-A Yenişehir,Mersin"/>
        <s v="Mahmudiye Mah.Bahçeler Cad.No/13-A Akdeniz,Mersin"/>
        <s v="Yeni Mah.33195 Sokak No/9-B Mezitli,Mersin"/>
        <s v="Çankaya Mah.İsmet İnönü Bulvarı No/118 Akdeniz,Mersin"/>
        <s v="Viranşehir Mah.34326 Sokak No/23-B Mezitli,Mersin"/>
        <s v="Kiremithane Mah.Silifke Cad.No/60-A Akdeniz,Mersin"/>
        <s v="Atatürk Mah.31035 sokak No:23-A Mezitli,Mersin"/>
        <s v="Çiftlikköy Mah.İstemihan Talay Cad.No/256-B Yenişehir,Mersin"/>
        <s v="Eğriçam Mah.Nevit Kodallı Cad.No/41-A Yenişehir,Mersin"/>
        <s v="Merkez mah. Eskiköy cad. Tigris 4 apt. No:32/D Altı gelecek okulları karşısı."/>
        <s v="ismet inönü blv. 147 A yenişehir"/>
        <s v="Bahçelievler mah.H.O.Merzeci bulvarı no:480/b Dilek Tantuni yenişehir/mersin"/>
        <s v="Akdeniz Mah.Yaşar Dogu Cad.No/7-A Mezitli,Mersin"/>
        <s v="Korukent Mah. 243 Cad. No:18/1C Toroslar/Mersin"/>
        <s v="Atatürk Mah.Gazi Mustafa Kemal Bulvarı No/650-A Mezitli,Mersin"/>
        <s v="Merkez Mah.G.M.K Bulvarı No/810-A Mezitli,Mersin"/>
        <s v="Bahçelievler Mah.Hüseyin Okan Merzeci Bulvarı No/501-A Yenişehir,Mersin"/>
        <s v="Yalınayak Mah.102044 Sokak No:5-A Toroslar,Mersin"/>
        <s v="Kiremithane Mah. İstiklal Cad. Taç Yıldız Apt. No:123B Akdeniz Mersin"/>
        <s v="GÜVENEVLER MAH.DUMLUPINAR CAD. 22/E DOGAN YILDIZ APARTMANI ALTI YENİŞEHİR / MERSİN"/>
        <s v="Merkez Mah.Vatan Cad.No/12-A Mezitli,Mersin"/>
        <s v="Hürriyet Mah.İsmet İnönü bulvarı No/286-A Yenişehir,Mersin"/>
        <s v="Merkez Mah.Ali Çavuş Sokak No:3-C Erdemli,Mersin"/>
        <s v="Çankaya Mah.İstiklal Cad.No/9-A Akdeniz,Mersin"/>
        <s v="Akdeniz Mah.Kazım Karabekir Cad.No/15-A Erdemli,Mersin"/>
        <s v="Esentepe Mah.Atatürk Bulvarı No/20-D Anamur,Mersin"/>
        <s v="Akdeniz mahallesi Cumhuriyet caddesi Mersinapark 3 sitesi altı no 12/E Mezitli MERSİN"/>
        <s v="Nusratiye Mah.Gazi Mustafa Kemal Bulvarı Çiftçiler Cad.No:73-A Akdeniz,Mersin"/>
        <s v="Fatih Mah.Adnan Menderes Bulvarı No/234-A Mezitli,Mersin"/>
        <s v="Aydınlıkevler Mah. Gazi Mustafa Kemal Blv. 388/A Yenişehir, Mersin"/>
        <s v="Viranşehir Mahallesi Cengiz Topel Caddesi Atay Sitesi A Blok altı No.17/A-B, 33340 Mezitli/Mersin"/>
        <s v="Çiftlikköy Mah.Şakir Son Cad.No/20-BD Yenişehir,Mersin"/>
        <s v="Çiftlikköy Mah. Şakir Son Cad. No:20DB Yenişehir/Mersin"/>
        <s v="Tozkoparan Mah.Kuvayi Milliye Bulvarı No:180-A Toroslar,Mersin"/>
        <s v="Eğriçam Mah.2275 Sokak Deniz Sitesi No/5-A Yenişehir,Mersin"/>
        <s v="Altaylılar Mah.0208 Sokak No-1 / B Tarsus,Mersin"/>
        <s v="Yeni Ömerli Mah.Atatürk Bulvarı No:56 Tarsus, Mersin"/>
        <s v="Gazi Mah.G.M.K Bulvarı No/341-D Yenişehir,Mersin"/>
        <s v="Yalıevleri Mah. Adnan Menderes Cad. No:1/10 Anamur/Mersin"/>
        <s v="Viranşehir Mah.347 Sokak No/12 Mezitli,Mersin"/>
        <s v="Şehitishak Mah. Nene Hatun Cad. No:15H Tarsus/Mersin"/>
        <s v="Merkez Mah.Alparslan Türkeş Bulvarı No/248-B Erdemli,Mersin"/>
        <s v="Kültür Mah.Cengiz Topel Cad.No:28-A Akdeniz,Mersin"/>
        <s v="Çankaya Mah.4702 Sokak No/4-A Akdeniz,Mersin"/>
        <s v="Deniz Mah.Gazi Paşa Cad.No:45-C Mezitli,Mersin"/>
        <s v="Ergenekon Mah.Fatih Sultan Mehmet Bulvarı No/47-A Tarsus,Mersin"/>
        <s v="Kiremithane Mah.Silifke Cad.No/68-A Akdeniz,Mersin"/>
        <s v="Taşucu Mah.İsmet İnönü Mah.No/44-B Silifke,Mersin"/>
        <s v="İhsaniye Mah.Kuvayi Milliye Cad.No/109-E Akdeniz,Mersin (Akarsu Plaza)"/>
        <s v="Merkez Mah.52136 Sokak No/2-A Mezitli,Mersin"/>
        <s v="Batıkent Mah.İstemihan Talay Cad. No/143 Yenişehir,Mersin"/>
        <s v="Osmaniye Mah.Cuma Ali Ağırman Sokak No/1-A Toroslar,Mersin"/>
        <s v="Hürriyet Mah.1763 Sokak No/7-B Yenişehir,Mersin"/>
        <s v="Kargıpınarı Mah.Erdemli Cad.No/93-B Erdemli,Mersin"/>
        <s v="Akbelen mah.Akbelen Bulvarı, No :116/A, Toroslar, Mersin"/>
        <s v="Çankaya Mah.Fındıkpınarı Cad.No/152-A Mezitli,Mersin"/>
        <s v="Kuyuluk Mah.Fındıkpınarı Cad.No/43-A Mezitli,Mersin"/>
        <s v="Merkez Mah.Serinler Cad.No:80-A Erdemli,Mersin"/>
        <s v="Çağdaşkent Mah.Fatih Sultan Mehmet Bulvarı No/43-A Toroslar,Mersin"/>
        <s v="Prireis Mah.Silifke Cad.No/176-A Yenişehir,Mersin"/>
        <s v="Merkez Mah.Sabahattin Çakmakoğlu Cad.1 A Erdemli Mersin"/>
        <s v="A, Menderes Mahallesi, Limon Caddesi No:3, 33340 Mezitli/Mersin"/>
        <s v="Güvenevler mahallesi 1914 sokak Boss Point İş Merkezi B blok no:5, 33110 Yenişehir/Mersin"/>
        <s v="Merkez Mah.Sabahattin Çakmakoğlu Cad.No/3-C Erdemli,Mersin"/>
        <s v="İskele Mah.İnönü Cad.No:15 Anamur,Mersin"/>
        <s v="Merkez Mah.Gazi Mustafa Kemal Bulvarı No/814-B Mezitli,Mersin"/>
        <s v=".Fındıkpınarı Cad. No/252-B Mezitli,Mersin"/>
        <s v="Şehitishak Mah.Nene Hatun Cad.No:3-B Tarsus,Mersin"/>
        <s v="Çiftlikköy Mah.3272 Sokak Alone 9 Apt No:6-B Yenişehir ,Mersin"/>
        <s v="Saray Mah.Fevzi Çakmak Cad.No:80-A Silifke,Mersin"/>
        <s v="Çukurova Mah.Gözne Cad.no/27-B Toroslar,Mersin"/>
        <s v="Çiftlikköy Mah.Üniversite Cad.No/41AE Yenişehir,Mersin"/>
        <s v="Merkez Mah.Alparslan Türkeş Bulvarı No/541 Erdemli ,Mersin"/>
        <s v="Çiftlikköy Mah.Üniversite Cad.Özdiker Corona No/42-DB Yenişehir,Mersin"/>
        <s v="Limonluk Mah.İsmet İnönü Bulvarı No:314-B Yenişehir,Mersin"/>
        <s v="Bahçelievler mh., no:72, yenişehir"/>
        <s v="Bahçelievler Mah. 1.Cad. Can Aydoğan Apt. Altı No:37 Yenişehir/MERSİN"/>
        <s v="Merkez Mah.Vatan Cad.Siyena21 Şehriyıldız Sitesi E blok 21 E , D Blok No/29 Mezitli, Mersin"/>
        <s v="Menteş mahallesi Nevit kodallı caddesi, 2541. Sk., 33150 Yenişehir"/>
        <s v="Deniz Mah.Kıbrıs Cad.No/16-B Mezitli,Mersin"/>
        <s v="Çankaya Mah.İstiklal Cad.No/65 Akdeniz, Mersin"/>
        <s v="Deniz Mah.Uygur Cad.Adem Bilal Sitesi B blok N0/25 -B"/>
        <s v="Nusratiye Mah.Kuvayi Milliye Cad.No/126-E Akdeniz,Mersin"/>
        <s v="Eğriçam mah adnan menderes bulvarı Kıratlı apt no: 170/B Yenişehir/ Mersin"/>
        <s v="Güvenevler mah koray apt 1915 sk A2 Blok no: 10/B Yenişehir / Mersin"/>
        <s v="Bahçelievler, 16. Cadde No:47, 33120 Yenişehir/Mersin"/>
        <s v="Mesudiye Mah.Çakmak Cad.N0:63-A Akdeniz,Mersin"/>
        <s v="Eğriçam Mah.Nevit Kodallı Cad.No/27-C Yenişehir,Mersin"/>
        <s v="Kültür Mah.4314 Sokak No/1-1 Akdeniz,Mersin"/>
        <s v="Çankaya Mah.Zeytinlibahçe Cad.No/22 -A Akdeniz,Mersin"/>
        <s v="Yeni Mah.Sanayi Cad.No:25-C Mezitli,Mersin"/>
        <s v="Menderes Mah.Bakanlık Cad.No/8-BC Mezitli,Mersin"/>
        <s v="Güvenevler Mah.1913 Sokak No/16-A Yenişehir,Mersin"/>
        <s v="Çiftlikköy Mah.Mersin Üniversitesi Kampüs Alanı Küme Evler Garden Off Dreams Cafe No:28 Yenişehir,Mersin"/>
        <s v="Barbaros Mah.Adnan Menderes Bulvarı No:144-B Yenişehir,Mersin"/>
        <s v="Bahçe mahallesi İstiklal caddesi no 90/B Nobel otel karşısı 7 noter bitişiği Akdeniz Mersin"/>
        <s v="Kürdali Mah. Selçuklar Çiftçiler Cad N0: 206/ D 33250 Toroslar,Mersin"/>
        <s v="Çavuşlu Mah. Kuvayi Miliye Cad N0: 382 33220 Toroslar,Mersin"/>
        <s v="Çankaya Mah.4726 Sokak No:6-A Akdeniz,Mersin"/>
        <s v="Menderes Mah.35435 Sokak No/23-B Mezitli,Mersin"/>
        <s v="Şehit Mustafa Mah. Muvaffak Uygur Bulvarı No/23-A Tarsus,Mersin"/>
        <s v="Deniz Mah.Halil Giran Cad.Tece Center C blok No:6 / D Mezitli,Mersin"/>
        <s v="Şehit Mustafa Mah.M.Uygur Bulvarı Semih Apt.No/21-A Tarsus,Mersin"/>
        <s v="Akkent mah hüseyin okan merzeci bulvarı Akdeniz avm No: 759 iç kapı no: 220/A Yenişehir/ Mersin"/>
        <s v="50.Yıl Mah.Ali Mutlu Kaya Cad.No/14-D Yenişehir,Mersin"/>
        <s v="İhsaniye Mah.4909 Sokak No:50 Akdeniz,Mersin"/>
        <s v="Merkez Mahallesi 52006 Sokak 2/A"/>
        <s v="Göksu Mah.Abdi İpekçi Mah.Sütlüoğlu Apt.No/27-E Silifke,Mersin"/>
        <s v="Fevzi Çakmak Mah.Adana Bulvarı No/57 Tarsus AVM ,Mersin"/>
        <s v="Zeki Ayan Mah.Kuvayi Milliye Bulvarı No/291-A Toroslar,Mersin"/>
        <s v="Dumlupınar, Adnan Menderes Blv. 122/A, 33130 Yenişehir/Mersin"/>
        <s v="Güvenevler Mah.1910 Sokak No/23-A Yenişehir,Mersin"/>
        <s v="Hüseyin Okan Merzeci Mah. 219_2.Cad No:40-A Toroslar,Mersin"/>
        <s v="Güvenevler Mah.1925 Sokak Pınar Apt.No/7-A Yenişehir,Mersin"/>
        <s v="Limonluk Mah.Vali Hüseyin Aksoy Cad.Palm City Avm No/2-304 Yenişehir,Mersin"/>
        <s v="Öğretmenler Mah.Rasim Dokur Bulvarı No/10-C Tarsus,Mersin"/>
        <s v="İhsaniye Mah.Kuvayi Milliye Cad.No/167-A Akdeniz,Mersin"/>
        <s v="Akdeniz Mah.Gazi Mustafa Kemal Bulvarı No:805-A Mezitli,Mersin"/>
        <s v="Güvenevler, Dumlupınar Cd. No:18, 33140, 33140 Yenişehir/Mersin"/>
        <s v="Sanayi Cd. No:4,Yeni Mahallesi, 33330, 33400 Mezitli"/>
        <s v="Şehit Mustafa Mah.Muvaffak Uygur Bulvarı Güneş Apt.No:13-A Tarsus,Mersin"/>
        <s v="Menderes Mah.35404 Sokak No/20-A Mezitli,Mersin"/>
        <s v="Çamlıca Mah.Koru Cad.No/4-1 B Mezitli,Mersin"/>
        <s v="Fatih Mah., Adnan Menderes Blv., No:210/B,"/>
        <s v="Eski Ömerli Mah.Hilmi Şeçkin Bulvarı No:14-A Tarsus,Mersin"/>
        <s v="Kurdali Mah.100051 Sokak No/12 Toroslar,Mersin"/>
        <s v="Tozkoparan Mah.Kuvayi Milliye Bulvarı No/238-B Toroslar,Mersin"/>
        <s v="Yalınayak Mah.Çiftçiler Cad.No/322-BB Toroslar,Mersin"/>
        <s v="Demirtaş Mah.77014 sokak No:27 -A Toroslar,Mersin"/>
        <s v="Çankaya Mah.Silifke Cad.No/22 Akdeniz,Mersin"/>
        <s v="Merkez Mah.Alparslan Türkeş Bulvarı No/541 Novacity Avm Erdemli,Mersin"/>
        <s v="Merkez Mah.G.M.K Bulvarı No/814-A Mezitli,Mersin"/>
        <s v="Güvenevler Mah.G.M.K Bulvarı No/348-B Yenişehir,Mersin"/>
        <s v="Güvenevler Mah.1.Cad Forum Mersin Avm No/120-225 Yenişehir,Mersin"/>
        <s v="Güvenevler Mah.1.Cadde Forum Avm No/120-208 Yenişehir,Mersin"/>
        <s v="İnönü Mah.1406 Sokak No/22-A Yenişehir,Mersin"/>
        <s v="Selçuklar Mah.212 Cadde No/2-A Toroslar,Mersin"/>
        <s v="İnönü Mah. Gazi Mustafa Kemal Blv. M.Akarsu Apt. No:391 A Yenişehir /Mersin"/>
        <s v="Gazi Mustafa Kemal Bulvarı, 724, 33200 Yeni, Mersin, Türkiye"/>
        <s v="Çankaya Mah.İstiklal Cad.No/82-A Akdeniz,Mersin"/>
        <s v="Çankaya Mah. Soğuksu Cad. No:19A Akdeniz Mersin"/>
        <s v="Şehit Mustafa Mah.Şehit Cengiz Topel Cad.A blok No:4 Tarsus,Mersin"/>
        <s v="Çiftlikköy Mah.Üniversite Cad.No/33-B Yenişehir,Mersin"/>
        <s v="İnönü Mah.1404 Sokak No:18-C Yenişehir,Mersin"/>
        <s v="Halkkent Mah.Fatih Sultan Mehmet Bulvarı A blok No/25-8 Toroslar,Mersin"/>
        <s v="Sağlık Mah.Kuvayi Milliye Bulvarı No:158-B Toroslar,Mersin"/>
        <s v="Caminur Mah. Cengiz Topel Cad. Işık Apt. No:40 Tarsus,Mersin"/>
        <s v="Hüseyin Okan Merzeci Mah.97020 Sokak No:4-A Toroslar,Mersin"/>
        <s v="Akdeniz Mah.Alparslan Türkeş Bulvarı No/160-C Erdemli,Mersin"/>
        <s v="Çiftlikköy Mah.Üniversite Cad.No/74-A Yenişehir,Mersin"/>
        <s v="Yeni Mah.Çakmak Cad.No/30-D Akdeniz,Mersin"/>
        <s v="Şehit İshak Mah. Atatürk Bulvarı No/128 Tarsus, Mersin"/>
        <s v="Mithat Toroğlu Mah.Kuvayi Milliye Bulvarı Biniciler Apt. No/342- A Toroslar,Mersin"/>
        <s v="Tozkoparan Mah.207. Cadde No/145-A Toroslar,Mersin"/>
        <s v="Yalınayak Mah.Çiftçiler Cad.No/338 Toroslar,Mersin"/>
        <s v="Akdeniz Mah.Cumhuriyet Cad.No/12-B Mezitli,Mersin"/>
        <s v="Aydınlıkevler Mah.2021 sokak No:18-A Yenişehir,Mersin"/>
        <s v="Güvenevler Mah.Gazi Mustafa Kemal Bulvarı, 1901 sok, No:512-A Yenişehir,Mersin"/>
        <s v="Saray Mah.İnönü Bulvarı No/106-A Silifke,Mersin"/>
        <s v="Korukent Mah. 243 Sok. No:18B Toroslar/Mersin"/>
        <s v="Altaylılar Mah.Turan Cad.No/28-A Tarsus,Mersin"/>
        <s v="Hürriyet Mah.İsmet İnönü Bulvarı No/292-D Yenişehir,Mersin"/>
        <s v="Anıt Mah. Mehmet Akif Ersoy Cad. No:23D Tarsus Mersin"/>
        <s v="Öğretmenler Mah.Şehit İsmet Akın Cad Tarsus, Mersin"/>
        <s v="Çankaya Mahallesi İstiklal Caddesi No:62"/>
        <s v="H.Okan Merzeci Bulvarı Karaisalı Cad.No:1 -A Toroslar,Mersin"/>
        <s v="Menteş Mah.38.Cadde No/59 A Yenişehir,Mersin"/>
        <s v="Güvenevler Mah.G.M.K Bulvarı No:350-D Yenişehir,Mersin"/>
        <s v="Nusratiye Mah.Mehmet Akif Ersoy Cad.No:49-B Akdeniz,Mersin"/>
        <s v="Hürriyet Mah.16.Cad. Aksoy Apt.No:84-C Yenişehir,Mersin"/>
        <s v="Viranşehir Mah.Viranşehir Cad.No/11-A Mezitli,Mersin"/>
        <s v="Güvenevler Mah.1901 Sokak Okay Apt.No/10 C Yenişehir Mersin"/>
        <s v="Güvenevler Mah.1901 Sokak Gazi Apt.No:14-C Yenişehir,Mersin"/>
        <s v="Çiftlikköy Mah.34.Cadde Balkar Plaza No/43-AG Yenişehir,Mersin"/>
        <s v="Bahçelievler Mah.1809 Sokak No:2-C Yenişehir,Mersin"/>
        <s v="Sağlık Mah.Çiftçiler Cad.No/35-A Toroslar,Mersin"/>
        <s v="Çiftlikköy Mah.İstemihan Talay Cad.Kardelen Sitesi No/237-C Yenişehir,Mersin"/>
        <s v="Çiftlikköy Mah.3225 Sokak No:10-B Yenişehir,Mersin"/>
        <s v="Menteş Mah.2554 Sokak No/9-A Yenişehir,Mersin"/>
        <s v="Merkez Mah.G.M.K Bulvarı No/808-A Mezitli,Mersin"/>
        <s v="İnönü Mah.1405 Sokak No/14-1 Yenişehir,Mersin"/>
        <s v="Barbaros Mah.Hüseyin Okan Merzeci Bulvarı No/617-A Yenişehir,Mersin"/>
        <s v="Göksu Mah.66 Sokak Neriman Hanım Apt.No/13-B Silifke,Mersin"/>
        <s v="Yalınayak Mah. Çiftçiler Cad. No:136/AB Toroslar Mersin"/>
        <s v="Göksu Mah.Abdi İpekçi Bulvarı No:25-A Silifke,Mersin"/>
        <s v="Hürriyet Mah.1.Cadde A blok No/50-1 Yenişehir,Mersin"/>
        <s v="Menteş Mah.2598 Sokak No/1-A Yenişehir,Mersin"/>
        <s v="Fuat Morel Mah.2894 Sokak No:24-A Yenişehir,Mersin"/>
        <s v="Selçuklar Mah.90055 sokak No/1-A Toroslar,Mersin"/>
        <s v="Siteler Mah.Gazi Mustafa Kemal Bulvarı No/28-C Akdeniz,Mersin"/>
        <s v="Atatürk Mah.G.M.K Bulvarı Medical Park Hastanesi Yanı Mezitli,Mersin"/>
        <s v="mersin il milli eğitim müdürlüğü karşısı"/>
        <s v="Sarıcılar Mah.Türkmenli Sokak No:12 Silifke,Mersin"/>
        <s v="Merkez Mah.Sabahattin Çakmakoğlu No/7-D Erdemli,Mersin"/>
        <s v="Turgut Türkalp Mah.Akbelen Bulvarı No/49-C Toroslar,Mersin"/>
        <s v="Güvenevler Mah.18 Cadde 1707 Sokak Özlem Apt.N0/15-A Yenişehir,Mersin"/>
        <s v="Antika Döner, Tarsus Mersin"/>
        <s v="Yeni Ömerli Mah.İstiklal Cad.No/5-A Tarsus,Mersin"/>
        <s v="atatürk mahallesi sanayi caddesi özzafer sitesi c blok altı İsmail Usta Tantuni ve Biftek salonu mezitli/mersin"/>
        <s v="Çağdaşkent Mah.Fatih Sultan Mehmet Bulvarı No/48-A Toroslar,Mersin"/>
        <s v="Kültür Mah.Atatürk Caddesi Fuar Apartmanı altı No: 25 Akdeniz, Mersin"/>
        <s v="Çiftlikköy Mah.H.Okan Merzeci Bulvarı No:690-A Yenişehir,Mersin"/>
        <s v="Mesudiye Mah.5113 Sokak No/46-B Akdeniz,Mersin"/>
        <s v="Yeni Mah.33205 Sokak No/3-J Mezitli, Mersin"/>
        <s v="Caminur Mah.0811 Sokak No/1-A Tarsus,Mersin"/>
        <s v="Aydınlıkevler mahallesi dumlupınar caddesi fırat apartmanı a blok no:7 c yenişehir mersin"/>
        <s v="Göksu Mah.Oğuz Kağan Cad.No:22-C Silifke,Mersin"/>
        <s v="Limonluk Mah.İsmet İnönü Bulvarı No:143-C Yenişehir,Mersin"/>
        <s v="Dumlupınar Mah.1520 Sokak No/16-C Yenişehir,Mersin"/>
        <s v="Çiftlikköy Mahallesi, Şakirson Caddesi 57/A Yenişehir, Mersin ( Çiftlikköy Mahalle Muhtarlığı Karşısı)"/>
        <s v="Çiftlikköy Mah.Şakir Son Cad.No:57-A Yenişehir,Mersin"/>
        <s v="Akdeniz Mah.Akdeniz Cad.No:26 Mezitli,Mersin"/>
        <s v="Çiftlikköy Mah.İstemihan Talay Cad.No/245-A Yenişehir,Mersin"/>
        <s v="Merkez Mah.Eskiköy Cad.No/20-D Mezitli,Mersin"/>
        <s v="Eğriçam Mah.Adnan Menderes Bulvarı No/33 Yenişehir,Mersin"/>
        <s v="Şehitler Tepesi Mah.Kasım Ekenler Bulvarı No/207-C Tarsus. Mersin"/>
        <s v="Limonluk Mah.İsmet İnönü Bulvarı No/320-B Yenişehir,Mersin"/>
        <s v="Çiftlikköy Mah.Üniversite Cad.Akademi Plaza 41 AG Yenişehir Mersin"/>
        <s v="Çavuşlu Mah.Gözne Cad.No/150 Toroslar,Mersin"/>
        <s v="Çiftlikköy Mh. Üni. Cad. No:41 Akademi Plaza A, 33090 Yenişehir/Mersin"/>
        <s v="Bahçe Mah.İstiklal Cad.Atlıhan Oteli No/138-A Akdeniz,Mersin"/>
        <s v="Akdeniz Mah.Zeytinli Cad.No/5-B Mezitli, Mersin"/>
        <s v="İnönü, 1405. Sk. No:25, 33130 Yenişehir/Mersin"/>
        <s v="Çiftlikköy Mah.Üniversite Cad.No/5-B Yenişehir, Mersin"/>
        <s v="Çiftlikköy Mah. Mimar Sinan Cad. No:26C Yenişehir Mersin"/>
        <s v="Çiftlikköy Mah.Mimar Sinan Cad.No/26-C Yenişehir,Mersin"/>
        <s v="Çiftlikköy, Üniversite Cd. No:31, 33110 Yenişehir/Mersin"/>
        <s v="İhsaniye Mah.Kuvayi Milliye Cad.No/127-B Akdeniz,Mersin"/>
        <s v="Yusuf Kılıç Mah.Kuvayi Miliye Bulvarı No:373-B Toroslar,Mersin"/>
        <s v="Akbelen Mah.Kuvayi Milliye Bulvarı No/423-A"/>
        <s v="Zeki Ayan Mah.Kuvayi Milliye Bulvarı No/215-A Toroslar,Mersin"/>
        <s v="Merkez Mah.2004 Sokak N0:3 -D Erdemli,Mersin"/>
        <s v="Portakal Mah.Akbelen Bulvarı No/79-A Toroslar, Mersin"/>
        <s v="Öğretmenler Mah.Dumlupınar Bulvarı No/1-2B Tarsus,Mersin"/>
        <s v="Merkez Mah.Ali Çavuş Sokak No/3-G Erdemli,Mersin"/>
        <s v="Yeni Ömerli Mah.4113 Sokak No/2 Tarsus,Mersin"/>
        <s v="limonlu mahallesi Milli egemenlik caddesi no:76A Erdemli/mersin"/>
        <s v="Hürriyet Mah.İsmet İnönü Bulvarı No:272-A Yenişehir,Mersin"/>
        <s v="Güvenevler Mah.G.M.K Bulvarı No:376-C Yenişehir,Mersin"/>
        <s v="Eğriçam Mah.Nevit Kodallı Cad.No/35-E Yenişehir,Mersin"/>
        <s v="Barış Mah.4505 sokak No:9-B Akdeniz,Mersin"/>
        <s v="Gazi Mustafa Kemal bulvarı Mehmet ulaş işhanı kerebiçci Oğuz"/>
        <s v="Merkez Mah.Fındıkpınarı Cad.Kuyuluk Plaza No:59-B Mezitli,Mersin"/>
        <s v="Barbaros Mah.Nevit Kodallı Cad.No/36-A Yenişehir,Mersin"/>
        <s v="Çiftlikköy Mah.İstemihan Talay Cad.No/223-A Yenişehir,Mersin"/>
        <s v="Kerebiççi Oğuz Hürriyet Şube (Ekmek konağı civarı, Yörüksüt yanı)"/>
        <s v="Aydınlıkevler Mah.2002 Sokak No:5-A Yenişehir,Mersin"/>
        <s v="Yeni Mah.İsmet İnönü Bulvarı C blok altı No/46-E Mezitli,Mersin"/>
        <s v="Alata Mah.Alparslan Türkeş Bulvarı No336/A Erdemli, Mersin"/>
        <s v="Kasım Ekenler Bulvarı No/180 A Mahmut Şentut Apt Altı Tarsus,Mersin"/>
        <s v="Yeni Ömerli Mah.4113 Sokak No/12-A Tarsus,Mersin"/>
        <s v="Viranşehir Mah.34301 Sokak No:12-A Mezitli,Mersin"/>
        <s v="Akdeniz Mah.Alparslan Türkeş Bulvarı No/186-F Erdemli,Mersin"/>
        <s v="Bahçelievler Mah.18.Cadde No/49-A Yenişehir,Mersin"/>
        <s v="Akdeniz Mah. Atatürk Cad. No:132-1 Erdemli Mersin"/>
        <s v="Yenimahalle Mah.5321 Sokak No/30-A Akdeniz,Mersin"/>
        <s v="Merkez Mah.Alparslan Türkeş Bulvarı No:240-A Erdemli,Mersin"/>
        <s v="Kargıpınarı Mah.Uygur Sokak No:18-A Erdemli,Mersin"/>
        <s v="Camişerif Mah.Çakmak Cad.No/19-A Akdeniz,Mersin"/>
        <s v="Merkez Mah.Türbe Cad.No/42-A Erdemli,Mersin"/>
        <s v="Merkez Mah.Türbe Cad.No:8-B Erdemli,Mersin"/>
        <s v="Kızılmurat Mah.Kemal Tursubay sokak No:4 Tarsus, Mersin"/>
        <s v="Alata Mah Alparslan Türkeş Bulvarı No:699A- Erdemli,Mersin"/>
        <s v="Pirireis Mah.İsmet İnönü Bulvarı No/3-A Yenişehir,Mersin"/>
        <s v="Akdeniz Mah.Alparslan Türkeş Bulvarı No:132-C Erdemli,Mersin"/>
        <s v="Korukent Mah.96138 sokak No/2-A Toroslar,Mersin"/>
        <s v="Arpaçbahşiş Mah.201 Bulvar No/102-A Erdemli,Mersin"/>
        <s v="Öğretmenler Mah.2923 Sokak No:15-B Tarsus,Mersin"/>
        <s v="Cami Şerif Mah.Çakmak Cad.No/19-A Akdeniz,Mersin"/>
        <s v="Bahçe Mah.İstiklal Cad No/92-D Akdeniz,Mersin"/>
        <s v="Anıt Mah.Atatürk Bulvarı No:71-A Tarsus,Mersin"/>
        <s v="Çiftlikköy Mah. Üniversite Cad. Akademi Plaza 37 nolu bağımsız NO:41 Ak Yenişehir/Mersin"/>
        <s v="Barbaros Mahallesi Nevit Kodallı Caddesi (Nevit Kodallı)"/>
        <s v="Taşucu Mah.İsmet İnönü Cad.No:38-A Silifke,Mersin"/>
        <s v="Yusuf Kılıç Mahallesi 83023 Sokak numara no/1-A Toroslar,Mersin"/>
        <s v="75.Yıl Mah.G.M.K Bulvarı No/1058 BA Mezitli,Mersin"/>
        <s v="Caminur Mah.İsmet Paşa Bulvarı No:47-A Tarsus,Mersin"/>
        <s v="Saray Mah.Bankalar Cad.No:13-A Anamur,Mersin"/>
        <s v="Osmaniye Mah.208 Cadde N0/33-3 Toroslar,Mersin"/>
        <s v="Akkent Mah.Hüseyin Okan Merzeci Bulvarı No/759 Yenişehir,Mersin"/>
        <s v="İnönü Mah.1405 Sokak Nigar Mutlu Apt. Yenişehir,Mersin"/>
        <s v="Menteş Mah.2598 Sokak No:33-A Yenişehir,Mersin"/>
        <s v="Kiremithane Mah.Silifke Cad.No/101 Akdeniz,Mersin"/>
        <s v="Deniz Mah.3070 Sokak No/2-A Yenişehir,Mersin"/>
        <s v="Çiftlikköy Mah.Ali Kaya Mutlu Cad.No/224-D Yenişehir,Mersin"/>
        <s v="Merkez, Vatan Cd. 23 I, 33330 Mezitli/Mersin"/>
        <s v="Alata Mah.Erdemoğlu Bulvarı No/94-A Erdemli,Mersin"/>
        <s v="Merkez Mah.Türbe Cad.2004 Sokak N0/3-A Erdemli,Mersin"/>
        <s v="Merkez Mah.Zeytinli Cad.No/41-A Mezitli,Mersin"/>
        <s v="Güneş Mah. 5819 sok. No:22/A Akdeniz/MERSİN"/>
        <s v="Barboros Mah.G.M.K Bulvarı No:486-B Yenişehir,Mersin"/>
        <s v="Deniz Mah.Kıbrıs Cad.No/8-A Mezitli,Mersin"/>
        <s v="Akkent Mah. 2636 Sok. No:24A Yenişehir/Mersin"/>
        <s v="Portakal Mah.80023 Sokak No/14-A Toroslar,Mersin"/>
        <s v="Hürriyet Mah.16.Cadde No/54-C Yenişehir, Mersin"/>
        <s v="Mesudiye Mah.5116 Sokak No/34 Akdeniz,Mersin"/>
        <s v="Osmaniye Mah.Kuvayi Milliye Bulvarı No:197 Toroslar,Mersin"/>
        <s v="Seymenli Mah.Gazi Mustafa Kemal Bulvarı No/1186-A Mezitli,Mersin"/>
        <s v="Merkez Mah.G.M.K Bulvarı Üç Bal Sitesi Altı 882/F Mezitli Mersin"/>
        <s v="Barboros Mah.G.M.K Bulvarı Güvenç Apt.B blok No/473 C Yenişehir Mersin"/>
        <s v="Dumlupınar Mah.Adnan Menderes Mah.No/42-A Yenişehir,Mersin"/>
        <s v="Menderes Mah.Limon Cad.No/33-A Mezitli,Mersin"/>
        <s v="Çiftlikköy Mah.Üniversite Cad.Özlem Konutları B blok No/36-BB Yenişehir,Mersin"/>
        <s v="Sağlık Mah.Fahri Görgülü Cad.No/41-3 Anamur,Mersin"/>
        <s v="Saray Mah.Cavit Erden Sokak No/54-C Silifke,Mersin"/>
        <s v="Çiftlikköy Mah.3257 Sokak Deren Sitesi C Blok No/1 C A Yenişehir Mersin"/>
        <s v="Eğriçam Mah.Adnan Menderes Bulvarı No/180-4 Yenişehir,Mersin"/>
        <s v="Sağlık Mah.Çiftçiler Cad.No/51-A Toroslar,Mersin"/>
        <s v="Güvenevler Mah.1915 sokak No:1-A Yenişehir,Mersin"/>
        <s v="Afetevler Mah.31134 sokak No:1-C Yenişehir,Mersin"/>
        <s v="Cumhuriyet Mah.1 Cad.Zekeriya Bayık Apt.No/35-D Yenişehir,Mersin"/>
        <s v="İnönü Mah.1405 Sokak No/5-A Yenişehir,Mersin"/>
        <s v="Güvenevler Mahallesi Dumlupınar Caddesi No : 18, 33140 Yenişehir/Mersin"/>
        <s v="Bahçelievler Mah.Hüseyin Okan Merzeci Bulvarı No/501-B Yenişehir,Mersin"/>
        <s v="Nusratiye Mah.5003 sokak No:57-B Akdeniz,Mersin"/>
        <s v="Bahçelievler Mah.1808 Sokak No/1-A Yenişehir,Mersin"/>
        <s v="Menderes, 35415. Sk., 33340 Mezitli/Mersin"/>
        <s v="Akdeniz Mah. Fatih Cad. No:13D Mezitli Mersin"/>
        <s v="İnönü Mah.1405 Sokak No/13-B Yenişehir,Mersin"/>
        <s v="Merkez Mah.Binali Yıldırım Cad.No:3-A Erdemli,Mersin"/>
        <s v="Esentepe Mah.23 Nisan Cad.No:20/B Anamur,Mersin"/>
        <s v="Merkez Mah.Erdemoğlu Bulvarı No:72-A Erdemli,Mersin"/>
        <s v="Çiftlikköy Mah.Üniversite Cad.No:62-A Yenişehir,Mersin"/>
        <s v="İhsaniye Mahallesi 4905 Sokak Karataş Apt No :18 Akdeniz ,Mersin"/>
        <s v="Atatürk Mah.G.M.K Bulvarı No/650-B Mezitli,Mersin"/>
        <s v="Menderes Mah.Doğaner Apt.Altı No/709 A blok Mezitli, Mersin"/>
        <s v="Aydımlıkevler Mah.2040 Sokak İslamoğlu Apt.No/2-B Yenişehir,Mersin"/>
        <s v="Hürriyet Mah.1.Cad No/46-C Yenişehir, Mersin"/>
        <s v="Eğriçam Mah.Nevit Kodallı Cad.No/27-A Yenişehir,Mersin"/>
        <s v="Merkez Mahallesi Gazi Mustafa Kemal Bulvarı Berk Apartmanı No: 816 A Mezitli/Mersin"/>
        <s v="Barbaros Mah.Adnan Menderes Bulvarı No:144-A Yenişehir,Mersin"/>
        <s v="Çiftlikköy Mah.Üniversite Cad.No/42-C Yenişehir,Mersin"/>
        <s v="Bahçe Mah.İstiklal Cad.Kamer Apt.No/124-C Akdeniz,Mersin"/>
        <s v="Aydınlıkevler Mah.G.M.K Bulvarı Novana Otel Karşısı Yenişehir,Mersin"/>
        <s v="G.M.K Bulvarı Davultepe Mah.Sunguroğlu Kaan Apt. Altı Merkez Biftek Tantuni Davultepe /Mezitli"/>
        <s v="Fatih Mah.Gazi Mustafa Kemal Bulvarı Dikoğlu Apt.No/575 A Mezitli Mersin"/>
        <s v="Merkez Mah. Laleli Sok. No:10C Erdemli/Mersin"/>
        <s v="Çiftlikköy Mah.Üniversite Cad.No/82-AE Mezitli,Mersin"/>
        <s v="Akdeniz Mah.Fatih Cad.No/30-A Mezitli,Mersin"/>
        <s v="75.Yıl Mah.G.M.K Bulvarı Kent Sitesi C blok altı Davultepe,Mersin"/>
        <s v="İnönü Mah.Kushımato Sokak Kayran Apt.No/4-A Yenişehir,Mersin"/>
        <s v="Çankaya Mah.4716 Sokak No/30-F Akdeniz,Mersin"/>
        <s v="Hamidiye Mah.Silifke Cad. No/147 -A Akdeniz,Mersin"/>
        <s v="Mahmudiye Mah.Bahçeler Cad. No:37-A Akdeniz,Mersin"/>
        <s v="Hürriyet Mah.İsmet İnönü Bulvarı N0:292-A Yenişehir,Mersin"/>
        <s v="Güvenevler Mah.1902 Sokak No/3-C Yenişehir,Mersin"/>
        <s v="Çiftlikköy Mah.Üniversite Cad.No:48 -D Yenişehir,Mersin"/>
        <s v="Cumhuriyet Mah.16.Cadde No/8-D Yenişehir,Mersin"/>
        <s v="Akdeniz Mah.Yaşar Doğu Cad.No:23-C Mezitli,Mersin"/>
        <s v="Menderes Mah.35417 Sokak Soylu Plaza Altı No/46-B Mezitli,Mersin"/>
        <s v="Çankaya Mah.4701 sokak No:10 Akdeniz,Mersin"/>
        <s v="Kurdali Mah.100070 sokak No/18-A Toroslar,Mersin"/>
        <s v="İnönü Mah.1403 Sokak Durukan Apt.No/8-C Yenişehir,Mersin"/>
        <s v="Çağdaşkent Mah.Fatih Sultan Mehmet Bulvarı A blok No/64-D Toroslar,Mersin"/>
        <s v="Öğretmenler Mah.Rasim Doker Bulvarı No/2-1 AC Tarsus,Mersin"/>
        <s v="Camişerif Mah.5211 Sokak No/11-A Akdeniz,Mersin"/>
        <s v="Dumlupınar Mah.Adnan Menderes Bulvarı No/98-A Yenişehir,Mersin"/>
        <s v="Merkez Mah. Eskiköy Cad. No:36 Mezitli Mersin"/>
        <s v="Menderes Mah.35406 Sokak No:3-A Mezitli,Mersin"/>
        <s v="Güvenevler Mah.1909 Sokak No:4-A Yenişehir,Mersin"/>
        <s v="Merkez Mah.Vatan Cad.B Blok No/11-A Mezitli,Mersin"/>
        <s v="Güneş Mah.142.Cad No/68-A Akdeniz,Mersin"/>
        <s v="G.M.K Bulvarı No/130-H Mezitli,Mersin"/>
        <s v="İhsaniye Mah.Sait Çiftçi Cad.No/25-B Akdeniz,Mersin"/>
        <s v="Merkez Mah.Zeytinli Cad.No/24-E Mezitli,Mersin"/>
        <s v="Bahçelievler Mah.16 Cad.No/101-B Yenişehir,Mersin"/>
        <s v="YENİ MAHALLE MÜCAHİTLER CADDESİ NO:7"/>
        <s v="Eğriçam Mah.Gazi Mustafa Kemal Bulvarı A Blok No/500 C Yenişehir,Mersin"/>
        <s v="Göksu Mah.Uyar Sokak No/1-A Silifke,Mersin"/>
        <s v="Deniz Mah.19. Cad No:16-1 Yenişehir,Mersin"/>
        <s v="Merkez Mah.Erdemoğlu Bulvarı No/64-A Erdemli ,Mersin"/>
        <s v="Hürriyet mah. 1726 sokak no:38 Yenişehir Mersin mizan dondurma arçelik beko yanı çamlıca konutları karşısı"/>
        <s v="Cumhuriyet Mah.16.Cad No:16-A Yenişehir,Mersin"/>
        <s v="İhsaniye Mah.4914 Sokak No/26 Akdeniz,Mersin"/>
        <s v="Merkez Mah.Erdemoğlu Bulvarı No:153-EA Erdemli,Mersin"/>
        <s v="Yenimahalle Mah.33153 Sokak Gökay Konutları No/4-A Mezitli,Mersin"/>
        <s v="Güvenevler Mah.33140 Sokak Dumlupınar Cad.Yenişehir,Mersin"/>
        <s v="İnönü Mah.Kushımato Sokak Kanarya Apt.No/15-A Yenişehir,Mersin"/>
        <s v="Gazi Mah. 1314 Sok. No:22/A Yenişehir/Mersin"/>
        <s v="Yeni Mah.33172 Sokak Eylül Apt.No/3 Mezitli,Mersin"/>
        <s v="Hamidiye Mah.Silifke Cad.Atay Apt No/159 C Akdeniz,Mersin"/>
        <s v="Çankaya Mah.4711 Sokak No:12-A Akdeniz,Mersin"/>
        <s v="50.Yıl Mah.Ali Mutlu Kaya Cad.No/61-A Yenişehir,Mersin"/>
        <s v="Viranşehir Mah.Cengiz Topel Cad 331 Sokak No:23 Mezitli,Mersin"/>
        <s v="Merkez Mah.Laleli Sokak No:14-A Erdemli,Mersin"/>
        <s v="Yusuf Kılıç Mah.Kuvayi Milliye Cad.No/299-D Yenişehir,Mersin"/>
        <s v="Menderes mahallesi gmk bulvarı 777/B&#10; (Opel gedizler karşısı)&#10; Mezitli /Mersin"/>
        <s v="Menderes Mah.Limon Cd.No/3-D Mezitli,Mersin"/>
        <s v="Sağlık Mah.86004 sokak No/12-A Toroslar,Mersin"/>
        <s v="Şehitkerim Mah.Adana Bulvarı No/58-D Tarsus,Mersin"/>
        <s v="Merkez Mah.Türbe Cad.No:78-E Erdemli,Mersin"/>
        <s v="Altaylılar Mah.0239 Sokak No:2 Tarsus,Mersin"/>
        <s v="Barbaros Mah.10.Cadde Çiftçioğlu Apt.No/2-B Yenişehir,Mersin"/>
        <s v="Merkez Mah.Fındıkpınarı Cad.No/64-AB Mezitli,Mersin"/>
        <s v="Anıt Mah. Atatürk Blv. No:105E Tarsus Mersin"/>
        <s v="ÇAVUŞLU MAH. GÖZNE CAD. NO:130-134C TOROSLAR/MERSİN"/>
        <s v="Yeni Ömerli Mah.4114 Sokak No/ 11- A Tarsus,Mersin"/>
        <s v="Mevlana Mah.Mersinli Ahmet Bulvarı No/140 Toroslar,Mersin"/>
        <s v="Çavuşlu Mah.Gözne Cad.No:152 Toroslar,Mersin"/>
        <s v="Kargıpınarı Mah.Erdemli Cad.No/83-A Erdemli,Mersin"/>
        <s v="Gazipaşa Mahallesi 1907 Sokak No: 2/B Tarsus,Mersin"/>
        <s v="Çağdaşkent Mah.Fatih Sultan Mehmet Bulvarı No/95-A Toroslar,Mersin"/>
        <s v="Mithat Toroğlu Mah.207. Cad No:154-B Toroslar,Mersin"/>
        <s v="İnönü Mah.1403 Sokak No/32-B Yenişehir,Mersin"/>
        <s v="Alsancak Mah.Cengiz Topel Cad.No/143 Toroslar,Mersin"/>
        <s v="Hamidiye Mah.Silifke Cad.No/167-10 Akdeniz Mersin"/>
        <s v="Viranşehir Mah.Cengiz Topel Caddesi Akdeniz Plaza No/31 H Mezitli Mersin"/>
        <s v="Mithat Toroğlu Mah. K.Milliye Cad. No:418/A"/>
        <s v="Çiftlikköy Mah. Şakirson Cad. Zeybek Apt. No: 33"/>
        <s v="Hürriyet, 1. Cd., 33120 Yenişehir/Mersin"/>
        <s v="çankaya mah. silifke cad. no:36 C Akdeniz"/>
        <s v="Çankaya Mah.Zeytinlibahçe Cad.Tansal İşhanı No/15 B Akdeniz Mersin"/>
        <s v="İhsaniye Mah.Kuvayi Milliye Cad.No/109 C Akdeniz,Mersin"/>
        <s v="Mesudiye Mah.Çakmak Cad.Çukurova Apt.No/77 C Akdeniz Mersin"/>
        <s v="Akdeniz Mah.Kazım Karabekir Cad.No/37-D Erdemli,Mersin"/>
        <s v="Tömük Mah.Kale Cad.No/9-D Erdemli,Mersin"/>
        <s v="Akdeniz Mah. Soli Center Gazi Mustafa Kemal Blv No: 932/B Mezitli / Mersin"/>
        <s v="Göksu Mah.Atatürk Bulvarı No/54-C Silifke,Mersin"/>
        <s v="Duatepe Mah.İsmet Paşa Bulvarı No/55-G Tarsus,Mersin"/>
        <s v="Şehitkerim Mah.Adana Bulvarı No/22-C Tarsus,Mersin"/>
        <s v="Yeni Ömerli Mah.Atatürk Bulvarı No/78-A Tarsus,Mersin"/>
        <s v="Hüseyin Okan Merzeci Mah.Lale Gıda Yanı Toroslar,Mersin"/>
        <s v="Osmaniye Mah.Kuvayi Milliye Bulvarı No/213-A Toroslar,Mersin"/>
        <s v="Batıkent Mah. İstemihan Talay Cad. Life Court Sitesi A blok No: 6"/>
        <s v="Çiftlikköy Mah.Şakir Son Cad.No/33-B Yenişehir,Mersin"/>
        <s v="Fuatmorel Mah.2894 Sokak No/32-A Yenişehir,Mersin"/>
        <s v="Gazi Mah.G.M.K Bulvarı Orkide Apt.No/33 B Yenişehir, Mersin"/>
        <s v="Güvenevler Mah.1904 Sokak No/8-B Yenişehir,Mersin"/>
        <s v="Hürriyet Mah. İsmet İnönü Bulvarı 1. Cad. No: 46/B"/>
        <s v="Öğretmenler Mah. Dumlupınar Cad. No:51/A Tarsus/Mersin"/>
        <s v="Akdeniz Mah.G.M.K Bulvarı No:904-C Mezitli,Mersin"/>
        <s v="Hürriyet Mah.1.Cad.No/46-C Yenişehir,Mersin"/>
        <s v="İhsaniye Mah.Zeytinlibahçe Cad.No/4 Akdeniz,Mersin"/>
        <s v="Çiftlikköy Mah.Üniversite Cad.Özlem 1 Üniversite Konutları A Blok No:35-A Yenişehir,Mersin"/>
        <s v="Atatürk Mah.31085 Sokak No/6 Mezitli,Mersin"/>
        <s v="Gazi Mah.Adnan Menderes Bulvarı No/62/A Yenişehir,Mersin"/>
        <s v="İhsaniye Mah.Kuvayi Milliye Cad.No/167-B Akdeniz,Mersin"/>
        <s v="Bahçelievler Mah.16.Cadde No/15-C Yenişehir,Mersin"/>
        <s v="İstasyon civari il jandarma karşısı"/>
        <s v="Selçuklar Mah.212 Cadde No/198-B Toroslar, Mersin"/>
        <s v="Yeni Mah.33195 Sokak No/5-44 Mezitli,Mersin"/>
        <s v="Cumhuriyet Mah. 1621 Sok. Yaşar Apt. No:13/B Yenişehir/Mersin"/>
        <s v="Akdeniz Mah.39716 Sokak No:2 Mezitli,Mersin"/>
        <s v="Atatürk Mah.31067 Sokak No/9-A Mezitli,Mersin"/>
        <s v="Atatürk, 31060. Sk., 33340 Mezitli/Mersin"/>
        <s v="Göksu Mah.Özgür Apt.Atatürk Bulvarı No/11 Silifke,Mersin"/>
        <s v="Mesudiye Mah.Kuvayi Milliye Cad.No/86 Akdeniz,Mersin"/>
        <s v="Viranşehir Mah.Cengiz Topel Cad.No/41-A Mezitli,Mersin"/>
        <s v="Gazi Mah.1314 Sokak Alkan Apt.No/7-C Yenişehir,Mersin"/>
        <s v="Akdeniz Mah.Zeytinli Cad. No/41-C Mezitli,Mersin"/>
        <s v="Gaziler Mah.Atatürk Bulvarı No/143-C Tarsus,Mersin"/>
        <s v="Turgut Türkalp Mah.Akbelen Bulvarı No:45-D Toroslar,Mersin"/>
        <s v="Akdeniz Mah.Erdemoğlu Bulvarı Sahil Yolu Bulvar Apt.No/79 Erdemli,Mersin"/>
        <s v="Bahçelievler Mah.G.M.K Bulvarı No/328-B Yenişehir,Mersin"/>
        <s v="Çiftlikköy, İsmet İnönü Blv. No:690, 33110 Yenişehir/Mersin"/>
        <s v="Nusratiye Mah.M.Ersoy Cad.No:78-A Akdeniz,Mersin"/>
        <s v="Merkez Mah.52133 Sokak No/8 Mezitli,Mersin"/>
        <s v="Gazi Mah.41 Sokak No/8-B Silifke,Mersin"/>
        <s v="Çiftlikköy Mah. Üniversite Cad. No:5 A Yenişehir/Mersin"/>
        <s v="Gaziler Mah.Gazi Paşa Bulvarı No/68 -C Tarsus,Mersin"/>
        <s v="Fatih Mah.30002 Sokak No/10 Mezitli,Mersin"/>
        <s v="Eğriçam Mah.Nevit Kodallı Cad.No/39-A Yenişehir,Mersin"/>
        <s v="Akbelen Mah.84066 Sokak N0:24-A Toroslar,Mersin"/>
        <s v="Kiremithane Mah.Silifke Cad.No:80-E Akdeniz,Mersin"/>
        <s v="Toros Mah. Belediye Kapalı Pazar İçi No:1 Silifke Mersin"/>
        <s v="Çiftlikköy Mah.Mimar Sinan Cad.32176 Sokak No:1/1 Yenişehir,Mersin"/>
        <s v="Batıkent Mah. İstemihan Talay Caddesi No:163/A Yenişehir/ MERSİN (mersin nefrolojı dıyaliz merkezi karşısı petek patiseri)"/>
        <s v="Merkez Mah.Sabahattin Çakmakoğlu Cad.No:15-C Erdemli,Mersin"/>
        <s v="Osmaniye Mah.208.Cad.No:109 Toroslar,Mersin"/>
        <s v="Çankaya Mahallesi 4704 sokak no:13/A Akdeniz, Mersin"/>
        <s v="Bahçelievler Mah.1.Cadde No:94-A Yenişehir,Mersin"/>
        <s v="Batıkent Mah.2640 Sokak No:27-A Yenişehir,Mersin"/>
        <s v="Tömük Mah.Kale Cad.No/9DB Erdemli,Mersin"/>
        <s v="Şehitmustafa Mah.3501 Sokak No/4-A Tarsus,Mersin"/>
        <s v="Çağdaşkent Mah.229 Cad.No:8-1A Toroslar,Mersin"/>
        <s v="Akdeniz Mah.Zeytinli Cad.No/41-A Mezitli,Mersin"/>
        <s v="Şehit Mustafa Mah.Atatürk Bulvarı N0/42 Tarsus,Mersin"/>
        <s v="Nusratiye Mah.Çiftciler Cad.Turan Şimşek Apt.1/A Akdeniz,Mersin"/>
        <s v="Akkent Mah.2318 Sokak No/4-B Yenişehir,Mersin"/>
        <s v="İhsaniye Mah .4903 Sokak No/20 Akdeniz,Mersin"/>
        <s v="Ergenekon Mah. Fatih Sultan Mehmet Blv. No:15A Tarsus/Mersin"/>
        <s v="Çağdaşkent Mah.Fatih Sultan Mehmet Bulvarı No/50-A Toroslar,Mersin"/>
        <s v="İsmetpaşa Mah.Rasim Okur Bulvarı No/43 Tarsus,Mersin"/>
        <s v="Saray Mah.Akdeniz Cad.No:27-B Anamur,Mersin"/>
        <s v="Güvenevler Mah.1913 Sokak No/18-A Yenişehir,Mersin"/>
        <s v="Cumhuriyet Mah.1650 sokak No/2 Yenişehir,Mersin"/>
        <s v="Güvenevler Mah.1901 Sokak No/20-A Yenişehir,Mersin"/>
        <s v="Çeşmeli Mah.Sahil 1 Cad.No: 7/AY Erdemli, Mersin"/>
        <s v="Çankaya Mah.4716 Sokak No/4-A Akdeniz,Mersin"/>
        <s v="Güvenevler Mah.1906 Sokak No/4-C Yenişehir,Mersin"/>
        <s v="Camişerif Mah.İstiklal Cad.No/35-B Akdeniz,Mersin"/>
        <s v="Palmiye Mah.1214 Sokak No/4-A Yenişehir,Mersin"/>
        <s v="Menderes Mah.G.M.K B ulvarı No/723-B Mezitli,Mersin"/>
        <s v="Üniversite Cad.Çiftlikköy Mah.Smart Point Sitesi B blok 48/B Yenişehir, Mersin"/>
        <s v="Yeşilyurt Mah.23 Nisan Cad.No:43-A Anamur,Mersin"/>
        <s v="Çiftlikköy Mah.İstemihan Talay Cad.Özlem Üniversite Konutları No/229 BE Yenişehir,Mersin"/>
        <s v="Atakent Mah.Alparslan Türkeş Bulvarı No/157-A Silifke,Mersin"/>
        <s v="Dumlupınar Mah.Dumlupınar Cad.No/10-B Yenişehir,Mersin"/>
        <s v="Hürriyet Mah.İsmet İnönü Bulvarı No/103-B Yenişehir,Mersin"/>
        <s v="Akkent Mah.Hüseyin Okan Merzeci Bulvarı Sayapark Avm No/249 Yenişehir,Mersin"/>
        <s v="Viranşehir Mah.34359 Sokak No/1-1 Mezitli,Mersin"/>
        <s v="Güvenevler Mah.Hüseyin Okan Merzeci Bulvarı No/561-A Yenişehir,Mersin"/>
        <s v="Kültür Mah.Silifke Cad No:95-C Akdeniz,Mersin"/>
        <s v="Barbaros Mah.2101 Sokak No/1-A Yenişehir,Mersin"/>
        <s v="Cami Şerif Mah.5222 Sokak No/15-A Akdeniz,Mersin"/>
        <s v="Viranşehir Mah.318 sokak N0/26-A Mezitli,Mersin"/>
        <s v="Viranşehir Mah.34301 Sokak Gültuğ Sitesi Altı No/38-A Mezitl,Mersin"/>
        <s v="Taşucu Mah.İsmet İnönü Cad. N0/54 -A Silifke,Mersin"/>
        <s v="Atatürk Mah.Mezitli, Mersin"/>
        <s v="İnönü Mah.1405 Sokak No/6-D Yenişehir,Mersin"/>
        <s v="Akdeniz Mah.Kazım Karabekir Cad.No/59-C Erdemli,Mersin"/>
        <s v="Çiftlikköy Mah.Üniversite Cad.No/57-B Yenişehir,Mersin"/>
        <s v="Çankaya, İstiklal Cd. No:55, 33070 Akdeniz/Mersin"/>
        <s v="çankaya mahallesi istiklal caddesi elmas apartmanı no:55"/>
        <s v="Güvenevler, Gazi Mustafa Kemal Blv. No:306, 33140 Yenişehir/Mersin"/>
        <s v="Merkez Mh., Gazi Mustafa Kemal Blv., No: 306/A, Mezitli, Mersin"/>
        <s v="Güvenevler, 1910. Sk. No:17, 33140 Yenişehir/Mersin"/>
        <s v="Limonluk Mah.İsmet İnönü Bulvarı 38.Cadde No/135 Yenişehir,Mersin"/>
        <s v="Saray Mah.Atatürk Bulvarı No:27 Anamur,Mersin"/>
        <s v="Güvenevler Mah.1917 Sokak Yenişehir, Mersin"/>
        <s v="Akkent Mah., Hüseyin Okan Merzeci Blv., No:755E, Yenişehir, Mersin, Türkiye,"/>
        <s v="Mesudiye Mahallesi Fasih Kayabalı Caddesi Yaşa İşhanı yanı No:88\C MERSİN AKDENİZ"/>
        <s v="Camişerif Mah.5226 Sokak No/13-A Akdeniz,Mersin"/>
        <s v="Tece Mah.Gazi Mustafa Kemal Bulvarı No/324-A Mezitli,Mersin"/>
        <s v="Merkez Mah.Türbe Cad.No/23 Erdemli,Mersin"/>
        <s v="Yarenlik alanı halk eğitim merkezi yanı"/>
        <s v="Merkez Mah.Vatan Cad.No/16-B Mezitli,Mersin"/>
        <s v="Güvenevler Mah.1.Cadde No/147 A Yenişehir Mersin"/>
        <s v="Güvenevler Mahallesi 1. Cad, 1912. Sk. No:22, 33140 Yenişehir"/>
        <s v="Güvenevler Mah.G.M.K Bulvarı No/365/A Yenişehir,Mersin"/>
        <s v="Turgutreis Mah.İstiklal Cad.No/182-A Akdeniz,Mersin"/>
        <s v="GÜNDOĞDU MAH.5720 SK.18/A AKDENİZ /MERSİN"/>
        <s v="Yalınayak Mah.102044 sokak No/5-A Toroslar,Mersin"/>
        <s v="Gazi Mah.1324 Sokak No/1 Yenişehir,Mersin"/>
        <s v="Cumhuriyet Mah.1628 Sokak No:7-D Yenişehir,Mersin"/>
        <s v="Mahmudiye Mah. 4815 Sok. Erk Apt. No:2A Akdeniz/Mersin"/>
        <s v="Palmiye Mah.1208 Sokak Kordon Apt.B Blok No/30/C Yenişehir /Mersin"/>
        <s v="Viranşehir Mah.Cengiz Topel Cad.No:76 Mezitli,Mersin"/>
        <s v="Atatürk Mah.31067 Sokak No/6-B Mezitli,Mersin"/>
        <s v="Çiftlikköy Mah.Özlem 1 üniversite konutları blok:229 AA Yenişehir,Mersin"/>
        <s v="Güvenevler Mah.Pınar Cad.Doğan Yıldız İş Merkezi No/12 Yenişehir,Mersin"/>
        <s v="Camişerif Mah.Uray Cad.No/34-A Akdeniz,Mersin"/>
        <s v="Cumhuriyet Mah.1616 Sokak No/8-A Yenişehir,Mersin"/>
        <s v="Caminur Mah.Abdi İpekçi Cad.No/18-M Tarsus,Mersin"/>
        <s v="Güvenevler Mah.Dumlupınar Cad.No/16-C Yenişehir,Mersin"/>
        <s v="Atatürk Mah.İsmet İnönü Bulvarı No/25-A Mezitli,Mersin"/>
        <s v="Merkez Mah.52146 Sokak Kardelen Apt.No/14-A Mezitli,Mersin"/>
        <s v="Çiftlikköy Mah.Üniversite Cad.Kuriş Pi Konutları Altı B blok Yenişehir,Mersin"/>
        <s v="Şehitmustafa Mah.3518 Sokak No:1-B Tarsus,Mersin"/>
        <s v="Güvenevler Mah.Dumlupınar Cad.No/22-D Yenişehir,Mersin"/>
        <s v="Yeni Mah.13203 sokak No/152-6 Mezitli,Mersin"/>
        <s v="Cumhuriyet Mah.1649 Sokak No/1 Yenişehir,Mersin"/>
        <s v="Akkent Mah.Hüseyin Okan Merzeci Bulvarı Sayapark Avm No/759-A Yenişehir,Mersin"/>
        <s v="Yeni Mah.Sanayi Cad.No/15-A Mezitli,Mersin"/>
        <s v="Viranşehir Mah.34318 sokak No:16-A Mezitli,Mersin"/>
        <s v="Bahçe Mah.İstiklal Cad.No/88-A Akdeniz,Mersin"/>
        <s v="Çiftlikköy Mah.Üniversite Cad.No/36 Yenişehir,Mersin"/>
        <s v="Merkez Mah.Eskiköy Cad.No:18-A Mezitli,Mersin"/>
        <s v="Eğriçam Mah.Hüseyin Okan Merzeci Bulvarı No:669-A Yenişehir,Mersin"/>
        <s v="Tozkoparan Mah.87021 Sokak No:5-B Toroslar,Mersin"/>
        <s v="Akdeniz Mah.1002 Sokak No:4-E Erdemli,Mersin"/>
        <s v="Menderes Mah.Fındıkpınarı Cad.Şahinoğlu Apt.No/53-C Mezitli,Mersin"/>
        <s v="Kiremithane Mah.Silifke Cad.No/102 Akdeniz,Mersin"/>
        <s v="Merkez Mah.Hal Cad.No:12-J Erdemli,Mersin"/>
        <s v="Yeşilyurt Mah. Akdeniz Cad.N0:36 Anamur, Mersin"/>
        <s v="Gazi Mah.İlhan Akgün Cad.No:28-D Silifke,Mersin"/>
        <s v="Palmiye Mah.1207 Sokak Çağlar Apt.No/23-A Yenişehir,Mersin"/>
        <s v="Viranşehir Mah.34020 Sokak Gürsel Öztürk Apt.No/12-A Mezitli,Mersin"/>
        <s v="Çağlayan Mah.Şelale Bulvarı N0:11 Tarsus,Mersin"/>
        <s v="İhsaniye Mah.4091 Sokak No/10-A Akdeniz,Mersin"/>
        <s v="Güvenevler Mah.1901 Sokak No/26-B Yenişehir,Mersin"/>
        <s v="Akdeniz Mah.Alparslan Türkeş Bulvarı No/477-C Erdemli,Mersin"/>
        <s v="Limonluk Mah.2480 Sokak Algül Plaza No/1-A Yenişehir,Mersin"/>
        <s v="Viranşehir Mah. 34320 Sok.No:5A Mezitli/Mersin"/>
        <s v="turgut reis mah silifke cad 4101 sk derya apartmanı altı 2:C"/>
        <s v="Yalınayak Mah. Atatürk Cad.102063 Sokak NO:9 -D Toroslar,Mersin"/>
        <s v="Akkent Mah.2371 sokak No/12-A Yenişehir,Mersin"/>
        <s v="Osmaniye Mah.Akbelen Cad.No:18-A Toroslar, Mersin"/>
        <s v="Menderes Mah.Gazi Mustafa Kemal Bulvarı No/781 Mezitli,Mersin"/>
        <s v="Merkez Mah.Vatan Cad. No/23-A Mezitli,Mersin"/>
        <s v="Gündoğdu Mah.Çiftciler Cad No:90/A Şen Apt. Akdeniz, Mersin"/>
        <s v="Merkez Mah.G.M.K Bulvarı No/790-D Mezitli,Mersin"/>
        <s v="Camişerif Mah.İstiklal Cad.No/32-A Akdeniz,Mersin"/>
        <s v="Akbelen Mah.Milli Mücahit Rıfat Uslu Cad.No:2-A Toroslar,Mersin"/>
        <s v="Akarca Mah.Prof Dr.Ahmet Taner Kışlalı Cad.No/24 Anamur,Mersin"/>
        <s v="Merkez Mah.Fındıkpınarı Cad.Novada Apt Altı No/56/ D Mezitli Mersin"/>
        <s v="Yeni Mah.G.M.K Bulvarı (Mezitli Emniyet Karşısı )No/64/E Mezitli Mersin"/>
        <s v="Mithatpaşa Mah.Şehitler Cad.No/94-A Tarsus,Mersin"/>
        <s v="CAMİ ŞERIF MAH. 5228 SK. NO: 3 B AKDENIZ/ MERSIN"/>
        <s v="Korukent Mah. 243.sokNo:18 Toroslar,Mersin"/>
        <s v="Akdeniz Mah.Cumhuriyet Cad.A blok No/9-B Mezitli,Mersin"/>
        <s v="82 Evler Mah.Reşat Nuri Cad.No/65 Tarsus, Mersin"/>
        <s v="Palmiye mah. 2. Cad fahri apartmanı no:28/B Yenişehir"/>
        <s v="Alata Mah.Köypınarı Cad.No/20-C Erdemli,Mersin"/>
        <s v="Saray Mah.İnönü Bulvarı No/25 -B Silifke, Mersin"/>
        <s v="Cumhuriyet Mah., 1. Cad., No:77, Yenişehir, Mersin, Türkiye,"/>
        <s v="Viranşehir Mah.Cengiz Topel Cad.Akdeniz Plaza No/31-A Mezitli, Mersin"/>
        <s v="Şehitmustafa Mah.Şehit Cengiz Topel Cad.No/14-C Tarsus, Mersin"/>
        <s v="Kültür Mah.İsmet İnönü Bulvarı Balıkçı Barınağı Rıhtım 2 No/25 Akdeniz,Mersin"/>
        <s v="Aydınlıkevler Mah.2003 Sokak No/2-A Yenişehir,Mersin"/>
        <s v="Kargıpınarı Mah.Kemal Bozkurt Cad.No/37 Erdemli,Mersin"/>
        <s v="Portakal Mah.Karaisalı Cad No :17 A/C Toroslar, Mersin"/>
        <s v="İstiklal Mah.Gazi Mustafa Kemal Bulvarı N0:1074-H Mezitli,Mersin"/>
        <s v="Merkez Mah.Zeytinli Cad.No/22-A Mezitli,Mersin"/>
        <s v="Güvenevler Mah.1905 Sokak No/13-B Yenişehir,Mersin"/>
        <s v="Hürriyet Mah.İsmet İnönü Mah.No:270-C Yenişehir,Mersin"/>
        <s v="Cumhuriyet Mah.1603 Sokak No:10 Yenişehir,Mersin"/>
        <s v="Gazi Mah.1317 Sokak No:2-A Yenişehir,Mersin"/>
        <s v="Kırklarsırtı Mahallesi 2604 sokak N0:4/1B Tarsus, Mersin"/>
        <s v="Akdeniz Mah.Kazım Karabekir Cad.No:15-B Erdemli,Mersin"/>
        <s v="Göksu Mah.Ali Önder Sokak No:22-B Silifke,Mersin"/>
        <s v="Şehitler Tepesi Mah.3624 Sokak NO/1-A Tarsus,Mersin"/>
        <s v="Çukurova Mah.Gözne Cad.No/111-A Toroslar,Mersin"/>
        <s v="Nusretiye Mah. 112. Cad. No:44A Akdeniz/Mersin"/>
        <s v="Tayfun Et Kebap&amp;Steakhouse Çiftlikköy Mah. 34. Cadde No:49B Yenişehir Mersin"/>
        <s v="Aydınlıkevler Mah.2020 Sokak No:3-A Yenişehir,Mersin"/>
        <s v="Deniz Mah.Gazi Paşa Cad. No/45-C Mezitli,Mersin"/>
        <s v="İnönü Mah.1408 Sokak Okan Apt.No/8-B Yenişehir,Mersin"/>
        <s v="Menteş Mah.Nevit Kodallı Cad.EBS Çat Göçmen Sitesi,No/48-2B Yenişehir,Mersin"/>
        <s v="Göksu Mah.Özcan Seyhan Cad.N0/4 -A Silifke,Mersin"/>
        <s v="Göksu Mh. Özcan Seyhan Cad. No : 10"/>
        <s v="Akdeniz Mah. Fatih Cad. No:24H Mezitli Mersin"/>
        <s v="Ergenekon Mah.Atatürk Bulvarı No:203-A Tarsus,Mersin"/>
        <s v="Güvenevler Mah.1904 sokak No:6-A Yenişehir,Mersin"/>
        <s v="İnönü Mah.1405 Sokak N0:20-B Yenişehir,Mersin"/>
        <s v="Eğriçam Mah.12.Cadde Doktoroğlu Sitesi No:1-BA Yenişehir,Mersin"/>
        <s v="Eğriçam Mah.Adnan Menderes Bulvarı No/180-3A Yenişehir,Mersin"/>
        <s v="Aydınlıkevler Mah.Gazi Mustafa Kemal Bulvarı No/390-E Yenişehir,Mersin"/>
        <s v="Palmiye Mah.Adnan Menderes Bulvarı No/6-A Yenişehir,Mersin"/>
        <s v="Kargıpınarı Mah.50.yıl Cad.No:23-1 Erdemli,Mersin"/>
        <s v="Selçuklar Mah.Çiftçiler Cad.No:83-A Toroslar ,Mersin"/>
        <s v="Yeni Ömerli Mah.Hilmi Şeçkin Bulvarı No:41-C Tarsus,Mersin"/>
        <s v="İnönü Mah.1403 Sokak No/2-A Yenişehir,Mersin"/>
        <s v="Çiftlikköy Mah.32133 Sokak No/1-C Yenişehir,Mersin"/>
        <s v="İnönü Mah.1408 Sokak No/14-A Yenişehir,Mersin"/>
        <s v="Güvenevler Mah.1901 Sokak No/15-C Yenişehir,Mersin"/>
        <s v="Göksu Mah.Abdi İpekçi Cad.No/27 -B Silifke,Mersin"/>
        <s v="Pirireis mahallesi 1116 sokak Hamit Özcan apartmanı altı 21/C Yenişehir Mersin"/>
        <s v="Yeni Mah.5315 Sokak No:34-B Akdeniz,Mersin"/>
        <s v="Deniz Mah.Gazi Paşa Cad.No:61-BA Mezitli,Mersin"/>
        <s v="Akdeniz Mah.1002 sokak No:20-E Erdemli,Mersin"/>
        <s v="Hürriyet Mah.1745 sokak N0:4-A Yenişehir,Mersin"/>
        <s v="Çiftlikköy Mah. Mimar Sinan Cad. Murat Bal Apt. No:16 Yenişehir/Mersin"/>
        <s v="İnönü Mah.1403 Sokak 15/C Yenişehir,Mersin"/>
        <s v="Akdeniz Mah.Yaşar Doğu Cad.No:37-C Mezitli,Mersin"/>
        <s v="Mahmudiye Mah.4827 Sokak No:1-E Akdeniz,Mersin"/>
        <s v="YENİÖMERLİ MAH.4112 SOK NO:9 TARSUS/MERSİN"/>
        <s v="Çiftlikköy Mahallesi İstemihan Talay Caddesi Golden Garden Sit. A 239 AA Yenişehir/Mersin"/>
        <s v="Taşucu Mah.40 Sokak No:22-A Silifke,Mersin"/>
        <s v="Kiremithane Mah.İstiklal Cad.No/99-A Akdeniz,Mersin"/>
        <s v="Çiftlikköy Mah.Üniversite Cad.N0:44-E Yenişehir,Mersin"/>
        <s v="Vitamin Park Erdemli,Mersin"/>
        <s v="Şehitmustafa Mah.Cumhuriyet Cad.Kültür Apt.No/31-B Tarsus,Mersin"/>
        <s v="Yeni Ömerli Mah.4112 Sokak No:6-A Tarsus,Mersin"/>
        <s v="Merkez Mah. Vatan Cad.No:11-C Mezitli,Mersin"/>
        <s v="Şehitmustafa Mah.Muvaffak Uygur Bulvarı No:7-B Tarsus,Mersin"/>
        <s v="Yeni Ömerli Mah.Kardeş Langen Bulvarı No:8-C Tarsus,Mersin"/>
        <s v="Güvenevler Mah.1914 Sokak A2 Blok No:8-C Yenişehir,Mersin"/>
        <s v="İnönü Mah.1405 Sokak No/26-D Yenişehir,Mersin"/>
        <s v="Karacailyas Mah.100.Yıl Cad.No/55-A Akdeniz,Mersin"/>
        <s v="Bahçelievler Mah.16.Cadde No/59-D Yenişehir,Mersin"/>
        <s v="Menderes Mah.35429 Sokak No/18-6 Mezitli,Mersin"/>
        <s v="Tece Mah. Halil Giran Cad.No/6-E Mezitli,Mersin"/>
        <s v="Yeni Ömerli Mah.İstiklal Cad.No/3-C Tarsus, Mersin"/>
        <s v="Güvenevler Mah.Derviş Şair Apt.No/115-A Yenişehir,Mersin"/>
        <s v="Menteş Mah.Hüseyin Okan Merzeci Bulvarı No/574-B Yenişehir,Mersin"/>
        <s v="50.yıl Mah.İstemihan Talay Cad.No/44 Yenişehir,Mersin"/>
        <s v="Eğriçam Mah.22107 Sokak No/8-A Yenişehir,Mersin"/>
        <s v="Menderes Mah.Limon Cad.No/4-A Mezitli,Mersin"/>
        <s v="Menteş Mah.38.Cadde No/13-A Yenişehir,Mersin"/>
        <s v="Yeni Mah. 33205 sokak Mezitli ,Mersin (hükümet konağı karşısı)"/>
        <s v="Cumhuriyet Mah.0935 Sokak No/5 Tarsus,Mersin"/>
        <s v="Mahmudiye Mah.Hastane Cad.No/97 Akdeniz,Mersin"/>
        <s v="Barbaros Mah Şehit Piyade Er Mustafa Dipli Sok. No:16A Yenişehir/Mersin"/>
        <s v="Akdeniz Mah.Alparslan Türkeş Bulvarı No/136-A Erdemli,Mersin"/>
        <s v="Yalınayak Mah.Çiftçiler Cad.No:175-B Toroslar,Mersin"/>
        <s v="Çağdaşkent Mah.229.Cadde No:63 Toroslar, Mersin"/>
        <s v="Çiftlikköy Mah.Şakir Son Cad.No/40-D Yenişehir,Mersin"/>
        <s v="Gündoğdu Mah.5724 Sokak N0:16-B Akdeniz,Mersin"/>
        <s v="Çankaya Mah.4718 Sokak Bahri Ok İşhanı A Blok Akdeniz,Mersin"/>
        <s v="İstiklal Cad.Cami Şerif Mah.No:12-A Akdeniz,Mersin"/>
        <s v="Pirireis Mah.Silifke Cad No:184-E Yenişehir,Mersin"/>
        <s v="Yalınayak Mah. 102315 Sok. No:1 Toroslar/Mersin"/>
        <s v="Merkez Mah.Binali Yıldırım Cad.No/5-A Erdemli,Mersin"/>
        <s v="Hürriyet Mah.İsmet İnönü Bulvarı No/294-B Yenişehir,Mersin"/>
        <s v="DUMLUPINAR MAH. GAZİ MUSTAFA KEMAL BLV. NO:455 B YENİŞEHİR MERSİN"/>
        <s v="Yeni Mah.33195 Sokak Alp Plaza No/2 A/B Altı Mezitli,Mersin"/>
        <s v="Gazi Mah.İlhan Akgün Cad.No:22 Silifke,Mersin"/>
        <s v="CAMİŞERİF MAH ÇAKMAK CAD YAZIOGLU İŞ MERKEZİ NO 13 A / AKDENİZ MERSİN"/>
        <s v="Batıkent Mah.2656 sokak No:32 Yenişehir,Mersin"/>
        <s v="Hüseyin Okan Merzeci mahallesi 220. cadde no14 A"/>
        <s v="Akdeniz Mah.G.M.K Bulvarı No/894-C Mezitli,Mersin"/>
        <s v="Selçuklar Mah.Çiftçiler Cad.No/115-D Toroslar,Mersin"/>
        <s v="Pirireis Mah.Silifke Cad.No/17-A Yenişehir,Mersin"/>
        <s v="Göksu Mah.Atatürk Bulvarı No/80-B Silifke,Mersin"/>
        <s v="Seymenli Mah.45119 Sokak No:4-B Mezitli,Mersin"/>
      </sharedItems>
    </cacheField>
    <cacheField name="Geleneksel&#10;Zincir" numFmtId="0">
      <sharedItems>
        <s v="Geleneksel"/>
        <s v="Key"/>
      </sharedItems>
    </cacheField>
    <cacheField name="FOTOĞRAF&#10;SEGMENT" numFmtId="0">
      <sharedItems containsBlank="1">
        <s v="0-15"/>
        <s v="26-35"/>
        <s v="35+"/>
        <m/>
        <s v="16-25"/>
        <s v="Merkez Mah.Vatan Cad.Siyena21 Şehriyıldız Sitesi E blok 21 E , D Blok No/29 Mezitli, Mersin"/>
      </sharedItems>
    </cacheField>
    <cacheField name="Aradık Mı?" numFmtId="0">
      <sharedItems containsBlank="1">
        <b v="1"/>
        <b v="0"/>
        <m/>
      </sharedItems>
    </cacheField>
    <cacheField name="Kendi Fotosu&#10;Var" numFmtId="0">
      <sharedItems containsBlank="1">
        <b v="0"/>
        <b v="1"/>
        <m/>
      </sharedItems>
    </cacheField>
    <cacheField name="    Randevu Durumu" numFmtId="0">
      <sharedItems containsBlank="1">
        <s v="Randevu Alındı"/>
        <m/>
        <s v="İleride Randevu Alınacak"/>
        <s v="Başka Şubeden Çekilecek"/>
        <s v="Çekim İstemiyor"/>
        <s v="Ulaşılamadı"/>
        <s v="Franchise"/>
        <s v="Dönüş Yapacak"/>
        <s v="Randevu İptal"/>
        <s v="Sistemden Çıkmak İstiyor"/>
        <s v="Lokasyon Uzak"/>
        <s v="BlackList"/>
        <s v="Devir"/>
        <s v="Restoran Silindi"/>
        <s v="Tadilat Var"/>
        <s v="Yılbaşından Sonra Aranacak"/>
        <s v="Menü Güncellemesi Yapılacak"/>
      </sharedItems>
    </cacheField>
    <cacheField name="Randevu&#10;Alan" numFmtId="0">
      <sharedItems containsBlank="1">
        <s v="Hatem Soyaslan"/>
        <s v="Emre Dalgıç"/>
        <m/>
        <s v="Ravza Eğilmez"/>
        <s v="Betül Demir"/>
        <s v="Tuğba Buyur"/>
        <s v="Sude Alkan"/>
        <s v="İpek Aytaç"/>
        <s v="Zeliha Özer"/>
        <s v="Selcan Topçu"/>
        <s v="Funda Ünlü"/>
        <s v="Ferhat Köksal"/>
        <s v="Şura Özcan"/>
        <s v="Kübra Toprak"/>
        <s v="Gül Değirmenci"/>
        <s v="Kadriye Polat"/>
        <s v="Ayşegül Kır"/>
        <s v="Senanur Çınar"/>
        <s v="Enes"/>
        <s v="Ece Bayındır"/>
        <s v="Yurdagül Kulaksız"/>
        <s v="Sıla Göksunaz Esen"/>
        <s v="Adem Sezer"/>
        <s v="Ezgi Turan"/>
        <s v="Hatice Özer"/>
        <s v="Ecem Ünal"/>
        <s v="Deneme"/>
        <s v="Mavi aslan"/>
        <s v="Serap Apaydın"/>
        <s v="Şükriye Demir"/>
        <s v="Zahire Aydın"/>
        <s v="Nazmiye Yuka"/>
      </sharedItems>
    </cacheField>
    <cacheField name="Fotoğrafçı" numFmtId="0">
      <sharedItems containsBlank="1">
        <s v="Burçin Sezer"/>
        <s v="Hikmet Avcı"/>
        <m/>
        <s v="Nilay Kaplan"/>
        <s v="Aykut Gülaslan"/>
        <s v="Mücahit Topçu"/>
      </sharedItems>
    </cacheField>
    <cacheField name="Not">
      <sharedItems containsBlank="1" containsMixedTypes="1" containsNumber="1" containsInteger="1">
        <s v="merkez mah nova city avm 3.kat "/>
        <s v="önemli fotoğraflar panelde ekli "/>
        <s v="meşgul //meşgul "/>
        <s v="05355691111 meşgul // kndılerı cekıp paylasılcak / kalan ürünlerini kendisi mail atacakmış "/>
        <s v="5326210445 kendi numarası"/>
        <s v="duygu / 5523901989"/>
        <s v="çekim yapılmış \\tamamı çekilmiş."/>
        <s v="mail paylasıldı / öğle ara / 12 gibi ara / mail adresine atacak bugün "/>
        <s v="ÇEKİM YAPILDI DİYOR AMA NEREDE YAPILMIŞ ARKADAŞLAR BUNLARI SORALIM LÜTFEN, ÇEKİM YAPILAN BAŞKA ŞUBE YOK ÇÜNKÜ // Çekim bu şubede yapılmış tüm ürünleri çekilmiş"/>
        <s v="teyit için aranıldığında çekim olmadığını ve istediğini söyledi "/>
        <s v="3281999- / 5394242480 / 6026dd5755fa61c439fcfb44 Acı Tantuni, Akdeniz (Kiremithane Mah.) alınacak"/>
        <s v="telekom karşısı gazişehir mah no337 işletmesi için de çekim ister"/>
        <s v="çekim yapılmış"/>
        <m/>
        <s v="eksikleri studyoda yaptırmış. onları mail atacakmış."/>
        <s v="açmadı  "/>
        <s v="mehmet  bey // açmadı  / çekime gidilmemeiş tekrardan randevu alındı "/>
        <s v="açmadı \\randevu oluşturuldu//5 ürünü kalmış sadece"/>
        <s v="ibrahim bey sadece isim değişikliği oldu eski panelden alın der "/>
        <s v="şuan istemiyorum belki daha sonra \\ çekim istemiyor.\\şu an ihtiyacım yok dedi./ürünlerin hepsini hazırlamak gerekiyo bize maliyetli geliyo dediler / cenazem var şuan uygun değilim dedi "/>
        <s v="çekim sağlanmış"/>
        <s v="eksik yok"/>
        <s v="5378779213  mesgul"/>
        <s v="kendi fotoğrafları var yollayacaklarmış"/>
        <s v="kendileri dönüş yapacaklar henüz paneli açmamışlar"/>
        <s v="devam çekimi  "/>
        <s v="panelde tüm fotoğrafları var "/>
        <s v="panelde ürünleri var / yetkili daha sonra dönüş yapacaklar/ 15 dk sonra ara yetkili yok."/>
        <s v="5 gibi  gelir yt"/>
        <s v="istemedi  "/>
        <s v="en fazla 3-4 ürün çıkarırım dedi \\şu an düşünmüyorum dedi.\\yetkilinizden şikayetçiyim o yüzden düşünmüyorum önce onları halledeyim dedi.//5418811249 /getirden kurye talep etmiş dönüş olmamış"/>
        <s v="ergün bey ile devam çekimi oluşturuldu / devam çekimi iptal olmuş tekrar istemiyor "/>
        <s v="opetin karşısı "/>
        <s v="hepsi çekildi dedi//yoğunuz 1 saat sonra ara"/>
        <s v="5423237833// açmadı  yetkili "/>
        <s v="engellemiş /çekimler yapıldı yeterli diyor d.ç. istemiyor"/>
        <s v="5388823148- elimizde fotograflarımız var dedi ben size dönüş yaparım "/>
        <s v="dönecek  / devam çekimi alındı "/>
        <s v="5342322121 / viranşehirdeki işletmede çekım saglanmıs"/>
        <s v="ürünlerimin hepsi çekildi dedi "/>
        <s v="5325439730 yetkili no// açmadı  "/>
        <s v="paneli kapalı "/>
        <s v="dç istiyor ama musaıt degıl ılerde/yarım saat sonra arnılcak"/>
        <s v="Ürünlerin hepsini çıkaramam ramazandan dolayı o yüzden ramazan bitince arayın duruma göre bakalım der."/>
        <s v="önceden  çekim yapılmış bireyselmiş sonra kurumsal olmuş şimdi tekrar fotoğraflarının yüklenmesini istiyor "/>
        <s v="bütün çekimleri yapıldı. / devir olmuş devrettiği kişinin numarası yok "/>
        <s v="yarım saat sonra ara der (14:25 gibi)"/>
        <s v="mail göndericek\"/>
        <s v="dönecek  "/>
        <s v="özgür bey yok annesi iletecek"/>
        <s v="mehmet  5394059503 dç alındı "/>
        <s v=" mail gonderildi /fotoğraflar gönderilmemiş çünkü menümüz baya değişecek oyüzden okulaçıldıktan sonrası için göndeririz daha iyi olur dedi./ ortakları ile görüşüp dönüş sağlayacak "/>
        <s v="telefonu açmadı/devretmiş"/>
        <s v="çekim yapılmış "/>
        <s v="5327945475 Akkent mahallesi Hüseyin okan merzeci bulvarı No:12 teoman bey bu adrese istedi.// devam çekimi istemedi  "/>
        <s v="açmıyor\\açmıyor"/>
        <s v="devam çekimi alındı/kndım cekseydım daha duzgun olurdu dedı ,fotograflar konulunca daha bı musterım gıttı dedı"/>
        <s v="çok ygunuz bu aralar ocakta tekrar aranabılır/DONUS SAGLIYCAKLAR / müsait olduğu zaman haber verecekm,ş biz tarafından aranmasın / devam çekimi alındı "/>
        <s v="5529383213 randevu oluşturulmustu fakat yetkılı restoranda bulunmayacagı ıcın ıptal ettıler./ osmanıyedekı subesı ıcın ıstedı- nmumara mesgul / OSMANİYEDEN İSTİYOR "/>
        <s v="sadık bey yetkili"/>
        <s v="şuan müsait değiller sonra ara\\onlar arayacakmış-NUMARAMIZ VARMIS ARAYACKLAR/müsait olunca ben arıycam dediler//defalarca söyledim ben geri dönüş sağlicam diye / randevu oluşturdu daha sonra aradı iptal etti hiçbir zaman istemiyoruz diye "/>
        <s v="işletme kapandı"/>
        <s v="eksik ürün yok aranmayacak."/>
        <s v="vodafone kayıtlı böyle bir numara yoktur/0541 749 32 33/hakan bey / 0324) 321 03 03"/>
        <s v="yetkılı yok.yarın aranacak"/>
        <s v="cenazeden dolayı ertelemek istiyor \\ haftaya aranacak// ÇEKİLMİŞ - devam çekimi olusturuldu "/>
        <s v="kendisi arayacak"/>
        <s v="çekim yapıldı dedi  / devam çekimi şuan grekli görmüyorum götütsem ararım dedi "/>
        <s v="5434329951/ 61ac5ec5ad353b6070a375f4        Baklavasan, Mezitli (Merkez Mah.) "/>
        <s v="Hasan Bey çekim sağlanmış eksik ürünü yok"/>
        <s v="Ben ürünlerimin hepsini çıkartamam 1 porsiyonum zaten 90-100 tl bunu çıkartıp kime vereceğim boşa masraf o yüzden hiç gerek yok bu masrafa der ne dediysem ikna olmadı "/>
        <s v="5382701505 yetkili bu hafta işletmede olamayacağım demiş randevu iptal edildi  /vaktımız olmuor cekım ıstemıyoruz dedı"/>
        <s v="fotoğrafları var mı yok mu kontrol edecek tekrar aranacak // 5443843281 ilhan\\aranmış."/>
        <s v="Şükrü Bey / 5306123033 / eksik urunlerı saydım onların hepsı cekıldı dedı"/>
        <s v="devam için kendileri arayacaklar"/>
        <s v="randevu alınış ama gidilmemiş tekrar alındı  /kndı fotograflarını paylasacak"/>
        <s v="meşgul / 5323484839/ meşgul//ulaşlmyr//cevapsız/fotoğraflar için arandı mail adresi verildi.mail adresi verildi fotoğrafları gönderecek mustafa bey eksik olanlar için çekim randvusu oluşturulabilir fotoğraflar yüklenince."/>
        <s v="takvımde ıptal gozukuyor. arandı ıstemedıklerını belırttıler/ MÜŞTERİ GELİNCE KAPATTI / 1 saat sonra ara / açıp dinleyip kapattı HAFTAYA ARANSIN RANDEVUYA olumlu bakıyor.meşgul. /fotoğraf işine sıcak bakmıyorum dedi "/>
        <s v="sadece 3-4 ürün çıkarabiliirim diyor// FRANCHES"/>
        <s v="5304233631 devam çekimi"/>
        <s v="devam çekimi iptal oldu "/>
        <s v="saat 3ten sonra aranacak \\ randevu oluşturuldu.//eksik yok"/>
        <s v="süphan bey"/>
        <s v="bahriye ilköğretim karşısı  Reşit bey / çekim sağlanmış eksik ürün yok"/>
        <s v="diğer şubedeki ürünler buraya eklencek  "/>
        <s v="getir yemek kullanmıyormuş//yetkili yokmuş numara aldı iletip geri dönüş sağlicaklar"/>
        <s v="çekim yapılmış \\hepsi çekilmiş."/>
        <n v="5.467253353E9"/>
        <s v="5327477809 benim param yatmadı 2 aydır açmıyorum der\\yetkli yok//yarım saat sonra arayın /müsait değilim yarın arayın dediler-//yetkili yok 1 saat sonra gelcek"/>
        <s v="tekrar randevu alınabilir erteleme talebinde bulunmus.  enes bey :05467253363  Yetkili Enes beyden randevu alındı / sürekli iptal ediyor randevuyu bağırarak istemiyorum ben dedi."/>
        <s v="elimde prof. fotograflarım var dedi mail adresi verildi "/>
        <s v="5324332878// istemedi  /çekım ıstemıyorlar"/>
        <s v="eksik yok / panelde fotoğrafları var "/>
        <s v="MAİL ATACAK // YENİDEN MAİL VERİLDİ GÖNDERİM SAĞLAYACAK - paneli kapalı"/>
        <s v="pınar hanım ile görüşüldü sıfırdan çekim yapılacak.menü güncellenmiş."/>
        <s v="dönecek "/>
        <s v="nuara kullanılmıyor "/>
        <s v="5348381208 mail verildi- fotograflar yüklenmiş / paneli kapalı "/>
        <s v="yetkili kişi yok geldiğinde dönüş sağlanacak"/>
        <s v="devam alınabilir haftaya"/>
        <s v="12de tekrar ara \\daha geniş bir zamanda düşünüp arayacakmış//gerek yok\\istemiyor./yetkili yokmuş//açmadı/siparişlere zaten yetişemiyorum dedi getirdende çok talep yokmuş/personel ve kurye sıkıntısından dolayı ıstemıyor daha sonra grusulcek/tadilat bitti"/>
        <s v="biz aramadan aranmasın kendisi dönüş saglayacvak ürünlweri tam olunca"/>
        <s v="açmadı //bütün ürünleri çekilmiş"/>
        <s v="ürünlerinin tamamı çekilmiş "/>
        <s v="yarın aranacak//açmadı//devam çekimi için haftaya aranacak / alındı "/>
        <s v="5336933301 ilk çekimleri begenmemiş sıfır çekim yaptıracaklar."/>
        <s v="5386086742 mustafa bey "/>
        <s v="devam çekimi için arandı benim ürünlerim yeterli çekim istemiyorum dedi."/>
        <s v="5443848585 mehmet bey// açmadı  yarım aaat sonra gelirmiş  "/>
        <s v="açmadı"/>
        <s v="devam alındı"/>
        <s v="devam çekimi  / devam çekimi için bu hafta uygun omazmış ilerleyen haftalarda görüşelim dedi /daha sonra iletişime geçelim derler."/>
        <n v="5.445867186E9"/>
        <s v="elimizde fotoğraflarımız var mail atalım dedi "/>
        <s v="kendisi şıkayetçi benim sorunum giderilmediği sürece fotoğraf istemiyorum dedi  "/>
        <s v="kendi fotoğraflarını mail adresine atmış neden hala konulmadı dedi eğer bir sıkıntısı varsa bana heber verilsin dedi ben sizin çektiğiniz fotoğraflarla ilerlemek istemiyorum dedi "/>
        <s v="şuan değil daha sonra görüşelim dedi .yetkili yok no vermediler."/>
        <s v="çekim sağlanmış "/>
        <s v=" cekım gerceklesmıs ama yuklenmemıs"/>
        <s v="ali bey:05356898380//açmıyor/numara aldılar size geri dönüş yapıcam dediler/İptal sebebi:Biz randevuyu ali bey ile oluşturduk. Ali bey çok fazla işletmede bulunmadıgı ıcın ortagına yonlendırmıs. Ortagı da bız yogunuz su anda elımızde de fotograflar mevcut"/>
        <s v="cenazeden dolayı devam çekimi istemiyor gerekte duymuyor\\devam çekimi istemiyor."/>
        <s v="Çekim istemiyor neden belirtmedi \\görüşülmüş./5458917818 cebrail bey arandı açmadılar/meşgul/ açmadı yetkili yok. ÖĞLEDEN SONRA ARA.açmadı. / yetkili yok  / yetkili öğleden sonra gelecek "/>
        <s v="ulaşım sağlanılamadı// mail adresi verildi fotoğraflarımı atarım ben uygun olmazsa çekim için arayabilirsiniz dedi. / panelde gerekli fotoğrafları var "/>
        <s v="daha önce çekim saglanmış 0 dan sonra çekim saglamak için randevu alındı"/>
        <s v="d.ç alındı/devam çekimi içinde gelindi sürekli sürekli uğraşamam sizlerle diyerek azarlayıp kapattı."/>
        <s v="çekim sağlanmış/ÇEKİM SAĞLANMIŞ YÜKLENMEDİĞİ İÇİN RANDEVU İPTAL"/>
        <s v="bu hafta müsait değilim dedi "/>
        <s v="Mail verildi resimleri atacak"/>
        <s v="MALİYETLİ OLACAKTIR ÇEKİM DEDİ MAİL VERELİM DEDİM BENİM HİÇ VAKTIM YOK DEDİ"/>
        <s v="devam çekimi alındı "/>
        <s v="15 dk sonra aranacak /Açmadı/şuan öyle bi düşüncesi yokmuş7 DÜŞÜNMÜYORUZ "/>
        <s v="devam çekimi istemiyo/esı ıstemıyor"/>
        <n v="5.419410145E9"/>
        <s v="mail verildi / kalan ürünleri için yılbaşından sonra aranacak "/>
        <s v="1 hafta sonra ara\\10-15 gün sonra arayın dedi."/>
        <s v="yetkili akşam gelirmiş  "/>
        <n v="5.362321544E9"/>
        <s v="YT YOK"/>
        <s v="yetkili uyuyor dedi daha gelmezmiş"/>
        <s v="kendi fotoğrafları var ama randevuda labilir yoğunluğum var daha sonra araryın dedi- ulasılamadı / MAİL ATMIŞ BAKILMASINI İSTİYOR "/>
        <s v="dönüş yapacak"/>
        <s v="5398556404/yarın arancak"/>
        <s v="3 te aranacak//0537229521//dönecek//sonra aranacak"/>
        <s v="meşgul  "/>
        <s v="çekim sağlanmış  "/>
        <s v="döneceklermiş  / cenaze i,şleri varmış kendisi dönecek /yt yok "/>
        <s v="fotoğraf varmış gönderim sağlayacak mail verildi.05542356786 / tüm ürünlerim çekildi dedi "/>
        <s v="meşgul// randevu alındı"/>
        <s v="Ürün fotoğrafta ki gibi çıkmıyor o yüzden hiç gerek yok çok şikayet alırım gerçekten hiç gerek yok diyor istemiyorum"/>
        <s v="fotoğrafçı gitmediği için birdahada istemiyor  / ürünleri çıkartacak kadar bir siparişim gelmiyor dedi "/>
        <s v="yazın çekim düşünüyorlarmış"/>
        <s v="yarım saat sonra arayın dedi "/>
        <s v="ercan bey mail atmış"/>
        <s v="tekrar arandı istemiyor/1 saat sonra aranılck / ortağıyla görüşüp dönüş yapacağını söyledi  HAFTAYA ARANSIN / dün yemek sepeti ile çekim olmuş siz biraz bekleyin dedi  / böyle kalsın fazla paket servisi de olmaz dedi "/>
        <s v="önce kabul etti sonra daha sonra görüşelim diye geçiştirdi//sizin sisteminiz hatalı daha onu oturtamamışsınız hala fotograf diyorsunuzRandevu istemiyor sürekli arandığım için kabul ettim ama gerek duymuyorum der."/>
        <s v="mail verildi "/>
        <s v="devir durumu var 2 haftaya belli olur dedi \\yetkili yokmuş gelince arayacaklar.//devir durumu devam ediyor/ yetkili yok yarın arayın dendi.devir olma durumu varmış hala."/>
        <s v="ayşegül hanım"/>
        <s v="yasak var  ramazandan sonra görüşelim"/>
        <s v="cevapsız//açmadı//(0324) 326 57 37//kendisi dönüş yapacak//çekim yapılmış pazartesi günü "/>
        <s v="açmadı.05327619970 kerim beyden randevu alındı.Teyit için arandı çekim gerçekleşmiş."/>
        <s v="kendilerinin çekimleri varmış onun için mail verildi. yeni ürünler,n çekimi için randevu alındı.açmadı. / teyit için arandı ulaşılamadı "/>
        <s v="eleman eksik dedi "/>
        <s v="açmıyor//devam çekimi gerek yok"/>
        <s v="bütün ürünler çekilmiş  EN COK SATILAN ÜRÜNLER CEKİMLERİ SAGLANMIS / benim için önemli olan kumru çekimiydi diğerlerine gerek yok dedi "/>
        <s v="10 dk sonra aranacak//devam çekimi istemiyo/pzretı aranılck salı gunu ıcın randevusu olustrulck/musaıt degılım dedı n sızı ararım dedı"/>
        <s v="devam çekimi/yetkili bir kaç saate gelirmiş.yetkili yok./pzrtesı gunnu aranılcak baska bır gun ıcın randevu olusturulcak"/>
        <s v="burhanettin bey "/>
        <s v="yetkili bankaya gitmiş 30 dk ya tekrardan aranack "/>
        <s v="bizden çok kazanıyorsunuz anasını satım dedi azarladı  "/>
        <s v="mail paylasıldı "/>
        <s v="muzaffer bey/5055464700 Ali Bey/5372716005 randevu muzaffer bey ile oluşturuldu"/>
        <s v="05375526668:burhan bey//şuan misafirlikteymiş sonra ara"/>
        <s v="YARIN SABAH ARA //getir yemekten çok fazla sipariş almıyorum eğer sipariş oranları artarsa sitemden takip edilip ona göre aranacak//başkasıyla konuşuyor"/>
        <s v="-ulasılamadı"/>
        <s v="o kadar ürünü çıkartamam daha ilerde düşünelim// kendisi atıcak"/>
        <s v="erdemli blgsi açılınca randevu verilecek"/>
        <s v="cekım ıstemıyorlar HASTALARI OLDUGUNDAN DOLAYI CEKİM İSTEMİYORLAR"/>
        <s v="5452653373 / devam çekimi alınabilir "/>
        <n v="5.511711354E9"/>
        <s v="1 saate aranacak yetkili burda yok dedi /yt 7den sonra geliyomuş no vermediler ulaşamıyoruz/ istemiyoruz biz bilginiz olsun der  / paneli kapalı "/>
        <s v="ulaşılamadı"/>
        <s v="Yasin bey/05397804339"/>
        <s v="mail atacak//açmıyor // YARIN BİRGÜN YOLLARIM DER/istemıyorum cekım"/>
        <s v=" saat tam 11.30da gelsin gecikmesin diyor/tamamı çekilmiş"/>
        <s v="çekim yapıp gönderimini sağlıycaklar- çekim istemiyorum dedi gerek yok dedi / kalan ürünleri mail atacakmış "/>
        <s v="adres: no18 bahadır bey/5306689053 ile devam çekimi randevusu oluşturuldu"/>
        <s v="yetkili yok  "/>
        <s v="çekim istiyorlar kendi fotoğrafları güzel değilmiş/7mail adresiverildi"/>
        <s v="gamze hanım ile iletişime geçtim pazartesi arayacağım geri \\fotoğrafları varmış.- acıyor ses vermiyor 7 şuanda müsaitlikleri yokmuş "/>
        <n v="5.327073327E9"/>
        <s v="açmıyor / panelde fotoğrafları var "/>
        <s v="fotoğrafları varmış mail atacaklar/tekrar mail verildi/mail adresi mevcut gönderim sağlarız dedi.- ulaşılamadı / yok teşekkür ederim dedi"/>
        <s v="mail atacak- numara mesgul / meşgule attı "/>
        <s v="5453438762/kesin randevu alınsın// 2 hafta sonra ara/alındı"/>
        <s v="CESİM BEYDEN RANDEVU ALINDI"/>
        <n v="5.432509074E9"/>
        <n v="5.523397446E9"/>
        <n v="5.551645257E9"/>
        <s v="5355105425 yılmaz bey "/>
        <s v="yt yok "/>
        <s v="çekim yapılmış //ancak tüm resimler çekilmemiş devam çekimi için randevu verildi"/>
        <s v="randevu fotografcıdan kaynaklı  iptal /fotografcı ıptal ettıgı ıcın cekım ıstemıyor/ başkasıyla görüşüyordu /Başkasıyla görüşüyor./ diğer hafta aranabilir "/>
        <s v="eksiklerini tamamlayıp gönderecekler. 05443474847 mahsum bey müsait değilim daha sonra arayın dedi."/>
        <s v="eksiklerini tamamlayıp gönderecekler"/>
        <s v="DEVAM CEKIMI "/>
        <s v="1 saat sonra aranacak"/>
        <s v="Mehmet Mahmut dönüş yapacak"/>
        <s v="5452605312 çekim sağlanmış"/>
        <s v="5532100628 Muzaffer bey bir başkasıyla görüşüyor"/>
        <s v="geri dönüş yapacak/merkeze bağlılarmış"/>
        <s v="merkezden alınsın fotograflar dediler."/>
        <s v="devam cekım"/>
        <s v="5340558939 randevu alınmıştı hasta oldugu için iptal ettirdi. bölge uzak bölgeye gidilirse aransın."/>
        <s v="erhan bey 5334711077"/>
        <s v="randevu olusturuldu"/>
        <s v="no72d"/>
        <s v="meşgul "/>
        <s v="devam çekimi   / pasta fotoğrafları fi çekilmiş ama yüklenmemiş "/>
        <n v="5.074991321E9"/>
        <s v="ortağı ile konuşup dönüş sağlayacak "/>
        <s v="mail verildi/fotografları hazrlıorlarmıs bır haftaya atarız dedı"/>
        <s v="5054252651 halil bey.Dönüş sağlayacak./kadir bey ilgileniyormuş.irtibat 5326500265 fotografları gönderdim logoluydu yani hamburgeri sabit tutsun diye   İSLETME SAHİBİ ÖĞLEDEN SONRA GELECEKbatırılan copsticde logo varmık reklamcımla görüşeyim halledebilirs"/>
        <s v="açmadı  /başkasıyla görüşüyo"/>
        <s v="cekım saglanılmıs ama sısteme eklenmemıs bu yuzden tekrar cekım  ıstedı"/>
        <s v="Cenazesi olduğu için dükkanı kapatmış. daha sonra tekrar aranıp alıncak. // yetkili yok 2 gibi ara \\ çekim istemiyor.//vakit yokmuş istemiyor/ onunla uğraşacak vakti yokmuş"/>
        <s v="biz bi düşünelim döneriz. ağırlıklı olarak lahmacun satıyoruz biraz menü olarak genişliyelim daha sonra olur dedi ben size dönüş yaparım dedi ibrahim bey. / fotoğraf işine sıcak bakmıyoruz dedi "/>
        <s v="fatma hanım "/>
        <s v="tek çalışıyorum pek uygun olamıyorum dediler pazartesi uygun olmuyormuş tekrar aransın uygunluga göre/cenazesi varmış memlekete gidiyorum haftaya yapalımö der / tadilata girmiş 10 gün sürermiş/ 1 hafta sonra bitermiş tadilat./ ufak bir tadilatım dha başla"/>
        <s v="yt yok numarasınıda bılmıyoruz dedı"/>
        <s v="kendisi uygun olduğunda dönüş yapacak "/>
        <s v="cuma aranacak//eksik yok"/>
        <s v="mail atacak//ürünlerin fotolarının hepsini ulaştırmış"/>
        <s v="hepsi çekilmiş. / gereli ürünler panelde ekli "/>
        <s v="yarına ertelenmiş"/>
        <s v="fotografları varmış mail verildi.- şehir dısındayım dedi ben donus saglarım dedi / kasım ayı için olur dedi / tadilata girmiş "/>
        <s v="öğleden sonra 3-4 gibi aranacak ali bey no:5333117048/açmadı// yarın arayın randevu oluşturalım dedi"/>
        <s v="5389540213 işletme numarası diğeri aranmayacak DEVAM CEKİMİ İÇİN TEKRAR ARANSIN HAFTA BASI SABAH SAATER İÇİN RANDEVU TALEBİ VAR/5324171836 aykut bey Dönüş yapacaklar/haftaya yeni menüye geçecek o zaman ister/yılbasından snra ıste"/>
        <s v="5394928247 daha önce çekime fotografcı gitmemiş. tekrar alındı"/>
        <s v="kendi fotoğraflarının gönderimini sağlayacaklar."/>
        <s v="RANDEVU OLUSTURULDU/bi sonraki haftaya d.ç alınabilir yt ali bey "/>
        <s v="d.ç alındı"/>
        <s v="meşgul//haftaya tekrar aranacak//1haziarandan sonra aranacak//şuan şehir dışında/düşünmüyormuş şuan//açmadı.-ulaşılamadı /kendı çekim yapıp maıle gondercek / FOTOĞRAFI VAR MAİLE ATACAK "/>
        <s v="hatem hanımın numarası verildi/eşi ile görüşüp bizi arıycak- zaman ayıramam dedi / ona hiç vakit ayıramam dedi RANDEVU ALINDI / ürünlerim çekildi dedi "/>
        <s v="benım dıger ısletmemde dun çekim yapıldı burası ıcın gerek yok kahve zaten dedı"/>
        <s v="haftaya alınabilir"/>
        <s v="2-3 cıvarı gelmemızı ıster uygun yer olunca aranabılır/ 5317829647 Şehmuş bey yetkili  "/>
        <n v="5.421138533E9"/>
        <s v="devam çekimi "/>
        <s v="baki beyden devam çekimi alındı."/>
        <s v="dönecek //5528317172 yetkili cep "/>
        <s v="yetkili yok "/>
        <s v="ali kaya mutlu caddesi//21 haziran pazartesiye ertelendi/teyit için arandı yt yok daha sonra arancak"/>
        <s v="ÇEKİM YAPILMIŞ "/>
        <s v="panelini değişmiş çekim istemiyor   Kradeşi ramazan beyle görüşme saglandı çekim istemiyorlar "/>
        <s v="mail verildi kendisi sisteme yüklemiş/wetranssfer uzerınden gondermıs 1 ay kadar önce"/>
        <s v="5435282104 melik bey / çekim sağlanmış"/>
        <s v="/gerıye kalan urunlerın cekımını ıstemedı"/>
        <s v="yasaklar var kapalıyız dedi//cevapsız "/>
        <s v="devam cekımı"/>
        <s v="cekım ıstemıyor /getırdende cıkmak ıstemıyor/getırle anlasamıyoruz dedı "/>
        <s v="mail atacak//numara eksik ya da hatalı"/>
        <s v="devam çekimi için arandı ama açmadı//bütün ürünlerin fotoları çekilmiş"/>
        <s v="daha sonra ara dedi// merkez numaramızı arayın dedi 2382374/5417842903 hüseyin açmadı"/>
        <s v="teit için arandı panel suan kapaldı"/>
        <s v="MESGUL HAZIRANDAN SONRA ARAMA SAGLANCAK-MESGULE VERIYO//meşgul//resimleri kendi çekecekmiş çekemezse dönüş yapacak//kışa doğru der / yarın aranacak /o kadar vaktımız yok dedı ıstemıyorlr.biz ararız dedi uygun olunca biz aramayalım."/>
        <s v="devam için görüştük şehmus beye sorup bize dönüş yapacaklar.."/>
        <s v="5529250633 hasan  d.ç alındı"/>
        <s v="kendileri çekip yollayacak/mail atacaklar// ÇEKİMİ GERÇEKLEŞMİŞ"/>
        <s v="kendisi dönecek\\o kadar ürünü boşa veremem çekim istemiyorum dedi./üürnlerin hepsini  çıkartamazmış, uygulmanızın biteceği zamnalrda arayın bizde düşünelim dedi/10 dk sonra / MAİL ADREİS VERİLDİ"/>
        <s v="5335618131//1 hafta sonra"/>
        <s v="herhangi bir sebebi yok istemiyorum işte  sebep belirtmek zorunda mıyım der "/>
        <s v="Burak Bey / 5358367755 / fotoğrafçı tüm ürünleri çıkartın ben sizin için merkezden geliyorum demiş işletme yetkilisi barış bey ise hepsini çıakrtamam ama bir kısmı da olsa çıkartırım der  tarsusa gidildiği zaman tekrardan alınacak ama burçin özer için ran"/>
        <n v="5.061311137E9"/>
        <s v="pazartesi müsait değilim bir dahaki sefere olsun dedi "/>
        <s v="0533 298 06 12"/>
        <s v="BURASI ŞİRKETE BAĞLI BİR ŞUBEYMİŞ ŞİRKETTEN Bİ YETKİLİYLE GÖRÜŞMEK GEREKİYO"/>
        <s v="Adanadaki merkez şubeden alabilirsiniz dediler"/>
        <s v="çekim gerçekleşmiş //tüm ürünler çekilmiş"/>
        <s v="5395674346/yetkili hastaymış iyileşince dönecek/daha sonra yine arayın dedi"/>
        <s v="d.ç alındı ismet bey "/>
        <s v="MAİL GELMEMİŞ // 5061563393 levent bey mail verıldı kendı urunlerın fotograflarını paylasacaktır"/>
        <s v="5375294000 3 aydır kullanmıyorum kapattım der"/>
        <s v="getırı kısa bır surelıgıne durdurduk"/>
        <s v="kurye sıkıntısı var donus saglıycak  / kurye sıkıntısından dolayı ben çekim istemiyorum dedi "/>
        <s v="yetkili:şıvan sönmez(osman beyden devralmış)//bütün fotoları çekilmiş / panelde fotoğrafları var "/>
        <n v="5.541398721E9"/>
        <s v="5443516359 ömer bey diiğer numara hatalı "/>
        <s v="tekrar aranacak//bütün ürünler çekilmiş"/>
        <s v="DÖNECEK  \\meşgule atıyor.\\ben size ulaşırım.// Ramazandan sonra aranacak //açmadı/açmadı/açmadı/açmadı açılış saati 17:00 yazmakta/ulaşılamıyor. / AÇILIŞ SAATİ 16:00"/>
        <s v="dönecekler "/>
        <s v="eksikleride tamamlayıp gönderecekmiş.fotoğraflar için arandı ben gönderdim kabul olmadı sizin çektiklerinizi beğenmiyorum oyüzden istemiyorum dedi."/>
        <s v="5 DKKA ARA-5377237413 DEVAM CEKİMİ RANDEVUSU OLUSTURULDU"/>
        <s v="numara aldılar geri dönüş yapıcaklar/(0324) 327 17 27 / 5454088838 maile atcak.mail adresi verildi atacak alper bey."/>
        <s v="BAYRAMDAN SNRA ARANILCK"/>
        <s v="d.ç ıstemez dha ılerıde olablr dedı/ilerleyen zamanda  ıster suan ıcın ıstemıyorlar"/>
        <s v="mail paylasıldı.açmadı."/>
        <s v="mehmet bey5305657613 / haftaya ara "/>
        <s v="5323104733/devam çekimi için aradım açmıyor / panelde fotoğrafları var "/>
        <s v="5541753712/cekım gerceklesmıs ama yuklenmemıs"/>
        <s v="bütün ürünler çekilmiş"/>
        <s v="1907. sokak  / tüm ürünleri çekilmiş "/>
        <s v="ürünlerinin tamamı ekli "/>
        <s v="gerek yok ona dedi istemiyor//wp numarası istedi vermeyince tersledi maili kabul etmiyor/ meşgule attı "/>
        <s v="5526960553// çekilmiş "/>
        <s v="çekim istemiyorum/ ulaşılamıyor. orhan bey: 05435543338 orhan beyden randevu alındı.Daha önce randevu  oluşturdunuz gelmediniz çoçuk oyuncağımı istemiyorum dedi ama hiç randevu oluşturulmamış daha öncesinde."/>
        <s v="Fahri Bey 5366075459"/>
        <s v="kendi fotoğrafları varmış yollayacaklarmış//numara eksik ya da hatalı// 1 HAFTAYA TACAĞIM DER/unuttuk atalım dediler."/>
        <s v="tesekkürler dedi kapattı"/>
        <s v="istemiyor aranmasın dedi"/>
        <s v="eksık urunlerı ıstemez"/>
        <s v="5366224080 marina avm devam istemiyor çekilenler birbirini tamamlar nitelikte dediler."/>
        <s v="eylülde arayın dedi "/>
        <s v="(0324) 325 14 64/ pzt sabah istiyor cuma tekrar aranacak//çalmıyor//1 saat sonra//cevapsız//05352910061 çalmıyor \\11-12 nisana randevu istiyor."/>
        <s v="tüm fotoları çekilmiş"/>
        <s v="tekrar aranacak./5 te aranılcak yt ıle grusulecekü"/>
        <s v="gerek yok dedi  "/>
        <s v="sürekli randevuları iptal ediyor 5-6 kere oluşturuldu hepsini iptal etti bi daha oluşturulmasın"/>
        <s v="5362261015 mustafa /aksam uxerı aranılcask"/>
        <s v="21 haziran pazartesiye ertelendi"/>
        <s v="30 Ağustosa ertelendi"/>
        <s v="5550300231//birkan bey//fakülte şubesi"/>
        <s v="iptal olan yerine5523343346"/>
        <s v="fotoğrafçının makinesi bozulduğu için erteleme / kendi çekimlerini yollayacakmıs MAİL VERİLDİ"/>
        <s v="diğer restoran3213356//  5541142630   //İSTEMİYORRR / yemek sepetinde çekim olmuş mail atacak .açmadı."/>
        <s v="5541142630// İSTEMİYORRR / yetkili öğleden sonra geliyor / yetkili malatyaya gitmiş ne zmn döneceği belli dedğil "/>
        <s v="numara aldılar geri dönücez size dediler//şuan müsait değilim öğleden sonra veya yarın arayın dedi/düşünmüyorum dediler// GÖNDERİP GÖNDERMEYECEĞİNE BAKIP DÖNÜŞ YAPAYIM SİZE DER/fotoğraflar için arandı ama açmadı. / her şey hakkında bilgim var ama istemiyo"/>
        <s v="açmadı //gerek duymuyorum dedi"/>
        <s v="yetkili yok pazartesi arancak."/>
        <s v="fotoğrafları varmış mail adresine atacaklar "/>
        <s v="erdal bey 5056741817 fotografları göndereyim dediler."/>
        <s v="çekim gerçekleşti "/>
        <s v="1 saat sonra ara "/>
        <s v="bu hafta olmaz 2 hafta sonra goruselım"/>
        <s v="fotoğraflar yüklenmemiş \\kerebiççi oğuzdan fotoğraf çekimi yapılmış bu şubede kullanılacakmış."/>
        <s v="salı gununu ıster"/>
        <s v="mail atacak"/>
        <s v="5436868784 mehmet bey açmadı/ÇEKIM GERCEKLESTI"/>
        <s v="getiryemek olarak çekimi gerçekleştirdiğini belirtiyorlar"/>
        <s v="05538234419 mesgul/EV İŞELİ İLE UĞRAŞIYORUM  DÜKKANIN BAŞINDA OLAMIYCAM ÖNÜMÜZ HAFTA OLSUN DEDİ/müsait degildi konuşulamadı tekrar aranacak 1 gibi/açmadı / ürünlerinin tamamı çekilmiş "/>
        <s v="defalarca arandı istemiyorum/teşekkür ederim istemiyorum dediler/ilgilenmiyoruz dediler/ teşekkür ederim istemiyorum dedi / krdeşiyle konuşup dönüş sağlayacak / mail atacak "/>
        <s v="yarım saat sonra "/>
        <s v="yolluyorum şimdi fotoğrafları diyor // YOPĞUNLUKTAN GÖNDEREMEDİM KUSURA BAKMAYIN YARIN GÖNDERECEĞİM DER"/>
        <s v="mehmet bey "/>
        <s v="işletme ramazan boyunca kapalı/bayramdan sonra heryer bir açılsın duruma göre bakarız dediler//trafikteyim şuan da / açmıyor GORÜŞÜLDÜ EV TASIMA İŞLERİ VARMİS DAHA SONRA DÖNÜŞ SAĞLANSIN DEDİ"/>
        <s v="adanada ki şubesinden alınabilir dediler "/>
        <s v="hepsi çekilmiş./GEREK YOK DEDI FIYATLARLA SIKINTIMIZ VAR ZTEN DEDI"/>
        <s v="Devam çekimi"/>
        <s v="panelle alakalı sorunları var biz tarafından aranınca alaycı şkilde kouşuyor elinizdeki standart fotograflardan koyun kapaga dediler. çekimde kesinlikle istemiyorlar. tekrar aranmasın./ öğleden sonra tekrar ara / iki saat sonra tekrar aranacak "/>
        <s v="yetkili yokmuş numaramı aldı geldiği zaman yetkiliye aratacak / mail verildi "/>
        <s v="kendi arıycak aramayın / açıp ses vermedi / sistemden çıkmak istiyormuş "/>
        <s v="d.ç istemiyo"/>
        <s v="iptal olan devam çekimi alındı / iptal olmuş devam çekimi "/>
        <s v="buranın çekimi daha önce yapıldı dediler. alınan randevu yok fotografçılara sorduk cevap bekleniyor diger işletmede göndermiş."/>
        <s v="Eshabil bey 5347036842 / kalan ürünler için şuanlık gerek yok dedi "/>
        <s v="muhammed bey mail verildi"/>
        <s v="tekrar devam çekimi istemiyorum dedi "/>
        <s v="kapatmış  "/>
        <s v="hüseyin bey eşi, hüseyin beyden randevu alındı. çekim gerçekleşmiş teyit için arandı."/>
        <s v="kardelen hanım tamam dedi ortakları yok demiş sistem kapalı demiş "/>
        <s v="ürünlerinin çoğunluuğu olduğu zaman kendisi dönüş sağlayacak / açmadı "/>
        <s v="çekim sağlanmış / eksik kalan ürünleri için kendisi dönüş yapmak istedi "/>
        <s v="istemiyor \\görüştük bu konuyu istemiyoruz dedi./hala istemiyor sebebi yok istemiyorum tekrar aramayın dedii./ yarım saat sonra / her hangi bir sebebi yok gelmeyin istemiyorum dedi "/>
        <s v="çekim gerçekleşmiş //devam çekimi için patronuyla konuşacak\\istemiyor / devam çekimi alındı "/>
        <s v="5327693773 coşkun bey / 5fe885ffac60e870386ccc1c Lido Pizza, Mezitli (Merkez Mah.) eksik ürünleri bu şubeden alınacak"/>
        <s v="fotograflar mail atılmıs onaylanmamıs randevu olusturulacak 1 hafta sonra ara/ AÇMADI.açmadı./yt işletmede yok dönecek"/>
        <s v="getirden memnun değil//çekim istemiyorlar/ 7 den 8 den sonra arayın dendi / getir yemek umranda değilmiş istemedi "/>
        <s v="5524063616 çekim sağlanmış"/>
        <s v="şuan getiri kullanmıyomuş devam çekimi için bayramdan sonra arayın//getiri kullanmıyoruz dedi / devam çekimi için arayacaklar "/>
        <s v="devam çekimi istemiyor. / paket servisini durdurduğu için şuan çekim istemiyor "/>
        <s v="5425292133 / öğleden sonra ara /yemk sepetının fotograflarını alıp yolluyck bıze"/>
        <s v="halil bey yetkili haftaya randevu alınabilir / ben aramadan lütfen aramayın dedi "/>
        <s v="fotofrafcının numarası varmıs/5325468315 şuan müsait değilim daha sonra cepten arama sağlayın dedi/cok ygunuz suan ıcın dusunmuyoruz dedı"/>
        <s v="panelde fotoğrafları var "/>
        <s v="Hatem hanımın numarası verildi bayramdan sonra dönüş yapacak. Erdem Bey oğlu suan personelde sıkıntı yaşıyorum sistemi açmıyorum dediler. Belki ileride dedi../ KURYE SORUNU VAR BENİ İK,İ HAFTA İDARE EDİN SONRA KONUŞALIM DEDİ / paneli kapalı /5327023733 mu"/>
        <s v="maile atacak fotoğrafları/Mehmet Bey"/>
        <s v="dönüş yapcak\\mail verildi./hatem hanımın numarası verildi// Mail gönderimi sağlamış/ fotoğrafı varmış atacak"/>
        <s v="ilerki tarihlerde insaalah dedi / ramazandan sonra olabilir ancak dedi "/>
        <s v="ben ararım sizi dedi"/>
        <s v="ualaşılmıyor"/>
        <s v="babası ürünlerin ziyan olmasını istememiş tekrardan bir randevu istemiyor//ürünlerin yarısını bile çıkaramam daha ileri dönemde olabilir/daha once aranmıs cekım ıstmıyoruz dedı / sistem üzerinde fotoğrafları mevcut FOTOGRAFCI KAYNAKLI İPTALI GERCEKLEŞMİŞ "/>
        <s v="iptal olan yerine / tüm ürünleri çekilmiş "/>
        <s v="şuan çok yoğunuz 6-7 gibi arayın dedi//mail adresi atıldı foto var"/>
        <s v="çekim gerçekleşmiş "/>
        <s v="açıyor ses gelmiyor/sistem daha kurulmamış kurulunca iletişime geçelim diyor.//öğleeden sonra arancak// meşgul-YARIN 11 DE ARA SABH//getiryemek sitesini açmamo-ış daha 1haziran gibi açacakmış//yetkili yok numarasını vermedi//getir yemekten arıyorum dedim "/>
        <s v="mail verildi"/>
        <s v="akşam saatlerinde aranacak \\ kendi fotoğrafları varmış./gönderdi mi diye aradık yetkili yok / kuryesi kaza yaptığı için ertelenecek/saat 1 de tekrar aranılck / saat 3 gibi aranacak "/>
        <s v="eksik kalan ürünler için daha sonra aranılabilir "/>
        <s v="5456838473  ben akşama kadar sizlere dönüş sağlarım dedi "/>
        <s v="en son çekim sağlanmamış tekrar alındı. teyit için arandı çekim gerçekleşmiş."/>
        <s v="oğlu murat bey 1 saat sonra aranacak babasına soracak/tam 1 saat sonra ara der B/ YETKİLİ MÜSAİT DEĞİLMİŞ "/>
        <s v="tüm ürünler çekilmiş "/>
        <s v="açmıyor//05335947069 mahmut bey \"/>
        <s v="yarım saat sobra aramısız dedi// randevu oluşturuldu."/>
        <s v="bütün ürünleri çekilmiş ama resimler menülerin yanlarına yanlış koyulmuş / kalan ürünlerinin çekimini istemedi /  cekım gerceklesmıs ama yuklenmemıs"/>
        <n v="5.3772827E9"/>
        <s v="fotoğrafları varmış mail atacaklar "/>
        <s v="hepsi çekilmiş / bazı ürünler eksik ama panelde yokmuş "/>
        <s v="yılbaşından sonra aranacak"/>
        <s v="hepsı cekılmıs kılloluk olanları gerıye kalanlarla aynı olarak kullanılmasını ıstyor / tüm ürünleri yüklenmiş fakat bazı ürünler eklenmemiş eklenmesini istiyor "/>
        <s v="çekim sağlanmış kalan ürünü yok "/>
        <s v="yetkili yok\\fotoğraf yüklenmiş - mert bey no : 05539739382 numara mesgul "/>
        <s v="549 200 33 02 mehmet bey şehir dışındaymış müdürüne yönlendirecek/mehmet beyle görüşmek istiyorum dedim &quot;mehmet abi getiryemek'ten arıyorlar seninle görüşmek istiyorlarmış&quot; diye ses geldi sonrasında bana dönüp mehmet abi burda yok ben yardımcı olayım der "/>
        <s v="istemiyor. yetkili yok 3 den sonra aranacak./aksam arayuın dedi"/>
        <s v="biz fotoğrafa gerek duymuyoruz der"/>
        <s v="saat beste burda olurlar dedi tekrar aranacak/yt yok 4 ten sonra gelır- ulasılamadı - getir yemekten daha önce çekim saglanmıs onları yüklemek istiyorum dedi çekim istemiyor "/>
        <s v="yetkili yok dönüş yapacaklar/ açmadı"/>
        <s v="Çok kesin olarak çekim istemediğini söylemektedir.\\doğumu varmış birkaç güne,ramazanda arayın dedi. / amca çok yaşlıydı daha sonra aransın /ilçe tarım müdürlüğünün tam karşısı - yetkili şehir dışına çıkacakmış ürünleride eksikmiş tamamlayınca kendisi ger"/>
        <s v="mail atacak//tekrar mail adresi aldı fotoları yollicak/ BUGÜN YOLLICAM- ulasılamadı "/>
        <s v="devamçekimi alındı / çekim yapılmış fotoğraflar ekli değil / bu ara pek uygun değilim daha sonra dedi "/>
        <s v="menü güncellemesi yapacağım işlerim bitsin ben size döneyim der/ yılbaşına yakın bi zamanda menü güncellemesi yapacağım oyüzden şuan olmaz daha sonra dedi.meşgule attı.işletmeyi kapayacaklar"/>
        <s v="ses gelmiyor \\randevu oluşturuldu//devam çekimi için şimdilik gerek yok/5464215621 kndı fotografları var eger ıhtıyacı olursa paylasacak / çekim yapılmış kalan ürünler için mail atacak "/>
        <s v="kendisi mutfagın durumuna göre istiyor arayacak"/>
        <n v="5.065458783E9"/>
        <s v="gorusme saglanmıs urunler cekılmıs"/>
        <s v="yt yok yarım saat sonra aranılck.osman beyden randevu alındı."/>
        <s v="randevu oluşturulmuştu iptal istedi yeni çekim istemiyor / açılış saati 11:00 / işi çıktıpı için pazartesiye tekrar oluşturuldu "/>
        <s v="açmadı sms gönderildi "/>
        <s v="mail verildi \çekim yapılmış"/>
        <s v="biz gerek duymuyoruz dedi "/>
        <s v="devam çekimi alındı. / yetkili çekim sağlanmadı dedi daha sonra tekrar aranacak "/>
        <s v="15 dk sonra ara / çekım gerceklesmıs ama yuklenmemıs"/>
        <s v="fatih bey: 05546927722 - yarın kapalıyız bir daha bu bölgeye gelindiği zamn tekrardan randevu alınabilir 2-3 gün öncesinden haber verilerek alınacak "/>
        <s v="devam istemiyor.."/>
        <s v="5355951384//meşgul//kendisi dönüş yapacak"/>
        <s v="menü güncellemesi yapacak 20 25 gün sonra istiyor / Diğer geldiğinizde olur dedi mustafa bey./kısa sürede devam çekimi olmaz / kalan ürünleri için aradığımda fotoğrafı duyunca kapatın dedi  / bir dahaki çekimi yazın başına düşünüyoruz dedi "/>
        <s v="??? Nereden gelecek fotolar arkadaşlar ne bir şube bilgisi ne de franchise bilgisi var!!"/>
        <s v="ses yok/ses gelmedi / DEVAM ÇEKİMİ ALINABİLİR ÜÜNLER EKSİK "/>
        <s v="5531021152// daha sonra randevusu alınacak "/>
        <s v="yetkili yok 1 saate gelir //getirden hiç memnun değil / çağlar bey yok barış beyle görüşüldü görüşüp dönüş sağlayacak "/>
        <s v="teyit için aradık açmadı / tüm ürünler çekilmiş "/>
        <s v="mail atacak/randevu alındı"/>
        <s v="YT YOK -"/>
        <s v="60900b0d800b49719bcac447        33 Orhan Usta Tantuni, Mezitli (Akdeniz Mah.) şubesinde fotoğraflar alınabilir "/>
        <s v="5432485639//merkeze bağlı"/>
        <s v="dükkanda sıkıntıları varmış daha sonra aranacak / pazartesi yetkili işletmede değilmiş "/>
        <s v="fotoğrafçı ben eksik kalan ürünler için gelirim demiş// şuan için eleman sıkıntısı var daha sonra olabilir dedi devam çekimi için aranmıştı./yıl başından sonra "/>
        <s v="fotografcı tum urunlerı cıkarmasını sıtemısler bu yuzden ıptal olmmus /  mail verıldı kndılerı cekım yapıp paylasılcak / PROBLEMLER ÇOZULDUKTEN SONRA ÇEKİM SAGLANABİLİR / şuan müsait değil daha sonra aranabilir "/>
        <s v="5072911926 samet bey 30 dk sonra ara alacan/açmadı-randevu olusturuldu/ Ben kendim fotoğraf çektirmeye karar verdim olur da çektiremezsem sizi ararım tekrar der / genelmerkezden fotoğraf gelince atacakmış gelmesinler gerek yok dedi"/>
        <s v="ÇEKMEDİĞİM SON 2 3 TANE FOTOM KALDI ÇEKEYİM YOLLICAM DER- daha kalanları çekmedim dedi çekim yollıyacam dedi 1 haftayı bulur dedi / yetkili yoktu görüşüp fotoğrafları iletecekler "/>
        <s v="BUGÜN YARIN GÖNDERİRİRİM Bİ ARA DER"/>
        <s v="içecek hariç 1 ürün çekilmemiş"/>
        <n v="5.302656333E9"/>
        <s v="Baran bey yetkili"/>
        <s v="murat bey ilgilenecek 5365620892 / devam çekimi iptal oldu/yılbasından snra ıcın ıstdıler"/>
        <s v="çekilmiş"/>
        <s v="meşgul// meil adresine iletceklermiş/ paket servisi bırakmış panelinie kapatmış uzun süre kapalı kalacakmış bu yüzden fotoğraf atamak da istemedi "/>
        <s v="yt yok döncekler- yetkilinin numarasını veremiyorum geldiği zaman ben iletirim dedi "/>
        <s v="giyim mağzası \\ARANMAYACAK GİYİM MAĞAZASIYMIŞ"/>
        <s v="Şuan ürünleri çıkartamam Ramazandan sonra der"/>
        <s v="lahmacun her yerde lahmacungerek yok der"/>
        <s v="05422679191 mert bey cep ama açmadı// fotoğrafları var mail atacaklar//meşgul/ ürünler çekilmiş "/>
        <s v="sistemdki numara işten ayrılmış 5422679191 mert bey ama açmadı "/>
        <s v="yetkili yok"/>
        <s v="kocası ile görüşüldü / panelde fotoğrafları yüklü "/>
        <s v="5363748088// süleyman bey açmadı//adres güncellendi / devam çekimi alınabilir "/>
        <s v="devam çekimi   / çekim yapılmış ilerleyen günlerde devam çekimi alınabilir /yılbasında snra olsun dedı"/>
        <s v="fotograf gönderimi saglanmıs onaylanmamıs randevu olusturuldu "/>
        <s v="daha sonra arayacak şuan uygun değil / kendileri dönüş yapacak"/>
        <s v="mail atacak "/>
        <s v="öğleden sonra aranacak /sabah 10 11 gibi"/>
        <s v="bu hafta mevlüt varmış bir daha ki toroslara gidildiği takdirde aranacak olumlu - kardeşi sezer bey şuan kendisi yok geldiği zaman ben sizlere dönüş sağlarım dedi "/>
        <s v="açmadı.ulaşılamıyor. yusuf beyden randevu alındı."/>
        <s v="bu bölgeye gelindiği zman randevu alınabilir "/>
        <s v="yetkili yok 2 gibigelecek "/>
        <s v="devam çekimi / ürünler panele yüklenmiş "/>
        <s v="meşgul"/>
        <s v="FOTOĞRAFLARI YOK ARKADAŞLAR BAŞKA ŞUBE DE YOK // 5053023333/açmadı/FOTOĞRAF TEYİDİ İÇİN ARANDI AÇMADI"/>
        <s v="5332263759 mustafa bey divan oteli yanı mustafa beyden randevu alındı."/>
        <s v="devam cekımı/iptal nedenı: dger urunler yeterlı dedı bu yuzden cekım ıstemedık dedı"/>
        <s v="Randevu alındı.Randevu için saat 10 ve 12 için uygunuz tarih farketmez ona göre tekrar randevu oluşturulacak./çekım ıstemıyor / daha öncede aradınız  istemiyoum dedi  ARAMAYIN "/>
        <s v="MAİL GELMEMİŞ // merkeze bildirecekler mail adresi de verildi mail atacaklar"/>
        <s v="iptal olan randevu yerine alındı / ürünlerin tamamı çekilmiş "/>
        <s v="5435711463 / gerek yok diyorlar fotoğraf çekimi istemiyorlar."/>
        <s v="BARAN BEY 5300913321"/>
        <s v="çekim sağlanmış eksik ürünler için kendi arıycak"/>
        <s v="panelde fotoğrafları ekli "/>
        <s v="merkezden iletildi 5459583648 / panelde fotoğrafları ekli "/>
        <s v="5375800684//açmadı/gönderecekmiş / mail iletildi en kısa xamanda gönderecek "/>
        <s v="bilgisi yok yetkili gelecek yarımsaatsonra /"/>
        <s v="Alper Bey/ulaşılamıyor./işletme 12 de acılıyor/randevusu olustrulmus cekımde saglanıldı takvımden bakılarak duzunlemesını yaptım"/>
        <s v="5358786091 /panelde fotoğrfları ekli "/>
        <s v="açtı konuşmad/açmadı//yokuz dedi//1 saat  sonra ara / çekim gerçekleşmiş "/>
        <s v="5495790133/daha sonra kendısı donus saglıycaklar- tamam gelebilirsiniz dedi yüzüme kapattı ulasılamıyor / ÇEŞMİNAZ HANIM bızım urunumuz cok fazla bız ıstemıyoruz"/>
        <s v="can bey"/>
        <s v="mail verildi fotolarını atcak / devam çekimi alındı "/>
        <s v="şuan çok meşgulum beni bi iki saat sonra arasanız olur mu dedi// getir ile problem yaşıyormuş eğer problem giderilir ise düşünebilir / açılış saati 11:00 / patronu hatemin numarasını kaydetmiş müsait olduğu zaman dönecek "/>
        <s v="0324 99 9 22 52 doğru no bu yetkili Sergen Bey/çaldı açmadı/yt degılım ben baska bırısıyım dedı cekımde ıstemıyorum dedı/         DOĞRU NO BU  AMA AÇMADILAR / panelde tüm fotoğrafları yüklü"/>
        <s v="15 kasımda arancak daha oncesınde bu sekılde gorusulmus  / biz haber verecez dedi /kndıomız donus saglıycz dedı / şuan düşünmüyoruz yaz başı dedi "/>
        <s v="Cahit Bey / 5342227499"/>
        <s v="menusunu tamalayacak bır bucuk haftaya aransın dedı/ menü güncellemesi gerçekleşmedi düzenlensin mutlaka döneceğim aklımdasınız der/hela devam ediyormuş menü güncellemesi../ çekşm sağlanmış / konsept eğişikliği nedeniyle fotoğrafları kaldırmışalr "/>
        <s v="ali bey"/>
        <s v="devam çekimi istemedi  "/>
        <s v="devam çekimi için arandı ama meşgule atıyor:05326926654 // sabah et lokantası ile aynı ürünler ordanda kullanılabilir dedi/ panelde fotoğraflar var "/>
        <s v="tamamı çekilmiş"/>
        <s v="tüm fotoğraflar çekilmiş/03242388282//5326926654 sabahatıın bey dger subelerımde cekılen fotografları kullanırız demıs fotografcı ama yuklenmedı demıs"/>
        <s v="zafer bey /5464666029/devamçekimi/yt yok döncekler"/>
        <s v="açmadı /cekım saglanıldı"/>
        <s v="5541130919 özkan bey / bu şubedede diğer şubedede çekim yapılmamış çekim dönüş sağlayacaklar  / yarım saat sonra ara "/>
        <s v="devam alındı / tüm ürünler çekilmiş "/>
        <s v="teit içiğn arandı actı ses vermedi"/>
        <n v="5.070366373E9"/>
        <s v="yahya 5412393973 / panelde fotoğrafı var  / çekilen ürünler yeterli dedi "/>
        <s v="Gökhan Bey yetkili"/>
        <s v="5389709954/cekım gerceklesmıs ama yuklenmemıs"/>
        <s v="Mahmut Bey/5325461769/fotoğrafları varmış gönderecekmiş/ mail tekrar verildi gönderecek "/>
        <s v="hepsi çekilmiş. / devam çekimi alındı .teyit için arandı açmadı."/>
        <s v="devam çekimi  / ürünlerinin tamamı çekilmiş "/>
        <s v="5350480785 / çekm  sağlanmış "/>
        <s v="Hafıza kartı bozuk olduğu için görsellere ulaşamadık, tekrar çekim talep edelim / fotoğrafları varmış "/>
        <s v="biz böyle şeylerle ilgilenmiyoruz"/>
        <s v="öğlen tekrar ara / daha sonra tekrar ara / açmadı."/>
        <s v="Sibel Hanım/5327809060// mail verildi kalanlar ,çin kendi fotolarını gönderecek"/>
        <s v="çekim sağlanmış fakat et kısmı yüklenmemiş yüklenmesini istiyor "/>
        <s v="öğlen 2 3 aylin hanım / 5325534633 / mail adresi verildi "/>
        <s v="ustası yokmus tek basıma yetıstıremem dedi ileri tarihte olabilir dedi/2 ay sonra aayın dedı- elimde 8-9 tane fotograflar var dedi onları atarım dedi mail adresi verildi - çekim istemiyor / mail verildi "/>
        <s v="açmadı/ biz düşünmüyoruz ne olacağımız belli bilr değil der "/>
        <s v="yusuf beyle görüşüldü/devam çekimi istiyor sabah 7 de istiyor saat uymadı. tekrar aransın / çok az ürünüm kaldı tekrar çekime gerek yok dedi "/>
        <s v="Hafıza kartı bozuk olduğu için görsellere ulaşamadık, tekrar çekim talep edelim // 5447651458 emrah beyin numarası/kndısının fotografları mevcut paylasaak"/>
        <s v="devam çekımı"/>
        <s v="5348804916 cekım ıstemıyorlr / Hayır sağolun dedi / ürünlerimin parasını ödeyeceksiniz gelin çekin der "/>
        <s v="mail paylasıldı- ulaşılamadı - devir etmis / bu numara eski ortağın numarakarı yok görüşmüyorlarmış"/>
        <s v="tekrar arandı randevu için hastası var var sonra ben size dönüş yaparım dedi/yarın aranacak- karantinada dedi calısanı daha sonra aranacak/yt yok calısanı ıletecegını belırtıı- usta yok dedi gelsin soylerim dedi ne zaman gelir bilmiyorum dedi - yt rahatsı"/>
        <s v="Daha önce çekim saglanmış begenilmeyen fotograflar kaldırılmıs yeniden cekim için randevunalınabilir"/>
        <s v="biz düşünüp size dönüş sağlayalım dedi//5447626523 çağlar beyle görüşüldü panelden şikayetçiymiş çekim vs istemiyorum dedi "/>
        <s v="yarın asıl yetkili ile konuşulup kararlaştırcaklar yarın aranacak/eşinin numarasını verdi ama açmıyor 0535 282 46 43/RANDEVU ALINDI//çekimlerin hepsi yapılmış sisteme yüklenmemiş."/>
        <s v=" "/>
        <s v="ÜRÜNLERİ ZİYAN EDİP ZARARA GİREMEM DER/5378455050 taner bey bir hafta sonra aransın  / şuan düşünmüyormuş "/>
        <s v="mail verildi // YOLLADIM DER"/>
        <s v="KULLANILMAYAN NUMARA"/>
        <s v="açmadı "/>
        <s v="ürünleri çekilmiş "/>
        <s v="devam cekım ı alındı"/>
        <s v="ortakları ile görüşüp dönecek "/>
        <s v="devam çekimi için aradım müsait değilim dedi / ürünlerin büyük bir kısmı panelde var "/>
        <s v="dç alındı iptal olduğundan yetkilinin haberi yok tekrar görüşülecek / panelde fotoğrafları var "/>
        <s v="on dkka sonra ara dediler / ürünlerinin tamamı çekilmiş "/>
        <s v="isteksiz konuştu 2 hafta sonra tekrar arayın dedi//suan dükkanda yok ded/kardeşimle konuşuyum yarın siz bizi tekrar arasanız olur mu dedi/yarın veya pazartesı arayın/ şuan için böyle bir düşüncem yok istemiyorum dedi "/>
        <s v="neslihan selvi /12.00 ıcın ıstedı  ıllede / müsait değilim deyip suratıma kapattı "/>
        <s v="çekim sağlanmış başka da istemiyor "/>
        <s v="(0324) 328 12 60/ bız paket kullanmıyoruz"/>
        <s v="bütün ürünler çekilmiş ramazandan sonra menü eklemesi yapacakmış o zaman arayın//açmadı// menü yenilenmesi olmamış şuan da müsait değillermiş/devam çekimi istemiyo / çekim sağlanmış kalan ürününün olmadığını syledi "/>
        <s v="bize güven sorunu yaşıyor.meşgule attı."/>
        <s v="Saat 6 da aranacak/Daha sonra aramamızı istedi müsait değilmiş.- menüm güncellenecek dedi işletmeyi büyütüyoruz dedi 1 ay sonra aranacak /saat 3 gibi / "/>
        <n v="5.35404695E9"/>
        <s v="5417842903 Hüseyin bey açmadı"/>
        <s v="açtı ama konuşmadı / panelde fotoğrafları var "/>
        <s v="hepsi çekilmiş."/>
        <s v="osman bey / çekim sağlanmış"/>
        <s v="numara verdim dönüş sağlayacaklar//hastaları varmış siz aramayın o dönecek bizesistem üzerinde fotoğraf var sormak için aradık açmadı"/>
        <s v="bi şubesi daha var / çekim gerçekleşmiş "/>
        <s v="açmadı //müşterim var yarın arayın dedi//05333183370 tolga bey//acmıyor"/>
        <s v="gökhan bey fotoğraf istemiyoruz dedi"/>
        <s v="hepsi çekildi gerisininde bi önemi yok çekilmese de olur dedi / çekim sağlanmış kalan ürünü yok "/>
        <s v="Efkan Bey/ mail verildi.yetkili yok dönüş yapacak.efkan bey dönüş yapacak fotoğraflar var dedi ama yarısı var yarısı yok dedi tam emin olamadı oyüzden dönüş sağlayacak kendisi."/>
        <s v="mutlaka erdemliye tekrar gelindiğinde arayın beni randevu istiyorum dedi  "/>
        <s v="60072be6e13dbd68ec5c06e9        Tat Döner &amp; İskender, Mezitli (Merkez Mah.)şubesinden çekilen ürünler koyulacak"/>
        <s v="tüm ürünleri çekilmiş "/>
        <s v="maliyeti fazla olduğu için kendim ayarlayınca döneceğim dedi fotoğrafçının numarası var dedi / ramazanda kapalılarmış "/>
        <s v="Hasan bey yetkili"/>
        <s v="erdemliye gidildiğinde alınacak/önümüzdeki hafta olur der \\ramazanda düşünüyormuş//başka işleri varmış ilerleyen zamanlada//açmadı/açmadı//meşgüle attı / ulaşılamadı/meşgul.yetkili 1 saat sonra gelir der.meşgule attı."/>
        <s v="daha sonra aranacak/5324145002 yt ulasılmıyor/ben o değilim yanlış numara dedi/YILBASINDAN SONRA ARANILABLR / tayfun bey yok "/>
        <s v="mail atacak // İSTEMİYORUM FOTOĞRAFLARIMIN ORDA OLMASINI DER"/>
        <s v="kendi fotoğrafçısı varmış çektirdiği zamn mail atacak "/>
        <s v="konusmama izin vermeden istemiyoruz dedi kapattı"/>
        <s v="mail adresi gönderildi "/>
        <s v="mail atacak // FOTOĞRAFLARI GÖNDERDİM der/hazal hanım 1 saat sonra tekrar arancak"/>
        <s v="fotografları maıl olarak paylasılmıs"/>
        <s v="daha ileri tarihte döneceğim size // döneceğiz der\\kendisi dönecekmiş./numara aldılar geri dönüş yapacaklar//dönecek/Hakan Bey devir almış daha sistemi açmamışlar bölge limiti ve değişiklikler yapacagım dediler.yetkili yok 2 saat sonra gelirmiş.istemiyor"/>
        <s v="DEVAM ÇEKİMİ İÇİN ARA / kalan ürünlerim çokta önemli olan ürünler değil dedi  / haftaya olab,ilir "/>
        <s v="Yasin Bey/ kendi çekip gönderecek / ben bu çekimi itemiyorum dedi "/>
        <s v="hiç bir platformda ürün fotografı olsun istemiyor./kendi sosyal medya ekibi ve fotoğrafçıları varmış tamam o zaman mail adresi vermek istedim mail adresini de istemedi"/>
        <s v="devam çekimi için randevu oluşturuldu 2 3 ürünü çekilmiş kalan ürünlerin çekimi için randevu oluşturuldu "/>
        <s v="çekim yapılmış /fırat bey  5392391864 yok dha snra aranılck de aranılablr/"/>
        <s v="internetten alıp koyabilirsiniz der bende öyle bir şansımız olmadığını belirttim zaten iş yok der çok zorlanıyorlarmış o yüzden istemedi"/>
        <s v="bayrak bina altı - ibrahim bey yetkili / tavuk çekimleri için randevu alındı "/>
        <s v="5 te arancak// eşim tedavi görüyor biz sizi ararız dedi/çekime giidlmiş diye aradım ama meşgule attı / uğur bey eşiymiş tadilat varmış bitince kendisi dönecek / açmadı.açmadı.açmadı. / çekim istemiyorlar "/>
        <s v="haftaya aransın 12-1 gibi devam randv alınsın/ ekim başlayınca olabilir devam çekimi der/ yetkili müsait değilmiş./pzrtesı tekrar aranılcak hangı urunu eksık bılmıor"/>
        <s v="yarın toplu lahmacun siparişi varmış frklı bir gün alınacak "/>
        <s v="çekimi yapılmış.\\devam çekimi istemiyor. / tekrar randevu alındı / çekim sağlandı "/>
        <s v="2. devam çekimi alındı"/>
        <s v="türkçe bilmiyor"/>
        <s v="4 gibi ara burçak bey 5074790660///// Çekim yapılmış"/>
        <s v="işletmeyi kapatmışlar."/>
        <s v="sıstemden kontrol saglanında 5 adet urununun tek fotografları yok"/>
        <s v="/ getirden uzun zamandır sipariş almıyorum zaten şimdilik yormayalım sizi demekte / burası bir imalat firmsı burada çekim sağlayamayız dedi "/>
        <s v="biz tarafından aranmasın"/>
        <s v="dc alındı"/>
        <s v="Haftaya istiyor"/>
        <s v="izel beyden randevu alındı."/>
        <s v="Diğer şubede çekilmiş ama 6 ürün çekilmiş sadece, restoranın menüsünde 100 üründen fazla var tekrar randevu düzenleyelim // 5304009990 yetkili numarası olarak bu numarayı verdi ama açmıyor/celal bey ile görüştüm diğer şubesi için randevusu alındı"/>
        <s v="Biz söylemiştik uygun olduğumuzda arayacağız dedi/ ben kendim uygun olduğumda iletişime geçeceğim dedi- müsait olduğudmda ben dönceğim dedi"/>
        <s v="mehmet bey ortağı ile oluşturuldu"/>
        <s v="beşiktaş meydanı kuzeyinde tam karşı yolunda 200 metre ilerde (palmiye mah. 2.Cadde yedigöz apt altı no4/a  5068545872 / FOTOĞRAFÇI İLE ANLAŞAMAMIŞ TERSLEŞMİŞLER BU YÜZDEN İETEMİYOR "/>
        <s v="no:63 değil no:6 / çekim sağlanmış"/>
        <s v="0535 491 55 04 yusuf beyden randevu alındı. / fotoğrafları varmış mail atıldı "/>
        <s v="12 de dönecek bize //devam çekimi için alındı/yetkili yok yarın gelirmiş muhtemelen çekim olmamış. / akdenize gidilen bir günde randevu alınabilir "/>
        <s v="Fotoğrafları benimle paylaşmadığınız için çekim istemiyorum ben o kadar ürünü hazırlayacağım en azından fotoğrafları benimle paylaşsaydınız dedi "/>
        <s v="şuan paket elemanım yok şimdilik iptal edelim vaktim yok//elemanı hala yokmuş/cekım ıstemıyoruzz dedı/ direk meşgule düşüyor "/>
        <n v="5.077358503E9"/>
        <s v="daha önceden randevu oluşturulmuş çekim gerçekleşmemiş yerine alındı//teyit için arandı çekilmiş"/>
        <s v="daha sonrası ıcın grume saglamak ıstedıler/5 dkka sonra aranılcak yt yok7 / meüsünü değiştirdikten sonra dönüş sağlayacak "/>
        <s v="randevu olusturuldu/cekım saglanılmıs / çekim sağlanmış "/>
        <s v="randevu olusturuldu/cekım saglanılmıs / çekim sağlanmış // 6022dbdf966d0a1ed5db8430        Ziyafet Çiğ Köfte, Mezitli (Akdeniz Mah.) burası çekilmiş dondurmalar çekilmemiş"/>
        <s v="haftaya cuma aranıcak randevu alınacak 16:03.2021//devam çekimi olmayacak çünkü kalan ürünler sadece ramazana özelmiş/mevcut fotoların da kaldırılmasını ister çünkü tüm ürünler aynı olmuyomuş ikayet geliyo bu konuda der"/>
        <s v="Özgür hanım eşiymiş o ilgileniyormuş randevu alındı"/>
      </sharedItems>
    </cacheField>
    <cacheField name="Randevu Alma &#10;Tarihi">
      <sharedItems containsDate="1" containsBlank="1" containsMixedTypes="1">
        <d v="2021-11-03T00:00:00Z"/>
        <d v="2021-03-19T00:00:00Z"/>
        <d v="2021-03-16T00:00:00Z"/>
        <m/>
        <d v="2021-08-09T00:00:00Z"/>
        <d v="2022-01-29T00:00:00Z"/>
        <d v="2021-03-11T00:00:00Z"/>
        <d v="2021-12-30T00:00:00Z"/>
        <d v="2022-04-09T00:00:00Z"/>
        <d v="2022-01-18T00:00:00Z"/>
        <d v="2021-03-12T00:00:00Z"/>
        <d v="2021-11-08T00:00:00Z"/>
        <d v="2021-06-08T00:00:00Z"/>
        <d v="2022-01-04T00:00:00Z"/>
        <d v="2021-12-28T00:00:00Z"/>
        <d v="2021-03-25T00:00:00Z"/>
        <d v="2021-04-14T00:00:00Z"/>
        <d v="2021-11-26T00:00:00Z"/>
        <d v="2021-03-26T00:00:00Z"/>
        <d v="2021-10-26T00:00:00Z"/>
        <d v="2021-12-10T00:00:00Z"/>
        <d v="2021-05-27T00:00:00Z"/>
        <d v="2021-03-30T00:00:00Z"/>
        <d v="2022-01-11T00:00:00Z"/>
        <d v="2021-10-14T00:00:00Z"/>
        <d v="2021-10-25T00:00:00Z"/>
        <d v="2021-12-06T00:00:00Z"/>
        <d v="2021-11-16T00:00:00Z"/>
        <d v="2022-05-13T00:00:00Z"/>
        <d v="2021-04-09T00:00:00Z"/>
        <d v="2021-11-17T00:00:00Z"/>
        <d v="2021-06-11T00:00:00Z"/>
        <d v="2022-01-12T00:00:00Z"/>
        <d v="2021-08-23T00:00:00Z"/>
        <d v="2021-04-12T00:00:00Z"/>
        <d v="2021-10-13T00:00:00Z"/>
        <d v="2021-04-16T00:00:00Z"/>
        <d v="2021-10-11T00:00:00Z"/>
        <d v="2022-03-29T00:00:00Z"/>
        <d v="2022-04-05T00:00:00Z"/>
        <d v="2021-12-01T00:00:00Z"/>
        <d v="2022-04-20T00:00:00Z"/>
        <d v="2021-11-24T00:00:00Z"/>
        <d v="2021-11-30T00:00:00Z"/>
        <d v="2021-11-18T00:00:00Z"/>
        <d v="2021-06-02T00:00:00Z"/>
        <d v="2022-03-18T00:00:00Z"/>
        <d v="2021-09-11T00:00:00Z"/>
        <d v="2022-03-10T00:00:00Z"/>
        <d v="2022-03-04T00:00:00Z"/>
        <d v="2021-10-30T00:00:00Z"/>
        <d v="2021-10-20T00:00:00Z"/>
        <d v="2022-03-14T00:00:00Z"/>
        <d v="2022-03-28T00:00:00Z"/>
        <d v="2022-03-16T00:00:00Z"/>
        <d v="2021-03-23T00:00:00Z"/>
        <d v="2021-03-24T00:00:00Z"/>
        <d v="2021-12-15T00:00:00Z"/>
        <d v="2021-11-05T00:00:00Z"/>
        <d v="2021-10-18T00:00:00Z"/>
        <d v="2021-04-08T00:00:00Z"/>
        <d v="2021-12-22T00:00:00Z"/>
        <d v="2021-12-27T00:00:00Z"/>
        <d v="2022-01-17T00:00:00Z"/>
        <d v="2021-04-02T00:00:00Z"/>
        <d v="2022-03-08T00:00:00Z"/>
        <d v="2021-04-01T00:00:00Z"/>
        <d v="2021-11-15T00:00:00Z"/>
        <d v="2021-11-11T00:00:00Z"/>
        <d v="2021-12-13T00:00:00Z"/>
        <d v="2021-03-31T00:00:00Z"/>
        <d v="2022-03-15T00:00:00Z"/>
        <d v="2021-09-08T00:00:00Z"/>
        <d v="2021-10-08T00:00:00Z"/>
        <d v="2022-03-09T00:00:00Z"/>
        <d v="2022-03-12T00:00:00Z"/>
        <d v="2021-05-17T00:00:00Z"/>
        <d v="2021-11-23T00:00:00Z"/>
        <d v="2021-03-15T00:00:00Z"/>
        <d v="2021-07-27T00:00:00Z"/>
        <d v="2021-10-06T00:00:00Z"/>
        <d v="2021-09-22T00:00:00Z"/>
        <d v="2021-12-17T00:00:00Z"/>
        <d v="2021-10-19T00:00:00Z"/>
        <d v="2021-10-15T00:00:00Z"/>
        <d v="2021-04-19T00:00:00Z"/>
        <d v="2021-12-16T00:00:00Z"/>
        <d v="2021-04-07T00:00:00Z"/>
        <d v="2021-12-29T00:00:00Z"/>
        <d v="2021-05-28T00:00:00Z"/>
        <d v="2021-03-29T00:00:00Z"/>
        <d v="2021-10-22T00:00:00Z"/>
        <d v="2021-05-21T00:00:00Z"/>
        <d v="2021-08-26T00:00:00Z"/>
        <d v="2021-10-28T00:00:00Z"/>
        <d v="2021-11-04T00:00:00Z"/>
        <d v="2022-03-07T00:00:00Z"/>
        <d v="2021-12-08T00:00:00Z"/>
        <d v="2021-09-17T00:00:00Z"/>
        <d v="2021-06-16T00:00:00Z"/>
        <d v="2021-05-11T00:00:00Z"/>
        <d v="2021-06-17T00:00:00Z"/>
        <d v="2021-08-03T00:00:00Z"/>
        <d v="2021-10-12T00:00:00Z"/>
        <d v="2022-01-10T00:00:00Z"/>
        <d v="2021-11-20T00:00:00Z"/>
        <d v="2021-11-06T00:00:00Z"/>
        <d v="2021-08-11T00:00:00Z"/>
        <d v="2021-09-02T00:00:00Z"/>
        <d v="2022-04-19T00:00:00Z"/>
        <s v="6081896a711e03c829e50a32"/>
        <d v="2021-07-16T00:00:00Z"/>
        <d v="2021-08-12T00:00:00Z"/>
        <d v="2021-11-29T00:00:00Z"/>
        <d v="2021-09-07T00:00:00Z"/>
        <d v="2021-10-07T00:00:00Z"/>
        <d v="2021-12-20T00:00:00Z"/>
        <d v="2021-06-09T00:00:00Z"/>
        <d v="2021-12-23T00:00:00Z"/>
        <d v="2021-05-25T00:00:00Z"/>
        <d v="2022-03-23T00:00:00Z"/>
        <d v="2021-04-20T00:00:00Z"/>
        <d v="2022-03-21T00:00:00Z"/>
        <d v="2022-04-04T00:00:00Z"/>
        <d v="2022-03-22T00:00:00Z"/>
        <d v="2021-05-18T00:00:00Z"/>
        <d v="2021-12-18T00:00:00Z"/>
        <d v="2021-05-16T00:00:00Z"/>
        <d v="2021-03-18T00:00:00Z"/>
        <d v="2021-11-22T00:00:00Z"/>
        <d v="2021-10-29T00:00:00Z"/>
        <d v="2021-06-03T00:00:00Z"/>
        <d v="2021-11-19T00:00:00Z"/>
        <d v="2021-12-21T00:00:00Z"/>
        <d v="2021-04-05T00:00:00Z"/>
        <d v="2022-04-06T00:00:00Z"/>
        <d v="2021-12-24T00:00:00Z"/>
        <d v="2021-12-31T00:00:00Z"/>
        <d v="2022-03-25T00:00:00Z"/>
        <d v="2021-10-21T00:00:00Z"/>
        <d v="2022-01-19T00:00:00Z"/>
        <d v="2021-08-20T00:00:00Z"/>
        <d v="2021-04-06T00:00:00Z"/>
        <d v="2021-09-03T00:00:00Z"/>
        <d v="2021-05-20T00:00:00Z"/>
        <d v="2021-06-15T00:00:00Z"/>
        <d v="2021-09-15T00:00:00Z"/>
        <d v="2022-01-20T00:00:00Z"/>
        <d v="2021-08-10T00:00:00Z"/>
        <d v="2021-04-15T00:00:00Z"/>
        <d v="2021-12-07T00:00:00Z"/>
        <d v="2021-12-14T00:00:00Z"/>
        <d v="2021-09-01T00:00:00Z"/>
        <d v="2022-01-05T00:00:00Z"/>
        <d v="2021-03-22T00:00:00Z"/>
        <d v="2021-10-27T00:00:00Z"/>
        <d v="2021-09-20T00:00:00Z"/>
        <d v="2021-11-10T00:00:00Z"/>
        <d v="2022-01-15T00:00:00Z"/>
        <d v="2022-01-24T00:00:00Z"/>
        <d v="2021-06-25T00:00:00Z"/>
        <d v="2021-10-23T00:00:00Z"/>
        <d v="2021-11-12T00:00:00Z"/>
        <d v="2021-04-18T00:00:00Z"/>
        <d v="2021-08-25T00:00:00Z"/>
      </sharedItems>
    </cacheField>
    <cacheField name="Randevu &#10;Tarihi" numFmtId="164">
      <sharedItems containsDate="1" containsString="0" containsBlank="1">
        <d v="2021-11-04T00:00:00Z"/>
        <d v="2021-03-22T00:00:00Z"/>
        <d v="2021-03-16T00:00:00Z"/>
        <m/>
        <d v="2021-08-16T00:00:00Z"/>
        <d v="2022-02-02T00:00:00Z"/>
        <d v="2021-03-15T00:00:00Z"/>
        <d v="2022-01-04T00:00:00Z"/>
        <d v="2022-04-11T00:00:00Z"/>
        <d v="2022-01-27T00:00:00Z"/>
        <d v="2021-11-10T00:00:00Z"/>
        <d v="2021-06-11T00:00:00Z"/>
        <d v="2022-01-06T00:00:00Z"/>
        <d v="2021-12-31T00:00:00Z"/>
        <d v="2021-03-26T00:00:00Z"/>
        <d v="2021-04-15T00:00:00Z"/>
        <d v="2021-11-29T00:00:00Z"/>
        <d v="2021-03-30T00:00:00Z"/>
        <d v="2021-10-27T00:00:00Z"/>
        <d v="2021-12-13T00:00:00Z"/>
        <d v="2021-05-28T00:00:00Z"/>
        <d v="2021-04-01T00:00:00Z"/>
        <d v="2022-01-13T00:00:00Z"/>
        <d v="2021-03-25T00:00:00Z"/>
        <d v="2021-10-15T00:00:00Z"/>
        <d v="2021-10-26T00:00:00Z"/>
        <d v="2021-12-07T00:00:00Z"/>
        <d v="2021-11-17T00:00:00Z"/>
        <d v="2022-05-14T00:00:00Z"/>
        <d v="2021-04-14T00:00:00Z"/>
        <d v="2021-11-18T00:00:00Z"/>
        <d v="2021-03-17T00:00:00Z"/>
        <d v="2021-06-15T00:00:00Z"/>
        <d v="2022-01-19T00:00:00Z"/>
        <d v="2021-08-25T00:00:00Z"/>
        <d v="2021-04-13T00:00:00Z"/>
        <d v="2021-10-13T00:00:00Z"/>
        <d v="2021-04-19T00:00:00Z"/>
        <d v="2021-10-12T00:00:00Z"/>
        <d v="2022-03-31T00:00:00Z"/>
        <d v="2021-12-03T00:00:00Z"/>
        <d v="2022-04-21T00:00:00Z"/>
        <d v="2021-11-30T00:00:00Z"/>
        <d v="2021-12-01T00:00:00Z"/>
        <d v="2021-11-22T00:00:00Z"/>
        <d v="2021-06-04T00:00:00Z"/>
        <d v="2022-04-07T00:00:00Z"/>
        <d v="2022-03-23T00:00:00Z"/>
        <d v="2021-09-13T00:00:00Z"/>
        <d v="2022-03-11T00:00:00Z"/>
        <d v="2022-03-07T00:00:00Z"/>
        <d v="2021-11-01T00:00:00Z"/>
        <d v="2021-03-29T00:00:00Z"/>
        <d v="2021-10-21T00:00:00Z"/>
        <d v="2022-03-15T00:00:00Z"/>
        <d v="2022-03-29T00:00:00Z"/>
        <d v="2022-03-17T00:00:00Z"/>
        <d v="2021-03-24T00:00:00Z"/>
        <d v="2021-12-17T00:00:00Z"/>
        <d v="2021-11-08T00:00:00Z"/>
        <d v="2021-10-19T00:00:00Z"/>
        <d v="2021-04-09T00:00:00Z"/>
        <d v="2022-03-21T00:00:00Z"/>
        <d v="2021-12-24T00:00:00Z"/>
        <d v="2021-12-28T00:00:00Z"/>
        <d v="2021-04-06T00:00:00Z"/>
        <d v="2021-11-16T00:00:00Z"/>
        <d v="2021-11-15T00:00:00Z"/>
        <d v="2022-01-20T00:00:00Z"/>
        <d v="2021-12-15T00:00:00Z"/>
        <d v="2021-04-02T00:00:00Z"/>
        <d v="2022-03-16T00:00:00Z"/>
        <d v="2021-09-16T00:00:00Z"/>
        <d v="2021-10-11T00:00:00Z"/>
        <d v="2022-03-10T00:00:00Z"/>
        <d v="2022-03-14T00:00:00Z"/>
        <d v="2021-05-19T00:00:00Z"/>
        <d v="2021-12-06T00:00:00Z"/>
        <d v="2021-03-18T00:00:00Z"/>
        <d v="2022-01-18T00:00:00Z"/>
        <d v="2021-07-29T00:00:00Z"/>
        <d v="2021-10-07T00:00:00Z"/>
        <d v="2021-09-23T00:00:00Z"/>
        <d v="2021-12-16T00:00:00Z"/>
        <d v="2021-12-20T00:00:00Z"/>
        <d v="2022-03-18T00:00:00Z"/>
        <d v="2022-03-30T00:00:00Z"/>
        <d v="2021-03-19T00:00:00Z"/>
        <d v="2021-11-24T00:00:00Z"/>
        <d v="2021-10-20T00:00:00Z"/>
        <d v="2021-10-18T00:00:00Z"/>
        <d v="2021-04-20T00:00:00Z"/>
        <d v="2021-12-21T00:00:00Z"/>
        <d v="2021-03-23T00:00:00Z"/>
        <d v="2022-03-09T00:00:00Z"/>
        <d v="2021-06-02T00:00:00Z"/>
        <d v="2021-10-25T00:00:00Z"/>
        <d v="2021-05-25T00:00:00Z"/>
        <d v="2021-09-02T00:00:00Z"/>
        <d v="2021-10-29T00:00:00Z"/>
        <d v="2021-04-12T00:00:00Z"/>
        <d v="2021-12-27T00:00:00Z"/>
        <d v="2022-03-08T00:00:00Z"/>
        <d v="2021-03-31T00:00:00Z"/>
        <d v="2021-12-10T00:00:00Z"/>
        <d v="2021-09-21T00:00:00Z"/>
        <d v="2021-06-18T00:00:00Z"/>
        <d v="2021-05-17T00:00:00Z"/>
        <d v="2021-06-21T00:00:00Z"/>
        <d v="2021-11-02T00:00:00Z"/>
        <d v="2021-08-26T00:00:00Z"/>
        <d v="2021-08-05T00:00:00Z"/>
        <d v="2021-10-14T00:00:00Z"/>
        <d v="2022-01-12T00:00:00Z"/>
        <d v="2021-11-23T00:00:00Z"/>
        <d v="2021-11-09T00:00:00Z"/>
        <d v="2021-08-12T00:00:00Z"/>
        <d v="2021-09-06T00:00:00Z"/>
        <d v="2021-09-09T00:00:00Z"/>
        <d v="2021-07-26T00:00:00Z"/>
        <d v="2021-08-19T00:00:00Z"/>
        <d v="2021-05-18T00:00:00Z"/>
        <d v="2021-10-08T00:00:00Z"/>
        <d v="2021-08-30T00:00:00Z"/>
        <d v="2021-12-22T00:00:00Z"/>
        <d v="2021-06-10T00:00:00Z"/>
        <d v="2021-11-19T00:00:00Z"/>
        <d v="2021-06-28T00:00:00Z"/>
        <d v="2021-04-05T00:00:00Z"/>
        <d v="2021-12-09T00:00:00Z"/>
        <d v="2021-05-27T00:00:00Z"/>
        <d v="2022-03-25T00:00:00Z"/>
        <d v="2021-04-21T00:00:00Z"/>
        <d v="2022-03-22T00:00:00Z"/>
        <d v="2022-03-24T00:00:00Z"/>
        <d v="2022-02-08T00:00:00Z"/>
        <d v="2021-06-07T00:00:00Z"/>
        <d v="2021-04-08T00:00:00Z"/>
        <d v="2021-04-07T00:00:00Z"/>
        <d v="2021-06-08T00:00:00Z"/>
        <d v="2021-12-29T00:00:00Z"/>
        <d v="2021-12-30T00:00:00Z"/>
        <d v="2021-10-22T00:00:00Z"/>
        <d v="2022-04-05T00:00:00Z"/>
        <d v="2021-08-23T00:00:00Z"/>
        <d v="2021-05-24T00:00:00Z"/>
        <d v="2021-05-01T00:00:00Z"/>
        <d v="2021-04-16T00:00:00Z"/>
        <d v="2021-12-02T00:00:00Z"/>
        <d v="2022-01-07T00:00:00Z"/>
        <d v="2021-10-28T00:00:00Z"/>
        <d v="2021-11-12T00:00:00Z"/>
        <d v="2022-01-25T00:00:00Z"/>
        <d v="2022-01-02T00:00:00Z"/>
        <d v="2022-01-05T00:00:00Z"/>
        <d v="2021-08-27T00:00:00Z"/>
        <d v="2021-11-05T00:00:00Z"/>
        <d v="2021-12-08T00:00:00Z"/>
      </sharedItems>
    </cacheField>
    <cacheField name="Anket&#10;Durum" numFmtId="0">
      <sharedItems containsBlank="1">
        <m/>
        <s v="Hemen Randevu İstiyorum"/>
        <s v="Fotoğraflarım Var"/>
        <s v="İleride Randevu İstiyorum"/>
      </sharedItems>
    </cacheField>
    <cacheField name="1. Arama" numFmtId="0">
      <sharedItems containsBlank="1">
        <s v="Ulaşılamadı"/>
        <m/>
        <s v="Tekrar Aranacak"/>
        <s v="Görüşüldü"/>
        <s v="Yetkili Yok"/>
        <s v="Dönüş Yapaca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özet" cacheId="0" dataCaption="" compact="0" compactData="0">
  <location ref="U1:AB161" firstHeaderRow="0" firstDataRow="1" firstDataCol="1"/>
  <pivotFields>
    <pivotField name="Restauran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t="default"/>
      </items>
    </pivotField>
    <pivotField name="Satışa&#10;Açık Mı?" compact="0" outline="0" multipleItemSelectionAllowed="1" showAll="0">
      <items>
        <item x="0"/>
        <item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İLÇE" compact="0" outline="0" multipleItemSelectionAllowed="1" showAll="0">
      <items>
        <item x="0"/>
        <item x="1"/>
        <item x="2"/>
        <item x="3"/>
        <item x="4"/>
        <item x="5"/>
        <item x="6"/>
        <item x="7"/>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name="Geleneksel&#10;Zincir" compact="0" outline="0" multipleItemSelectionAllowed="1" showAll="0">
      <items>
        <item x="0"/>
        <item x="1"/>
        <item t="default"/>
      </items>
    </pivotField>
    <pivotField name="FOTOĞRAF&#10;SEGMENT" axis="axisCol" compact="0" outline="0" multipleItemSelectionAllowed="1" showAll="0" sortType="ascending">
      <items>
        <item x="3"/>
        <item x="0"/>
        <item x="4"/>
        <item x="1"/>
        <item x="2"/>
        <item x="5"/>
        <item t="default"/>
      </items>
    </pivotField>
    <pivotField name="Aradık Mı?" compact="0" outline="0" multipleItemSelectionAllowed="1" showAll="0">
      <items>
        <item x="0"/>
        <item x="1"/>
        <item x="2"/>
        <item t="default"/>
      </items>
    </pivotField>
    <pivotField name="Kendi Fotosu&#10;Var" compact="0" outline="0" multipleItemSelectionAllowed="1" showAll="0">
      <items>
        <item x="0"/>
        <item x="1"/>
        <item x="2"/>
        <item t="default"/>
      </items>
    </pivotField>
    <pivotField name="    Randevu Durumu" compact="0" outline="0" multipleItemSelectionAllowed="1" showAll="0">
      <items>
        <item x="0"/>
        <item x="1"/>
        <item x="2"/>
        <item x="3"/>
        <item x="4"/>
        <item x="5"/>
        <item x="6"/>
        <item x="7"/>
        <item x="8"/>
        <item x="9"/>
        <item x="10"/>
        <item x="11"/>
        <item x="12"/>
        <item x="13"/>
        <item x="14"/>
        <item x="15"/>
        <item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Fotoğrafçı" compact="0" outline="0" multipleItemSelectionAllowed="1" showAll="0">
      <items>
        <item x="0"/>
        <item x="1"/>
        <item x="2"/>
        <item x="3"/>
        <item x="4"/>
        <item x="5"/>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Randevu &#10;Tarihi" axis="axisRow" compact="0" numFmtId="164" outline="0" multipleItemSelectionAllowed="1" showAll="0" sortType="ascending">
      <items>
        <item x="3"/>
        <item x="6"/>
        <item x="2"/>
        <item x="31"/>
        <item x="78"/>
        <item x="87"/>
        <item x="1"/>
        <item x="93"/>
        <item x="57"/>
        <item x="23"/>
        <item x="14"/>
        <item x="52"/>
        <item x="17"/>
        <item x="103"/>
        <item x="21"/>
        <item x="70"/>
        <item x="128"/>
        <item x="65"/>
        <item x="138"/>
        <item x="137"/>
        <item x="61"/>
        <item x="100"/>
        <item x="35"/>
        <item x="29"/>
        <item x="15"/>
        <item x="147"/>
        <item x="37"/>
        <item x="91"/>
        <item x="132"/>
        <item x="146"/>
        <item x="107"/>
        <item x="121"/>
        <item x="76"/>
        <item x="145"/>
        <item x="97"/>
        <item x="130"/>
        <item x="20"/>
        <item x="95"/>
        <item x="45"/>
        <item x="136"/>
        <item x="139"/>
        <item x="125"/>
        <item x="11"/>
        <item x="32"/>
        <item x="106"/>
        <item x="108"/>
        <item x="127"/>
        <item x="119"/>
        <item x="80"/>
        <item x="111"/>
        <item x="116"/>
        <item x="4"/>
        <item x="120"/>
        <item x="144"/>
        <item x="34"/>
        <item x="110"/>
        <item x="155"/>
        <item x="123"/>
        <item x="98"/>
        <item x="117"/>
        <item x="118"/>
        <item x="48"/>
        <item x="72"/>
        <item x="105"/>
        <item x="82"/>
        <item x="81"/>
        <item x="122"/>
        <item x="73"/>
        <item x="38"/>
        <item x="36"/>
        <item x="112"/>
        <item x="24"/>
        <item x="90"/>
        <item x="60"/>
        <item x="89"/>
        <item x="53"/>
        <item x="142"/>
        <item x="96"/>
        <item x="25"/>
        <item x="18"/>
        <item x="150"/>
        <item x="99"/>
        <item x="51"/>
        <item x="109"/>
        <item x="0"/>
        <item x="156"/>
        <item x="59"/>
        <item x="115"/>
        <item x="10"/>
        <item x="151"/>
        <item x="67"/>
        <item x="66"/>
        <item x="27"/>
        <item x="30"/>
        <item x="126"/>
        <item x="44"/>
        <item x="114"/>
        <item x="88"/>
        <item x="16"/>
        <item x="42"/>
        <item x="43"/>
        <item x="148"/>
        <item x="40"/>
        <item x="77"/>
        <item x="26"/>
        <item x="157"/>
        <item x="129"/>
        <item x="104"/>
        <item x="19"/>
        <item x="69"/>
        <item x="83"/>
        <item x="58"/>
        <item x="84"/>
        <item x="92"/>
        <item x="124"/>
        <item x="63"/>
        <item x="101"/>
        <item x="64"/>
        <item x="140"/>
        <item x="141"/>
        <item x="13"/>
        <item x="153"/>
        <item x="7"/>
        <item x="154"/>
        <item x="12"/>
        <item x="149"/>
        <item x="113"/>
        <item x="22"/>
        <item x="79"/>
        <item x="33"/>
        <item x="68"/>
        <item x="152"/>
        <item x="9"/>
        <item x="5"/>
        <item x="135"/>
        <item x="50"/>
        <item x="102"/>
        <item x="94"/>
        <item x="74"/>
        <item x="49"/>
        <item x="75"/>
        <item x="54"/>
        <item x="71"/>
        <item x="56"/>
        <item x="85"/>
        <item x="62"/>
        <item x="133"/>
        <item x="47"/>
        <item x="134"/>
        <item x="131"/>
        <item x="55"/>
        <item x="86"/>
        <item x="39"/>
        <item x="143"/>
        <item x="46"/>
        <item x="8"/>
        <item x="41"/>
        <item x="28"/>
        <item t="default"/>
      </items>
    </pivotField>
    <pivotField name="Anket&#10;Durum" compact="0" outline="0" multipleItemSelectionAllowed="1" showAll="0">
      <items>
        <item x="0"/>
        <item x="1"/>
        <item x="2"/>
        <item x="3"/>
        <item t="default"/>
      </items>
    </pivotField>
    <pivotField name="1. Arama" compact="0" outline="0" multipleItemSelectionAllowed="1" showAll="0">
      <items>
        <item x="0"/>
        <item x="1"/>
        <item x="2"/>
        <item x="3"/>
        <item x="4"/>
        <item x="5"/>
        <item t="default"/>
      </items>
    </pivotField>
  </pivotFields>
  <rowFields>
    <field x="24"/>
  </rowFields>
  <colFields>
    <field x="16"/>
  </colFields>
  <dataFields>
    <dataField name="COUNTA of Restaurant ID" fld="0" subtotal="count" baseField="0"/>
  </dataFields>
</pivotTableDefinition>
</file>

<file path=xl/pivotTables/pivotTable2.xml><?xml version="1.0" encoding="utf-8"?>
<pivotTableDefinition xmlns="http://schemas.openxmlformats.org/spreadsheetml/2006/main" name="özet 2" cacheId="0" dataCaption="" compact="0" compactData="0">
  <location ref="D34:E35" firstHeaderRow="0" firstDataRow="1" firstDataCol="0" rowPageCount="5" colPageCount="1"/>
  <pivotFields>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t="default"/>
      </items>
    </pivotField>
    <pivotField name="Satışa&#10;Açık Mı?" axis="axisPage" compact="0" outline="0" multipleItemSelectionAllowed="1" showAll="0">
      <items>
        <item h="1" x="0"/>
        <item h="1"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Ratio" axis="axisPage" compact="0" numFmtId="9"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İLÇE" axis="axisRow" dataField="1"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name="Geleneksel&#10;Zincir" axis="axisPage" compact="0" outline="0" multipleItemSelectionAllowed="1" showAll="0">
      <items>
        <item x="0"/>
        <item h="1" x="1"/>
        <item t="default"/>
      </items>
    </pivotField>
    <pivotField name="FOTOĞRAF&#10;SEGMENT" compact="0" outline="0" multipleItemSelectionAllowed="1" showAll="0">
      <items>
        <item x="0"/>
        <item x="1"/>
        <item x="2"/>
        <item x="3"/>
        <item x="4"/>
        <item x="5"/>
        <item t="default"/>
      </items>
    </pivotField>
    <pivotField name="Aradık Mı?" compact="0" outline="0" multipleItemSelectionAllowed="1" showAll="0">
      <items>
        <item x="0"/>
        <item x="1"/>
        <item x="2"/>
        <item t="default"/>
      </items>
    </pivotField>
    <pivotField name="Kendi Fotosu&#10;Var" axis="axisPage" compact="0" outline="0" multipleItemSelectionAllowed="1" showAll="0">
      <items>
        <item x="0"/>
        <item h="1" x="1"/>
        <item x="2"/>
        <item t="default"/>
      </items>
    </pivotField>
    <pivotField name="    Randevu Durumu" axis="axisPage" compact="0" outline="0" multipleItemSelectionAllowed="1" showAll="0">
      <items>
        <item h="1" x="0"/>
        <item x="1"/>
        <item x="2"/>
        <item h="1" x="3"/>
        <item h="1" x="4"/>
        <item h="1" x="5"/>
        <item h="1" x="6"/>
        <item x="7"/>
        <item x="8"/>
        <item h="1" x="9"/>
        <item h="1" x="10"/>
        <item h="1" x="11"/>
        <item h="1" x="12"/>
        <item h="1" x="13"/>
        <item h="1" x="14"/>
        <item x="15"/>
        <item h="1"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Fotoğrafçı" compact="0" outline="0" multipleItemSelectionAllowed="1" showAll="0">
      <items>
        <item x="0"/>
        <item x="1"/>
        <item x="2"/>
        <item x="3"/>
        <item x="4"/>
        <item x="5"/>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Randevu &#10;Tarihi"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Anket&#10;Durum" compact="0" outline="0" multipleItemSelectionAllowed="1" showAll="0">
      <items>
        <item x="0"/>
        <item x="1"/>
        <item x="2"/>
        <item x="3"/>
        <item t="default"/>
      </items>
    </pivotField>
    <pivotField name="1. Arama" compact="0" outline="0" multipleItemSelectionAllowed="1" showAll="0">
      <items>
        <item x="0"/>
        <item x="1"/>
        <item x="2"/>
        <item x="3"/>
        <item x="4"/>
        <item x="5"/>
        <item t="default"/>
      </items>
    </pivotField>
  </pivotFields>
  <rowFields>
    <field x="12"/>
  </rowFields>
  <pageFields>
    <pageField fld="2"/>
    <pageField fld="9"/>
    <pageField fld="15"/>
    <pageField fld="18"/>
    <pageField fld="19"/>
  </pageFields>
  <dataFields>
    <dataField name="COUNTA of İLÇ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amur+Patisseri%2C+Yeni%C5%9Fehir+(%C3%87iftlikk%C3%B6y+Mah.)&amp;oq=Hamur+Patisseri%2C+Yeni%C5%9Fehir+(%C3%87iftlikk%C3%B6y+Mah.)&amp;aqs=chrome..69i57j33i22i29i30.1130j0j4&amp;sourceid=chrome&amp;ie=UTF-8" TargetMode="External"/><Relationship Id="rId2" Type="http://schemas.openxmlformats.org/officeDocument/2006/relationships/hyperlink" Target="https://www.google.com/search?q=%C5%9Eehr-i+Antep+K%C3%BCnefe+%26+Katmer%2C+Yeni%C5%9Fehir+(Limonluk+Mah.)&amp;oq=%C5%9Eehr-i+Antep+K%C3%BCnefe+%26+Katmer%2C+Yeni%C5%9Fehir+(Limonluk+Mah.)&amp;aqs=chrome..69i57.289j0j4&amp;sourceid=chrome&amp;ie=UTF-8" TargetMode="External"/><Relationship Id="rId3" Type="http://schemas.openxmlformats.org/officeDocument/2006/relationships/hyperlink" Target="http://der.me/" TargetMode="External"/><Relationship Id="rId4" Type="http://schemas.openxmlformats.org/officeDocument/2006/relationships/hyperlink" Target="https://www.google.com/search?q=Yusuf+Usta+Et+%26+Mangal+%2C+Yeni%C5%9Fehir+(%C3%87iftlikk%C3%B6y+Mah.)&amp;oq=Yusuf+Usta+Et+%26+Mangal+%2C+Yeni%C5%9Fehir+(%C3%87iftlikk%C3%B6y+Mah.)&amp;aqs=chrome..69i57.1733j0j7&amp;sourceid=chrome&amp;ie=UTF-8"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d.no/177-A" TargetMode="External"/><Relationship Id="rId2" Type="http://schemas.openxmlformats.org/officeDocument/2006/relationships/hyperlink" Target="http://cad.no/10-B" TargetMode="External"/><Relationship Id="rId3" Type="http://schemas.openxmlformats.org/officeDocument/2006/relationships/hyperlink" Target="https://getir.com/yemek/restoran/eylul-dondurma-baklava-borek-mezitli-yeni-mah-mezitli-mersi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29.75"/>
    <col customWidth="1" min="3" max="3" width="10.38"/>
    <col customWidth="1" min="4" max="4" width="12.63"/>
    <col customWidth="1" hidden="1" min="5" max="5" width="10.5"/>
    <col customWidth="1" hidden="1" min="6" max="6" width="10.13"/>
    <col hidden="1" min="7" max="7" width="12.63"/>
    <col customWidth="1" hidden="1" min="8" max="8" width="11.38"/>
    <col customWidth="1" hidden="1" min="9" max="9" width="10.5"/>
    <col customWidth="1" hidden="1" min="10" max="10" width="7.13"/>
    <col customWidth="1" min="11" max="11" width="19.63"/>
    <col customWidth="1" min="15" max="15" width="23.63"/>
    <col customWidth="1" min="16" max="16" width="9.75"/>
    <col customWidth="1" hidden="1" min="17" max="17" width="19.0"/>
    <col customWidth="1" min="20" max="20" width="16.0"/>
    <col customWidth="1" min="23" max="23" width="23.25"/>
  </cols>
  <sheetData>
    <row r="1" ht="15.75" customHeight="1">
      <c r="A1" s="1" t="s">
        <v>0</v>
      </c>
      <c r="B1" s="1" t="s">
        <v>1</v>
      </c>
      <c r="C1" s="1" t="s">
        <v>2</v>
      </c>
      <c r="D1" s="1" t="s">
        <v>3</v>
      </c>
      <c r="E1" s="1" t="s">
        <v>4</v>
      </c>
      <c r="F1" s="1" t="s">
        <v>5</v>
      </c>
      <c r="G1" s="2" t="s">
        <v>6</v>
      </c>
      <c r="H1" s="2" t="s">
        <v>7</v>
      </c>
      <c r="I1" s="2" t="s">
        <v>8</v>
      </c>
      <c r="J1" s="3" t="s">
        <v>9</v>
      </c>
      <c r="K1" s="1" t="s">
        <v>10</v>
      </c>
      <c r="L1" s="1" t="s">
        <v>11</v>
      </c>
      <c r="M1" s="1" t="s">
        <v>12</v>
      </c>
      <c r="N1" s="1" t="s">
        <v>13</v>
      </c>
      <c r="O1" s="1" t="s">
        <v>14</v>
      </c>
      <c r="P1" s="1" t="s">
        <v>15</v>
      </c>
      <c r="Q1" s="4" t="s">
        <v>16</v>
      </c>
      <c r="R1" s="5" t="s">
        <v>17</v>
      </c>
      <c r="S1" s="5" t="s">
        <v>18</v>
      </c>
      <c r="T1" s="6" t="s">
        <v>19</v>
      </c>
      <c r="U1" s="5" t="s">
        <v>20</v>
      </c>
      <c r="V1" s="7" t="s">
        <v>21</v>
      </c>
      <c r="W1" s="5" t="s">
        <v>22</v>
      </c>
      <c r="X1" s="8" t="s">
        <v>23</v>
      </c>
      <c r="Y1" s="8"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row>
    <row r="2" ht="15.75" hidden="1" customHeight="1">
      <c r="A2" s="10" t="s">
        <v>43</v>
      </c>
      <c r="B2" s="10" t="s">
        <v>44</v>
      </c>
      <c r="C2" s="10" t="str">
        <f>VLOOKUP(A2,import!A:C,3,0)</f>
        <v>DOĞRU</v>
      </c>
      <c r="D2" s="10" t="s">
        <v>45</v>
      </c>
      <c r="E2" s="10">
        <f>VLOOKUP(A2,import!A:J,5,0)</f>
        <v>853</v>
      </c>
      <c r="F2" s="10">
        <f>VLOOKUP(A2,import!A:J,6,0)</f>
        <v>28</v>
      </c>
      <c r="G2" s="10">
        <f>VLOOKUP(A2,import!A:J,7,0)</f>
        <v>2</v>
      </c>
      <c r="H2" s="10">
        <f>VLOOKUP(A2,import!A:J,8,0)</f>
        <v>19</v>
      </c>
      <c r="I2" s="10">
        <f>VLOOKUP(A2,import!A:J,9,0)</f>
        <v>21</v>
      </c>
      <c r="J2" s="11">
        <f>VLOOKUP(A2,import!A:J,10,0)</f>
        <v>0.1</v>
      </c>
      <c r="K2" s="10" t="s">
        <v>46</v>
      </c>
      <c r="L2" s="10">
        <v>5.333472405E9</v>
      </c>
      <c r="M2" s="10" t="s">
        <v>47</v>
      </c>
      <c r="N2" s="10" t="s">
        <v>48</v>
      </c>
      <c r="O2" s="10" t="s">
        <v>49</v>
      </c>
      <c r="P2" s="10" t="str">
        <f>VLOOKUP(A2,import!A:P,16,0)</f>
        <v>Geleneksel</v>
      </c>
      <c r="Q2" s="12" t="s">
        <v>50</v>
      </c>
      <c r="R2" s="12" t="b">
        <v>1</v>
      </c>
      <c r="S2" s="12" t="b">
        <v>0</v>
      </c>
      <c r="T2" s="13" t="s">
        <v>51</v>
      </c>
      <c r="U2" s="13" t="s">
        <v>52</v>
      </c>
      <c r="V2" s="13" t="s">
        <v>53</v>
      </c>
      <c r="W2" s="14" t="s">
        <v>54</v>
      </c>
      <c r="X2" s="15">
        <v>44503.0</v>
      </c>
      <c r="Y2" s="15">
        <v>44504.0</v>
      </c>
      <c r="Z2" s="16"/>
      <c r="AA2" s="17" t="s">
        <v>55</v>
      </c>
      <c r="AB2" s="16">
        <v>44418.0</v>
      </c>
      <c r="AC2" s="17" t="s">
        <v>56</v>
      </c>
      <c r="AD2" s="16">
        <v>44503.0</v>
      </c>
      <c r="AE2" s="17"/>
      <c r="AF2" s="16"/>
      <c r="AG2" s="17"/>
      <c r="AH2" s="16"/>
      <c r="AI2" s="16"/>
      <c r="AJ2" s="16"/>
      <c r="AK2" s="17" t="s">
        <v>57</v>
      </c>
      <c r="AL2" s="17" t="s">
        <v>52</v>
      </c>
      <c r="AM2" s="16"/>
      <c r="AN2" s="16"/>
      <c r="AO2" s="16"/>
      <c r="AP2" s="18" t="s">
        <v>58</v>
      </c>
      <c r="AQ2" s="16"/>
    </row>
    <row r="3" ht="15.75" customHeight="1">
      <c r="A3" s="10" t="s">
        <v>59</v>
      </c>
      <c r="B3" s="10" t="s">
        <v>60</v>
      </c>
      <c r="C3" s="10" t="str">
        <f>VLOOKUP(A3,import!A:C,3,0)</f>
        <v>DOĞRU</v>
      </c>
      <c r="D3" s="10" t="s">
        <v>61</v>
      </c>
      <c r="E3" s="10">
        <f>VLOOKUP(A3,import!A:J,5,0)</f>
        <v>2570</v>
      </c>
      <c r="F3" s="10">
        <f>VLOOKUP(A3,import!A:J,6,0)</f>
        <v>112</v>
      </c>
      <c r="G3" s="10">
        <f>VLOOKUP(A3,import!A:J,7,0)</f>
        <v>3</v>
      </c>
      <c r="H3" s="10">
        <f>VLOOKUP(A3,import!A:J,8,0)</f>
        <v>5</v>
      </c>
      <c r="I3" s="10">
        <f>VLOOKUP(A3,import!A:J,9,0)</f>
        <v>8</v>
      </c>
      <c r="J3" s="11">
        <f>VLOOKUP(A3,import!A:J,10,0)</f>
        <v>0.38</v>
      </c>
      <c r="K3" s="10" t="s">
        <v>62</v>
      </c>
      <c r="L3" s="10">
        <v>5.532992238E9</v>
      </c>
      <c r="M3" s="10" t="s">
        <v>63</v>
      </c>
      <c r="N3" s="10" t="s">
        <v>64</v>
      </c>
      <c r="O3" s="10" t="s">
        <v>65</v>
      </c>
      <c r="P3" s="10" t="str">
        <f>VLOOKUP(A3,import!A:P,16,0)</f>
        <v>Geleneksel</v>
      </c>
      <c r="Q3" s="12" t="s">
        <v>50</v>
      </c>
      <c r="R3" s="12" t="b">
        <v>1</v>
      </c>
      <c r="S3" s="12" t="b">
        <v>0</v>
      </c>
      <c r="T3" s="13" t="s">
        <v>51</v>
      </c>
      <c r="U3" s="13" t="s">
        <v>52</v>
      </c>
      <c r="V3" s="13" t="s">
        <v>66</v>
      </c>
      <c r="W3" s="13" t="s">
        <v>67</v>
      </c>
      <c r="X3" s="15">
        <v>44274.0</v>
      </c>
      <c r="Y3" s="15">
        <v>44277.0</v>
      </c>
      <c r="Z3" s="16"/>
      <c r="AA3" s="16"/>
      <c r="AB3" s="16"/>
      <c r="AC3" s="16"/>
      <c r="AD3" s="16"/>
      <c r="AE3" s="17"/>
      <c r="AF3" s="16"/>
      <c r="AG3" s="17"/>
      <c r="AH3" s="16"/>
      <c r="AI3" s="16"/>
      <c r="AJ3" s="16"/>
      <c r="AK3" s="16"/>
      <c r="AL3" s="16"/>
      <c r="AM3" s="16"/>
      <c r="AN3" s="16"/>
      <c r="AO3" s="16"/>
      <c r="AP3" s="18" t="s">
        <v>58</v>
      </c>
      <c r="AQ3" s="16"/>
    </row>
    <row r="4" ht="15.75" hidden="1" customHeight="1">
      <c r="A4" s="10" t="s">
        <v>68</v>
      </c>
      <c r="B4" s="10" t="s">
        <v>69</v>
      </c>
      <c r="C4" s="10" t="str">
        <f>VLOOKUP(A4,import!A:C,3,0)</f>
        <v>DOĞRU</v>
      </c>
      <c r="D4" s="10" t="s">
        <v>70</v>
      </c>
      <c r="E4" s="10">
        <f>VLOOKUP(A4,import!A:J,5,0)</f>
        <v>14612</v>
      </c>
      <c r="F4" s="10">
        <f>VLOOKUP(A4,import!A:J,6,0)</f>
        <v>168</v>
      </c>
      <c r="G4" s="10">
        <f>VLOOKUP(A4,import!A:J,7,0)</f>
        <v>14</v>
      </c>
      <c r="H4" s="10">
        <f>VLOOKUP(A4,import!A:J,8,0)</f>
        <v>36</v>
      </c>
      <c r="I4" s="10">
        <f>VLOOKUP(A4,import!A:J,9,0)</f>
        <v>50</v>
      </c>
      <c r="J4" s="11">
        <f>VLOOKUP(A4,import!A:J,10,0)</f>
        <v>0.28</v>
      </c>
      <c r="K4" s="10" t="s">
        <v>71</v>
      </c>
      <c r="L4" s="10">
        <v>5.525823245E9</v>
      </c>
      <c r="M4" s="10" t="s">
        <v>72</v>
      </c>
      <c r="N4" s="10" t="s">
        <v>73</v>
      </c>
      <c r="O4" s="10" t="s">
        <v>74</v>
      </c>
      <c r="P4" s="10" t="str">
        <f>VLOOKUP(A4,import!A:P,16,0)</f>
        <v>Geleneksel</v>
      </c>
      <c r="Q4" s="12" t="s">
        <v>75</v>
      </c>
      <c r="R4" s="12" t="b">
        <v>1</v>
      </c>
      <c r="S4" s="12" t="b">
        <v>0</v>
      </c>
      <c r="T4" s="13" t="s">
        <v>51</v>
      </c>
      <c r="U4" s="13" t="s">
        <v>76</v>
      </c>
      <c r="V4" s="13" t="s">
        <v>53</v>
      </c>
      <c r="W4" s="13" t="s">
        <v>77</v>
      </c>
      <c r="X4" s="15">
        <v>44271.0</v>
      </c>
      <c r="Y4" s="15">
        <v>44271.0</v>
      </c>
      <c r="Z4" s="16"/>
      <c r="AA4" s="16"/>
      <c r="AB4" s="16"/>
      <c r="AC4" s="16"/>
      <c r="AD4" s="16"/>
      <c r="AE4" s="17"/>
      <c r="AF4" s="16"/>
      <c r="AG4" s="17"/>
      <c r="AH4" s="16"/>
      <c r="AI4" s="16"/>
      <c r="AJ4" s="16"/>
      <c r="AK4" s="16"/>
      <c r="AL4" s="16"/>
      <c r="AM4" s="16"/>
      <c r="AN4" s="16"/>
      <c r="AO4" s="16"/>
      <c r="AP4" s="18" t="s">
        <v>58</v>
      </c>
      <c r="AQ4" s="16"/>
    </row>
    <row r="5" ht="15.75" hidden="1" customHeight="1">
      <c r="A5" s="10" t="s">
        <v>78</v>
      </c>
      <c r="B5" s="10" t="s">
        <v>79</v>
      </c>
      <c r="C5" s="10" t="str">
        <f>VLOOKUP(A5,import!A:C,3,0)</f>
        <v>DOĞRU</v>
      </c>
      <c r="D5" s="10" t="s">
        <v>80</v>
      </c>
      <c r="E5" s="10">
        <f>VLOOKUP(A5,import!A:J,5,0)</f>
        <v>6257</v>
      </c>
      <c r="F5" s="10">
        <f>VLOOKUP(A5,import!A:J,6,0)</f>
        <v>297</v>
      </c>
      <c r="G5" s="10">
        <f>VLOOKUP(A5,import!A:J,7,0)</f>
        <v>12</v>
      </c>
      <c r="H5" s="10">
        <f>VLOOKUP(A5,import!A:J,8,0)</f>
        <v>108</v>
      </c>
      <c r="I5" s="10">
        <f>VLOOKUP(A5,import!A:J,9,0)</f>
        <v>120</v>
      </c>
      <c r="J5" s="11">
        <f>VLOOKUP(A5,import!A:J,10,0)</f>
        <v>0.1</v>
      </c>
      <c r="K5" s="10" t="s">
        <v>81</v>
      </c>
      <c r="L5" s="10">
        <v>5.525153333E9</v>
      </c>
      <c r="M5" s="10" t="s">
        <v>72</v>
      </c>
      <c r="N5" s="10" t="s">
        <v>82</v>
      </c>
      <c r="O5" s="10" t="s">
        <v>83</v>
      </c>
      <c r="P5" s="10" t="str">
        <f>VLOOKUP(A5,import!A:P,16,0)</f>
        <v>Geleneksel</v>
      </c>
      <c r="Q5" s="12" t="s">
        <v>84</v>
      </c>
      <c r="R5" s="12" t="b">
        <v>1</v>
      </c>
      <c r="S5" s="12" t="b">
        <v>1</v>
      </c>
      <c r="T5" s="13"/>
      <c r="U5" s="13"/>
      <c r="V5" s="19"/>
      <c r="W5" s="13" t="s">
        <v>85</v>
      </c>
      <c r="X5" s="15"/>
      <c r="Y5" s="15"/>
      <c r="Z5" s="16"/>
      <c r="AA5" s="17" t="s">
        <v>86</v>
      </c>
      <c r="AB5" s="16">
        <v>44393.0</v>
      </c>
      <c r="AC5" s="17" t="s">
        <v>56</v>
      </c>
      <c r="AD5" s="16">
        <v>44519.0</v>
      </c>
      <c r="AE5" s="17" t="s">
        <v>55</v>
      </c>
      <c r="AF5" s="16">
        <v>44350.0</v>
      </c>
      <c r="AG5" s="17" t="s">
        <v>56</v>
      </c>
      <c r="AH5" s="16">
        <v>44538.0</v>
      </c>
      <c r="AI5" s="17" t="s">
        <v>56</v>
      </c>
      <c r="AJ5" s="16">
        <v>44580.0</v>
      </c>
      <c r="AK5" s="17" t="s">
        <v>52</v>
      </c>
      <c r="AL5" s="17" t="s">
        <v>87</v>
      </c>
      <c r="AM5" s="17" t="s">
        <v>88</v>
      </c>
      <c r="AN5" s="17" t="s">
        <v>87</v>
      </c>
      <c r="AO5" s="17" t="s">
        <v>89</v>
      </c>
      <c r="AP5" s="18" t="s">
        <v>58</v>
      </c>
      <c r="AQ5" s="16"/>
    </row>
    <row r="6" ht="15.75" customHeight="1">
      <c r="A6" s="10" t="s">
        <v>90</v>
      </c>
      <c r="B6" s="10" t="s">
        <v>91</v>
      </c>
      <c r="C6" s="10" t="str">
        <f>VLOOKUP(A6,import!A:C,3,0)</f>
        <v>DOĞRU</v>
      </c>
      <c r="D6" s="10" t="s">
        <v>80</v>
      </c>
      <c r="E6" s="10">
        <f>VLOOKUP(A6,import!A:J,5,0)</f>
        <v>2608</v>
      </c>
      <c r="F6" s="10">
        <f>VLOOKUP(A6,import!A:J,6,0)</f>
        <v>135</v>
      </c>
      <c r="G6" s="10">
        <f>VLOOKUP(A6,import!A:J,7,0)</f>
        <v>10</v>
      </c>
      <c r="H6" s="10">
        <f>VLOOKUP(A6,import!A:J,8,0)</f>
        <v>10</v>
      </c>
      <c r="I6" s="10">
        <f>VLOOKUP(A6,import!A:J,9,0)</f>
        <v>20</v>
      </c>
      <c r="J6" s="11">
        <f>VLOOKUP(A6,import!A:J,10,0)</f>
        <v>0.5</v>
      </c>
      <c r="K6" s="10" t="s">
        <v>92</v>
      </c>
      <c r="L6" s="10">
        <v>5.378913233E9</v>
      </c>
      <c r="M6" s="10" t="s">
        <v>63</v>
      </c>
      <c r="N6" s="10" t="s">
        <v>93</v>
      </c>
      <c r="O6" s="10" t="s">
        <v>94</v>
      </c>
      <c r="P6" s="10" t="str">
        <f>VLOOKUP(A6,import!A:P,16,0)</f>
        <v>Geleneksel</v>
      </c>
      <c r="Q6" s="12"/>
      <c r="R6" s="12" t="b">
        <v>1</v>
      </c>
      <c r="S6" s="12" t="b">
        <v>0</v>
      </c>
      <c r="T6" s="13" t="s">
        <v>51</v>
      </c>
      <c r="U6" s="13" t="s">
        <v>95</v>
      </c>
      <c r="V6" s="13" t="s">
        <v>53</v>
      </c>
      <c r="W6" s="13" t="s">
        <v>96</v>
      </c>
      <c r="X6" s="15">
        <v>44417.0</v>
      </c>
      <c r="Y6" s="15">
        <v>44424.0</v>
      </c>
      <c r="Z6" s="16"/>
      <c r="AA6" s="17" t="s">
        <v>56</v>
      </c>
      <c r="AB6" s="16">
        <v>44417.0</v>
      </c>
      <c r="AC6" s="16"/>
      <c r="AD6" s="16"/>
      <c r="AE6" s="17"/>
      <c r="AF6" s="16"/>
      <c r="AG6" s="17"/>
      <c r="AH6" s="16"/>
      <c r="AI6" s="16"/>
      <c r="AJ6" s="16"/>
      <c r="AK6" s="17" t="s">
        <v>95</v>
      </c>
      <c r="AL6" s="16"/>
      <c r="AM6" s="16"/>
      <c r="AN6" s="16"/>
      <c r="AO6" s="16"/>
      <c r="AP6" s="18" t="s">
        <v>58</v>
      </c>
      <c r="AQ6" s="16"/>
    </row>
    <row r="7" ht="15.75" customHeight="1">
      <c r="A7" s="10" t="s">
        <v>97</v>
      </c>
      <c r="B7" s="10" t="s">
        <v>98</v>
      </c>
      <c r="C7" s="10" t="str">
        <f>VLOOKUP(A7,import!A:C,3,0)</f>
        <v>DOĞRU</v>
      </c>
      <c r="D7" s="10" t="s">
        <v>70</v>
      </c>
      <c r="E7" s="10">
        <f>VLOOKUP(A7,import!A:J,5,0)</f>
        <v>1212</v>
      </c>
      <c r="F7" s="10" t="str">
        <f>VLOOKUP(A7,import!A:J,6,0)</f>
        <v/>
      </c>
      <c r="G7" s="10">
        <f>VLOOKUP(A7,import!A:J,7,0)</f>
        <v>5</v>
      </c>
      <c r="H7" s="10">
        <f>VLOOKUP(A7,import!A:J,8,0)</f>
        <v>2</v>
      </c>
      <c r="I7" s="10">
        <f>VLOOKUP(A7,import!A:J,9,0)</f>
        <v>7</v>
      </c>
      <c r="J7" s="11">
        <f>VLOOKUP(A7,import!A:J,10,0)</f>
        <v>0.71</v>
      </c>
      <c r="K7" s="10" t="s">
        <v>99</v>
      </c>
      <c r="L7" s="10">
        <v>3.243585861E9</v>
      </c>
      <c r="M7" s="10" t="s">
        <v>63</v>
      </c>
      <c r="N7" s="10" t="s">
        <v>100</v>
      </c>
      <c r="O7" s="10" t="s">
        <v>101</v>
      </c>
      <c r="P7" s="10" t="str">
        <f>VLOOKUP(A7,import!A:P,16,0)</f>
        <v>Geleneksel</v>
      </c>
      <c r="Q7" s="12"/>
      <c r="R7" s="12" t="b">
        <v>1</v>
      </c>
      <c r="S7" s="12" t="b">
        <v>0</v>
      </c>
      <c r="T7" s="13" t="s">
        <v>51</v>
      </c>
      <c r="U7" s="13" t="s">
        <v>89</v>
      </c>
      <c r="V7" s="13" t="s">
        <v>66</v>
      </c>
      <c r="W7" s="13" t="s">
        <v>102</v>
      </c>
      <c r="X7" s="15">
        <v>44590.0</v>
      </c>
      <c r="Y7" s="15">
        <v>44594.0</v>
      </c>
      <c r="Z7" s="16"/>
      <c r="AA7" s="17" t="s">
        <v>56</v>
      </c>
      <c r="AB7" s="16">
        <v>44585.0</v>
      </c>
      <c r="AC7" s="17" t="s">
        <v>56</v>
      </c>
      <c r="AD7" s="16">
        <v>44590.0</v>
      </c>
      <c r="AE7" s="17"/>
      <c r="AF7" s="16"/>
      <c r="AG7" s="17"/>
      <c r="AH7" s="16"/>
      <c r="AI7" s="16"/>
      <c r="AJ7" s="16"/>
      <c r="AK7" s="17" t="s">
        <v>103</v>
      </c>
      <c r="AL7" s="17" t="s">
        <v>89</v>
      </c>
      <c r="AM7" s="16"/>
      <c r="AN7" s="16"/>
      <c r="AO7" s="16"/>
      <c r="AP7" s="18"/>
      <c r="AQ7" s="16"/>
    </row>
    <row r="8" ht="15.75" customHeight="1">
      <c r="A8" s="10" t="s">
        <v>104</v>
      </c>
      <c r="B8" s="10" t="s">
        <v>105</v>
      </c>
      <c r="C8" s="10" t="str">
        <f>VLOOKUP(A8,import!A:C,3,0)</f>
        <v>DOĞRU</v>
      </c>
      <c r="D8" s="10" t="s">
        <v>106</v>
      </c>
      <c r="E8" s="10">
        <f>VLOOKUP(A8,import!A:J,5,0)</f>
        <v>7107</v>
      </c>
      <c r="F8" s="10">
        <f>VLOOKUP(A8,import!A:J,6,0)</f>
        <v>597</v>
      </c>
      <c r="G8" s="10">
        <f>VLOOKUP(A8,import!A:J,7,0)</f>
        <v>9</v>
      </c>
      <c r="H8" s="10">
        <f>VLOOKUP(A8,import!A:J,8,0)</f>
        <v>1</v>
      </c>
      <c r="I8" s="10">
        <f>VLOOKUP(A8,import!A:J,9,0)</f>
        <v>10</v>
      </c>
      <c r="J8" s="11">
        <f>VLOOKUP(A8,import!A:J,10,0)</f>
        <v>0.9</v>
      </c>
      <c r="K8" s="10" t="s">
        <v>99</v>
      </c>
      <c r="L8" s="10">
        <v>3.243585861E9</v>
      </c>
      <c r="M8" s="10" t="s">
        <v>63</v>
      </c>
      <c r="N8" s="10" t="s">
        <v>100</v>
      </c>
      <c r="O8" s="10" t="s">
        <v>107</v>
      </c>
      <c r="P8" s="10" t="str">
        <f>VLOOKUP(A8,import!A:P,16,0)</f>
        <v>Geleneksel</v>
      </c>
      <c r="Q8" s="12" t="s">
        <v>50</v>
      </c>
      <c r="R8" s="12" t="b">
        <v>1</v>
      </c>
      <c r="S8" s="12" t="b">
        <v>0</v>
      </c>
      <c r="T8" s="13" t="s">
        <v>51</v>
      </c>
      <c r="U8" s="13" t="s">
        <v>108</v>
      </c>
      <c r="V8" s="13" t="s">
        <v>66</v>
      </c>
      <c r="W8" s="13" t="s">
        <v>109</v>
      </c>
      <c r="X8" s="15">
        <v>44266.0</v>
      </c>
      <c r="Y8" s="15">
        <v>44270.0</v>
      </c>
      <c r="Z8" s="16"/>
      <c r="AA8" s="16"/>
      <c r="AB8" s="16"/>
      <c r="AC8" s="16"/>
      <c r="AD8" s="16"/>
      <c r="AE8" s="17"/>
      <c r="AF8" s="16"/>
      <c r="AG8" s="17"/>
      <c r="AH8" s="16"/>
      <c r="AI8" s="16"/>
      <c r="AJ8" s="16"/>
      <c r="AK8" s="16"/>
      <c r="AL8" s="16"/>
      <c r="AM8" s="16"/>
      <c r="AN8" s="16"/>
      <c r="AO8" s="16"/>
      <c r="AP8" s="18" t="s">
        <v>58</v>
      </c>
      <c r="AQ8" s="16"/>
    </row>
    <row r="9" ht="15.75" hidden="1" customHeight="1">
      <c r="A9" s="10" t="s">
        <v>110</v>
      </c>
      <c r="B9" s="10" t="s">
        <v>111</v>
      </c>
      <c r="C9" s="10" t="str">
        <f>VLOOKUP(A9,import!A:C,3,0)</f>
        <v>DOĞRU</v>
      </c>
      <c r="D9" s="10" t="s">
        <v>45</v>
      </c>
      <c r="E9" s="10">
        <f>VLOOKUP(A9,import!A:J,5,0)</f>
        <v>1396</v>
      </c>
      <c r="F9" s="10">
        <f>VLOOKUP(A9,import!A:J,6,0)</f>
        <v>175</v>
      </c>
      <c r="G9" s="10">
        <f>VLOOKUP(A9,import!A:J,7,0)</f>
        <v>0</v>
      </c>
      <c r="H9" s="10">
        <f>VLOOKUP(A9,import!A:J,8,0)</f>
        <v>31</v>
      </c>
      <c r="I9" s="10">
        <f>VLOOKUP(A9,import!A:J,9,0)</f>
        <v>31</v>
      </c>
      <c r="J9" s="11">
        <f>VLOOKUP(A9,import!A:J,10,0)</f>
        <v>0</v>
      </c>
      <c r="K9" s="10" t="s">
        <v>112</v>
      </c>
      <c r="L9" s="10">
        <v>3.243250421E9</v>
      </c>
      <c r="M9" s="10" t="s">
        <v>72</v>
      </c>
      <c r="N9" s="10" t="s">
        <v>113</v>
      </c>
      <c r="O9" s="10" t="s">
        <v>114</v>
      </c>
      <c r="P9" s="10" t="str">
        <f>VLOOKUP(A9,import!A:P,16,0)</f>
        <v>Geleneksel</v>
      </c>
      <c r="Q9" s="12"/>
      <c r="R9" s="12" t="b">
        <v>1</v>
      </c>
      <c r="S9" s="12" t="b">
        <v>1</v>
      </c>
      <c r="T9" s="13"/>
      <c r="U9" s="13"/>
      <c r="V9" s="13"/>
      <c r="W9" s="13" t="s">
        <v>115</v>
      </c>
      <c r="X9" s="15"/>
      <c r="Y9" s="15"/>
      <c r="Z9" s="16"/>
      <c r="AA9" s="17" t="s">
        <v>56</v>
      </c>
      <c r="AB9" s="16">
        <v>44481.0</v>
      </c>
      <c r="AC9" s="17" t="s">
        <v>56</v>
      </c>
      <c r="AD9" s="16">
        <v>44540.0</v>
      </c>
      <c r="AE9" s="17"/>
      <c r="AF9" s="16"/>
      <c r="AG9" s="17"/>
      <c r="AH9" s="16"/>
      <c r="AI9" s="16"/>
      <c r="AJ9" s="16"/>
      <c r="AK9" s="17" t="s">
        <v>87</v>
      </c>
      <c r="AL9" s="17" t="s">
        <v>89</v>
      </c>
      <c r="AM9" s="16"/>
      <c r="AN9" s="16"/>
      <c r="AO9" s="16"/>
      <c r="AP9" s="18" t="s">
        <v>58</v>
      </c>
      <c r="AQ9" s="16"/>
    </row>
    <row r="10" ht="15.75" hidden="1" customHeight="1">
      <c r="A10" s="10" t="s">
        <v>116</v>
      </c>
      <c r="B10" s="10" t="s">
        <v>117</v>
      </c>
      <c r="C10" s="10" t="str">
        <f>VLOOKUP(A10,import!A:C,3,0)</f>
        <v>DOĞRU</v>
      </c>
      <c r="D10" s="10" t="s">
        <v>118</v>
      </c>
      <c r="E10" s="10">
        <f>VLOOKUP(A10,import!A:J,5,0)</f>
        <v>2176</v>
      </c>
      <c r="F10" s="10">
        <f>VLOOKUP(A10,import!A:J,6,0)</f>
        <v>72</v>
      </c>
      <c r="G10" s="10">
        <f>VLOOKUP(A10,import!A:J,7,0)</f>
        <v>9</v>
      </c>
      <c r="H10" s="10">
        <f>VLOOKUP(A10,import!A:J,8,0)</f>
        <v>21</v>
      </c>
      <c r="I10" s="10">
        <f>VLOOKUP(A10,import!A:J,9,0)</f>
        <v>30</v>
      </c>
      <c r="J10" s="11">
        <f>VLOOKUP(A10,import!A:J,10,0)</f>
        <v>0.3</v>
      </c>
      <c r="K10" s="10" t="s">
        <v>119</v>
      </c>
      <c r="L10" s="10">
        <v>3.243271463E9</v>
      </c>
      <c r="M10" s="10" t="s">
        <v>72</v>
      </c>
      <c r="N10" s="10" t="s">
        <v>120</v>
      </c>
      <c r="O10" s="10" t="s">
        <v>121</v>
      </c>
      <c r="P10" s="10" t="str">
        <f>VLOOKUP(A10,import!A:P,16,0)</f>
        <v>Geleneksel</v>
      </c>
      <c r="Q10" s="12" t="s">
        <v>75</v>
      </c>
      <c r="R10" s="12" t="b">
        <v>1</v>
      </c>
      <c r="S10" s="12" t="b">
        <v>0</v>
      </c>
      <c r="T10" s="13" t="s">
        <v>51</v>
      </c>
      <c r="U10" s="13" t="s">
        <v>89</v>
      </c>
      <c r="V10" s="13" t="s">
        <v>66</v>
      </c>
      <c r="W10" s="13" t="s">
        <v>122</v>
      </c>
      <c r="X10" s="15">
        <v>44560.0</v>
      </c>
      <c r="Y10" s="15">
        <v>44565.0</v>
      </c>
      <c r="Z10" s="16"/>
      <c r="AA10" s="17" t="s">
        <v>55</v>
      </c>
      <c r="AB10" s="16">
        <v>44350.0</v>
      </c>
      <c r="AC10" s="20" t="s">
        <v>55</v>
      </c>
      <c r="AD10" s="16">
        <v>44354.0</v>
      </c>
      <c r="AE10" s="17"/>
      <c r="AF10" s="21"/>
      <c r="AG10" s="17" t="s">
        <v>56</v>
      </c>
      <c r="AH10" s="16">
        <v>44358.0</v>
      </c>
      <c r="AI10" s="17" t="s">
        <v>56</v>
      </c>
      <c r="AJ10" s="16">
        <v>44580.0</v>
      </c>
      <c r="AK10" s="16"/>
      <c r="AL10" s="17" t="s">
        <v>123</v>
      </c>
      <c r="AM10" s="17" t="s">
        <v>88</v>
      </c>
      <c r="AN10" s="17" t="s">
        <v>124</v>
      </c>
      <c r="AO10" s="17" t="s">
        <v>89</v>
      </c>
      <c r="AP10" s="18" t="s">
        <v>58</v>
      </c>
      <c r="AQ10" s="17"/>
    </row>
    <row r="11" ht="15.75" hidden="1" customHeight="1">
      <c r="A11" s="10" t="s">
        <v>125</v>
      </c>
      <c r="B11" s="10" t="s">
        <v>126</v>
      </c>
      <c r="C11" s="10" t="str">
        <f>VLOOKUP(A11,import!A:C,3,0)</f>
        <v>DOĞRU</v>
      </c>
      <c r="D11" s="10" t="s">
        <v>80</v>
      </c>
      <c r="E11" s="10">
        <f>VLOOKUP(A11,import!A:J,5,0)</f>
        <v>1132</v>
      </c>
      <c r="F11" s="10">
        <f>VLOOKUP(A11,import!A:J,6,0)</f>
        <v>75</v>
      </c>
      <c r="G11" s="10">
        <f>VLOOKUP(A11,import!A:J,7,0)</f>
        <v>8</v>
      </c>
      <c r="H11" s="10">
        <f>VLOOKUP(A11,import!A:J,8,0)</f>
        <v>8</v>
      </c>
      <c r="I11" s="10">
        <f>VLOOKUP(A11,import!A:J,9,0)</f>
        <v>16</v>
      </c>
      <c r="J11" s="11">
        <f>VLOOKUP(A11,import!A:J,10,0)</f>
        <v>0.5</v>
      </c>
      <c r="K11" s="10" t="s">
        <v>127</v>
      </c>
      <c r="L11" s="10">
        <v>3.243283031E9</v>
      </c>
      <c r="M11" s="10" t="s">
        <v>72</v>
      </c>
      <c r="N11" s="10" t="s">
        <v>128</v>
      </c>
      <c r="O11" s="10" t="s">
        <v>129</v>
      </c>
      <c r="P11" s="10" t="str">
        <f>VLOOKUP(A11,import!A:P,16,0)</f>
        <v>Geleneksel</v>
      </c>
      <c r="Q11" s="12"/>
      <c r="R11" s="12" t="b">
        <v>1</v>
      </c>
      <c r="S11" s="12" t="b">
        <v>0</v>
      </c>
      <c r="T11" s="13" t="s">
        <v>130</v>
      </c>
      <c r="U11" s="13" t="s">
        <v>89</v>
      </c>
      <c r="V11" s="22" t="s">
        <v>131</v>
      </c>
      <c r="W11" s="13" t="s">
        <v>132</v>
      </c>
      <c r="X11" s="15">
        <v>44660.0</v>
      </c>
      <c r="Y11" s="15">
        <v>44662.0</v>
      </c>
      <c r="Z11" s="16"/>
      <c r="AA11" s="17" t="s">
        <v>56</v>
      </c>
      <c r="AB11" s="16">
        <v>44559.0</v>
      </c>
      <c r="AC11" s="17" t="s">
        <v>56</v>
      </c>
      <c r="AD11" s="16">
        <v>44580.0</v>
      </c>
      <c r="AE11" s="17" t="s">
        <v>56</v>
      </c>
      <c r="AF11" s="16">
        <v>44660.0</v>
      </c>
      <c r="AG11" s="17"/>
      <c r="AH11" s="16"/>
      <c r="AI11" s="16"/>
      <c r="AJ11" s="16"/>
      <c r="AK11" s="17" t="s">
        <v>133</v>
      </c>
      <c r="AL11" s="17" t="s">
        <v>89</v>
      </c>
      <c r="AM11" s="17" t="s">
        <v>89</v>
      </c>
      <c r="AN11" s="16"/>
      <c r="AO11" s="16"/>
      <c r="AP11" s="18" t="s">
        <v>58</v>
      </c>
      <c r="AQ11" s="16"/>
    </row>
    <row r="12" ht="15.75" customHeight="1">
      <c r="A12" s="10" t="s">
        <v>134</v>
      </c>
      <c r="B12" s="10" t="s">
        <v>135</v>
      </c>
      <c r="C12" s="10" t="str">
        <f>VLOOKUP(A12,import!A:C,3,0)</f>
        <v>DOĞRU</v>
      </c>
      <c r="D12" s="10" t="s">
        <v>80</v>
      </c>
      <c r="E12" s="10">
        <f>VLOOKUP(A12,import!A:J,5,0)</f>
        <v>345</v>
      </c>
      <c r="F12" s="10">
        <f>VLOOKUP(A12,import!A:J,6,0)</f>
        <v>40</v>
      </c>
      <c r="G12" s="10">
        <f>VLOOKUP(A12,import!A:J,7,0)</f>
        <v>0</v>
      </c>
      <c r="H12" s="10">
        <f>VLOOKUP(A12,import!A:J,8,0)</f>
        <v>15</v>
      </c>
      <c r="I12" s="10">
        <f>VLOOKUP(A12,import!A:J,9,0)</f>
        <v>15</v>
      </c>
      <c r="J12" s="11">
        <f>VLOOKUP(A12,import!A:J,10,0)</f>
        <v>0</v>
      </c>
      <c r="K12" s="10" t="s">
        <v>136</v>
      </c>
      <c r="L12" s="10">
        <v>3.242382306E9</v>
      </c>
      <c r="M12" s="10" t="s">
        <v>137</v>
      </c>
      <c r="N12" s="10" t="s">
        <v>138</v>
      </c>
      <c r="O12" s="10" t="s">
        <v>139</v>
      </c>
      <c r="P12" s="10" t="str">
        <f>VLOOKUP(A12,import!A:P,16,0)</f>
        <v>Geleneksel</v>
      </c>
      <c r="Q12" s="12"/>
      <c r="R12" s="12" t="b">
        <v>1</v>
      </c>
      <c r="S12" s="12" t="b">
        <v>0</v>
      </c>
      <c r="T12" s="13" t="s">
        <v>140</v>
      </c>
      <c r="U12" s="13" t="s">
        <v>52</v>
      </c>
      <c r="V12" s="13" t="s">
        <v>66</v>
      </c>
      <c r="W12" s="13" t="s">
        <v>141</v>
      </c>
      <c r="X12" s="15">
        <v>44579.0</v>
      </c>
      <c r="Y12" s="15">
        <v>44588.0</v>
      </c>
      <c r="Z12" s="16"/>
      <c r="AA12" s="17" t="s">
        <v>56</v>
      </c>
      <c r="AB12" s="16">
        <v>44579.0</v>
      </c>
      <c r="AC12" s="16"/>
      <c r="AD12" s="16"/>
      <c r="AE12" s="17"/>
      <c r="AF12" s="16"/>
      <c r="AG12" s="17"/>
      <c r="AH12" s="16"/>
      <c r="AI12" s="16"/>
      <c r="AJ12" s="16"/>
      <c r="AK12" s="17" t="s">
        <v>52</v>
      </c>
      <c r="AL12" s="16"/>
      <c r="AM12" s="16"/>
      <c r="AN12" s="16"/>
      <c r="AO12" s="16"/>
      <c r="AP12" s="18"/>
      <c r="AQ12" s="16"/>
    </row>
    <row r="13" ht="15.75" customHeight="1">
      <c r="A13" s="10" t="s">
        <v>142</v>
      </c>
      <c r="B13" s="10" t="s">
        <v>143</v>
      </c>
      <c r="C13" s="10" t="str">
        <f>VLOOKUP(A13,import!A:C,3,0)</f>
        <v>DOĞRU</v>
      </c>
      <c r="D13" s="10" t="s">
        <v>80</v>
      </c>
      <c r="E13" s="10">
        <f>VLOOKUP(A13,import!A:J,5,0)</f>
        <v>1837</v>
      </c>
      <c r="F13" s="10">
        <f>VLOOKUP(A13,import!A:J,6,0)</f>
        <v>50</v>
      </c>
      <c r="G13" s="10">
        <f>VLOOKUP(A13,import!A:J,7,0)</f>
        <v>18</v>
      </c>
      <c r="H13" s="10">
        <f>VLOOKUP(A13,import!A:J,8,0)</f>
        <v>5</v>
      </c>
      <c r="I13" s="10">
        <f>VLOOKUP(A13,import!A:J,9,0)</f>
        <v>23</v>
      </c>
      <c r="J13" s="11">
        <f>VLOOKUP(A13,import!A:J,10,0)</f>
        <v>0.78</v>
      </c>
      <c r="K13" s="10" t="s">
        <v>136</v>
      </c>
      <c r="L13" s="10">
        <v>5.39424248E9</v>
      </c>
      <c r="M13" s="10" t="s">
        <v>137</v>
      </c>
      <c r="N13" s="10" t="s">
        <v>144</v>
      </c>
      <c r="O13" s="10" t="s">
        <v>145</v>
      </c>
      <c r="P13" s="10" t="str">
        <f>VLOOKUP(A13,import!A:P,16,0)</f>
        <v>Geleneksel</v>
      </c>
      <c r="Q13" s="12" t="s">
        <v>146</v>
      </c>
      <c r="R13" s="12" t="b">
        <v>1</v>
      </c>
      <c r="S13" s="12" t="b">
        <v>0</v>
      </c>
      <c r="T13" s="13" t="s">
        <v>51</v>
      </c>
      <c r="U13" s="13" t="s">
        <v>103</v>
      </c>
      <c r="V13" s="13" t="s">
        <v>66</v>
      </c>
      <c r="W13" s="13" t="s">
        <v>147</v>
      </c>
      <c r="X13" s="15">
        <v>44267.0</v>
      </c>
      <c r="Y13" s="15">
        <v>44270.0</v>
      </c>
      <c r="Z13" s="16"/>
      <c r="AA13" s="17" t="s">
        <v>56</v>
      </c>
      <c r="AB13" s="16">
        <v>44489.0</v>
      </c>
      <c r="AC13" s="16"/>
      <c r="AD13" s="16"/>
      <c r="AE13" s="17"/>
      <c r="AF13" s="16"/>
      <c r="AG13" s="17"/>
      <c r="AH13" s="16"/>
      <c r="AI13" s="16"/>
      <c r="AJ13" s="16"/>
      <c r="AK13" s="17" t="s">
        <v>103</v>
      </c>
      <c r="AL13" s="16"/>
      <c r="AM13" s="16"/>
      <c r="AN13" s="16"/>
      <c r="AO13" s="16"/>
      <c r="AP13" s="18" t="s">
        <v>58</v>
      </c>
      <c r="AQ13" s="16"/>
    </row>
    <row r="14" ht="15.75" hidden="1" customHeight="1">
      <c r="A14" s="10" t="s">
        <v>148</v>
      </c>
      <c r="B14" s="10" t="s">
        <v>149</v>
      </c>
      <c r="C14" s="10" t="str">
        <f>VLOOKUP(A14,import!A:C,3,0)</f>
        <v>DOĞRU</v>
      </c>
      <c r="D14" s="10" t="s">
        <v>80</v>
      </c>
      <c r="E14" s="10">
        <f>VLOOKUP(A14,import!A:J,5,0)</f>
        <v>1424</v>
      </c>
      <c r="F14" s="10">
        <f>VLOOKUP(A14,import!A:J,6,0)</f>
        <v>189</v>
      </c>
      <c r="G14" s="10">
        <f>VLOOKUP(A14,import!A:J,7,0)</f>
        <v>13</v>
      </c>
      <c r="H14" s="10">
        <f>VLOOKUP(A14,import!A:J,8,0)</f>
        <v>2</v>
      </c>
      <c r="I14" s="10">
        <f>VLOOKUP(A14,import!A:J,9,0)</f>
        <v>15</v>
      </c>
      <c r="J14" s="11">
        <f>VLOOKUP(A14,import!A:J,10,0)</f>
        <v>0.87</v>
      </c>
      <c r="K14" s="10" t="s">
        <v>136</v>
      </c>
      <c r="L14" s="10">
        <v>5.39424248E9</v>
      </c>
      <c r="M14" s="10" t="s">
        <v>72</v>
      </c>
      <c r="N14" s="10" t="s">
        <v>150</v>
      </c>
      <c r="O14" s="10" t="s">
        <v>151</v>
      </c>
      <c r="P14" s="10" t="str">
        <f>VLOOKUP(A14,import!A:P,16,0)</f>
        <v>Geleneksel</v>
      </c>
      <c r="Q14" s="12"/>
      <c r="R14" s="12" t="b">
        <v>1</v>
      </c>
      <c r="S14" s="12" t="b">
        <v>0</v>
      </c>
      <c r="T14" s="13" t="s">
        <v>51</v>
      </c>
      <c r="U14" s="13" t="s">
        <v>52</v>
      </c>
      <c r="V14" s="13" t="s">
        <v>66</v>
      </c>
      <c r="W14" s="13" t="s">
        <v>152</v>
      </c>
      <c r="X14" s="15">
        <v>44508.0</v>
      </c>
      <c r="Y14" s="15">
        <v>44510.0</v>
      </c>
      <c r="Z14" s="16"/>
      <c r="AA14" s="17" t="s">
        <v>55</v>
      </c>
      <c r="AB14" s="16">
        <v>44508.0</v>
      </c>
      <c r="AC14" s="17" t="s">
        <v>56</v>
      </c>
      <c r="AD14" s="16">
        <v>44508.0</v>
      </c>
      <c r="AE14" s="17"/>
      <c r="AF14" s="16"/>
      <c r="AG14" s="17"/>
      <c r="AH14" s="16"/>
      <c r="AI14" s="16"/>
      <c r="AJ14" s="16"/>
      <c r="AK14" s="17" t="s">
        <v>133</v>
      </c>
      <c r="AL14" s="17" t="s">
        <v>52</v>
      </c>
      <c r="AM14" s="16"/>
      <c r="AN14" s="16"/>
      <c r="AO14" s="16"/>
      <c r="AP14" s="18" t="s">
        <v>58</v>
      </c>
      <c r="AQ14" s="16"/>
    </row>
    <row r="15" ht="15.75" hidden="1" customHeight="1">
      <c r="A15" s="10" t="s">
        <v>153</v>
      </c>
      <c r="B15" s="10" t="s">
        <v>154</v>
      </c>
      <c r="C15" s="10" t="str">
        <f>VLOOKUP(A15,import!A:C,3,0)</f>
        <v>DOĞRU</v>
      </c>
      <c r="D15" s="10" t="s">
        <v>70</v>
      </c>
      <c r="E15" s="10">
        <f>VLOOKUP(A15,import!A:J,5,0)</f>
        <v>281</v>
      </c>
      <c r="F15" s="10">
        <f>VLOOKUP(A15,import!A:J,6,0)</f>
        <v>39</v>
      </c>
      <c r="G15" s="10">
        <f>VLOOKUP(A15,import!A:J,7,0)</f>
        <v>0</v>
      </c>
      <c r="H15" s="10">
        <f>VLOOKUP(A15,import!A:J,8,0)</f>
        <v>26</v>
      </c>
      <c r="I15" s="10">
        <f>VLOOKUP(A15,import!A:J,9,0)</f>
        <v>26</v>
      </c>
      <c r="J15" s="11">
        <f>VLOOKUP(A15,import!A:J,10,0)</f>
        <v>0</v>
      </c>
      <c r="K15" s="10" t="s">
        <v>155</v>
      </c>
      <c r="L15" s="10">
        <v>3.246140909E9</v>
      </c>
      <c r="M15" s="10" t="s">
        <v>156</v>
      </c>
      <c r="N15" s="10" t="s">
        <v>157</v>
      </c>
      <c r="O15" s="10" t="s">
        <v>158</v>
      </c>
      <c r="P15" s="10" t="str">
        <f>VLOOKUP(A15,import!A:P,16,0)</f>
        <v>Geleneksel</v>
      </c>
      <c r="Q15" s="12"/>
      <c r="R15" s="12" t="b">
        <v>0</v>
      </c>
      <c r="S15" s="12" t="b">
        <v>0</v>
      </c>
      <c r="T15" s="13"/>
      <c r="U15" s="13"/>
      <c r="V15" s="13"/>
      <c r="W15" s="13"/>
      <c r="X15" s="15"/>
      <c r="Y15" s="15"/>
      <c r="Z15" s="16"/>
      <c r="AA15" s="17"/>
      <c r="AB15" s="16"/>
      <c r="AC15" s="16"/>
      <c r="AD15" s="16"/>
      <c r="AE15" s="17"/>
      <c r="AF15" s="16"/>
      <c r="AG15" s="17"/>
      <c r="AH15" s="16"/>
      <c r="AI15" s="16"/>
      <c r="AJ15" s="16"/>
      <c r="AK15" s="17"/>
      <c r="AL15" s="16"/>
      <c r="AM15" s="16"/>
      <c r="AN15" s="16"/>
      <c r="AO15" s="16"/>
      <c r="AP15" s="18"/>
      <c r="AQ15" s="16"/>
    </row>
    <row r="16" ht="15.75" hidden="1" customHeight="1">
      <c r="A16" s="10" t="s">
        <v>159</v>
      </c>
      <c r="B16" s="10" t="s">
        <v>160</v>
      </c>
      <c r="C16" s="10" t="str">
        <f>VLOOKUP(A16,import!A:C,3,0)</f>
        <v>DOĞRU</v>
      </c>
      <c r="D16" s="10" t="s">
        <v>45</v>
      </c>
      <c r="E16" s="10">
        <f>VLOOKUP(A16,import!A:J,5,0)</f>
        <v>582</v>
      </c>
      <c r="F16" s="10" t="str">
        <f>VLOOKUP(A16,import!A:J,6,0)</f>
        <v/>
      </c>
      <c r="G16" s="10">
        <f>VLOOKUP(A16,import!A:J,7,0)</f>
        <v>4</v>
      </c>
      <c r="H16" s="10">
        <f>VLOOKUP(A16,import!A:J,8,0)</f>
        <v>4</v>
      </c>
      <c r="I16" s="10">
        <f>VLOOKUP(A16,import!A:J,9,0)</f>
        <v>8</v>
      </c>
      <c r="J16" s="11">
        <f>VLOOKUP(A16,import!A:J,10,0)</f>
        <v>0.5</v>
      </c>
      <c r="K16" s="10" t="s">
        <v>161</v>
      </c>
      <c r="L16" s="10">
        <v>5.079527788E9</v>
      </c>
      <c r="M16" s="10" t="s">
        <v>72</v>
      </c>
      <c r="N16" s="10" t="s">
        <v>128</v>
      </c>
      <c r="O16" s="10" t="s">
        <v>162</v>
      </c>
      <c r="P16" s="10" t="str">
        <f>VLOOKUP(A16,import!A:P,16,0)</f>
        <v>Geleneksel</v>
      </c>
      <c r="Q16" s="12" t="s">
        <v>50</v>
      </c>
      <c r="R16" s="12" t="b">
        <v>1</v>
      </c>
      <c r="S16" s="12" t="b">
        <v>0</v>
      </c>
      <c r="T16" s="13" t="s">
        <v>51</v>
      </c>
      <c r="U16" s="13" t="s">
        <v>163</v>
      </c>
      <c r="V16" s="13" t="s">
        <v>53</v>
      </c>
      <c r="W16" s="13" t="s">
        <v>164</v>
      </c>
      <c r="X16" s="15">
        <v>44355.0</v>
      </c>
      <c r="Y16" s="15">
        <v>44358.0</v>
      </c>
      <c r="Z16" s="16"/>
      <c r="AA16" s="17" t="s">
        <v>56</v>
      </c>
      <c r="AB16" s="16">
        <v>44355.0</v>
      </c>
      <c r="AC16" s="16"/>
      <c r="AD16" s="16"/>
      <c r="AE16" s="17"/>
      <c r="AF16" s="16"/>
      <c r="AG16" s="17"/>
      <c r="AH16" s="16"/>
      <c r="AI16" s="16"/>
      <c r="AJ16" s="16"/>
      <c r="AK16" s="17" t="s">
        <v>163</v>
      </c>
      <c r="AL16" s="16"/>
      <c r="AM16" s="16"/>
      <c r="AN16" s="16"/>
      <c r="AO16" s="16"/>
      <c r="AP16" s="18" t="s">
        <v>58</v>
      </c>
      <c r="AQ16" s="16"/>
    </row>
    <row r="17" ht="15.75" hidden="1" customHeight="1">
      <c r="A17" s="10" t="s">
        <v>165</v>
      </c>
      <c r="B17" s="10" t="s">
        <v>166</v>
      </c>
      <c r="C17" s="10" t="str">
        <f>VLOOKUP(A17,import!A:C,3,0)</f>
        <v>YANLIŞ</v>
      </c>
      <c r="D17" s="10" t="s">
        <v>167</v>
      </c>
      <c r="E17" s="10">
        <f>VLOOKUP(A17,import!A:J,5,0)</f>
        <v>312</v>
      </c>
      <c r="F17" s="10" t="str">
        <f>VLOOKUP(A17,import!A:J,6,0)</f>
        <v/>
      </c>
      <c r="G17" s="10">
        <f>VLOOKUP(A17,import!A:J,7,0)</f>
        <v>8</v>
      </c>
      <c r="H17" s="10">
        <f>VLOOKUP(A17,import!A:J,8,0)</f>
        <v>3</v>
      </c>
      <c r="I17" s="10">
        <f>VLOOKUP(A17,import!A:J,9,0)</f>
        <v>11</v>
      </c>
      <c r="J17" s="11">
        <f>VLOOKUP(A17,import!A:J,10,0)</f>
        <v>0.73</v>
      </c>
      <c r="K17" s="10" t="s">
        <v>168</v>
      </c>
      <c r="L17" s="10">
        <v>5.455313302E9</v>
      </c>
      <c r="M17" s="10" t="s">
        <v>72</v>
      </c>
      <c r="N17" s="10" t="s">
        <v>82</v>
      </c>
      <c r="O17" s="10" t="s">
        <v>169</v>
      </c>
      <c r="P17" s="10" t="str">
        <f>VLOOKUP(A17,import!A:P,16,0)</f>
        <v>Geleneksel</v>
      </c>
      <c r="Q17" s="12"/>
      <c r="R17" s="12" t="b">
        <v>1</v>
      </c>
      <c r="S17" s="12" t="b">
        <v>0</v>
      </c>
      <c r="T17" s="13" t="s">
        <v>51</v>
      </c>
      <c r="U17" s="13" t="s">
        <v>89</v>
      </c>
      <c r="V17" s="13" t="s">
        <v>66</v>
      </c>
      <c r="W17" s="13" t="s">
        <v>170</v>
      </c>
      <c r="X17" s="15">
        <v>44565.0</v>
      </c>
      <c r="Y17" s="15">
        <v>44567.0</v>
      </c>
      <c r="Z17" s="16"/>
      <c r="AA17" s="17" t="s">
        <v>56</v>
      </c>
      <c r="AB17" s="16">
        <v>44476.0</v>
      </c>
      <c r="AC17" s="17" t="s">
        <v>56</v>
      </c>
      <c r="AD17" s="16">
        <v>44565.0</v>
      </c>
      <c r="AE17" s="17" t="s">
        <v>55</v>
      </c>
      <c r="AF17" s="16">
        <v>44572.0</v>
      </c>
      <c r="AG17" s="17"/>
      <c r="AH17" s="16"/>
      <c r="AI17" s="16"/>
      <c r="AJ17" s="16"/>
      <c r="AK17" s="17" t="s">
        <v>171</v>
      </c>
      <c r="AL17" s="17" t="s">
        <v>89</v>
      </c>
      <c r="AM17" s="17" t="s">
        <v>133</v>
      </c>
      <c r="AN17" s="16"/>
      <c r="AO17" s="16"/>
      <c r="AP17" s="18" t="s">
        <v>58</v>
      </c>
      <c r="AQ17" s="16"/>
    </row>
    <row r="18" ht="15.75" customHeight="1">
      <c r="A18" s="10" t="s">
        <v>172</v>
      </c>
      <c r="B18" s="10" t="s">
        <v>173</v>
      </c>
      <c r="C18" s="10" t="str">
        <f>VLOOKUP(A18,import!A:C,3,0)</f>
        <v>DOĞRU</v>
      </c>
      <c r="D18" s="10" t="s">
        <v>70</v>
      </c>
      <c r="E18" s="10">
        <f>VLOOKUP(A18,import!A:J,5,0)</f>
        <v>87</v>
      </c>
      <c r="F18" s="10" t="str">
        <f>VLOOKUP(A18,import!A:J,6,0)</f>
        <v/>
      </c>
      <c r="G18" s="10">
        <f>VLOOKUP(A18,import!A:J,7,0)</f>
        <v>7</v>
      </c>
      <c r="H18" s="10">
        <f>VLOOKUP(A18,import!A:J,8,0)</f>
        <v>14</v>
      </c>
      <c r="I18" s="10">
        <f>VLOOKUP(A18,import!A:J,9,0)</f>
        <v>21</v>
      </c>
      <c r="J18" s="11">
        <f>VLOOKUP(A18,import!A:J,10,0)</f>
        <v>0.33</v>
      </c>
      <c r="K18" s="10" t="s">
        <v>174</v>
      </c>
      <c r="L18" s="10">
        <v>5.528689353E9</v>
      </c>
      <c r="M18" s="10" t="s">
        <v>137</v>
      </c>
      <c r="N18" s="10" t="s">
        <v>175</v>
      </c>
      <c r="O18" s="10" t="s">
        <v>176</v>
      </c>
      <c r="P18" s="10" t="str">
        <f>VLOOKUP(A18,import!A:P,16,0)</f>
        <v>Geleneksel</v>
      </c>
      <c r="Q18" s="12"/>
      <c r="R18" s="12" t="b">
        <v>1</v>
      </c>
      <c r="S18" s="12" t="b">
        <v>0</v>
      </c>
      <c r="T18" s="13" t="s">
        <v>51</v>
      </c>
      <c r="U18" s="13" t="s">
        <v>89</v>
      </c>
      <c r="V18" s="13" t="s">
        <v>53</v>
      </c>
      <c r="W18" s="13" t="s">
        <v>177</v>
      </c>
      <c r="X18" s="15">
        <v>44558.0</v>
      </c>
      <c r="Y18" s="15">
        <v>44561.0</v>
      </c>
      <c r="Z18" s="16"/>
      <c r="AA18" s="17" t="s">
        <v>55</v>
      </c>
      <c r="AB18" s="16">
        <v>44536.0</v>
      </c>
      <c r="AC18" s="17" t="s">
        <v>55</v>
      </c>
      <c r="AD18" s="16">
        <v>44551.0</v>
      </c>
      <c r="AE18" s="17" t="s">
        <v>56</v>
      </c>
      <c r="AF18" s="16">
        <v>44558.0</v>
      </c>
      <c r="AG18" s="17"/>
      <c r="AH18" s="16"/>
      <c r="AI18" s="16"/>
      <c r="AJ18" s="16"/>
      <c r="AK18" s="17" t="s">
        <v>52</v>
      </c>
      <c r="AL18" s="17" t="s">
        <v>103</v>
      </c>
      <c r="AM18" s="17" t="s">
        <v>133</v>
      </c>
      <c r="AN18" s="17" t="s">
        <v>89</v>
      </c>
      <c r="AO18" s="16"/>
      <c r="AP18" s="18" t="s">
        <v>58</v>
      </c>
      <c r="AQ18" s="16"/>
    </row>
    <row r="19" ht="15.75" hidden="1" customHeight="1">
      <c r="A19" s="10" t="s">
        <v>178</v>
      </c>
      <c r="B19" s="10" t="s">
        <v>179</v>
      </c>
      <c r="C19" s="10" t="str">
        <f>VLOOKUP(A19,import!A:C,3,0)</f>
        <v>DOĞRU</v>
      </c>
      <c r="D19" s="10" t="s">
        <v>70</v>
      </c>
      <c r="E19" s="10">
        <f>VLOOKUP(A19,import!A:J,5,0)</f>
        <v>565</v>
      </c>
      <c r="F19" s="10">
        <f>VLOOKUP(A19,import!A:J,6,0)</f>
        <v>34</v>
      </c>
      <c r="G19" s="10">
        <f>VLOOKUP(A19,import!A:J,7,0)</f>
        <v>7</v>
      </c>
      <c r="H19" s="10">
        <f>VLOOKUP(A19,import!A:J,8,0)</f>
        <v>6</v>
      </c>
      <c r="I19" s="10">
        <f>VLOOKUP(A19,import!A:J,9,0)</f>
        <v>13</v>
      </c>
      <c r="J19" s="11">
        <f>VLOOKUP(A19,import!A:J,10,0)</f>
        <v>0.54</v>
      </c>
      <c r="K19" s="10" t="s">
        <v>180</v>
      </c>
      <c r="L19" s="10">
        <v>3.243250293E9</v>
      </c>
      <c r="M19" s="10" t="s">
        <v>72</v>
      </c>
      <c r="N19" s="10" t="s">
        <v>181</v>
      </c>
      <c r="O19" s="10" t="s">
        <v>182</v>
      </c>
      <c r="P19" s="10" t="str">
        <f>VLOOKUP(A19,import!A:P,16,0)</f>
        <v>Geleneksel</v>
      </c>
      <c r="Q19" s="12" t="s">
        <v>50</v>
      </c>
      <c r="R19" s="12" t="b">
        <v>1</v>
      </c>
      <c r="S19" s="12" t="b">
        <v>0</v>
      </c>
      <c r="T19" s="13" t="s">
        <v>51</v>
      </c>
      <c r="U19" s="13" t="s">
        <v>52</v>
      </c>
      <c r="V19" s="13" t="s">
        <v>53</v>
      </c>
      <c r="W19" s="13" t="s">
        <v>183</v>
      </c>
      <c r="X19" s="15">
        <v>44280.0</v>
      </c>
      <c r="Y19" s="15">
        <v>44281.0</v>
      </c>
      <c r="Z19" s="16"/>
      <c r="AA19" s="16"/>
      <c r="AB19" s="16"/>
      <c r="AC19" s="16"/>
      <c r="AD19" s="16"/>
      <c r="AE19" s="17"/>
      <c r="AF19" s="16"/>
      <c r="AG19" s="17"/>
      <c r="AH19" s="16"/>
      <c r="AI19" s="16"/>
      <c r="AJ19" s="16"/>
      <c r="AK19" s="16"/>
      <c r="AL19" s="16"/>
      <c r="AM19" s="16"/>
      <c r="AN19" s="16"/>
      <c r="AO19" s="16"/>
      <c r="AP19" s="18" t="s">
        <v>58</v>
      </c>
      <c r="AQ19" s="16"/>
    </row>
    <row r="20" ht="15.75" hidden="1" customHeight="1">
      <c r="A20" s="10" t="s">
        <v>184</v>
      </c>
      <c r="B20" s="10" t="s">
        <v>185</v>
      </c>
      <c r="C20" s="10" t="str">
        <f>VLOOKUP(A20,import!A:C,3,0)</f>
        <v>DOĞRU</v>
      </c>
      <c r="D20" s="10" t="s">
        <v>118</v>
      </c>
      <c r="E20" s="10">
        <f>VLOOKUP(A20,import!A:J,5,0)</f>
        <v>693</v>
      </c>
      <c r="F20" s="10">
        <f>VLOOKUP(A20,import!A:J,6,0)</f>
        <v>65</v>
      </c>
      <c r="G20" s="10">
        <f>VLOOKUP(A20,import!A:J,7,0)</f>
        <v>0</v>
      </c>
      <c r="H20" s="10">
        <f>VLOOKUP(A20,import!A:J,8,0)</f>
        <v>11</v>
      </c>
      <c r="I20" s="10">
        <f>VLOOKUP(A20,import!A:J,9,0)</f>
        <v>11</v>
      </c>
      <c r="J20" s="11">
        <f>VLOOKUP(A20,import!A:J,10,0)</f>
        <v>0</v>
      </c>
      <c r="K20" s="10" t="s">
        <v>186</v>
      </c>
      <c r="L20" s="10">
        <v>3.247144646E9</v>
      </c>
      <c r="M20" s="10" t="s">
        <v>187</v>
      </c>
      <c r="N20" s="10" t="s">
        <v>188</v>
      </c>
      <c r="O20" s="10" t="s">
        <v>189</v>
      </c>
      <c r="P20" s="10" t="str">
        <f>VLOOKUP(A20,import!A:P,16,0)</f>
        <v>Geleneksel</v>
      </c>
      <c r="Q20" s="12"/>
      <c r="R20" s="12" t="b">
        <v>0</v>
      </c>
      <c r="S20" s="12" t="b">
        <v>0</v>
      </c>
      <c r="T20" s="13"/>
      <c r="U20" s="13"/>
      <c r="V20" s="13"/>
      <c r="W20" s="13"/>
      <c r="X20" s="15"/>
      <c r="Y20" s="15"/>
      <c r="Z20" s="16"/>
      <c r="AA20" s="17"/>
      <c r="AB20" s="16"/>
      <c r="AC20" s="16"/>
      <c r="AD20" s="16"/>
      <c r="AE20" s="17"/>
      <c r="AF20" s="16"/>
      <c r="AG20" s="17"/>
      <c r="AH20" s="16"/>
      <c r="AI20" s="16"/>
      <c r="AJ20" s="16"/>
      <c r="AK20" s="17"/>
      <c r="AL20" s="16"/>
      <c r="AM20" s="16"/>
      <c r="AN20" s="16"/>
      <c r="AO20" s="16"/>
      <c r="AP20" s="18"/>
      <c r="AQ20" s="16"/>
    </row>
    <row r="21" ht="15.75" customHeight="1">
      <c r="A21" s="10" t="s">
        <v>190</v>
      </c>
      <c r="B21" s="10" t="s">
        <v>191</v>
      </c>
      <c r="C21" s="10" t="str">
        <f>VLOOKUP(A21,import!A:C,3,0)</f>
        <v>DOĞRU</v>
      </c>
      <c r="D21" s="10" t="s">
        <v>118</v>
      </c>
      <c r="E21" s="10">
        <f>VLOOKUP(A21,import!A:J,5,0)</f>
        <v>815</v>
      </c>
      <c r="F21" s="10">
        <f>VLOOKUP(A21,import!A:J,6,0)</f>
        <v>76</v>
      </c>
      <c r="G21" s="10">
        <f>VLOOKUP(A21,import!A:J,7,0)</f>
        <v>0</v>
      </c>
      <c r="H21" s="10">
        <f>VLOOKUP(A21,import!A:J,8,0)</f>
        <v>13</v>
      </c>
      <c r="I21" s="10">
        <f>VLOOKUP(A21,import!A:J,9,0)</f>
        <v>13</v>
      </c>
      <c r="J21" s="11">
        <f>VLOOKUP(A21,import!A:J,10,0)</f>
        <v>0</v>
      </c>
      <c r="K21" s="10" t="s">
        <v>192</v>
      </c>
      <c r="L21" s="10">
        <v>3.243588844E9</v>
      </c>
      <c r="M21" s="10" t="s">
        <v>63</v>
      </c>
      <c r="N21" s="10" t="s">
        <v>100</v>
      </c>
      <c r="O21" s="10" t="s">
        <v>193</v>
      </c>
      <c r="P21" s="10" t="str">
        <f>VLOOKUP(A21,import!A:P,16,0)</f>
        <v>Geleneksel</v>
      </c>
      <c r="Q21" s="12"/>
      <c r="R21" s="12" t="b">
        <v>1</v>
      </c>
      <c r="S21" s="12" t="b">
        <v>0</v>
      </c>
      <c r="T21" s="13" t="s">
        <v>140</v>
      </c>
      <c r="U21" s="13"/>
      <c r="V21" s="13"/>
      <c r="W21" s="13" t="s">
        <v>194</v>
      </c>
      <c r="X21" s="15"/>
      <c r="Y21" s="15"/>
      <c r="Z21" s="16"/>
      <c r="AA21" s="17" t="s">
        <v>56</v>
      </c>
      <c r="AB21" s="16">
        <v>44585.0</v>
      </c>
      <c r="AC21" s="16"/>
      <c r="AD21" s="16"/>
      <c r="AE21" s="17"/>
      <c r="AF21" s="16"/>
      <c r="AG21" s="17"/>
      <c r="AH21" s="16"/>
      <c r="AI21" s="16"/>
      <c r="AJ21" s="16"/>
      <c r="AK21" s="17" t="s">
        <v>103</v>
      </c>
      <c r="AL21" s="16"/>
      <c r="AM21" s="16"/>
      <c r="AN21" s="16"/>
      <c r="AO21" s="16"/>
      <c r="AP21" s="18"/>
      <c r="AQ21" s="16"/>
    </row>
    <row r="22" ht="15.75" customHeight="1">
      <c r="A22" s="10" t="s">
        <v>195</v>
      </c>
      <c r="B22" s="10" t="s">
        <v>196</v>
      </c>
      <c r="C22" s="10" t="str">
        <f>VLOOKUP(A22,import!A:C,3,0)</f>
        <v>DOĞRU</v>
      </c>
      <c r="D22" s="10" t="s">
        <v>118</v>
      </c>
      <c r="E22" s="10">
        <f>VLOOKUP(A22,import!A:J,5,0)</f>
        <v>3419</v>
      </c>
      <c r="F22" s="10">
        <f>VLOOKUP(A22,import!A:J,6,0)</f>
        <v>90</v>
      </c>
      <c r="G22" s="10">
        <f>VLOOKUP(A22,import!A:J,7,0)</f>
        <v>0</v>
      </c>
      <c r="H22" s="10">
        <f>VLOOKUP(A22,import!A:J,8,0)</f>
        <v>25</v>
      </c>
      <c r="I22" s="10">
        <f>VLOOKUP(A22,import!A:J,9,0)</f>
        <v>25</v>
      </c>
      <c r="J22" s="11">
        <f>VLOOKUP(A22,import!A:J,10,0)</f>
        <v>0</v>
      </c>
      <c r="K22" s="10" t="s">
        <v>197</v>
      </c>
      <c r="L22" s="10">
        <v>5.304052009E9</v>
      </c>
      <c r="M22" s="10" t="s">
        <v>63</v>
      </c>
      <c r="N22" s="10" t="s">
        <v>93</v>
      </c>
      <c r="O22" s="10" t="s">
        <v>198</v>
      </c>
      <c r="P22" s="10" t="str">
        <f>VLOOKUP(A22,import!A:P,16,0)</f>
        <v>Geleneksel</v>
      </c>
      <c r="Q22" s="12" t="s">
        <v>146</v>
      </c>
      <c r="R22" s="12" t="b">
        <v>1</v>
      </c>
      <c r="S22" s="12" t="b">
        <v>0</v>
      </c>
      <c r="T22" s="13" t="s">
        <v>199</v>
      </c>
      <c r="U22" s="13"/>
      <c r="V22" s="13"/>
      <c r="W22" s="13" t="s">
        <v>200</v>
      </c>
      <c r="X22" s="15"/>
      <c r="Y22" s="15"/>
      <c r="Z22" s="16"/>
      <c r="AA22" s="16"/>
      <c r="AB22" s="16"/>
      <c r="AC22" s="17" t="s">
        <v>55</v>
      </c>
      <c r="AD22" s="16">
        <v>44418.0</v>
      </c>
      <c r="AE22" s="17" t="s">
        <v>55</v>
      </c>
      <c r="AF22" s="16">
        <v>44495.0</v>
      </c>
      <c r="AG22" s="17" t="s">
        <v>56</v>
      </c>
      <c r="AH22" s="16">
        <v>44560.0</v>
      </c>
      <c r="AI22" s="16"/>
      <c r="AJ22" s="16"/>
      <c r="AK22" s="16"/>
      <c r="AL22" s="17" t="s">
        <v>95</v>
      </c>
      <c r="AM22" s="17" t="s">
        <v>89</v>
      </c>
      <c r="AN22" s="17" t="s">
        <v>89</v>
      </c>
      <c r="AO22" s="16"/>
      <c r="AP22" s="18" t="s">
        <v>58</v>
      </c>
      <c r="AQ22" s="16"/>
    </row>
    <row r="23" ht="15.75" hidden="1" customHeight="1">
      <c r="A23" s="10" t="s">
        <v>201</v>
      </c>
      <c r="B23" s="10" t="s">
        <v>202</v>
      </c>
      <c r="C23" s="10" t="str">
        <f>VLOOKUP(A23,import!A:C,3,0)</f>
        <v>DOĞRU</v>
      </c>
      <c r="D23" s="10" t="s">
        <v>167</v>
      </c>
      <c r="E23" s="10">
        <f>VLOOKUP(A23,import!A:J,5,0)</f>
        <v>1773</v>
      </c>
      <c r="F23" s="10">
        <f>VLOOKUP(A23,import!A:J,6,0)</f>
        <v>67</v>
      </c>
      <c r="G23" s="10">
        <f>VLOOKUP(A23,import!A:J,7,0)</f>
        <v>8</v>
      </c>
      <c r="H23" s="10">
        <f>VLOOKUP(A23,import!A:J,8,0)</f>
        <v>10</v>
      </c>
      <c r="I23" s="10">
        <f>VLOOKUP(A23,import!A:J,9,0)</f>
        <v>18</v>
      </c>
      <c r="J23" s="11">
        <f>VLOOKUP(A23,import!A:J,10,0)</f>
        <v>0.44</v>
      </c>
      <c r="K23" s="10" t="s">
        <v>203</v>
      </c>
      <c r="L23" s="10">
        <v>3.246259393E9</v>
      </c>
      <c r="M23" s="10" t="s">
        <v>156</v>
      </c>
      <c r="N23" s="10" t="s">
        <v>204</v>
      </c>
      <c r="O23" s="10" t="s">
        <v>205</v>
      </c>
      <c r="P23" s="10" t="str">
        <f>VLOOKUP(A23,import!A:P,16,0)</f>
        <v>Geleneksel</v>
      </c>
      <c r="Q23" s="12"/>
      <c r="R23" s="12" t="b">
        <v>1</v>
      </c>
      <c r="S23" s="12" t="b">
        <v>0</v>
      </c>
      <c r="T23" s="13" t="s">
        <v>51</v>
      </c>
      <c r="U23" s="13" t="s">
        <v>133</v>
      </c>
      <c r="V23" s="13" t="s">
        <v>66</v>
      </c>
      <c r="W23" s="13"/>
      <c r="X23" s="15">
        <v>44300.0</v>
      </c>
      <c r="Y23" s="15">
        <v>44301.0</v>
      </c>
      <c r="Z23" s="16"/>
      <c r="AA23" s="16"/>
      <c r="AB23" s="16"/>
      <c r="AC23" s="16"/>
      <c r="AD23" s="16"/>
      <c r="AE23" s="17"/>
      <c r="AF23" s="16"/>
      <c r="AG23" s="17"/>
      <c r="AH23" s="16"/>
      <c r="AI23" s="16"/>
      <c r="AJ23" s="16"/>
      <c r="AK23" s="16"/>
      <c r="AL23" s="16"/>
      <c r="AM23" s="16"/>
      <c r="AN23" s="16"/>
      <c r="AO23" s="16"/>
      <c r="AP23" s="18" t="s">
        <v>58</v>
      </c>
      <c r="AQ23" s="16"/>
    </row>
    <row r="24" ht="15.75" customHeight="1">
      <c r="A24" s="10" t="s">
        <v>206</v>
      </c>
      <c r="B24" s="10" t="s">
        <v>207</v>
      </c>
      <c r="C24" s="10" t="str">
        <f>VLOOKUP(A24,import!A:C,3,0)</f>
        <v>DOĞRU</v>
      </c>
      <c r="D24" s="10" t="s">
        <v>167</v>
      </c>
      <c r="E24" s="10">
        <f>VLOOKUP(A24,import!A:J,5,0)</f>
        <v>762</v>
      </c>
      <c r="F24" s="10">
        <f>VLOOKUP(A24,import!A:J,6,0)</f>
        <v>61</v>
      </c>
      <c r="G24" s="10">
        <f>VLOOKUP(A24,import!A:J,7,0)</f>
        <v>8</v>
      </c>
      <c r="H24" s="10">
        <f>VLOOKUP(A24,import!A:J,8,0)</f>
        <v>4</v>
      </c>
      <c r="I24" s="10">
        <f>VLOOKUP(A24,import!A:J,9,0)</f>
        <v>12</v>
      </c>
      <c r="J24" s="11">
        <f>VLOOKUP(A24,import!A:J,10,0)</f>
        <v>0.67</v>
      </c>
      <c r="K24" s="10" t="s">
        <v>208</v>
      </c>
      <c r="L24" s="10">
        <v>5.527521733E9</v>
      </c>
      <c r="M24" s="10" t="s">
        <v>137</v>
      </c>
      <c r="N24" s="10" t="s">
        <v>209</v>
      </c>
      <c r="O24" s="10" t="s">
        <v>210</v>
      </c>
      <c r="P24" s="10" t="str">
        <f>VLOOKUP(A24,import!A:P,16,0)</f>
        <v>Geleneksel</v>
      </c>
      <c r="Q24" s="12"/>
      <c r="R24" s="12" t="b">
        <v>1</v>
      </c>
      <c r="S24" s="12" t="b">
        <v>0</v>
      </c>
      <c r="T24" s="13" t="s">
        <v>51</v>
      </c>
      <c r="U24" s="13" t="s">
        <v>89</v>
      </c>
      <c r="V24" s="13" t="s">
        <v>66</v>
      </c>
      <c r="W24" s="23" t="s">
        <v>211</v>
      </c>
      <c r="X24" s="15">
        <v>44526.0</v>
      </c>
      <c r="Y24" s="15">
        <v>44529.0</v>
      </c>
      <c r="Z24" s="16"/>
      <c r="AA24" s="17" t="s">
        <v>56</v>
      </c>
      <c r="AB24" s="16">
        <v>44526.0</v>
      </c>
      <c r="AC24" s="16"/>
      <c r="AD24" s="16"/>
      <c r="AE24" s="17"/>
      <c r="AF24" s="16"/>
      <c r="AG24" s="17"/>
      <c r="AH24" s="16"/>
      <c r="AI24" s="16"/>
      <c r="AJ24" s="16"/>
      <c r="AK24" s="17" t="s">
        <v>89</v>
      </c>
      <c r="AL24" s="16"/>
      <c r="AM24" s="16"/>
      <c r="AN24" s="16"/>
      <c r="AO24" s="16"/>
      <c r="AP24" s="18" t="s">
        <v>58</v>
      </c>
      <c r="AQ24" s="16"/>
    </row>
    <row r="25" ht="15.75" hidden="1" customHeight="1">
      <c r="A25" s="10" t="s">
        <v>212</v>
      </c>
      <c r="B25" s="10" t="s">
        <v>213</v>
      </c>
      <c r="C25" s="10" t="str">
        <f>VLOOKUP(A25,import!A:C,3,0)</f>
        <v>DOĞRU</v>
      </c>
      <c r="D25" s="10" t="s">
        <v>167</v>
      </c>
      <c r="E25" s="10">
        <f>VLOOKUP(A25,import!A:J,5,0)</f>
        <v>564</v>
      </c>
      <c r="F25" s="10">
        <f>VLOOKUP(A25,import!A:J,6,0)</f>
        <v>14</v>
      </c>
      <c r="G25" s="10">
        <f>VLOOKUP(A25,import!A:J,7,0)</f>
        <v>12</v>
      </c>
      <c r="H25" s="10">
        <f>VLOOKUP(A25,import!A:J,8,0)</f>
        <v>2</v>
      </c>
      <c r="I25" s="10">
        <f>VLOOKUP(A25,import!A:J,9,0)</f>
        <v>14</v>
      </c>
      <c r="J25" s="11">
        <f>VLOOKUP(A25,import!A:J,10,0)</f>
        <v>0.86</v>
      </c>
      <c r="K25" s="10" t="s">
        <v>214</v>
      </c>
      <c r="L25" s="10">
        <v>5.339134933E9</v>
      </c>
      <c r="M25" s="10" t="s">
        <v>215</v>
      </c>
      <c r="N25" s="10" t="s">
        <v>216</v>
      </c>
      <c r="O25" s="10" t="s">
        <v>217</v>
      </c>
      <c r="P25" s="10" t="str">
        <f>VLOOKUP(A25,import!A:P,16,0)</f>
        <v>Geleneksel</v>
      </c>
      <c r="Q25" s="12" t="s">
        <v>50</v>
      </c>
      <c r="R25" s="12" t="b">
        <v>1</v>
      </c>
      <c r="S25" s="12" t="b">
        <v>0</v>
      </c>
      <c r="T25" s="13" t="s">
        <v>51</v>
      </c>
      <c r="U25" s="13" t="s">
        <v>133</v>
      </c>
      <c r="V25" s="13" t="s">
        <v>53</v>
      </c>
      <c r="W25" s="13" t="s">
        <v>218</v>
      </c>
      <c r="X25" s="15">
        <v>44281.0</v>
      </c>
      <c r="Y25" s="15">
        <v>44285.0</v>
      </c>
      <c r="Z25" s="16"/>
      <c r="AA25" s="16"/>
      <c r="AB25" s="16"/>
      <c r="AC25" s="16"/>
      <c r="AD25" s="16"/>
      <c r="AE25" s="17"/>
      <c r="AF25" s="16"/>
      <c r="AG25" s="17"/>
      <c r="AH25" s="16"/>
      <c r="AI25" s="16"/>
      <c r="AJ25" s="16"/>
      <c r="AK25" s="16"/>
      <c r="AL25" s="16"/>
      <c r="AM25" s="16"/>
      <c r="AN25" s="16"/>
      <c r="AO25" s="16"/>
      <c r="AP25" s="18" t="s">
        <v>58</v>
      </c>
      <c r="AQ25" s="16"/>
    </row>
    <row r="26" ht="15.75" hidden="1" customHeight="1">
      <c r="A26" s="10" t="s">
        <v>219</v>
      </c>
      <c r="B26" s="10" t="s">
        <v>220</v>
      </c>
      <c r="C26" s="10" t="str">
        <f>VLOOKUP(A26,import!A:C,3,0)</f>
        <v>DOĞRU</v>
      </c>
      <c r="D26" s="10" t="s">
        <v>167</v>
      </c>
      <c r="E26" s="10">
        <f>VLOOKUP(A26,import!A:J,5,0)</f>
        <v>174</v>
      </c>
      <c r="F26" s="10">
        <f>VLOOKUP(A26,import!A:J,6,0)</f>
        <v>38</v>
      </c>
      <c r="G26" s="10">
        <f>VLOOKUP(A26,import!A:J,7,0)</f>
        <v>0</v>
      </c>
      <c r="H26" s="10">
        <f>VLOOKUP(A26,import!A:J,8,0)</f>
        <v>16</v>
      </c>
      <c r="I26" s="10">
        <f>VLOOKUP(A26,import!A:J,9,0)</f>
        <v>16</v>
      </c>
      <c r="J26" s="11">
        <f>VLOOKUP(A26,import!A:J,10,0)</f>
        <v>0</v>
      </c>
      <c r="K26" s="10" t="s">
        <v>221</v>
      </c>
      <c r="L26" s="10">
        <v>5.302309957E9</v>
      </c>
      <c r="M26" s="10" t="s">
        <v>156</v>
      </c>
      <c r="N26" s="10" t="s">
        <v>222</v>
      </c>
      <c r="O26" s="10" t="s">
        <v>223</v>
      </c>
      <c r="P26" s="10" t="str">
        <f>VLOOKUP(A26,import!A:P,16,0)</f>
        <v>Geleneksel</v>
      </c>
      <c r="Q26" s="12"/>
      <c r="R26" s="12" t="b">
        <v>0</v>
      </c>
      <c r="S26" s="12" t="b">
        <v>0</v>
      </c>
      <c r="T26" s="13"/>
      <c r="U26" s="13"/>
      <c r="V26" s="13"/>
      <c r="W26" s="13"/>
      <c r="X26" s="15"/>
      <c r="Y26" s="15"/>
      <c r="Z26" s="16"/>
      <c r="AA26" s="17"/>
      <c r="AB26" s="16"/>
      <c r="AC26" s="16"/>
      <c r="AD26" s="16"/>
      <c r="AE26" s="17"/>
      <c r="AF26" s="16"/>
      <c r="AG26" s="17"/>
      <c r="AH26" s="16"/>
      <c r="AI26" s="16"/>
      <c r="AJ26" s="16"/>
      <c r="AK26" s="17"/>
      <c r="AL26" s="16"/>
      <c r="AM26" s="16"/>
      <c r="AN26" s="16"/>
      <c r="AO26" s="16"/>
      <c r="AP26" s="18"/>
      <c r="AQ26" s="16"/>
    </row>
    <row r="27" ht="15.75" hidden="1" customHeight="1">
      <c r="A27" s="10" t="s">
        <v>224</v>
      </c>
      <c r="B27" s="10" t="s">
        <v>225</v>
      </c>
      <c r="C27" s="10" t="str">
        <f>VLOOKUP(A27,import!A:C,3,0)</f>
        <v>YANLIŞ</v>
      </c>
      <c r="D27" s="10" t="s">
        <v>167</v>
      </c>
      <c r="E27" s="10">
        <f>VLOOKUP(A27,import!A:J,5,0)</f>
        <v>73</v>
      </c>
      <c r="F27" s="10" t="str">
        <f>VLOOKUP(A27,import!A:J,6,0)</f>
        <v/>
      </c>
      <c r="G27" s="10">
        <f>VLOOKUP(A27,import!A:J,7,0)</f>
        <v>7</v>
      </c>
      <c r="H27" s="10">
        <f>VLOOKUP(A27,import!A:J,8,0)</f>
        <v>0</v>
      </c>
      <c r="I27" s="10">
        <f>VLOOKUP(A27,import!A:J,9,0)</f>
        <v>7</v>
      </c>
      <c r="J27" s="11">
        <f>VLOOKUP(A27,import!A:J,10,0)</f>
        <v>1</v>
      </c>
      <c r="K27" s="10" t="s">
        <v>226</v>
      </c>
      <c r="L27" s="10">
        <v>5.526039802E9</v>
      </c>
      <c r="M27" s="10" t="s">
        <v>215</v>
      </c>
      <c r="N27" s="10" t="s">
        <v>227</v>
      </c>
      <c r="O27" s="10" t="s">
        <v>228</v>
      </c>
      <c r="P27" s="10" t="str">
        <f>VLOOKUP(A27,import!A:P,16,0)</f>
        <v>Geleneksel</v>
      </c>
      <c r="Q27" s="12"/>
      <c r="R27" s="12" t="b">
        <v>1</v>
      </c>
      <c r="S27" s="12" t="b">
        <v>0</v>
      </c>
      <c r="T27" s="13" t="s">
        <v>51</v>
      </c>
      <c r="U27" s="13" t="s">
        <v>87</v>
      </c>
      <c r="V27" s="13" t="s">
        <v>53</v>
      </c>
      <c r="W27" s="13" t="s">
        <v>229</v>
      </c>
      <c r="X27" s="15">
        <v>44495.0</v>
      </c>
      <c r="Y27" s="15">
        <v>44496.0</v>
      </c>
      <c r="Z27" s="16"/>
      <c r="AA27" s="17" t="s">
        <v>230</v>
      </c>
      <c r="AB27" s="16">
        <v>44495.0</v>
      </c>
      <c r="AC27" s="17" t="s">
        <v>56</v>
      </c>
      <c r="AD27" s="16">
        <v>44495.0</v>
      </c>
      <c r="AE27" s="17"/>
      <c r="AF27" s="16"/>
      <c r="AG27" s="17"/>
      <c r="AH27" s="16"/>
      <c r="AI27" s="16"/>
      <c r="AJ27" s="16"/>
      <c r="AK27" s="17" t="s">
        <v>87</v>
      </c>
      <c r="AL27" s="17" t="s">
        <v>87</v>
      </c>
      <c r="AM27" s="16"/>
      <c r="AN27" s="16"/>
      <c r="AO27" s="16"/>
      <c r="AP27" s="18" t="s">
        <v>58</v>
      </c>
      <c r="AQ27" s="16"/>
    </row>
    <row r="28" ht="15.75" hidden="1" customHeight="1">
      <c r="A28" s="10" t="s">
        <v>231</v>
      </c>
      <c r="B28" s="10" t="s">
        <v>232</v>
      </c>
      <c r="C28" s="10" t="str">
        <f>VLOOKUP(A28,import!A:C,3,0)</f>
        <v>DOĞRU</v>
      </c>
      <c r="D28" s="10" t="s">
        <v>167</v>
      </c>
      <c r="E28" s="10">
        <f>VLOOKUP(A28,import!A:J,5,0)</f>
        <v>81</v>
      </c>
      <c r="F28" s="10" t="str">
        <f>VLOOKUP(A28,import!A:J,6,0)</f>
        <v/>
      </c>
      <c r="G28" s="10">
        <f>VLOOKUP(A28,import!A:J,7,0)</f>
        <v>0</v>
      </c>
      <c r="H28" s="10">
        <f>VLOOKUP(A28,import!A:J,8,0)</f>
        <v>23</v>
      </c>
      <c r="I28" s="10">
        <f>VLOOKUP(A28,import!A:J,9,0)</f>
        <v>23</v>
      </c>
      <c r="J28" s="11">
        <f>VLOOKUP(A28,import!A:J,10,0)</f>
        <v>0</v>
      </c>
      <c r="K28" s="10" t="s">
        <v>233</v>
      </c>
      <c r="L28" s="10">
        <v>5.316163321E9</v>
      </c>
      <c r="M28" s="10" t="s">
        <v>156</v>
      </c>
      <c r="N28" s="10" t="s">
        <v>234</v>
      </c>
      <c r="O28" s="10" t="s">
        <v>235</v>
      </c>
      <c r="P28" s="10" t="str">
        <f>VLOOKUP(A28,import!A:P,16,0)</f>
        <v>Geleneksel</v>
      </c>
      <c r="Q28" s="12"/>
      <c r="R28" s="12" t="b">
        <v>1</v>
      </c>
      <c r="S28" s="12" t="b">
        <v>0</v>
      </c>
      <c r="T28" s="13" t="s">
        <v>130</v>
      </c>
      <c r="U28" s="13" t="s">
        <v>52</v>
      </c>
      <c r="V28" s="13" t="s">
        <v>66</v>
      </c>
      <c r="W28" s="13"/>
      <c r="X28" s="15">
        <v>44540.0</v>
      </c>
      <c r="Y28" s="15">
        <v>44543.0</v>
      </c>
      <c r="Z28" s="16"/>
      <c r="AA28" s="17" t="s">
        <v>56</v>
      </c>
      <c r="AB28" s="16">
        <v>44540.0</v>
      </c>
      <c r="AC28" s="16"/>
      <c r="AD28" s="16"/>
      <c r="AE28" s="17"/>
      <c r="AF28" s="16"/>
      <c r="AG28" s="17"/>
      <c r="AH28" s="16"/>
      <c r="AI28" s="16"/>
      <c r="AJ28" s="16"/>
      <c r="AK28" s="17" t="s">
        <v>52</v>
      </c>
      <c r="AL28" s="16"/>
      <c r="AM28" s="16"/>
      <c r="AN28" s="16"/>
      <c r="AO28" s="16"/>
      <c r="AP28" s="18" t="s">
        <v>58</v>
      </c>
      <c r="AQ28" s="16"/>
    </row>
    <row r="29" ht="15.75" hidden="1" customHeight="1">
      <c r="A29" s="10" t="s">
        <v>236</v>
      </c>
      <c r="B29" s="10" t="s">
        <v>237</v>
      </c>
      <c r="C29" s="10" t="str">
        <f>VLOOKUP(A29,import!A:C,3,0)</f>
        <v>DOĞRU</v>
      </c>
      <c r="D29" s="10" t="s">
        <v>167</v>
      </c>
      <c r="E29" s="10">
        <f>VLOOKUP(A29,import!A:J,5,0)</f>
        <v>44</v>
      </c>
      <c r="F29" s="10">
        <f>VLOOKUP(A29,import!A:J,6,0)</f>
        <v>12</v>
      </c>
      <c r="G29" s="10">
        <f>VLOOKUP(A29,import!A:J,7,0)</f>
        <v>0</v>
      </c>
      <c r="H29" s="10">
        <f>VLOOKUP(A29,import!A:J,8,0)</f>
        <v>12</v>
      </c>
      <c r="I29" s="10">
        <f>VLOOKUP(A29,import!A:J,9,0)</f>
        <v>12</v>
      </c>
      <c r="J29" s="11">
        <f>VLOOKUP(A29,import!A:J,10,0)</f>
        <v>0</v>
      </c>
      <c r="K29" s="10" t="s">
        <v>238</v>
      </c>
      <c r="L29" s="10">
        <v>5.372770233E9</v>
      </c>
      <c r="M29" s="10" t="s">
        <v>215</v>
      </c>
      <c r="N29" s="10" t="s">
        <v>239</v>
      </c>
      <c r="O29" s="10" t="s">
        <v>240</v>
      </c>
      <c r="P29" s="10" t="str">
        <f>VLOOKUP(A29,import!A:P,16,0)</f>
        <v>Geleneksel</v>
      </c>
      <c r="Q29" s="12"/>
      <c r="R29" s="12" t="b">
        <v>1</v>
      </c>
      <c r="S29" s="12" t="b">
        <v>0</v>
      </c>
      <c r="T29" s="13" t="s">
        <v>55</v>
      </c>
      <c r="U29" s="13"/>
      <c r="V29" s="13"/>
      <c r="W29" s="13"/>
      <c r="X29" s="15"/>
      <c r="Y29" s="15"/>
      <c r="Z29" s="16"/>
      <c r="AA29" s="17" t="s">
        <v>55</v>
      </c>
      <c r="AB29" s="16">
        <v>44559.0</v>
      </c>
      <c r="AC29" s="17" t="s">
        <v>55</v>
      </c>
      <c r="AD29" s="16">
        <v>44656.0</v>
      </c>
      <c r="AE29" s="17"/>
      <c r="AF29" s="16"/>
      <c r="AG29" s="17"/>
      <c r="AH29" s="16"/>
      <c r="AI29" s="16"/>
      <c r="AJ29" s="16"/>
      <c r="AK29" s="17" t="s">
        <v>133</v>
      </c>
      <c r="AL29" s="17" t="s">
        <v>103</v>
      </c>
      <c r="AM29" s="16"/>
      <c r="AN29" s="16"/>
      <c r="AO29" s="16"/>
      <c r="AP29" s="18"/>
      <c r="AQ29" s="16"/>
    </row>
    <row r="30" ht="15.75" customHeight="1">
      <c r="A30" s="10" t="s">
        <v>241</v>
      </c>
      <c r="B30" s="10" t="s">
        <v>242</v>
      </c>
      <c r="C30" s="10" t="str">
        <f>VLOOKUP(A30,import!A:C,3,0)</f>
        <v>DOĞRU</v>
      </c>
      <c r="D30" s="10" t="s">
        <v>167</v>
      </c>
      <c r="E30" s="10">
        <f>VLOOKUP(A30,import!A:J,5,0)</f>
        <v>348</v>
      </c>
      <c r="F30" s="10">
        <f>VLOOKUP(A30,import!A:J,6,0)</f>
        <v>36</v>
      </c>
      <c r="G30" s="10">
        <f>VLOOKUP(A30,import!A:J,7,0)</f>
        <v>6</v>
      </c>
      <c r="H30" s="10">
        <f>VLOOKUP(A30,import!A:J,8,0)</f>
        <v>1</v>
      </c>
      <c r="I30" s="10">
        <f>VLOOKUP(A30,import!A:J,9,0)</f>
        <v>7</v>
      </c>
      <c r="J30" s="11">
        <f>VLOOKUP(A30,import!A:J,10,0)</f>
        <v>0.86</v>
      </c>
      <c r="K30" s="10" t="s">
        <v>243</v>
      </c>
      <c r="L30" s="10">
        <v>3.242338202E9</v>
      </c>
      <c r="M30" s="10" t="s">
        <v>137</v>
      </c>
      <c r="N30" s="10" t="s">
        <v>209</v>
      </c>
      <c r="O30" s="10" t="s">
        <v>244</v>
      </c>
      <c r="P30" s="10" t="str">
        <f>VLOOKUP(A30,import!A:P,16,0)</f>
        <v>Geleneksel</v>
      </c>
      <c r="Q30" s="12" t="s">
        <v>50</v>
      </c>
      <c r="R30" s="12" t="b">
        <v>1</v>
      </c>
      <c r="S30" s="12" t="b">
        <v>0</v>
      </c>
      <c r="T30" s="13" t="s">
        <v>51</v>
      </c>
      <c r="U30" s="13" t="s">
        <v>52</v>
      </c>
      <c r="V30" s="13" t="s">
        <v>53</v>
      </c>
      <c r="W30" s="13"/>
      <c r="X30" s="15">
        <v>44343.0</v>
      </c>
      <c r="Y30" s="15">
        <v>44344.0</v>
      </c>
      <c r="Z30" s="16"/>
      <c r="AA30" s="17" t="s">
        <v>56</v>
      </c>
      <c r="AB30" s="16">
        <v>44580.0</v>
      </c>
      <c r="AC30" s="16"/>
      <c r="AD30" s="16"/>
      <c r="AE30" s="17"/>
      <c r="AF30" s="16"/>
      <c r="AG30" s="17"/>
      <c r="AH30" s="16"/>
      <c r="AI30" s="16"/>
      <c r="AJ30" s="16"/>
      <c r="AK30" s="17" t="s">
        <v>89</v>
      </c>
      <c r="AL30" s="16"/>
      <c r="AM30" s="16"/>
      <c r="AN30" s="16"/>
      <c r="AO30" s="16"/>
      <c r="AP30" s="18" t="s">
        <v>58</v>
      </c>
      <c r="AQ30" s="16"/>
    </row>
    <row r="31" ht="15.75" customHeight="1">
      <c r="A31" s="10" t="s">
        <v>245</v>
      </c>
      <c r="B31" s="10" t="s">
        <v>246</v>
      </c>
      <c r="C31" s="10" t="str">
        <f>VLOOKUP(A31,import!A:C,3,0)</f>
        <v>DOĞRU</v>
      </c>
      <c r="D31" s="10" t="s">
        <v>167</v>
      </c>
      <c r="E31" s="10">
        <f>VLOOKUP(A31,import!A:J,5,0)</f>
        <v>1350</v>
      </c>
      <c r="F31" s="10">
        <f>VLOOKUP(A31,import!A:J,6,0)</f>
        <v>62</v>
      </c>
      <c r="G31" s="10">
        <f>VLOOKUP(A31,import!A:J,7,0)</f>
        <v>8</v>
      </c>
      <c r="H31" s="10">
        <f>VLOOKUP(A31,import!A:J,8,0)</f>
        <v>9</v>
      </c>
      <c r="I31" s="10">
        <f>VLOOKUP(A31,import!A:J,9,0)</f>
        <v>17</v>
      </c>
      <c r="J31" s="11">
        <f>VLOOKUP(A31,import!A:J,10,0)</f>
        <v>0.47</v>
      </c>
      <c r="K31" s="10" t="s">
        <v>243</v>
      </c>
      <c r="L31" s="10">
        <v>3.243590233E9</v>
      </c>
      <c r="M31" s="10" t="s">
        <v>63</v>
      </c>
      <c r="N31" s="10" t="s">
        <v>93</v>
      </c>
      <c r="O31" s="10" t="s">
        <v>247</v>
      </c>
      <c r="P31" s="10" t="str">
        <f>VLOOKUP(A31,import!A:P,16,0)</f>
        <v>Geleneksel</v>
      </c>
      <c r="Q31" s="12" t="s">
        <v>50</v>
      </c>
      <c r="R31" s="12" t="b">
        <v>0</v>
      </c>
      <c r="S31" s="12" t="b">
        <v>0</v>
      </c>
      <c r="T31" s="13" t="s">
        <v>248</v>
      </c>
      <c r="U31" s="13"/>
      <c r="V31" s="13"/>
      <c r="W31" s="13"/>
      <c r="X31" s="15"/>
      <c r="Y31" s="15"/>
      <c r="Z31" s="16"/>
      <c r="AA31" s="16"/>
      <c r="AB31" s="16"/>
      <c r="AC31" s="16"/>
      <c r="AD31" s="16"/>
      <c r="AE31" s="17"/>
      <c r="AF31" s="16"/>
      <c r="AG31" s="17"/>
      <c r="AH31" s="16"/>
      <c r="AI31" s="16"/>
      <c r="AJ31" s="16"/>
      <c r="AK31" s="16"/>
      <c r="AL31" s="16"/>
      <c r="AM31" s="16"/>
      <c r="AN31" s="16"/>
      <c r="AO31" s="16"/>
      <c r="AP31" s="18" t="s">
        <v>58</v>
      </c>
      <c r="AQ31" s="16"/>
    </row>
    <row r="32" ht="15.75" hidden="1" customHeight="1">
      <c r="A32" s="10" t="s">
        <v>249</v>
      </c>
      <c r="B32" s="10" t="s">
        <v>250</v>
      </c>
      <c r="C32" s="10" t="str">
        <f>VLOOKUP(A32,import!A:C,3,0)</f>
        <v>DOĞRU</v>
      </c>
      <c r="D32" s="10" t="s">
        <v>167</v>
      </c>
      <c r="E32" s="10">
        <f>VLOOKUP(A32,import!A:J,5,0)</f>
        <v>858</v>
      </c>
      <c r="F32" s="10">
        <f>VLOOKUP(A32,import!A:J,6,0)</f>
        <v>58</v>
      </c>
      <c r="G32" s="10">
        <f>VLOOKUP(A32,import!A:J,7,0)</f>
        <v>9</v>
      </c>
      <c r="H32" s="10">
        <f>VLOOKUP(A32,import!A:J,8,0)</f>
        <v>4</v>
      </c>
      <c r="I32" s="10">
        <f>VLOOKUP(A32,import!A:J,9,0)</f>
        <v>13</v>
      </c>
      <c r="J32" s="11">
        <f>VLOOKUP(A32,import!A:J,10,0)</f>
        <v>0.69</v>
      </c>
      <c r="K32" s="10" t="s">
        <v>251</v>
      </c>
      <c r="L32" s="10">
        <v>5.317615261E9</v>
      </c>
      <c r="M32" s="10" t="s">
        <v>156</v>
      </c>
      <c r="N32" s="10" t="s">
        <v>252</v>
      </c>
      <c r="O32" s="10" t="s">
        <v>253</v>
      </c>
      <c r="P32" s="10" t="str">
        <f>VLOOKUP(A32,import!A:P,16,0)</f>
        <v>Geleneksel</v>
      </c>
      <c r="Q32" s="12" t="s">
        <v>50</v>
      </c>
      <c r="R32" s="12" t="b">
        <v>0</v>
      </c>
      <c r="S32" s="12" t="b">
        <v>0</v>
      </c>
      <c r="T32" s="13"/>
      <c r="U32" s="13"/>
      <c r="V32" s="13"/>
      <c r="W32" s="13"/>
      <c r="X32" s="15"/>
      <c r="Y32" s="15"/>
      <c r="Z32" s="16"/>
      <c r="AA32" s="16"/>
      <c r="AB32" s="16"/>
      <c r="AC32" s="16"/>
      <c r="AD32" s="16"/>
      <c r="AE32" s="17"/>
      <c r="AF32" s="16"/>
      <c r="AG32" s="17"/>
      <c r="AH32" s="16"/>
      <c r="AI32" s="16"/>
      <c r="AJ32" s="16"/>
      <c r="AK32" s="16"/>
      <c r="AL32" s="16"/>
      <c r="AM32" s="16"/>
      <c r="AN32" s="16"/>
      <c r="AO32" s="16"/>
      <c r="AP32" s="18" t="s">
        <v>58</v>
      </c>
      <c r="AQ32" s="16"/>
    </row>
    <row r="33" ht="15.75" customHeight="1">
      <c r="A33" s="10" t="s">
        <v>254</v>
      </c>
      <c r="B33" s="10" t="s">
        <v>255</v>
      </c>
      <c r="C33" s="10" t="str">
        <f>VLOOKUP(A33,import!A:C,3,0)</f>
        <v>DOĞRU</v>
      </c>
      <c r="D33" s="10" t="s">
        <v>167</v>
      </c>
      <c r="E33" s="10">
        <f>VLOOKUP(A33,import!A:J,5,0)</f>
        <v>671</v>
      </c>
      <c r="F33" s="10">
        <f>VLOOKUP(A33,import!A:J,6,0)</f>
        <v>40</v>
      </c>
      <c r="G33" s="10">
        <f>VLOOKUP(A33,import!A:J,7,0)</f>
        <v>10</v>
      </c>
      <c r="H33" s="10">
        <f>VLOOKUP(A33,import!A:J,8,0)</f>
        <v>2</v>
      </c>
      <c r="I33" s="10">
        <f>VLOOKUP(A33,import!A:J,9,0)</f>
        <v>12</v>
      </c>
      <c r="J33" s="11">
        <f>VLOOKUP(A33,import!A:J,10,0)</f>
        <v>0.83</v>
      </c>
      <c r="K33" s="10" t="s">
        <v>256</v>
      </c>
      <c r="L33" s="10">
        <v>3.243370037E9</v>
      </c>
      <c r="M33" s="10" t="s">
        <v>137</v>
      </c>
      <c r="N33" s="10" t="s">
        <v>175</v>
      </c>
      <c r="O33" s="10" t="s">
        <v>257</v>
      </c>
      <c r="P33" s="10" t="str">
        <f>VLOOKUP(A33,import!A:P,16,0)</f>
        <v>Geleneksel</v>
      </c>
      <c r="Q33" s="12" t="s">
        <v>50</v>
      </c>
      <c r="R33" s="12" t="b">
        <v>1</v>
      </c>
      <c r="S33" s="12" t="b">
        <v>0</v>
      </c>
      <c r="T33" s="13" t="s">
        <v>51</v>
      </c>
      <c r="U33" s="13" t="s">
        <v>258</v>
      </c>
      <c r="V33" s="13" t="s">
        <v>53</v>
      </c>
      <c r="W33" s="13" t="s">
        <v>259</v>
      </c>
      <c r="X33" s="15">
        <v>44285.0</v>
      </c>
      <c r="Y33" s="15">
        <v>44287.0</v>
      </c>
      <c r="Z33" s="16"/>
      <c r="AA33" s="16"/>
      <c r="AB33" s="16"/>
      <c r="AC33" s="16"/>
      <c r="AD33" s="16"/>
      <c r="AE33" s="17"/>
      <c r="AF33" s="16"/>
      <c r="AG33" s="17"/>
      <c r="AH33" s="16"/>
      <c r="AI33" s="16"/>
      <c r="AJ33" s="16"/>
      <c r="AK33" s="16"/>
      <c r="AL33" s="16"/>
      <c r="AM33" s="16"/>
      <c r="AN33" s="16"/>
      <c r="AO33" s="16"/>
      <c r="AP33" s="18" t="s">
        <v>58</v>
      </c>
      <c r="AQ33" s="16"/>
    </row>
    <row r="34" ht="15.75" hidden="1" customHeight="1">
      <c r="A34" s="10" t="s">
        <v>260</v>
      </c>
      <c r="B34" s="10" t="s">
        <v>261</v>
      </c>
      <c r="C34" s="10" t="str">
        <f>VLOOKUP(A34,import!A:C,3,0)</f>
        <v>YANLIŞ</v>
      </c>
      <c r="D34" s="10" t="s">
        <v>167</v>
      </c>
      <c r="E34" s="10" t="str">
        <f>VLOOKUP(A34,import!A:J,5,0)</f>
        <v/>
      </c>
      <c r="F34" s="10" t="str">
        <f>VLOOKUP(A34,import!A:J,6,0)</f>
        <v/>
      </c>
      <c r="G34" s="10">
        <f>VLOOKUP(A34,import!A:J,7,0)</f>
        <v>0</v>
      </c>
      <c r="H34" s="10">
        <f>VLOOKUP(A34,import!A:J,8,0)</f>
        <v>8</v>
      </c>
      <c r="I34" s="10">
        <f>VLOOKUP(A34,import!A:J,9,0)</f>
        <v>8</v>
      </c>
      <c r="J34" s="11">
        <f>VLOOKUP(A34,import!A:J,10,0)</f>
        <v>0</v>
      </c>
      <c r="K34" s="10" t="s">
        <v>262</v>
      </c>
      <c r="L34" s="10">
        <v>3.243207037E9</v>
      </c>
      <c r="M34" s="10" t="s">
        <v>215</v>
      </c>
      <c r="N34" s="10" t="s">
        <v>263</v>
      </c>
      <c r="O34" s="10" t="s">
        <v>264</v>
      </c>
      <c r="P34" s="10" t="str">
        <f>VLOOKUP(A34,import!A:P,16,0)</f>
        <v>Geleneksel</v>
      </c>
      <c r="Q34" s="12"/>
      <c r="R34" s="12" t="b">
        <v>1</v>
      </c>
      <c r="S34" s="12" t="b">
        <v>0</v>
      </c>
      <c r="T34" s="13" t="s">
        <v>265</v>
      </c>
      <c r="U34" s="13"/>
      <c r="V34" s="13"/>
      <c r="W34" s="13" t="s">
        <v>266</v>
      </c>
      <c r="X34" s="15"/>
      <c r="Y34" s="15"/>
      <c r="Z34" s="16"/>
      <c r="AA34" s="17" t="s">
        <v>55</v>
      </c>
      <c r="AB34" s="16">
        <v>44508.0</v>
      </c>
      <c r="AC34" s="17" t="s">
        <v>56</v>
      </c>
      <c r="AD34" s="16">
        <v>44511.0</v>
      </c>
      <c r="AE34" s="17"/>
      <c r="AF34" s="16"/>
      <c r="AG34" s="17"/>
      <c r="AH34" s="16"/>
      <c r="AI34" s="16"/>
      <c r="AJ34" s="16"/>
      <c r="AK34" s="17" t="s">
        <v>133</v>
      </c>
      <c r="AL34" s="17" t="s">
        <v>267</v>
      </c>
      <c r="AM34" s="16"/>
      <c r="AN34" s="16"/>
      <c r="AO34" s="16"/>
      <c r="AP34" s="18" t="s">
        <v>58</v>
      </c>
      <c r="AQ34" s="16"/>
    </row>
    <row r="35" ht="15.75" hidden="1" customHeight="1">
      <c r="A35" s="10" t="s">
        <v>268</v>
      </c>
      <c r="B35" s="10" t="s">
        <v>269</v>
      </c>
      <c r="C35" s="10" t="str">
        <f>VLOOKUP(A35,import!A:C,3,0)</f>
        <v>DOĞRU</v>
      </c>
      <c r="D35" s="10" t="s">
        <v>167</v>
      </c>
      <c r="E35" s="10">
        <f>VLOOKUP(A35,import!A:J,5,0)</f>
        <v>391</v>
      </c>
      <c r="F35" s="10">
        <f>VLOOKUP(A35,import!A:J,6,0)</f>
        <v>51</v>
      </c>
      <c r="G35" s="10">
        <f>VLOOKUP(A35,import!A:J,7,0)</f>
        <v>8</v>
      </c>
      <c r="H35" s="10">
        <f>VLOOKUP(A35,import!A:J,8,0)</f>
        <v>14</v>
      </c>
      <c r="I35" s="10">
        <f>VLOOKUP(A35,import!A:J,9,0)</f>
        <v>22</v>
      </c>
      <c r="J35" s="11">
        <f>VLOOKUP(A35,import!A:J,10,0)</f>
        <v>0.36</v>
      </c>
      <c r="K35" s="10" t="s">
        <v>270</v>
      </c>
      <c r="L35" s="10">
        <v>5.366813996E9</v>
      </c>
      <c r="M35" s="10" t="s">
        <v>72</v>
      </c>
      <c r="N35" s="10" t="s">
        <v>128</v>
      </c>
      <c r="O35" s="10" t="s">
        <v>271</v>
      </c>
      <c r="P35" s="10" t="str">
        <f>VLOOKUP(A35,import!A:P,16,0)</f>
        <v>Geleneksel</v>
      </c>
      <c r="Q35" s="12"/>
      <c r="R35" s="12" t="b">
        <v>1</v>
      </c>
      <c r="S35" s="12" t="b">
        <v>0</v>
      </c>
      <c r="T35" s="13" t="s">
        <v>272</v>
      </c>
      <c r="U35" s="13" t="s">
        <v>133</v>
      </c>
      <c r="V35" s="13" t="s">
        <v>66</v>
      </c>
      <c r="W35" s="13" t="s">
        <v>273</v>
      </c>
      <c r="X35" s="15">
        <v>44572.0</v>
      </c>
      <c r="Y35" s="15">
        <v>44574.0</v>
      </c>
      <c r="Z35" s="16"/>
      <c r="AA35" s="17" t="s">
        <v>56</v>
      </c>
      <c r="AB35" s="16">
        <v>44494.0</v>
      </c>
      <c r="AC35" s="17" t="s">
        <v>56</v>
      </c>
      <c r="AD35" s="16">
        <v>44572.0</v>
      </c>
      <c r="AE35" s="17"/>
      <c r="AF35" s="16"/>
      <c r="AG35" s="17"/>
      <c r="AH35" s="16"/>
      <c r="AI35" s="16"/>
      <c r="AJ35" s="16"/>
      <c r="AK35" s="17" t="s">
        <v>52</v>
      </c>
      <c r="AL35" s="17" t="s">
        <v>133</v>
      </c>
      <c r="AM35" s="16"/>
      <c r="AN35" s="16"/>
      <c r="AO35" s="16"/>
      <c r="AP35" s="18" t="s">
        <v>58</v>
      </c>
      <c r="AQ35" s="16"/>
    </row>
    <row r="36" ht="15.75" hidden="1" customHeight="1">
      <c r="A36" s="10" t="s">
        <v>274</v>
      </c>
      <c r="B36" s="10" t="s">
        <v>275</v>
      </c>
      <c r="C36" s="10" t="str">
        <f>VLOOKUP(A36,import!A:C,3,0)</f>
        <v>DOĞRU</v>
      </c>
      <c r="D36" s="10" t="s">
        <v>167</v>
      </c>
      <c r="E36" s="10">
        <f>VLOOKUP(A36,import!A:J,5,0)</f>
        <v>609</v>
      </c>
      <c r="F36" s="10">
        <f>VLOOKUP(A36,import!A:J,6,0)</f>
        <v>14</v>
      </c>
      <c r="G36" s="10">
        <f>VLOOKUP(A36,import!A:J,7,0)</f>
        <v>7</v>
      </c>
      <c r="H36" s="10">
        <f>VLOOKUP(A36,import!A:J,8,0)</f>
        <v>4</v>
      </c>
      <c r="I36" s="10">
        <f>VLOOKUP(A36,import!A:J,9,0)</f>
        <v>11</v>
      </c>
      <c r="J36" s="11">
        <f>VLOOKUP(A36,import!A:J,10,0)</f>
        <v>0.64</v>
      </c>
      <c r="K36" s="10" t="s">
        <v>276</v>
      </c>
      <c r="L36" s="10">
        <v>5.337266702E9</v>
      </c>
      <c r="M36" s="10" t="s">
        <v>72</v>
      </c>
      <c r="N36" s="10" t="s">
        <v>73</v>
      </c>
      <c r="O36" s="10" t="s">
        <v>277</v>
      </c>
      <c r="P36" s="10" t="str">
        <f>VLOOKUP(A36,import!A:P,16,0)</f>
        <v>Geleneksel</v>
      </c>
      <c r="Q36" s="12" t="s">
        <v>50</v>
      </c>
      <c r="R36" s="12" t="b">
        <v>1</v>
      </c>
      <c r="S36" s="13" t="b">
        <v>0</v>
      </c>
      <c r="T36" s="13" t="s">
        <v>51</v>
      </c>
      <c r="U36" s="13" t="s">
        <v>52</v>
      </c>
      <c r="V36" s="13" t="s">
        <v>278</v>
      </c>
      <c r="W36" s="13" t="s">
        <v>279</v>
      </c>
      <c r="X36" s="15">
        <v>44280.0</v>
      </c>
      <c r="Y36" s="15">
        <v>44280.0</v>
      </c>
      <c r="Z36" s="16"/>
      <c r="AA36" s="16"/>
      <c r="AB36" s="16"/>
      <c r="AC36" s="16"/>
      <c r="AD36" s="16"/>
      <c r="AE36" s="17"/>
      <c r="AF36" s="16"/>
      <c r="AG36" s="17"/>
      <c r="AH36" s="16"/>
      <c r="AI36" s="16"/>
      <c r="AJ36" s="16"/>
      <c r="AK36" s="16"/>
      <c r="AL36" s="16"/>
      <c r="AM36" s="16"/>
      <c r="AN36" s="16"/>
      <c r="AO36" s="16"/>
      <c r="AP36" s="18" t="s">
        <v>58</v>
      </c>
      <c r="AQ36" s="16"/>
    </row>
    <row r="37" ht="15.75" hidden="1" customHeight="1">
      <c r="A37" s="10" t="s">
        <v>280</v>
      </c>
      <c r="B37" s="10" t="s">
        <v>281</v>
      </c>
      <c r="C37" s="10" t="str">
        <f>VLOOKUP(A37,import!A:C,3,0)</f>
        <v>DOĞRU</v>
      </c>
      <c r="D37" s="10" t="s">
        <v>167</v>
      </c>
      <c r="E37" s="10">
        <f>VLOOKUP(A37,import!A:J,5,0)</f>
        <v>335</v>
      </c>
      <c r="F37" s="10" t="str">
        <f>VLOOKUP(A37,import!A:J,6,0)</f>
        <v/>
      </c>
      <c r="G37" s="10">
        <f>VLOOKUP(A37,import!A:J,7,0)</f>
        <v>5</v>
      </c>
      <c r="H37" s="10">
        <f>VLOOKUP(A37,import!A:J,8,0)</f>
        <v>6</v>
      </c>
      <c r="I37" s="10">
        <f>VLOOKUP(A37,import!A:J,9,0)</f>
        <v>11</v>
      </c>
      <c r="J37" s="11">
        <f>VLOOKUP(A37,import!A:J,10,0)</f>
        <v>0.45</v>
      </c>
      <c r="K37" s="10" t="s">
        <v>282</v>
      </c>
      <c r="L37" s="10">
        <v>3.246266626E9</v>
      </c>
      <c r="M37" s="10" t="s">
        <v>156</v>
      </c>
      <c r="N37" s="10" t="s">
        <v>283</v>
      </c>
      <c r="O37" s="10" t="s">
        <v>284</v>
      </c>
      <c r="P37" s="10" t="str">
        <f>VLOOKUP(A37,import!A:P,16,0)</f>
        <v>Geleneksel</v>
      </c>
      <c r="Q37" s="12" t="s">
        <v>50</v>
      </c>
      <c r="R37" s="12" t="b">
        <v>0</v>
      </c>
      <c r="S37" s="12" t="b">
        <v>0</v>
      </c>
      <c r="T37" s="13"/>
      <c r="U37" s="13"/>
      <c r="V37" s="13"/>
      <c r="W37" s="13"/>
      <c r="X37" s="15"/>
      <c r="Y37" s="15"/>
      <c r="Z37" s="16"/>
      <c r="AA37" s="16"/>
      <c r="AB37" s="16"/>
      <c r="AC37" s="16"/>
      <c r="AD37" s="16"/>
      <c r="AE37" s="17"/>
      <c r="AF37" s="16"/>
      <c r="AG37" s="17"/>
      <c r="AH37" s="16"/>
      <c r="AI37" s="16"/>
      <c r="AJ37" s="16"/>
      <c r="AK37" s="16"/>
      <c r="AL37" s="16"/>
      <c r="AM37" s="16"/>
      <c r="AN37" s="16"/>
      <c r="AO37" s="16"/>
      <c r="AP37" s="18" t="s">
        <v>58</v>
      </c>
      <c r="AQ37" s="16"/>
    </row>
    <row r="38" ht="15.75" hidden="1" customHeight="1">
      <c r="A38" s="10" t="s">
        <v>285</v>
      </c>
      <c r="B38" s="10" t="s">
        <v>286</v>
      </c>
      <c r="C38" s="10" t="str">
        <f>VLOOKUP(A38,import!A:C,3,0)</f>
        <v>DOĞRU</v>
      </c>
      <c r="D38" s="10" t="s">
        <v>167</v>
      </c>
      <c r="E38" s="10">
        <f>VLOOKUP(A38,import!A:J,5,0)</f>
        <v>1367</v>
      </c>
      <c r="F38" s="10">
        <f>VLOOKUP(A38,import!A:J,6,0)</f>
        <v>135</v>
      </c>
      <c r="G38" s="10">
        <f>VLOOKUP(A38,import!A:J,7,0)</f>
        <v>9</v>
      </c>
      <c r="H38" s="10">
        <f>VLOOKUP(A38,import!A:J,8,0)</f>
        <v>19</v>
      </c>
      <c r="I38" s="10">
        <f>VLOOKUP(A38,import!A:J,9,0)</f>
        <v>28</v>
      </c>
      <c r="J38" s="11">
        <f>VLOOKUP(A38,import!A:J,10,0)</f>
        <v>0.32</v>
      </c>
      <c r="K38" s="10" t="s">
        <v>287</v>
      </c>
      <c r="L38" s="10">
        <v>5.510561079E9</v>
      </c>
      <c r="M38" s="10" t="s">
        <v>215</v>
      </c>
      <c r="N38" s="10" t="s">
        <v>288</v>
      </c>
      <c r="O38" s="10" t="s">
        <v>289</v>
      </c>
      <c r="P38" s="10" t="str">
        <f>VLOOKUP(A38,import!A:P,16,0)</f>
        <v>Geleneksel</v>
      </c>
      <c r="Q38" s="12"/>
      <c r="R38" s="12" t="b">
        <v>1</v>
      </c>
      <c r="S38" s="12" t="b">
        <v>0</v>
      </c>
      <c r="T38" s="13" t="s">
        <v>51</v>
      </c>
      <c r="U38" s="13" t="s">
        <v>103</v>
      </c>
      <c r="V38" s="13" t="s">
        <v>53</v>
      </c>
      <c r="W38" s="13" t="s">
        <v>170</v>
      </c>
      <c r="X38" s="15">
        <v>44483.0</v>
      </c>
      <c r="Y38" s="15">
        <v>44484.0</v>
      </c>
      <c r="Z38" s="16"/>
      <c r="AA38" s="17" t="s">
        <v>56</v>
      </c>
      <c r="AB38" s="16">
        <v>44483.0</v>
      </c>
      <c r="AC38" s="17" t="s">
        <v>55</v>
      </c>
      <c r="AD38" s="16">
        <v>44559.0</v>
      </c>
      <c r="AE38" s="17"/>
      <c r="AF38" s="16"/>
      <c r="AG38" s="17"/>
      <c r="AH38" s="16"/>
      <c r="AI38" s="16"/>
      <c r="AJ38" s="16"/>
      <c r="AK38" s="17" t="s">
        <v>103</v>
      </c>
      <c r="AL38" s="17" t="s">
        <v>133</v>
      </c>
      <c r="AM38" s="16"/>
      <c r="AN38" s="16"/>
      <c r="AO38" s="16"/>
      <c r="AP38" s="18" t="s">
        <v>58</v>
      </c>
      <c r="AQ38" s="16"/>
    </row>
    <row r="39" ht="15.75" hidden="1" customHeight="1">
      <c r="A39" s="10" t="s">
        <v>290</v>
      </c>
      <c r="B39" s="10" t="s">
        <v>291</v>
      </c>
      <c r="C39" s="10" t="str">
        <f>VLOOKUP(A39,import!A:C,3,0)</f>
        <v>DOĞRU</v>
      </c>
      <c r="D39" s="10" t="s">
        <v>167</v>
      </c>
      <c r="E39" s="10">
        <f>VLOOKUP(A39,import!A:J,5,0)</f>
        <v>985</v>
      </c>
      <c r="F39" s="10">
        <f>VLOOKUP(A39,import!A:J,6,0)</f>
        <v>63</v>
      </c>
      <c r="G39" s="10">
        <f>VLOOKUP(A39,import!A:J,7,0)</f>
        <v>6</v>
      </c>
      <c r="H39" s="10">
        <f>VLOOKUP(A39,import!A:J,8,0)</f>
        <v>9</v>
      </c>
      <c r="I39" s="10">
        <f>VLOOKUP(A39,import!A:J,9,0)</f>
        <v>15</v>
      </c>
      <c r="J39" s="11">
        <f>VLOOKUP(A39,import!A:J,10,0)</f>
        <v>0.4</v>
      </c>
      <c r="K39" s="10" t="s">
        <v>292</v>
      </c>
      <c r="L39" s="10">
        <v>5.530647233E9</v>
      </c>
      <c r="M39" s="10" t="s">
        <v>156</v>
      </c>
      <c r="N39" s="10" t="s">
        <v>283</v>
      </c>
      <c r="O39" s="10" t="s">
        <v>293</v>
      </c>
      <c r="P39" s="10" t="str">
        <f>VLOOKUP(A39,import!A:P,16,0)</f>
        <v>Geleneksel</v>
      </c>
      <c r="Q39" s="12" t="s">
        <v>50</v>
      </c>
      <c r="R39" s="12" t="b">
        <v>0</v>
      </c>
      <c r="S39" s="12" t="b">
        <v>0</v>
      </c>
      <c r="T39" s="13"/>
      <c r="U39" s="13"/>
      <c r="V39" s="13"/>
      <c r="W39" s="23"/>
      <c r="X39" s="15"/>
      <c r="Y39" s="15"/>
      <c r="Z39" s="16"/>
      <c r="AA39" s="16"/>
      <c r="AB39" s="16"/>
      <c r="AC39" s="16"/>
      <c r="AD39" s="16"/>
      <c r="AE39" s="17"/>
      <c r="AF39" s="16"/>
      <c r="AG39" s="17"/>
      <c r="AH39" s="16"/>
      <c r="AI39" s="16"/>
      <c r="AJ39" s="16"/>
      <c r="AK39" s="16"/>
      <c r="AL39" s="16"/>
      <c r="AM39" s="16"/>
      <c r="AN39" s="16"/>
      <c r="AO39" s="16"/>
      <c r="AP39" s="18" t="s">
        <v>58</v>
      </c>
      <c r="AQ39" s="16"/>
    </row>
    <row r="40" ht="15.75" hidden="1" customHeight="1">
      <c r="A40" s="18" t="s">
        <v>294</v>
      </c>
      <c r="B40" s="18" t="s">
        <v>295</v>
      </c>
      <c r="C40" s="10" t="str">
        <f>VLOOKUP(A40,import!A:C,3,0)</f>
        <v>DOĞRU</v>
      </c>
      <c r="D40" s="18" t="s">
        <v>167</v>
      </c>
      <c r="E40" s="10">
        <f>VLOOKUP(A40,import!A:J,5,0)</f>
        <v>79</v>
      </c>
      <c r="F40" s="10">
        <f>VLOOKUP(A40,import!A:J,6,0)</f>
        <v>76</v>
      </c>
      <c r="G40" s="10">
        <f>VLOOKUP(A40,import!A:J,7,0)</f>
        <v>0</v>
      </c>
      <c r="H40" s="10">
        <f>VLOOKUP(A40,import!A:J,8,0)</f>
        <v>10</v>
      </c>
      <c r="I40" s="10">
        <f>VLOOKUP(A40,import!A:J,9,0)</f>
        <v>10</v>
      </c>
      <c r="J40" s="11">
        <f>VLOOKUP(A40,import!A:J,10,0)</f>
        <v>0</v>
      </c>
      <c r="K40" s="18" t="s">
        <v>296</v>
      </c>
      <c r="L40" s="18">
        <v>3.246134373E9</v>
      </c>
      <c r="M40" s="18" t="s">
        <v>156</v>
      </c>
      <c r="N40" s="18" t="s">
        <v>252</v>
      </c>
      <c r="O40" s="18" t="s">
        <v>297</v>
      </c>
      <c r="P40" s="10" t="str">
        <f>VLOOKUP(A40,import!A:P,16,0)</f>
        <v>Geleneksel</v>
      </c>
      <c r="Q40" s="12"/>
      <c r="R40" s="12" t="b">
        <v>0</v>
      </c>
      <c r="S40" s="12" t="b">
        <v>0</v>
      </c>
      <c r="T40" s="13"/>
      <c r="U40" s="13"/>
      <c r="V40" s="13"/>
      <c r="W40" s="13"/>
      <c r="X40" s="15"/>
      <c r="Y40" s="15"/>
      <c r="Z40" s="16"/>
      <c r="AA40" s="17"/>
      <c r="AB40" s="16"/>
      <c r="AC40" s="16"/>
      <c r="AD40" s="16"/>
      <c r="AE40" s="17"/>
      <c r="AF40" s="16"/>
      <c r="AG40" s="17"/>
      <c r="AH40" s="16"/>
      <c r="AI40" s="16"/>
      <c r="AJ40" s="16"/>
      <c r="AK40" s="17"/>
      <c r="AL40" s="16"/>
      <c r="AM40" s="16"/>
      <c r="AN40" s="16"/>
      <c r="AO40" s="16"/>
      <c r="AP40" s="18"/>
      <c r="AQ40" s="16"/>
    </row>
    <row r="41" ht="15.75" hidden="1" customHeight="1">
      <c r="A41" s="18" t="s">
        <v>298</v>
      </c>
      <c r="B41" s="18" t="s">
        <v>299</v>
      </c>
      <c r="C41" s="10" t="str">
        <f>VLOOKUP(A41,import!A:C,3,0)</f>
        <v>DOĞRU</v>
      </c>
      <c r="D41" s="18" t="s">
        <v>167</v>
      </c>
      <c r="E41" s="10">
        <f>VLOOKUP(A41,import!A:J,5,0)</f>
        <v>71</v>
      </c>
      <c r="F41" s="10">
        <f>VLOOKUP(A41,import!A:J,6,0)</f>
        <v>71</v>
      </c>
      <c r="G41" s="10">
        <f>VLOOKUP(A41,import!A:J,7,0)</f>
        <v>0</v>
      </c>
      <c r="H41" s="10">
        <f>VLOOKUP(A41,import!A:J,8,0)</f>
        <v>11</v>
      </c>
      <c r="I41" s="10">
        <f>VLOOKUP(A41,import!A:J,9,0)</f>
        <v>11</v>
      </c>
      <c r="J41" s="11">
        <f>VLOOKUP(A41,import!A:J,10,0)</f>
        <v>0</v>
      </c>
      <c r="K41" s="18" t="s">
        <v>300</v>
      </c>
      <c r="L41" s="18">
        <v>3.246250747E9</v>
      </c>
      <c r="M41" s="18" t="s">
        <v>156</v>
      </c>
      <c r="N41" s="18" t="s">
        <v>301</v>
      </c>
      <c r="O41" s="18" t="s">
        <v>302</v>
      </c>
      <c r="P41" s="10" t="str">
        <f>VLOOKUP(A41,import!A:P,16,0)</f>
        <v>Geleneksel</v>
      </c>
      <c r="Q41" s="12"/>
      <c r="R41" s="12" t="b">
        <v>0</v>
      </c>
      <c r="S41" s="12" t="b">
        <v>0</v>
      </c>
      <c r="T41" s="13"/>
      <c r="U41" s="13"/>
      <c r="V41" s="13"/>
      <c r="W41" s="13"/>
      <c r="X41" s="15"/>
      <c r="Y41" s="15"/>
      <c r="Z41" s="16"/>
      <c r="AA41" s="17"/>
      <c r="AB41" s="16"/>
      <c r="AC41" s="16"/>
      <c r="AD41" s="16"/>
      <c r="AE41" s="17"/>
      <c r="AF41" s="16"/>
      <c r="AG41" s="17"/>
      <c r="AH41" s="16"/>
      <c r="AI41" s="16"/>
      <c r="AJ41" s="16"/>
      <c r="AK41" s="17"/>
      <c r="AL41" s="16"/>
      <c r="AM41" s="16"/>
      <c r="AN41" s="16"/>
      <c r="AO41" s="16"/>
      <c r="AP41" s="18"/>
      <c r="AQ41" s="16"/>
    </row>
    <row r="42" ht="15.75" hidden="1" customHeight="1">
      <c r="A42" s="10" t="s">
        <v>303</v>
      </c>
      <c r="B42" s="10" t="s">
        <v>304</v>
      </c>
      <c r="C42" s="10" t="str">
        <f>VLOOKUP(A42,import!A:C,3,0)</f>
        <v>DOĞRU</v>
      </c>
      <c r="D42" s="10" t="s">
        <v>167</v>
      </c>
      <c r="E42" s="10">
        <f>VLOOKUP(A42,import!A:J,5,0)</f>
        <v>169</v>
      </c>
      <c r="F42" s="10">
        <f>VLOOKUP(A42,import!A:J,6,0)</f>
        <v>47</v>
      </c>
      <c r="G42" s="10">
        <f>VLOOKUP(A42,import!A:J,7,0)</f>
        <v>0</v>
      </c>
      <c r="H42" s="10">
        <f>VLOOKUP(A42,import!A:J,8,0)</f>
        <v>19</v>
      </c>
      <c r="I42" s="10">
        <f>VLOOKUP(A42,import!A:J,9,0)</f>
        <v>19</v>
      </c>
      <c r="J42" s="11">
        <f>VLOOKUP(A42,import!A:J,10,0)</f>
        <v>0</v>
      </c>
      <c r="K42" s="10" t="s">
        <v>305</v>
      </c>
      <c r="L42" s="10">
        <v>5.511773355E9</v>
      </c>
      <c r="M42" s="10" t="s">
        <v>156</v>
      </c>
      <c r="N42" s="10" t="s">
        <v>306</v>
      </c>
      <c r="O42" s="10" t="s">
        <v>307</v>
      </c>
      <c r="P42" s="10" t="str">
        <f>VLOOKUP(A42,import!A:P,16,0)</f>
        <v>Geleneksel</v>
      </c>
      <c r="Q42" s="12"/>
      <c r="R42" s="12" t="b">
        <v>0</v>
      </c>
      <c r="S42" s="12" t="b">
        <v>0</v>
      </c>
      <c r="T42" s="13"/>
      <c r="U42" s="13"/>
      <c r="V42" s="13"/>
      <c r="W42" s="13"/>
      <c r="X42" s="15"/>
      <c r="Y42" s="15"/>
      <c r="Z42" s="16"/>
      <c r="AA42" s="17"/>
      <c r="AB42" s="16"/>
      <c r="AC42" s="16"/>
      <c r="AD42" s="16"/>
      <c r="AE42" s="17"/>
      <c r="AF42" s="16"/>
      <c r="AG42" s="17"/>
      <c r="AH42" s="16"/>
      <c r="AI42" s="16"/>
      <c r="AJ42" s="16"/>
      <c r="AK42" s="17"/>
      <c r="AL42" s="16"/>
      <c r="AM42" s="16"/>
      <c r="AN42" s="16"/>
      <c r="AO42" s="16"/>
      <c r="AP42" s="18"/>
      <c r="AQ42" s="16"/>
    </row>
    <row r="43" ht="15.75" customHeight="1">
      <c r="A43" s="10" t="s">
        <v>308</v>
      </c>
      <c r="B43" s="10" t="s">
        <v>309</v>
      </c>
      <c r="C43" s="10" t="str">
        <f>VLOOKUP(A43,import!A:C,3,0)</f>
        <v>YANLIŞ</v>
      </c>
      <c r="D43" s="10" t="s">
        <v>167</v>
      </c>
      <c r="E43" s="10">
        <f>VLOOKUP(A43,import!A:J,5,0)</f>
        <v>663</v>
      </c>
      <c r="F43" s="10" t="str">
        <f>VLOOKUP(A43,import!A:J,6,0)</f>
        <v/>
      </c>
      <c r="G43" s="10">
        <f>VLOOKUP(A43,import!A:J,7,0)</f>
        <v>0</v>
      </c>
      <c r="H43" s="10">
        <f>VLOOKUP(A43,import!A:J,8,0)</f>
        <v>7</v>
      </c>
      <c r="I43" s="10">
        <f>VLOOKUP(A43,import!A:J,9,0)</f>
        <v>7</v>
      </c>
      <c r="J43" s="11">
        <f>VLOOKUP(A43,import!A:J,10,0)</f>
        <v>0</v>
      </c>
      <c r="K43" s="10" t="s">
        <v>310</v>
      </c>
      <c r="L43" s="10">
        <v>5.528688433E9</v>
      </c>
      <c r="M43" s="10" t="s">
        <v>137</v>
      </c>
      <c r="N43" s="10" t="s">
        <v>311</v>
      </c>
      <c r="O43" s="10" t="s">
        <v>312</v>
      </c>
      <c r="P43" s="10" t="str">
        <f>VLOOKUP(A43,import!A:P,16,0)</f>
        <v>Geleneksel</v>
      </c>
      <c r="Q43" s="12"/>
      <c r="R43" s="12" t="b">
        <v>1</v>
      </c>
      <c r="S43" s="12" t="b">
        <v>0</v>
      </c>
      <c r="T43" s="13" t="s">
        <v>265</v>
      </c>
      <c r="U43" s="13" t="s">
        <v>52</v>
      </c>
      <c r="V43" s="13" t="s">
        <v>53</v>
      </c>
      <c r="W43" s="13" t="s">
        <v>313</v>
      </c>
      <c r="X43" s="15">
        <v>44494.0</v>
      </c>
      <c r="Y43" s="15">
        <v>44495.0</v>
      </c>
      <c r="Z43" s="16"/>
      <c r="AA43" s="17" t="s">
        <v>55</v>
      </c>
      <c r="AB43" s="16">
        <v>44489.0</v>
      </c>
      <c r="AC43" s="17" t="s">
        <v>56</v>
      </c>
      <c r="AD43" s="16">
        <v>44494.0</v>
      </c>
      <c r="AE43" s="17" t="s">
        <v>230</v>
      </c>
      <c r="AF43" s="16">
        <v>44519.0</v>
      </c>
      <c r="AG43" s="17" t="s">
        <v>265</v>
      </c>
      <c r="AH43" s="16">
        <v>44536.0</v>
      </c>
      <c r="AI43" s="17" t="s">
        <v>230</v>
      </c>
      <c r="AJ43" s="16">
        <v>44550.0</v>
      </c>
      <c r="AK43" s="17" t="s">
        <v>103</v>
      </c>
      <c r="AL43" s="17" t="s">
        <v>52</v>
      </c>
      <c r="AM43" s="17" t="s">
        <v>267</v>
      </c>
      <c r="AN43" s="17" t="s">
        <v>52</v>
      </c>
      <c r="AO43" s="17" t="s">
        <v>314</v>
      </c>
      <c r="AP43" s="18" t="s">
        <v>58</v>
      </c>
      <c r="AQ43" s="16"/>
    </row>
    <row r="44" ht="15.75" customHeight="1">
      <c r="A44" s="10" t="s">
        <v>315</v>
      </c>
      <c r="B44" s="10" t="s">
        <v>316</v>
      </c>
      <c r="C44" s="10" t="str">
        <f>VLOOKUP(A44,import!A:C,3,0)</f>
        <v>YANLIŞ</v>
      </c>
      <c r="D44" s="10" t="s">
        <v>167</v>
      </c>
      <c r="E44" s="10">
        <f>VLOOKUP(A44,import!A:J,5,0)</f>
        <v>7</v>
      </c>
      <c r="F44" s="10" t="str">
        <f>VLOOKUP(A44,import!A:J,6,0)</f>
        <v/>
      </c>
      <c r="G44" s="10">
        <f>VLOOKUP(A44,import!A:J,7,0)</f>
        <v>0</v>
      </c>
      <c r="H44" s="10">
        <f>VLOOKUP(A44,import!A:J,8,0)</f>
        <v>8</v>
      </c>
      <c r="I44" s="10">
        <f>VLOOKUP(A44,import!A:J,9,0)</f>
        <v>8</v>
      </c>
      <c r="J44" s="11">
        <f>VLOOKUP(A44,import!A:J,10,0)</f>
        <v>0</v>
      </c>
      <c r="K44" s="10" t="s">
        <v>317</v>
      </c>
      <c r="L44" s="10">
        <v>5.43883336E9</v>
      </c>
      <c r="M44" s="10" t="s">
        <v>137</v>
      </c>
      <c r="N44" s="10" t="s">
        <v>318</v>
      </c>
      <c r="O44" s="10" t="s">
        <v>319</v>
      </c>
      <c r="P44" s="10" t="str">
        <f>VLOOKUP(A44,import!A:P,16,0)</f>
        <v>Geleneksel</v>
      </c>
      <c r="Q44" s="12"/>
      <c r="R44" s="12" t="b">
        <v>1</v>
      </c>
      <c r="S44" s="12" t="b">
        <v>0</v>
      </c>
      <c r="T44" s="13"/>
      <c r="U44" s="13"/>
      <c r="V44" s="13"/>
      <c r="W44" s="13" t="s">
        <v>320</v>
      </c>
      <c r="X44" s="15"/>
      <c r="Y44" s="15"/>
      <c r="Z44" s="16"/>
      <c r="AA44" s="17" t="s">
        <v>55</v>
      </c>
      <c r="AB44" s="16">
        <v>44547.0</v>
      </c>
      <c r="AC44" s="17" t="s">
        <v>230</v>
      </c>
      <c r="AD44" s="16">
        <v>44550.0</v>
      </c>
      <c r="AE44" s="17" t="s">
        <v>55</v>
      </c>
      <c r="AF44" s="16">
        <v>44557.0</v>
      </c>
      <c r="AG44" s="17"/>
      <c r="AH44" s="16"/>
      <c r="AI44" s="16"/>
      <c r="AJ44" s="16"/>
      <c r="AK44" s="17" t="s">
        <v>103</v>
      </c>
      <c r="AL44" s="17" t="s">
        <v>103</v>
      </c>
      <c r="AM44" s="17" t="s">
        <v>321</v>
      </c>
      <c r="AN44" s="16"/>
      <c r="AO44" s="16"/>
      <c r="AP44" s="18" t="s">
        <v>58</v>
      </c>
      <c r="AQ44" s="16"/>
    </row>
    <row r="45" ht="15.75" hidden="1" customHeight="1">
      <c r="A45" s="10" t="s">
        <v>322</v>
      </c>
      <c r="B45" s="10" t="s">
        <v>323</v>
      </c>
      <c r="C45" s="10" t="str">
        <f>VLOOKUP(A45,import!A:C,3,0)</f>
        <v>DOĞRU</v>
      </c>
      <c r="D45" s="10" t="s">
        <v>167</v>
      </c>
      <c r="E45" s="10">
        <f>VLOOKUP(A45,import!A:J,5,0)</f>
        <v>188</v>
      </c>
      <c r="F45" s="10" t="str">
        <f>VLOOKUP(A45,import!A:J,6,0)</f>
        <v/>
      </c>
      <c r="G45" s="10">
        <f>VLOOKUP(A45,import!A:J,7,0)</f>
        <v>0</v>
      </c>
      <c r="H45" s="10">
        <f>VLOOKUP(A45,import!A:J,8,0)</f>
        <v>8</v>
      </c>
      <c r="I45" s="10">
        <f>VLOOKUP(A45,import!A:J,9,0)</f>
        <v>8</v>
      </c>
      <c r="J45" s="11">
        <f>VLOOKUP(A45,import!A:J,10,0)</f>
        <v>0</v>
      </c>
      <c r="K45" s="10" t="s">
        <v>324</v>
      </c>
      <c r="L45" s="10">
        <v>5.531584E9</v>
      </c>
      <c r="M45" s="10" t="s">
        <v>215</v>
      </c>
      <c r="N45" s="10" t="s">
        <v>325</v>
      </c>
      <c r="O45" s="10" t="s">
        <v>326</v>
      </c>
      <c r="P45" s="10" t="str">
        <f>VLOOKUP(A45,import!A:P,16,0)</f>
        <v>Geleneksel</v>
      </c>
      <c r="Q45" s="12"/>
      <c r="R45" s="12" t="b">
        <v>1</v>
      </c>
      <c r="S45" s="12" t="b">
        <v>0</v>
      </c>
      <c r="T45" s="13" t="s">
        <v>327</v>
      </c>
      <c r="U45" s="13"/>
      <c r="V45" s="13"/>
      <c r="W45" s="13" t="s">
        <v>328</v>
      </c>
      <c r="X45" s="15"/>
      <c r="Y45" s="15"/>
      <c r="Z45" s="16"/>
      <c r="AA45" s="17" t="s">
        <v>56</v>
      </c>
      <c r="AB45" s="16">
        <v>44508.0</v>
      </c>
      <c r="AC45" s="17" t="s">
        <v>56</v>
      </c>
      <c r="AD45" s="16">
        <v>44657.0</v>
      </c>
      <c r="AE45" s="17"/>
      <c r="AF45" s="16"/>
      <c r="AG45" s="17"/>
      <c r="AH45" s="16"/>
      <c r="AI45" s="16"/>
      <c r="AJ45" s="16"/>
      <c r="AK45" s="17" t="s">
        <v>133</v>
      </c>
      <c r="AL45" s="17" t="s">
        <v>329</v>
      </c>
      <c r="AM45" s="16"/>
      <c r="AN45" s="16"/>
      <c r="AO45" s="16"/>
      <c r="AP45" s="18" t="s">
        <v>58</v>
      </c>
      <c r="AQ45" s="16"/>
    </row>
    <row r="46" ht="15.75" hidden="1" customHeight="1">
      <c r="A46" s="10" t="s">
        <v>330</v>
      </c>
      <c r="B46" s="10" t="s">
        <v>331</v>
      </c>
      <c r="C46" s="10" t="str">
        <f>VLOOKUP(A46,import!A:C,3,0)</f>
        <v>DOĞRU</v>
      </c>
      <c r="D46" s="10" t="s">
        <v>167</v>
      </c>
      <c r="E46" s="10">
        <f>VLOOKUP(A46,import!A:J,5,0)</f>
        <v>27</v>
      </c>
      <c r="F46" s="10">
        <f>VLOOKUP(A46,import!A:J,6,0)</f>
        <v>18</v>
      </c>
      <c r="G46" s="10">
        <f>VLOOKUP(A46,import!A:J,7,0)</f>
        <v>0</v>
      </c>
      <c r="H46" s="10">
        <f>VLOOKUP(A46,import!A:J,8,0)</f>
        <v>13</v>
      </c>
      <c r="I46" s="10">
        <f>VLOOKUP(A46,import!A:J,9,0)</f>
        <v>13</v>
      </c>
      <c r="J46" s="11">
        <f>VLOOKUP(A46,import!A:J,10,0)</f>
        <v>0</v>
      </c>
      <c r="K46" s="10" t="s">
        <v>332</v>
      </c>
      <c r="L46" s="10">
        <v>5.332258709E9</v>
      </c>
      <c r="M46" s="10" t="s">
        <v>72</v>
      </c>
      <c r="N46" s="10" t="s">
        <v>333</v>
      </c>
      <c r="O46" s="10" t="s">
        <v>334</v>
      </c>
      <c r="P46" s="10" t="str">
        <f>VLOOKUP(A46,import!A:P,16,0)</f>
        <v>Geleneksel</v>
      </c>
      <c r="Q46" s="12"/>
      <c r="R46" s="12" t="b">
        <v>1</v>
      </c>
      <c r="S46" s="12" t="b">
        <v>0</v>
      </c>
      <c r="T46" s="13" t="s">
        <v>248</v>
      </c>
      <c r="U46" s="13"/>
      <c r="V46" s="19"/>
      <c r="W46" s="13"/>
      <c r="X46" s="15"/>
      <c r="Y46" s="15"/>
      <c r="Z46" s="16"/>
      <c r="AA46" s="17"/>
      <c r="AB46" s="16"/>
      <c r="AC46" s="16"/>
      <c r="AD46" s="16"/>
      <c r="AE46" s="17"/>
      <c r="AF46" s="16"/>
      <c r="AG46" s="17"/>
      <c r="AH46" s="16"/>
      <c r="AI46" s="16"/>
      <c r="AJ46" s="16"/>
      <c r="AK46" s="17"/>
      <c r="AL46" s="16"/>
      <c r="AM46" s="16"/>
      <c r="AN46" s="16"/>
      <c r="AO46" s="16"/>
      <c r="AP46" s="18"/>
      <c r="AQ46" s="16"/>
    </row>
    <row r="47" ht="15.75" hidden="1" customHeight="1">
      <c r="A47" s="10" t="s">
        <v>335</v>
      </c>
      <c r="B47" s="10" t="s">
        <v>336</v>
      </c>
      <c r="C47" s="10" t="str">
        <f>VLOOKUP(A47,import!A:C,3,0)</f>
        <v>DOĞRU</v>
      </c>
      <c r="D47" s="10" t="s">
        <v>167</v>
      </c>
      <c r="E47" s="10">
        <f>VLOOKUP(A47,import!A:J,5,0)</f>
        <v>52</v>
      </c>
      <c r="F47" s="10">
        <f>VLOOKUP(A47,import!A:J,6,0)</f>
        <v>20</v>
      </c>
      <c r="G47" s="10">
        <f>VLOOKUP(A47,import!A:J,7,0)</f>
        <v>6</v>
      </c>
      <c r="H47" s="10">
        <f>VLOOKUP(A47,import!A:J,8,0)</f>
        <v>7</v>
      </c>
      <c r="I47" s="10">
        <f>VLOOKUP(A47,import!A:J,9,0)</f>
        <v>13</v>
      </c>
      <c r="J47" s="11">
        <f>VLOOKUP(A47,import!A:J,10,0)</f>
        <v>0.46</v>
      </c>
      <c r="K47" s="10" t="s">
        <v>337</v>
      </c>
      <c r="L47" s="10">
        <v>3.246143902E9</v>
      </c>
      <c r="M47" s="10" t="s">
        <v>156</v>
      </c>
      <c r="N47" s="10" t="s">
        <v>338</v>
      </c>
      <c r="O47" s="10" t="s">
        <v>339</v>
      </c>
      <c r="P47" s="10" t="str">
        <f>VLOOKUP(A47,import!A:P,16,0)</f>
        <v>Geleneksel</v>
      </c>
      <c r="Q47" s="12"/>
      <c r="R47" s="12" t="b">
        <v>0</v>
      </c>
      <c r="S47" s="12" t="b">
        <v>0</v>
      </c>
      <c r="T47" s="13"/>
      <c r="U47" s="13"/>
      <c r="V47" s="13"/>
      <c r="W47" s="13"/>
      <c r="X47" s="15"/>
      <c r="Y47" s="15"/>
      <c r="Z47" s="16"/>
      <c r="AA47" s="17"/>
      <c r="AB47" s="16"/>
      <c r="AC47" s="16"/>
      <c r="AD47" s="16"/>
      <c r="AE47" s="17"/>
      <c r="AF47" s="16"/>
      <c r="AG47" s="17"/>
      <c r="AH47" s="16"/>
      <c r="AI47" s="16"/>
      <c r="AJ47" s="16"/>
      <c r="AK47" s="17"/>
      <c r="AL47" s="16"/>
      <c r="AM47" s="16"/>
      <c r="AN47" s="16"/>
      <c r="AO47" s="16"/>
      <c r="AP47" s="18"/>
      <c r="AQ47" s="16"/>
    </row>
    <row r="48" ht="15.75" hidden="1" customHeight="1">
      <c r="A48" s="18" t="s">
        <v>340</v>
      </c>
      <c r="B48" s="18" t="s">
        <v>341</v>
      </c>
      <c r="C48" s="10" t="str">
        <f>VLOOKUP(A48,import!A:C,3,0)</f>
        <v>DOĞRU</v>
      </c>
      <c r="D48" s="18" t="s">
        <v>45</v>
      </c>
      <c r="E48" s="10">
        <f>VLOOKUP(A48,import!A:J,5,0)</f>
        <v>2</v>
      </c>
      <c r="F48" s="10">
        <f>VLOOKUP(A48,import!A:J,6,0)</f>
        <v>2</v>
      </c>
      <c r="G48" s="10">
        <f>VLOOKUP(A48,import!A:J,7,0)</f>
        <v>0</v>
      </c>
      <c r="H48" s="10">
        <f>VLOOKUP(A48,import!A:J,8,0)</f>
        <v>16</v>
      </c>
      <c r="I48" s="10">
        <f>VLOOKUP(A48,import!A:J,9,0)</f>
        <v>16</v>
      </c>
      <c r="J48" s="11">
        <f>VLOOKUP(A48,import!A:J,10,0)</f>
        <v>0</v>
      </c>
      <c r="K48" s="18" t="s">
        <v>342</v>
      </c>
      <c r="L48" s="18">
        <v>3.24328283E9</v>
      </c>
      <c r="M48" s="18" t="s">
        <v>72</v>
      </c>
      <c r="N48" s="18" t="s">
        <v>113</v>
      </c>
      <c r="O48" s="18" t="s">
        <v>343</v>
      </c>
      <c r="P48" s="10" t="str">
        <f>VLOOKUP(A48,import!A:P,16,0)</f>
        <v>Geleneksel</v>
      </c>
      <c r="Q48" s="12"/>
      <c r="R48" s="12" t="b">
        <v>0</v>
      </c>
      <c r="S48" s="12" t="b">
        <v>0</v>
      </c>
      <c r="T48" s="13"/>
      <c r="U48" s="13"/>
      <c r="V48" s="23"/>
      <c r="W48" s="13"/>
      <c r="X48" s="15"/>
      <c r="Y48" s="15"/>
      <c r="Z48" s="16"/>
      <c r="AA48" s="17"/>
      <c r="AB48" s="16"/>
      <c r="AC48" s="16"/>
      <c r="AD48" s="16"/>
      <c r="AE48" s="17"/>
      <c r="AF48" s="16"/>
      <c r="AG48" s="17"/>
      <c r="AH48" s="16"/>
      <c r="AI48" s="16"/>
      <c r="AJ48" s="16"/>
      <c r="AK48" s="17"/>
      <c r="AL48" s="16"/>
      <c r="AM48" s="16"/>
      <c r="AN48" s="16"/>
      <c r="AO48" s="16"/>
      <c r="AP48" s="18"/>
      <c r="AQ48" s="16"/>
    </row>
    <row r="49" ht="15.75" hidden="1" customHeight="1">
      <c r="A49" s="10" t="s">
        <v>344</v>
      </c>
      <c r="B49" s="10" t="s">
        <v>345</v>
      </c>
      <c r="C49" s="10" t="str">
        <f>VLOOKUP(A49,import!A:C,3,0)</f>
        <v>DOĞRU</v>
      </c>
      <c r="D49" s="10" t="s">
        <v>70</v>
      </c>
      <c r="E49" s="10">
        <f>VLOOKUP(A49,import!A:J,5,0)</f>
        <v>24</v>
      </c>
      <c r="F49" s="10">
        <f>VLOOKUP(A49,import!A:J,6,0)</f>
        <v>1</v>
      </c>
      <c r="G49" s="10">
        <f>VLOOKUP(A49,import!A:J,7,0)</f>
        <v>0</v>
      </c>
      <c r="H49" s="10">
        <f>VLOOKUP(A49,import!A:J,8,0)</f>
        <v>12</v>
      </c>
      <c r="I49" s="10">
        <f>VLOOKUP(A49,import!A:J,9,0)</f>
        <v>12</v>
      </c>
      <c r="J49" s="11">
        <f>VLOOKUP(A49,import!A:J,10,0)</f>
        <v>0</v>
      </c>
      <c r="K49" s="10" t="s">
        <v>346</v>
      </c>
      <c r="L49" s="10">
        <v>3.243285252E9</v>
      </c>
      <c r="M49" s="10" t="s">
        <v>72</v>
      </c>
      <c r="N49" s="10" t="s">
        <v>113</v>
      </c>
      <c r="O49" s="10" t="s">
        <v>347</v>
      </c>
      <c r="P49" s="10" t="str">
        <f>VLOOKUP(A49,import!A:P,16,0)</f>
        <v>Geleneksel</v>
      </c>
      <c r="Q49" s="12" t="s">
        <v>146</v>
      </c>
      <c r="R49" s="12" t="b">
        <v>1</v>
      </c>
      <c r="S49" s="13" t="b">
        <v>0</v>
      </c>
      <c r="T49" s="13" t="s">
        <v>199</v>
      </c>
      <c r="U49" s="13"/>
      <c r="V49" s="13"/>
      <c r="W49" s="13" t="s">
        <v>348</v>
      </c>
      <c r="X49" s="15"/>
      <c r="Y49" s="15"/>
      <c r="Z49" s="16"/>
      <c r="AA49" s="24"/>
      <c r="AB49" s="16"/>
      <c r="AC49" s="16"/>
      <c r="AD49" s="16"/>
      <c r="AE49" s="17"/>
      <c r="AF49" s="16"/>
      <c r="AG49" s="17"/>
      <c r="AH49" s="16"/>
      <c r="AI49" s="16"/>
      <c r="AJ49" s="16"/>
      <c r="AK49" s="16"/>
      <c r="AL49" s="16"/>
      <c r="AM49" s="16"/>
      <c r="AN49" s="16"/>
      <c r="AO49" s="16"/>
      <c r="AP49" s="18" t="s">
        <v>58</v>
      </c>
      <c r="AQ49" s="16"/>
    </row>
    <row r="50" ht="15.75" hidden="1" customHeight="1">
      <c r="A50" s="10" t="s">
        <v>349</v>
      </c>
      <c r="B50" s="10" t="s">
        <v>350</v>
      </c>
      <c r="C50" s="10" t="str">
        <f>VLOOKUP(A50,import!A:C,3,0)</f>
        <v>DOĞRU</v>
      </c>
      <c r="D50" s="10" t="s">
        <v>61</v>
      </c>
      <c r="E50" s="10">
        <f>VLOOKUP(A50,import!A:J,5,0)</f>
        <v>139</v>
      </c>
      <c r="F50" s="10">
        <f>VLOOKUP(A50,import!A:J,6,0)</f>
        <v>10</v>
      </c>
      <c r="G50" s="10">
        <f>VLOOKUP(A50,import!A:J,7,0)</f>
        <v>5</v>
      </c>
      <c r="H50" s="10">
        <f>VLOOKUP(A50,import!A:J,8,0)</f>
        <v>3</v>
      </c>
      <c r="I50" s="10">
        <f>VLOOKUP(A50,import!A:J,9,0)</f>
        <v>8</v>
      </c>
      <c r="J50" s="11">
        <f>VLOOKUP(A50,import!A:J,10,0)</f>
        <v>0.63</v>
      </c>
      <c r="K50" s="10" t="s">
        <v>351</v>
      </c>
      <c r="L50" s="10">
        <v>5.359598033E9</v>
      </c>
      <c r="M50" s="10" t="s">
        <v>72</v>
      </c>
      <c r="N50" s="10" t="s">
        <v>352</v>
      </c>
      <c r="O50" s="10" t="s">
        <v>353</v>
      </c>
      <c r="P50" s="10" t="str">
        <f>VLOOKUP(A50,import!A:P,16,0)</f>
        <v>Geleneksel</v>
      </c>
      <c r="Q50" s="12"/>
      <c r="R50" s="12" t="b">
        <v>1</v>
      </c>
      <c r="S50" s="12" t="b">
        <v>0</v>
      </c>
      <c r="T50" s="13" t="s">
        <v>51</v>
      </c>
      <c r="U50" s="13" t="s">
        <v>89</v>
      </c>
      <c r="V50" s="23" t="s">
        <v>53</v>
      </c>
      <c r="W50" s="13"/>
      <c r="X50" s="15">
        <v>44536.0</v>
      </c>
      <c r="Y50" s="15">
        <v>44537.0</v>
      </c>
      <c r="Z50" s="16"/>
      <c r="AA50" s="17" t="s">
        <v>265</v>
      </c>
      <c r="AB50" s="16">
        <v>44536.0</v>
      </c>
      <c r="AC50" s="17" t="s">
        <v>56</v>
      </c>
      <c r="AD50" s="16">
        <v>44536.0</v>
      </c>
      <c r="AE50" s="17"/>
      <c r="AF50" s="16"/>
      <c r="AG50" s="17"/>
      <c r="AH50" s="16"/>
      <c r="AI50" s="16"/>
      <c r="AJ50" s="16"/>
      <c r="AK50" s="17" t="s">
        <v>89</v>
      </c>
      <c r="AL50" s="17" t="s">
        <v>89</v>
      </c>
      <c r="AM50" s="16"/>
      <c r="AN50" s="16"/>
      <c r="AO50" s="16"/>
      <c r="AP50" s="18" t="s">
        <v>58</v>
      </c>
      <c r="AQ50" s="16"/>
    </row>
    <row r="51" ht="15.75" hidden="1" customHeight="1">
      <c r="A51" s="10" t="s">
        <v>354</v>
      </c>
      <c r="B51" s="10" t="s">
        <v>355</v>
      </c>
      <c r="C51" s="10" t="str">
        <f>VLOOKUP(A51,import!A:C,3,0)</f>
        <v>DOĞRU</v>
      </c>
      <c r="D51" s="10" t="s">
        <v>356</v>
      </c>
      <c r="E51" s="10">
        <f>VLOOKUP(A51,import!A:J,5,0)</f>
        <v>1805</v>
      </c>
      <c r="F51" s="10">
        <f>VLOOKUP(A51,import!A:J,6,0)</f>
        <v>114</v>
      </c>
      <c r="G51" s="10">
        <f>VLOOKUP(A51,import!A:J,7,0)</f>
        <v>7</v>
      </c>
      <c r="H51" s="10">
        <f>VLOOKUP(A51,import!A:J,8,0)</f>
        <v>23</v>
      </c>
      <c r="I51" s="10">
        <f>VLOOKUP(A51,import!A:J,9,0)</f>
        <v>30</v>
      </c>
      <c r="J51" s="11">
        <f>VLOOKUP(A51,import!A:J,10,0)</f>
        <v>0.23</v>
      </c>
      <c r="K51" s="10" t="s">
        <v>357</v>
      </c>
      <c r="L51" s="10">
        <v>5.323018257E9</v>
      </c>
      <c r="M51" s="10" t="s">
        <v>72</v>
      </c>
      <c r="N51" s="10" t="s">
        <v>82</v>
      </c>
      <c r="O51" s="10" t="s">
        <v>358</v>
      </c>
      <c r="P51" s="10" t="str">
        <f>VLOOKUP(A51,import!A:P,16,0)</f>
        <v>Geleneksel</v>
      </c>
      <c r="Q51" s="12" t="s">
        <v>146</v>
      </c>
      <c r="R51" s="12" t="b">
        <v>1</v>
      </c>
      <c r="S51" s="12" t="b">
        <v>0</v>
      </c>
      <c r="T51" s="13" t="s">
        <v>272</v>
      </c>
      <c r="U51" s="13" t="s">
        <v>108</v>
      </c>
      <c r="V51" s="19" t="s">
        <v>66</v>
      </c>
      <c r="W51" s="13" t="s">
        <v>359</v>
      </c>
      <c r="X51" s="15">
        <v>44516.0</v>
      </c>
      <c r="Y51" s="15">
        <v>44517.0</v>
      </c>
      <c r="Z51" s="16"/>
      <c r="AA51" s="17" t="s">
        <v>55</v>
      </c>
      <c r="AB51" s="16">
        <v>44354.0</v>
      </c>
      <c r="AC51" s="17" t="s">
        <v>56</v>
      </c>
      <c r="AD51" s="16">
        <v>44358.0</v>
      </c>
      <c r="AE51" s="17" t="s">
        <v>56</v>
      </c>
      <c r="AF51" s="16">
        <v>44384.0</v>
      </c>
      <c r="AG51" s="17" t="s">
        <v>56</v>
      </c>
      <c r="AH51" s="16">
        <v>44491.0</v>
      </c>
      <c r="AI51" s="17" t="s">
        <v>56</v>
      </c>
      <c r="AJ51" s="16">
        <v>44580.0</v>
      </c>
      <c r="AK51" s="17" t="s">
        <v>123</v>
      </c>
      <c r="AL51" s="17" t="s">
        <v>124</v>
      </c>
      <c r="AM51" s="17" t="s">
        <v>360</v>
      </c>
      <c r="AN51" s="16"/>
      <c r="AO51" s="17" t="s">
        <v>89</v>
      </c>
      <c r="AP51" s="18" t="s">
        <v>58</v>
      </c>
      <c r="AQ51" s="17"/>
    </row>
    <row r="52" ht="15.75" hidden="1" customHeight="1">
      <c r="A52" s="10" t="s">
        <v>361</v>
      </c>
      <c r="B52" s="10" t="s">
        <v>362</v>
      </c>
      <c r="C52" s="10" t="str">
        <f>VLOOKUP(A52,import!A:C,3,0)</f>
        <v>DOĞRU</v>
      </c>
      <c r="D52" s="10" t="s">
        <v>363</v>
      </c>
      <c r="E52" s="10">
        <f>VLOOKUP(A52,import!A:J,5,0)</f>
        <v>58</v>
      </c>
      <c r="F52" s="10">
        <f>VLOOKUP(A52,import!A:J,6,0)</f>
        <v>34</v>
      </c>
      <c r="G52" s="10">
        <f>VLOOKUP(A52,import!A:J,7,0)</f>
        <v>0</v>
      </c>
      <c r="H52" s="10">
        <f>VLOOKUP(A52,import!A:J,8,0)</f>
        <v>26</v>
      </c>
      <c r="I52" s="10">
        <f>VLOOKUP(A52,import!A:J,9,0)</f>
        <v>26</v>
      </c>
      <c r="J52" s="11">
        <f>VLOOKUP(A52,import!A:J,10,0)</f>
        <v>0</v>
      </c>
      <c r="K52" s="10" t="s">
        <v>364</v>
      </c>
      <c r="L52" s="10">
        <v>5.439471607E9</v>
      </c>
      <c r="M52" s="10" t="s">
        <v>47</v>
      </c>
      <c r="N52" s="10" t="s">
        <v>365</v>
      </c>
      <c r="O52" s="10" t="s">
        <v>366</v>
      </c>
      <c r="P52" s="10" t="str">
        <f>VLOOKUP(A52,import!A:P,16,0)</f>
        <v>Geleneksel</v>
      </c>
      <c r="Q52" s="12"/>
      <c r="R52" s="12" t="b">
        <v>1</v>
      </c>
      <c r="S52" s="12" t="b">
        <v>0</v>
      </c>
      <c r="T52" s="13" t="s">
        <v>51</v>
      </c>
      <c r="U52" s="13" t="s">
        <v>367</v>
      </c>
      <c r="V52" s="25" t="s">
        <v>368</v>
      </c>
      <c r="W52" s="13" t="s">
        <v>369</v>
      </c>
      <c r="X52" s="16">
        <v>44694.0</v>
      </c>
      <c r="Y52" s="15">
        <v>44695.0</v>
      </c>
      <c r="Z52" s="16"/>
      <c r="AA52" s="17" t="s">
        <v>56</v>
      </c>
      <c r="AB52" s="16">
        <v>44694.0</v>
      </c>
      <c r="AC52" s="16"/>
      <c r="AD52" s="16"/>
      <c r="AE52" s="17"/>
      <c r="AF52" s="16"/>
      <c r="AG52" s="17"/>
      <c r="AH52" s="16"/>
      <c r="AI52" s="16"/>
      <c r="AJ52" s="16"/>
      <c r="AK52" s="17" t="s">
        <v>367</v>
      </c>
      <c r="AL52" s="16"/>
      <c r="AM52" s="16"/>
      <c r="AN52" s="16"/>
      <c r="AO52" s="16"/>
      <c r="AP52" s="18"/>
      <c r="AQ52" s="16"/>
    </row>
    <row r="53" ht="15.75" customHeight="1">
      <c r="A53" s="10" t="s">
        <v>370</v>
      </c>
      <c r="B53" s="10" t="s">
        <v>371</v>
      </c>
      <c r="C53" s="10" t="str">
        <f>VLOOKUP(A53,import!A:C,3,0)</f>
        <v>YANLIŞ</v>
      </c>
      <c r="D53" s="10" t="s">
        <v>372</v>
      </c>
      <c r="E53" s="10">
        <f>VLOOKUP(A53,import!A:J,5,0)</f>
        <v>439</v>
      </c>
      <c r="F53" s="10" t="str">
        <f>VLOOKUP(A53,import!A:J,6,0)</f>
        <v/>
      </c>
      <c r="G53" s="10">
        <f>VLOOKUP(A53,import!A:J,7,0)</f>
        <v>11</v>
      </c>
      <c r="H53" s="10">
        <f>VLOOKUP(A53,import!A:J,8,0)</f>
        <v>11</v>
      </c>
      <c r="I53" s="10">
        <f>VLOOKUP(A53,import!A:J,9,0)</f>
        <v>22</v>
      </c>
      <c r="J53" s="11">
        <f>VLOOKUP(A53,import!A:J,10,0)</f>
        <v>0.5</v>
      </c>
      <c r="K53" s="10" t="s">
        <v>373</v>
      </c>
      <c r="L53" s="10">
        <v>5.384111733E9</v>
      </c>
      <c r="M53" s="10" t="s">
        <v>137</v>
      </c>
      <c r="N53" s="10" t="s">
        <v>374</v>
      </c>
      <c r="O53" s="10" t="s">
        <v>375</v>
      </c>
      <c r="P53" s="10" t="str">
        <f>VLOOKUP(A53,import!A:P,16,0)</f>
        <v>Geleneksel</v>
      </c>
      <c r="Q53" s="12" t="s">
        <v>146</v>
      </c>
      <c r="R53" s="12" t="b">
        <v>1</v>
      </c>
      <c r="S53" s="12" t="b">
        <v>0</v>
      </c>
      <c r="T53" s="13" t="s">
        <v>51</v>
      </c>
      <c r="U53" s="13" t="s">
        <v>376</v>
      </c>
      <c r="V53" s="13" t="s">
        <v>53</v>
      </c>
      <c r="W53" s="13" t="s">
        <v>377</v>
      </c>
      <c r="X53" s="15">
        <v>44295.0</v>
      </c>
      <c r="Y53" s="15">
        <v>44300.0</v>
      </c>
      <c r="Z53" s="16"/>
      <c r="AA53" s="17" t="s">
        <v>56</v>
      </c>
      <c r="AB53" s="16">
        <v>44356.0</v>
      </c>
      <c r="AC53" s="16"/>
      <c r="AD53" s="16"/>
      <c r="AE53" s="17"/>
      <c r="AF53" s="16"/>
      <c r="AG53" s="26"/>
      <c r="AH53" s="16"/>
      <c r="AI53" s="16"/>
      <c r="AJ53" s="16"/>
      <c r="AK53" s="17" t="s">
        <v>52</v>
      </c>
      <c r="AL53" s="16"/>
      <c r="AM53" s="16"/>
      <c r="AN53" s="16"/>
      <c r="AO53" s="16"/>
      <c r="AP53" s="18" t="s">
        <v>58</v>
      </c>
      <c r="AQ53" s="16"/>
    </row>
    <row r="54" ht="15.75" hidden="1" customHeight="1">
      <c r="A54" s="10" t="s">
        <v>378</v>
      </c>
      <c r="B54" s="10" t="s">
        <v>379</v>
      </c>
      <c r="C54" s="10" t="str">
        <f>VLOOKUP(A54,import!A:C,3,0)</f>
        <v>DOĞRU</v>
      </c>
      <c r="D54" s="10" t="s">
        <v>363</v>
      </c>
      <c r="E54" s="10">
        <f>VLOOKUP(A54,import!A:J,5,0)</f>
        <v>436</v>
      </c>
      <c r="F54" s="10">
        <f>VLOOKUP(A54,import!A:J,6,0)</f>
        <v>67</v>
      </c>
      <c r="G54" s="10">
        <f>VLOOKUP(A54,import!A:J,7,0)</f>
        <v>0</v>
      </c>
      <c r="H54" s="10">
        <f>VLOOKUP(A54,import!A:J,8,0)</f>
        <v>19</v>
      </c>
      <c r="I54" s="10">
        <f>VLOOKUP(A54,import!A:J,9,0)</f>
        <v>19</v>
      </c>
      <c r="J54" s="11">
        <f>VLOOKUP(A54,import!A:J,10,0)</f>
        <v>0</v>
      </c>
      <c r="K54" s="10" t="s">
        <v>380</v>
      </c>
      <c r="L54" s="10">
        <v>3.245026666E9</v>
      </c>
      <c r="M54" s="10" t="s">
        <v>156</v>
      </c>
      <c r="N54" s="10" t="s">
        <v>381</v>
      </c>
      <c r="O54" s="10" t="s">
        <v>382</v>
      </c>
      <c r="P54" s="10" t="str">
        <f>VLOOKUP(A54,import!A:P,16,0)</f>
        <v>Geleneksel</v>
      </c>
      <c r="Q54" s="12"/>
      <c r="R54" s="12" t="b">
        <v>0</v>
      </c>
      <c r="S54" s="12" t="b">
        <v>0</v>
      </c>
      <c r="T54" s="13"/>
      <c r="U54" s="13"/>
      <c r="V54" s="13"/>
      <c r="W54" s="13"/>
      <c r="X54" s="15"/>
      <c r="Y54" s="15"/>
      <c r="Z54" s="16"/>
      <c r="AA54" s="17"/>
      <c r="AB54" s="16"/>
      <c r="AC54" s="16"/>
      <c r="AD54" s="16"/>
      <c r="AE54" s="17"/>
      <c r="AF54" s="16"/>
      <c r="AG54" s="17"/>
      <c r="AH54" s="16"/>
      <c r="AI54" s="16"/>
      <c r="AJ54" s="16"/>
      <c r="AK54" s="17"/>
      <c r="AL54" s="16"/>
      <c r="AM54" s="16"/>
      <c r="AN54" s="16"/>
      <c r="AO54" s="16"/>
      <c r="AP54" s="18"/>
      <c r="AQ54" s="16"/>
    </row>
    <row r="55" ht="15.75" hidden="1" customHeight="1">
      <c r="A55" s="10" t="s">
        <v>383</v>
      </c>
      <c r="B55" s="10" t="s">
        <v>384</v>
      </c>
      <c r="C55" s="10" t="str">
        <f>VLOOKUP(A55,import!A:C,3,0)</f>
        <v>DOĞRU</v>
      </c>
      <c r="D55" s="10" t="s">
        <v>118</v>
      </c>
      <c r="E55" s="10">
        <f>VLOOKUP(A55,import!A:J,5,0)</f>
        <v>65</v>
      </c>
      <c r="F55" s="10">
        <f>VLOOKUP(A55,import!A:J,6,0)</f>
        <v>15</v>
      </c>
      <c r="G55" s="10">
        <f>VLOOKUP(A55,import!A:J,7,0)</f>
        <v>18</v>
      </c>
      <c r="H55" s="10">
        <f>VLOOKUP(A55,import!A:J,8,0)</f>
        <v>22</v>
      </c>
      <c r="I55" s="10">
        <f>VLOOKUP(A55,import!A:J,9,0)</f>
        <v>40</v>
      </c>
      <c r="J55" s="11">
        <f>VLOOKUP(A55,import!A:J,10,0)</f>
        <v>0.45</v>
      </c>
      <c r="K55" s="10" t="s">
        <v>385</v>
      </c>
      <c r="L55" s="10">
        <v>3.243310069E9</v>
      </c>
      <c r="M55" s="10" t="s">
        <v>72</v>
      </c>
      <c r="N55" s="10" t="s">
        <v>113</v>
      </c>
      <c r="O55" s="10" t="s">
        <v>386</v>
      </c>
      <c r="P55" s="10" t="str">
        <f>VLOOKUP(A55,import!A:P,16,0)</f>
        <v>Geleneksel</v>
      </c>
      <c r="Q55" s="12"/>
      <c r="R55" s="12" t="b">
        <v>1</v>
      </c>
      <c r="S55" s="12" t="b">
        <v>0</v>
      </c>
      <c r="T55" s="13" t="s">
        <v>51</v>
      </c>
      <c r="U55" s="13" t="s">
        <v>314</v>
      </c>
      <c r="V55" s="13" t="s">
        <v>66</v>
      </c>
      <c r="W55" s="13" t="s">
        <v>387</v>
      </c>
      <c r="X55" s="15">
        <v>44517.0</v>
      </c>
      <c r="Y55" s="15">
        <v>44518.0</v>
      </c>
      <c r="Z55" s="16"/>
      <c r="AA55" s="17" t="s">
        <v>56</v>
      </c>
      <c r="AB55" s="16">
        <v>44476.0</v>
      </c>
      <c r="AC55" s="17" t="s">
        <v>265</v>
      </c>
      <c r="AD55" s="16">
        <v>44482.0</v>
      </c>
      <c r="AE55" s="17" t="s">
        <v>55</v>
      </c>
      <c r="AF55" s="16">
        <v>44506.0</v>
      </c>
      <c r="AG55" s="17" t="s">
        <v>56</v>
      </c>
      <c r="AH55" s="16">
        <v>44516.0</v>
      </c>
      <c r="AI55" s="17" t="s">
        <v>56</v>
      </c>
      <c r="AJ55" s="16">
        <v>44572.0</v>
      </c>
      <c r="AK55" s="17" t="s">
        <v>171</v>
      </c>
      <c r="AL55" s="17" t="s">
        <v>52</v>
      </c>
      <c r="AM55" s="17" t="s">
        <v>89</v>
      </c>
      <c r="AN55" s="17" t="s">
        <v>108</v>
      </c>
      <c r="AO55" s="17" t="s">
        <v>133</v>
      </c>
      <c r="AP55" s="18" t="s">
        <v>58</v>
      </c>
      <c r="AQ55" s="17"/>
    </row>
    <row r="56" ht="15.75" hidden="1" customHeight="1">
      <c r="A56" s="10" t="s">
        <v>388</v>
      </c>
      <c r="B56" s="10" t="s">
        <v>389</v>
      </c>
      <c r="C56" s="10" t="str">
        <f>VLOOKUP(A56,import!A:C,3,0)</f>
        <v>DOĞRU</v>
      </c>
      <c r="D56" s="10" t="s">
        <v>80</v>
      </c>
      <c r="E56" s="10">
        <f>VLOOKUP(A56,import!A:J,5,0)</f>
        <v>1878</v>
      </c>
      <c r="F56" s="10">
        <f>VLOOKUP(A56,import!A:J,6,0)</f>
        <v>93</v>
      </c>
      <c r="G56" s="10">
        <f>VLOOKUP(A56,import!A:J,7,0)</f>
        <v>8</v>
      </c>
      <c r="H56" s="10">
        <f>VLOOKUP(A56,import!A:J,8,0)</f>
        <v>11</v>
      </c>
      <c r="I56" s="10">
        <f>VLOOKUP(A56,import!A:J,9,0)</f>
        <v>19</v>
      </c>
      <c r="J56" s="11">
        <f>VLOOKUP(A56,import!A:J,10,0)</f>
        <v>0.42</v>
      </c>
      <c r="K56" s="10" t="s">
        <v>390</v>
      </c>
      <c r="L56" s="10">
        <v>5.374255442E9</v>
      </c>
      <c r="M56" s="10" t="s">
        <v>72</v>
      </c>
      <c r="N56" s="10" t="s">
        <v>82</v>
      </c>
      <c r="O56" s="10" t="s">
        <v>391</v>
      </c>
      <c r="P56" s="10" t="str">
        <f>VLOOKUP(A56,import!A:P,16,0)</f>
        <v>Geleneksel</v>
      </c>
      <c r="Q56" s="12" t="s">
        <v>146</v>
      </c>
      <c r="R56" s="12" t="b">
        <v>1</v>
      </c>
      <c r="S56" s="12" t="b">
        <v>0</v>
      </c>
      <c r="T56" s="13" t="s">
        <v>51</v>
      </c>
      <c r="U56" s="13" t="s">
        <v>133</v>
      </c>
      <c r="V56" s="13" t="s">
        <v>53</v>
      </c>
      <c r="W56" s="13" t="s">
        <v>392</v>
      </c>
      <c r="X56" s="15">
        <v>44266.0</v>
      </c>
      <c r="Y56" s="15">
        <v>44272.0</v>
      </c>
      <c r="Z56" s="16"/>
      <c r="AA56" s="17" t="s">
        <v>56</v>
      </c>
      <c r="AB56" s="16">
        <v>44551.0</v>
      </c>
      <c r="AC56" s="16"/>
      <c r="AD56" s="16"/>
      <c r="AE56" s="17"/>
      <c r="AF56" s="16"/>
      <c r="AG56" s="17"/>
      <c r="AH56" s="16"/>
      <c r="AI56" s="16"/>
      <c r="AJ56" s="16"/>
      <c r="AK56" s="17" t="s">
        <v>267</v>
      </c>
      <c r="AL56" s="16"/>
      <c r="AM56" s="16"/>
      <c r="AN56" s="16"/>
      <c r="AO56" s="16"/>
      <c r="AP56" s="18" t="s">
        <v>58</v>
      </c>
      <c r="AQ56" s="16"/>
    </row>
    <row r="57" ht="15.75" hidden="1" customHeight="1">
      <c r="A57" s="10" t="s">
        <v>393</v>
      </c>
      <c r="B57" s="10" t="s">
        <v>394</v>
      </c>
      <c r="C57" s="10" t="str">
        <f>VLOOKUP(A57,import!A:C,3,0)</f>
        <v>DOĞRU</v>
      </c>
      <c r="D57" s="10" t="s">
        <v>70</v>
      </c>
      <c r="E57" s="10">
        <f>VLOOKUP(A57,import!A:J,5,0)</f>
        <v>1773</v>
      </c>
      <c r="F57" s="10">
        <f>VLOOKUP(A57,import!A:J,6,0)</f>
        <v>96</v>
      </c>
      <c r="G57" s="10">
        <f>VLOOKUP(A57,import!A:J,7,0)</f>
        <v>0</v>
      </c>
      <c r="H57" s="10">
        <f>VLOOKUP(A57,import!A:J,8,0)</f>
        <v>30</v>
      </c>
      <c r="I57" s="10">
        <f>VLOOKUP(A57,import!A:J,9,0)</f>
        <v>30</v>
      </c>
      <c r="J57" s="11">
        <f>VLOOKUP(A57,import!A:J,10,0)</f>
        <v>0</v>
      </c>
      <c r="K57" s="10" t="s">
        <v>395</v>
      </c>
      <c r="L57" s="10">
        <v>3.249994248E9</v>
      </c>
      <c r="M57" s="10" t="s">
        <v>72</v>
      </c>
      <c r="N57" s="10" t="s">
        <v>82</v>
      </c>
      <c r="O57" s="10" t="s">
        <v>396</v>
      </c>
      <c r="P57" s="10" t="str">
        <f>VLOOKUP(A57,import!A:P,16,0)</f>
        <v>Geleneksel</v>
      </c>
      <c r="Q57" s="12" t="s">
        <v>84</v>
      </c>
      <c r="R57" s="12" t="b">
        <v>1</v>
      </c>
      <c r="S57" s="12" t="b">
        <v>1</v>
      </c>
      <c r="T57" s="13"/>
      <c r="U57" s="13" t="s">
        <v>163</v>
      </c>
      <c r="V57" s="13" t="s">
        <v>53</v>
      </c>
      <c r="W57" s="13" t="s">
        <v>397</v>
      </c>
      <c r="X57" s="15">
        <v>44358.0</v>
      </c>
      <c r="Y57" s="15">
        <v>44362.0</v>
      </c>
      <c r="Z57" s="16"/>
      <c r="AA57" s="17" t="s">
        <v>56</v>
      </c>
      <c r="AB57" s="16">
        <v>44358.0</v>
      </c>
      <c r="AC57" s="17" t="s">
        <v>56</v>
      </c>
      <c r="AD57" s="16">
        <v>44384.0</v>
      </c>
      <c r="AE57" s="17" t="s">
        <v>56</v>
      </c>
      <c r="AF57" s="16">
        <v>44442.0</v>
      </c>
      <c r="AG57" s="17" t="s">
        <v>56</v>
      </c>
      <c r="AH57" s="16">
        <v>44491.0</v>
      </c>
      <c r="AI57" s="16"/>
      <c r="AJ57" s="16"/>
      <c r="AK57" s="17" t="s">
        <v>163</v>
      </c>
      <c r="AL57" s="17" t="s">
        <v>360</v>
      </c>
      <c r="AM57" s="17" t="s">
        <v>367</v>
      </c>
      <c r="AN57" s="17" t="s">
        <v>89</v>
      </c>
      <c r="AO57" s="16"/>
      <c r="AP57" s="18" t="s">
        <v>58</v>
      </c>
      <c r="AQ57" s="16"/>
    </row>
    <row r="58" ht="15.75" customHeight="1">
      <c r="A58" s="10" t="s">
        <v>398</v>
      </c>
      <c r="B58" s="10" t="s">
        <v>399</v>
      </c>
      <c r="C58" s="10" t="str">
        <f>VLOOKUP(A58,import!A:C,3,0)</f>
        <v>DOĞRU</v>
      </c>
      <c r="D58" s="10" t="s">
        <v>363</v>
      </c>
      <c r="E58" s="10">
        <f>VLOOKUP(A58,import!A:J,5,0)</f>
        <v>1779</v>
      </c>
      <c r="F58" s="10">
        <f>VLOOKUP(A58,import!A:J,6,0)</f>
        <v>143</v>
      </c>
      <c r="G58" s="10">
        <f>VLOOKUP(A58,import!A:J,7,0)</f>
        <v>41</v>
      </c>
      <c r="H58" s="10">
        <f>VLOOKUP(A58,import!A:J,8,0)</f>
        <v>112</v>
      </c>
      <c r="I58" s="10">
        <f>VLOOKUP(A58,import!A:J,9,0)</f>
        <v>153</v>
      </c>
      <c r="J58" s="11">
        <f>VLOOKUP(A58,import!A:J,10,0)</f>
        <v>0.27</v>
      </c>
      <c r="K58" s="10" t="s">
        <v>400</v>
      </c>
      <c r="L58" s="10">
        <v>5.304774233E9</v>
      </c>
      <c r="M58" s="10" t="s">
        <v>63</v>
      </c>
      <c r="N58" s="10" t="s">
        <v>64</v>
      </c>
      <c r="O58" s="10" t="s">
        <v>401</v>
      </c>
      <c r="P58" s="10" t="str">
        <f>VLOOKUP(A58,import!A:P,16,0)</f>
        <v>Geleneksel</v>
      </c>
      <c r="Q58" s="12"/>
      <c r="R58" s="12" t="b">
        <v>1</v>
      </c>
      <c r="S58" s="12" t="b">
        <v>0</v>
      </c>
      <c r="T58" s="13" t="s">
        <v>51</v>
      </c>
      <c r="U58" s="13" t="s">
        <v>89</v>
      </c>
      <c r="V58" s="13" t="s">
        <v>66</v>
      </c>
      <c r="W58" s="13" t="s">
        <v>402</v>
      </c>
      <c r="X58" s="15">
        <v>44573.0</v>
      </c>
      <c r="Y58" s="15">
        <v>44580.0</v>
      </c>
      <c r="Z58" s="16"/>
      <c r="AA58" s="17" t="s">
        <v>56</v>
      </c>
      <c r="AB58" s="16">
        <v>44484.0</v>
      </c>
      <c r="AC58" s="17" t="s">
        <v>56</v>
      </c>
      <c r="AD58" s="16">
        <v>44559.0</v>
      </c>
      <c r="AE58" s="17" t="s">
        <v>56</v>
      </c>
      <c r="AF58" s="16">
        <v>44571.0</v>
      </c>
      <c r="AG58" s="17" t="s">
        <v>56</v>
      </c>
      <c r="AH58" s="16">
        <v>44573.0</v>
      </c>
      <c r="AI58" s="16"/>
      <c r="AJ58" s="16"/>
      <c r="AK58" s="17" t="s">
        <v>367</v>
      </c>
      <c r="AL58" s="17" t="s">
        <v>133</v>
      </c>
      <c r="AM58" s="17" t="s">
        <v>89</v>
      </c>
      <c r="AN58" s="17" t="s">
        <v>89</v>
      </c>
      <c r="AO58" s="16"/>
      <c r="AP58" s="18" t="s">
        <v>58</v>
      </c>
      <c r="AQ58" s="16"/>
    </row>
    <row r="59" ht="15.75" customHeight="1">
      <c r="A59" s="10" t="s">
        <v>403</v>
      </c>
      <c r="B59" s="10" t="s">
        <v>404</v>
      </c>
      <c r="C59" s="10" t="str">
        <f>VLOOKUP(A59,import!A:C,3,0)</f>
        <v>DOĞRU</v>
      </c>
      <c r="D59" s="10" t="s">
        <v>363</v>
      </c>
      <c r="E59" s="10">
        <f>VLOOKUP(A59,import!A:J,5,0)</f>
        <v>126</v>
      </c>
      <c r="F59" s="10">
        <f>VLOOKUP(A59,import!A:J,6,0)</f>
        <v>6</v>
      </c>
      <c r="G59" s="10">
        <f>VLOOKUP(A59,import!A:J,7,0)</f>
        <v>9</v>
      </c>
      <c r="H59" s="10">
        <f>VLOOKUP(A59,import!A:J,8,0)</f>
        <v>3</v>
      </c>
      <c r="I59" s="10">
        <f>VLOOKUP(A59,import!A:J,9,0)</f>
        <v>12</v>
      </c>
      <c r="J59" s="11">
        <f>VLOOKUP(A59,import!A:J,10,0)</f>
        <v>0.75</v>
      </c>
      <c r="K59" s="10" t="s">
        <v>405</v>
      </c>
      <c r="L59" s="10">
        <v>3.243580583E9</v>
      </c>
      <c r="M59" s="10" t="s">
        <v>63</v>
      </c>
      <c r="N59" s="10" t="s">
        <v>93</v>
      </c>
      <c r="O59" s="10" t="s">
        <v>406</v>
      </c>
      <c r="P59" s="10" t="str">
        <f>VLOOKUP(A59,import!A:P,16,0)</f>
        <v>Geleneksel</v>
      </c>
      <c r="Q59" s="12"/>
      <c r="R59" s="12" t="b">
        <v>1</v>
      </c>
      <c r="S59" s="12" t="b">
        <v>0</v>
      </c>
      <c r="T59" s="27" t="s">
        <v>140</v>
      </c>
      <c r="U59" s="13"/>
      <c r="V59" s="13"/>
      <c r="W59" s="13" t="s">
        <v>407</v>
      </c>
      <c r="X59" s="15"/>
      <c r="Y59" s="15"/>
      <c r="Z59" s="16"/>
      <c r="AA59" s="17" t="s">
        <v>55</v>
      </c>
      <c r="AB59" s="16">
        <v>44417.0</v>
      </c>
      <c r="AC59" s="17" t="s">
        <v>55</v>
      </c>
      <c r="AD59" s="16">
        <v>44418.0</v>
      </c>
      <c r="AE59" s="17" t="s">
        <v>55</v>
      </c>
      <c r="AF59" s="16">
        <v>44450.0</v>
      </c>
      <c r="AG59" s="17" t="s">
        <v>230</v>
      </c>
      <c r="AH59" s="16">
        <v>44497.0</v>
      </c>
      <c r="AI59" s="17" t="s">
        <v>56</v>
      </c>
      <c r="AJ59" s="16">
        <v>44504.0</v>
      </c>
      <c r="AK59" s="17" t="s">
        <v>57</v>
      </c>
      <c r="AL59" s="17" t="s">
        <v>95</v>
      </c>
      <c r="AM59" s="17" t="s">
        <v>108</v>
      </c>
      <c r="AN59" s="17" t="s">
        <v>267</v>
      </c>
      <c r="AO59" s="17" t="s">
        <v>108</v>
      </c>
      <c r="AP59" s="18" t="s">
        <v>58</v>
      </c>
      <c r="AQ59" s="17"/>
    </row>
    <row r="60" ht="15.75" customHeight="1">
      <c r="A60" s="10" t="s">
        <v>408</v>
      </c>
      <c r="B60" s="10" t="s">
        <v>409</v>
      </c>
      <c r="C60" s="10" t="str">
        <f>VLOOKUP(A60,import!A:C,3,0)</f>
        <v>DOĞRU</v>
      </c>
      <c r="D60" s="10" t="s">
        <v>363</v>
      </c>
      <c r="E60" s="10">
        <f>VLOOKUP(A60,import!A:J,5,0)</f>
        <v>406</v>
      </c>
      <c r="F60" s="10">
        <f>VLOOKUP(A60,import!A:J,6,0)</f>
        <v>31</v>
      </c>
      <c r="G60" s="10">
        <f>VLOOKUP(A60,import!A:J,7,0)</f>
        <v>24</v>
      </c>
      <c r="H60" s="10">
        <f>VLOOKUP(A60,import!A:J,8,0)</f>
        <v>8</v>
      </c>
      <c r="I60" s="10">
        <f>VLOOKUP(A60,import!A:J,9,0)</f>
        <v>32</v>
      </c>
      <c r="J60" s="11">
        <f>VLOOKUP(A60,import!A:J,10,0)</f>
        <v>0.75</v>
      </c>
      <c r="K60" s="10" t="s">
        <v>405</v>
      </c>
      <c r="L60" s="10">
        <v>3.243580583E9</v>
      </c>
      <c r="M60" s="10" t="s">
        <v>63</v>
      </c>
      <c r="N60" s="10" t="s">
        <v>100</v>
      </c>
      <c r="O60" s="10" t="s">
        <v>410</v>
      </c>
      <c r="P60" s="10" t="str">
        <f>VLOOKUP(A60,import!A:P,16,0)</f>
        <v>Geleneksel</v>
      </c>
      <c r="Q60" s="12"/>
      <c r="R60" s="12" t="b">
        <v>1</v>
      </c>
      <c r="S60" s="12" t="b">
        <v>0</v>
      </c>
      <c r="T60" s="13" t="s">
        <v>51</v>
      </c>
      <c r="U60" s="13" t="s">
        <v>52</v>
      </c>
      <c r="V60" s="13" t="s">
        <v>53</v>
      </c>
      <c r="W60" s="13" t="s">
        <v>411</v>
      </c>
      <c r="X60" s="15">
        <v>44431.0</v>
      </c>
      <c r="Y60" s="15">
        <v>44433.0</v>
      </c>
      <c r="Z60" s="16"/>
      <c r="AA60" s="17" t="s">
        <v>56</v>
      </c>
      <c r="AB60" s="16">
        <v>44431.0</v>
      </c>
      <c r="AC60" s="17" t="s">
        <v>56</v>
      </c>
      <c r="AD60" s="16">
        <v>44580.0</v>
      </c>
      <c r="AE60" s="17"/>
      <c r="AF60" s="16"/>
      <c r="AG60" s="17"/>
      <c r="AH60" s="16"/>
      <c r="AI60" s="16"/>
      <c r="AJ60" s="16"/>
      <c r="AK60" s="17" t="s">
        <v>52</v>
      </c>
      <c r="AL60" s="17" t="s">
        <v>89</v>
      </c>
      <c r="AM60" s="16"/>
      <c r="AN60" s="16"/>
      <c r="AO60" s="16"/>
      <c r="AP60" s="18" t="s">
        <v>58</v>
      </c>
      <c r="AQ60" s="16"/>
    </row>
    <row r="61" ht="15.75" hidden="1" customHeight="1">
      <c r="A61" s="10" t="s">
        <v>412</v>
      </c>
      <c r="B61" s="10" t="s">
        <v>413</v>
      </c>
      <c r="C61" s="10" t="str">
        <f>VLOOKUP(A61,import!A:C,3,0)</f>
        <v>DOĞRU</v>
      </c>
      <c r="D61" s="10" t="s">
        <v>363</v>
      </c>
      <c r="E61" s="10">
        <f>VLOOKUP(A61,import!A:J,5,0)</f>
        <v>4703</v>
      </c>
      <c r="F61" s="10">
        <f>VLOOKUP(A61,import!A:J,6,0)</f>
        <v>102</v>
      </c>
      <c r="G61" s="10">
        <f>VLOOKUP(A61,import!A:J,7,0)</f>
        <v>44</v>
      </c>
      <c r="H61" s="10">
        <f>VLOOKUP(A61,import!A:J,8,0)</f>
        <v>12</v>
      </c>
      <c r="I61" s="10">
        <f>VLOOKUP(A61,import!A:J,9,0)</f>
        <v>56</v>
      </c>
      <c r="J61" s="11">
        <f>VLOOKUP(A61,import!A:J,10,0)</f>
        <v>0.79</v>
      </c>
      <c r="K61" s="10" t="s">
        <v>414</v>
      </c>
      <c r="L61" s="10">
        <v>3.243288463E9</v>
      </c>
      <c r="M61" s="10" t="s">
        <v>72</v>
      </c>
      <c r="N61" s="10" t="s">
        <v>415</v>
      </c>
      <c r="O61" s="10" t="s">
        <v>416</v>
      </c>
      <c r="P61" s="10" t="str">
        <f>VLOOKUP(A61,import!A:P,16,0)</f>
        <v>Geleneksel</v>
      </c>
      <c r="Q61" s="12"/>
      <c r="R61" s="12" t="b">
        <v>1</v>
      </c>
      <c r="S61" s="12" t="b">
        <v>0</v>
      </c>
      <c r="T61" s="13" t="s">
        <v>51</v>
      </c>
      <c r="U61" s="13" t="s">
        <v>258</v>
      </c>
      <c r="V61" s="13" t="s">
        <v>66</v>
      </c>
      <c r="W61" s="13" t="s">
        <v>417</v>
      </c>
      <c r="X61" s="15">
        <v>44298.0</v>
      </c>
      <c r="Y61" s="15">
        <v>44299.0</v>
      </c>
      <c r="Z61" s="16"/>
      <c r="AA61" s="17" t="s">
        <v>55</v>
      </c>
      <c r="AB61" s="16">
        <v>44572.0</v>
      </c>
      <c r="AC61" s="16"/>
      <c r="AD61" s="16"/>
      <c r="AE61" s="17"/>
      <c r="AF61" s="16"/>
      <c r="AG61" s="17"/>
      <c r="AH61" s="16"/>
      <c r="AI61" s="16"/>
      <c r="AJ61" s="16"/>
      <c r="AK61" s="17" t="s">
        <v>133</v>
      </c>
      <c r="AL61" s="16"/>
      <c r="AM61" s="16"/>
      <c r="AN61" s="16"/>
      <c r="AO61" s="16"/>
      <c r="AP61" s="18" t="s">
        <v>58</v>
      </c>
      <c r="AQ61" s="16"/>
    </row>
    <row r="62" ht="15.75" hidden="1" customHeight="1">
      <c r="A62" s="10" t="s">
        <v>418</v>
      </c>
      <c r="B62" s="10" t="s">
        <v>419</v>
      </c>
      <c r="C62" s="10" t="str">
        <f>VLOOKUP(A62,import!A:C,3,0)</f>
        <v>YANLIŞ</v>
      </c>
      <c r="D62" s="10" t="s">
        <v>80</v>
      </c>
      <c r="E62" s="10">
        <f>VLOOKUP(A62,import!A:J,5,0)</f>
        <v>626</v>
      </c>
      <c r="F62" s="10" t="str">
        <f>VLOOKUP(A62,import!A:J,6,0)</f>
        <v/>
      </c>
      <c r="G62" s="10">
        <f>VLOOKUP(A62,import!A:J,7,0)</f>
        <v>0</v>
      </c>
      <c r="H62" s="10">
        <f>VLOOKUP(A62,import!A:J,8,0)</f>
        <v>6</v>
      </c>
      <c r="I62" s="10">
        <f>VLOOKUP(A62,import!A:J,9,0)</f>
        <v>6</v>
      </c>
      <c r="J62" s="11">
        <f>VLOOKUP(A62,import!A:J,10,0)</f>
        <v>0</v>
      </c>
      <c r="K62" s="10" t="s">
        <v>420</v>
      </c>
      <c r="L62" s="10">
        <v>5.348133332E9</v>
      </c>
      <c r="M62" s="10" t="s">
        <v>72</v>
      </c>
      <c r="N62" s="10" t="s">
        <v>82</v>
      </c>
      <c r="O62" s="10" t="s">
        <v>421</v>
      </c>
      <c r="P62" s="10" t="str">
        <f>VLOOKUP(A62,import!A:P,16,0)</f>
        <v>Geleneksel</v>
      </c>
      <c r="Q62" s="12"/>
      <c r="R62" s="12" t="b">
        <v>1</v>
      </c>
      <c r="S62" s="12" t="b">
        <v>1</v>
      </c>
      <c r="T62" s="13"/>
      <c r="U62" s="13"/>
      <c r="V62" s="13"/>
      <c r="W62" s="13" t="s">
        <v>422</v>
      </c>
      <c r="X62" s="15"/>
      <c r="Y62" s="15"/>
      <c r="Z62" s="16"/>
      <c r="AA62" s="17" t="s">
        <v>55</v>
      </c>
      <c r="AB62" s="16">
        <v>44488.0</v>
      </c>
      <c r="AC62" s="17" t="s">
        <v>55</v>
      </c>
      <c r="AD62" s="16">
        <v>44490.0</v>
      </c>
      <c r="AE62" s="17" t="s">
        <v>55</v>
      </c>
      <c r="AF62" s="16">
        <v>44491.0</v>
      </c>
      <c r="AG62" s="17" t="s">
        <v>55</v>
      </c>
      <c r="AH62" s="16">
        <v>44491.0</v>
      </c>
      <c r="AI62" s="16"/>
      <c r="AJ62" s="16"/>
      <c r="AK62" s="17" t="s">
        <v>108</v>
      </c>
      <c r="AL62" s="17" t="s">
        <v>103</v>
      </c>
      <c r="AM62" s="17" t="s">
        <v>171</v>
      </c>
      <c r="AN62" s="17" t="s">
        <v>52</v>
      </c>
      <c r="AO62" s="16"/>
      <c r="AP62" s="18" t="s">
        <v>58</v>
      </c>
      <c r="AQ62" s="16"/>
    </row>
    <row r="63" ht="15.75" customHeight="1">
      <c r="A63" s="18" t="s">
        <v>423</v>
      </c>
      <c r="B63" s="18" t="s">
        <v>424</v>
      </c>
      <c r="C63" s="10" t="str">
        <f>VLOOKUP(A63,import!A:C,3,0)</f>
        <v>DOĞRU</v>
      </c>
      <c r="D63" s="18" t="s">
        <v>70</v>
      </c>
      <c r="E63" s="10">
        <f>VLOOKUP(A63,import!A:J,5,0)</f>
        <v>12</v>
      </c>
      <c r="F63" s="10">
        <f>VLOOKUP(A63,import!A:J,6,0)</f>
        <v>10</v>
      </c>
      <c r="G63" s="10">
        <f>VLOOKUP(A63,import!A:J,7,0)</f>
        <v>0</v>
      </c>
      <c r="H63" s="10">
        <f>VLOOKUP(A63,import!A:J,8,0)</f>
        <v>19</v>
      </c>
      <c r="I63" s="10">
        <f>VLOOKUP(A63,import!A:J,9,0)</f>
        <v>19</v>
      </c>
      <c r="J63" s="11">
        <f>VLOOKUP(A63,import!A:J,10,0)</f>
        <v>0</v>
      </c>
      <c r="K63" s="18" t="s">
        <v>425</v>
      </c>
      <c r="L63" s="18">
        <v>5.335015663E9</v>
      </c>
      <c r="M63" s="18" t="s">
        <v>137</v>
      </c>
      <c r="N63" s="18" t="s">
        <v>426</v>
      </c>
      <c r="O63" s="18" t="s">
        <v>427</v>
      </c>
      <c r="P63" s="10" t="str">
        <f>VLOOKUP(A63,import!A:P,16,0)</f>
        <v>Geleneksel</v>
      </c>
      <c r="Q63" s="12"/>
      <c r="R63" s="12" t="b">
        <v>0</v>
      </c>
      <c r="S63" s="12" t="b">
        <v>0</v>
      </c>
      <c r="T63" s="13"/>
      <c r="U63" s="13"/>
      <c r="V63" s="13"/>
      <c r="W63" s="13"/>
      <c r="X63" s="15"/>
      <c r="Y63" s="15"/>
      <c r="Z63" s="16"/>
      <c r="AA63" s="17"/>
      <c r="AB63" s="16"/>
      <c r="AC63" s="16"/>
      <c r="AD63" s="16"/>
      <c r="AE63" s="17"/>
      <c r="AF63" s="16"/>
      <c r="AG63" s="17"/>
      <c r="AH63" s="16"/>
      <c r="AI63" s="16"/>
      <c r="AJ63" s="16"/>
      <c r="AK63" s="17"/>
      <c r="AL63" s="16"/>
      <c r="AM63" s="16"/>
      <c r="AN63" s="16"/>
      <c r="AO63" s="16"/>
      <c r="AP63" s="18"/>
      <c r="AQ63" s="16"/>
    </row>
    <row r="64" ht="15.75" customHeight="1">
      <c r="A64" s="10" t="s">
        <v>428</v>
      </c>
      <c r="B64" s="10" t="s">
        <v>429</v>
      </c>
      <c r="C64" s="10" t="str">
        <f>VLOOKUP(A64,import!A:C,3,0)</f>
        <v>DOĞRU</v>
      </c>
      <c r="D64" s="10" t="s">
        <v>106</v>
      </c>
      <c r="E64" s="10">
        <f>VLOOKUP(A64,import!A:J,5,0)</f>
        <v>1891</v>
      </c>
      <c r="F64" s="10" t="str">
        <f>VLOOKUP(A64,import!A:J,6,0)</f>
        <v/>
      </c>
      <c r="G64" s="10">
        <f>VLOOKUP(A64,import!A:J,7,0)</f>
        <v>3</v>
      </c>
      <c r="H64" s="10">
        <f>VLOOKUP(A64,import!A:J,8,0)</f>
        <v>10</v>
      </c>
      <c r="I64" s="10">
        <f>VLOOKUP(A64,import!A:J,9,0)</f>
        <v>13</v>
      </c>
      <c r="J64" s="11">
        <f>VLOOKUP(A64,import!A:J,10,0)</f>
        <v>0.23</v>
      </c>
      <c r="K64" s="10" t="s">
        <v>430</v>
      </c>
      <c r="L64" s="10">
        <v>3.243575747E9</v>
      </c>
      <c r="M64" s="10" t="s">
        <v>63</v>
      </c>
      <c r="N64" s="10" t="s">
        <v>318</v>
      </c>
      <c r="O64" s="10" t="s">
        <v>431</v>
      </c>
      <c r="P64" s="10" t="str">
        <f>VLOOKUP(A64,import!A:P,16,0)</f>
        <v>Geleneksel</v>
      </c>
      <c r="Q64" s="12"/>
      <c r="R64" s="12" t="b">
        <v>1</v>
      </c>
      <c r="S64" s="12" t="b">
        <v>0</v>
      </c>
      <c r="T64" s="13" t="s">
        <v>51</v>
      </c>
      <c r="U64" s="13" t="s">
        <v>171</v>
      </c>
      <c r="V64" s="13" t="s">
        <v>66</v>
      </c>
      <c r="W64" s="13" t="s">
        <v>432</v>
      </c>
      <c r="X64" s="15">
        <v>44482.0</v>
      </c>
      <c r="Y64" s="15">
        <v>44482.0</v>
      </c>
      <c r="Z64" s="16"/>
      <c r="AA64" s="17" t="s">
        <v>55</v>
      </c>
      <c r="AB64" s="16">
        <v>44446.0</v>
      </c>
      <c r="AC64" s="17" t="s">
        <v>55</v>
      </c>
      <c r="AD64" s="16">
        <v>44450.0</v>
      </c>
      <c r="AE64" s="17" t="s">
        <v>56</v>
      </c>
      <c r="AF64" s="16">
        <v>44482.0</v>
      </c>
      <c r="AG64" s="17" t="s">
        <v>56</v>
      </c>
      <c r="AH64" s="16">
        <v>44504.0</v>
      </c>
      <c r="AI64" s="17" t="s">
        <v>230</v>
      </c>
      <c r="AJ64" s="16">
        <v>44558.0</v>
      </c>
      <c r="AK64" s="17" t="s">
        <v>367</v>
      </c>
      <c r="AL64" s="17" t="s">
        <v>108</v>
      </c>
      <c r="AM64" s="17" t="s">
        <v>171</v>
      </c>
      <c r="AN64" s="17" t="s">
        <v>108</v>
      </c>
      <c r="AO64" s="17" t="s">
        <v>87</v>
      </c>
      <c r="AP64" s="18" t="s">
        <v>58</v>
      </c>
      <c r="AQ64" s="16"/>
    </row>
    <row r="65" ht="15.75" hidden="1" customHeight="1">
      <c r="A65" s="10" t="s">
        <v>433</v>
      </c>
      <c r="B65" s="10" t="s">
        <v>434</v>
      </c>
      <c r="C65" s="10" t="str">
        <f>VLOOKUP(A65,import!A:C,3,0)</f>
        <v>DOĞRU</v>
      </c>
      <c r="D65" s="10" t="s">
        <v>118</v>
      </c>
      <c r="E65" s="10">
        <f>VLOOKUP(A65,import!A:J,5,0)</f>
        <v>1395</v>
      </c>
      <c r="F65" s="10">
        <f>VLOOKUP(A65,import!A:J,6,0)</f>
        <v>59</v>
      </c>
      <c r="G65" s="10">
        <f>VLOOKUP(A65,import!A:J,7,0)</f>
        <v>0</v>
      </c>
      <c r="H65" s="10">
        <f>VLOOKUP(A65,import!A:J,8,0)</f>
        <v>32</v>
      </c>
      <c r="I65" s="10">
        <f>VLOOKUP(A65,import!A:J,9,0)</f>
        <v>32</v>
      </c>
      <c r="J65" s="11">
        <f>VLOOKUP(A65,import!A:J,10,0)</f>
        <v>0</v>
      </c>
      <c r="K65" s="10" t="s">
        <v>435</v>
      </c>
      <c r="L65" s="10">
        <v>3.245033303E9</v>
      </c>
      <c r="M65" s="10" t="s">
        <v>156</v>
      </c>
      <c r="N65" s="10" t="s">
        <v>222</v>
      </c>
      <c r="O65" s="10" t="s">
        <v>436</v>
      </c>
      <c r="P65" s="10" t="str">
        <f>VLOOKUP(A65,import!A:P,16,0)</f>
        <v>Geleneksel</v>
      </c>
      <c r="Q65" s="12" t="s">
        <v>146</v>
      </c>
      <c r="R65" s="12" t="b">
        <v>1</v>
      </c>
      <c r="S65" s="12" t="b">
        <v>0</v>
      </c>
      <c r="T65" s="14" t="s">
        <v>130</v>
      </c>
      <c r="U65" s="14" t="s">
        <v>437</v>
      </c>
      <c r="V65" s="14" t="s">
        <v>66</v>
      </c>
      <c r="W65" s="28" t="s">
        <v>438</v>
      </c>
      <c r="X65" s="29">
        <v>44302.0</v>
      </c>
      <c r="Y65" s="29">
        <v>44305.0</v>
      </c>
      <c r="Z65" s="16"/>
      <c r="AA65" s="16"/>
      <c r="AB65" s="16"/>
      <c r="AC65" s="16"/>
      <c r="AD65" s="16"/>
      <c r="AE65" s="17"/>
      <c r="AF65" s="16"/>
      <c r="AG65" s="17"/>
      <c r="AH65" s="16"/>
      <c r="AI65" s="16"/>
      <c r="AJ65" s="16"/>
      <c r="AK65" s="16"/>
      <c r="AL65" s="16"/>
      <c r="AM65" s="16"/>
      <c r="AN65" s="16"/>
      <c r="AO65" s="16"/>
      <c r="AP65" s="18" t="s">
        <v>58</v>
      </c>
      <c r="AQ65" s="16"/>
    </row>
    <row r="66" ht="15.75" hidden="1" customHeight="1">
      <c r="A66" s="10" t="s">
        <v>439</v>
      </c>
      <c r="B66" s="10" t="s">
        <v>440</v>
      </c>
      <c r="C66" s="10" t="str">
        <f>VLOOKUP(A66,import!A:C,3,0)</f>
        <v>DOĞRU</v>
      </c>
      <c r="D66" s="10" t="s">
        <v>80</v>
      </c>
      <c r="E66" s="10">
        <f>VLOOKUP(A66,import!A:J,5,0)</f>
        <v>886</v>
      </c>
      <c r="F66" s="10">
        <f>VLOOKUP(A66,import!A:J,6,0)</f>
        <v>66</v>
      </c>
      <c r="G66" s="10">
        <f>VLOOKUP(A66,import!A:J,7,0)</f>
        <v>14</v>
      </c>
      <c r="H66" s="10">
        <f>VLOOKUP(A66,import!A:J,8,0)</f>
        <v>1</v>
      </c>
      <c r="I66" s="10">
        <f>VLOOKUP(A66,import!A:J,9,0)</f>
        <v>15</v>
      </c>
      <c r="J66" s="11">
        <f>VLOOKUP(A66,import!A:J,10,0)</f>
        <v>0.93</v>
      </c>
      <c r="K66" s="10" t="s">
        <v>441</v>
      </c>
      <c r="L66" s="10">
        <v>5.357711059E9</v>
      </c>
      <c r="M66" s="10" t="s">
        <v>215</v>
      </c>
      <c r="N66" s="10" t="s">
        <v>442</v>
      </c>
      <c r="O66" s="10" t="s">
        <v>443</v>
      </c>
      <c r="P66" s="10" t="str">
        <f>VLOOKUP(A66,import!A:P,16,0)</f>
        <v>Geleneksel</v>
      </c>
      <c r="Q66" s="12"/>
      <c r="R66" s="12" t="b">
        <v>1</v>
      </c>
      <c r="S66" s="12" t="b">
        <v>0</v>
      </c>
      <c r="T66" s="13" t="s">
        <v>51</v>
      </c>
      <c r="U66" s="13" t="s">
        <v>87</v>
      </c>
      <c r="V66" s="13" t="s">
        <v>53</v>
      </c>
      <c r="W66" s="13"/>
      <c r="X66" s="15">
        <v>44480.0</v>
      </c>
      <c r="Y66" s="15">
        <v>44481.0</v>
      </c>
      <c r="Z66" s="16"/>
      <c r="AA66" s="17" t="s">
        <v>56</v>
      </c>
      <c r="AB66" s="16">
        <v>44480.0</v>
      </c>
      <c r="AC66" s="16"/>
      <c r="AD66" s="16"/>
      <c r="AE66" s="17"/>
      <c r="AF66" s="16"/>
      <c r="AG66" s="17"/>
      <c r="AH66" s="16"/>
      <c r="AI66" s="16"/>
      <c r="AJ66" s="16"/>
      <c r="AK66" s="17" t="s">
        <v>87</v>
      </c>
      <c r="AL66" s="16"/>
      <c r="AM66" s="16"/>
      <c r="AN66" s="16"/>
      <c r="AO66" s="16"/>
      <c r="AP66" s="18" t="s">
        <v>58</v>
      </c>
      <c r="AQ66" s="16"/>
    </row>
    <row r="67" ht="15.75" hidden="1" customHeight="1">
      <c r="A67" s="10" t="s">
        <v>444</v>
      </c>
      <c r="B67" s="10" t="s">
        <v>445</v>
      </c>
      <c r="C67" s="10" t="str">
        <f>VLOOKUP(A67,import!A:C,3,0)</f>
        <v>DOĞRU</v>
      </c>
      <c r="D67" s="10" t="s">
        <v>70</v>
      </c>
      <c r="E67" s="10">
        <f>VLOOKUP(A67,import!A:J,5,0)</f>
        <v>1690</v>
      </c>
      <c r="F67" s="10">
        <f>VLOOKUP(A67,import!A:J,6,0)</f>
        <v>125</v>
      </c>
      <c r="G67" s="10">
        <f>VLOOKUP(A67,import!A:J,7,0)</f>
        <v>0</v>
      </c>
      <c r="H67" s="10">
        <f>VLOOKUP(A67,import!A:J,8,0)</f>
        <v>11</v>
      </c>
      <c r="I67" s="10">
        <f>VLOOKUP(A67,import!A:J,9,0)</f>
        <v>11</v>
      </c>
      <c r="J67" s="11">
        <f>VLOOKUP(A67,import!A:J,10,0)</f>
        <v>0</v>
      </c>
      <c r="K67" s="10" t="s">
        <v>446</v>
      </c>
      <c r="L67" s="10">
        <v>3.246132121E9</v>
      </c>
      <c r="M67" s="10" t="s">
        <v>156</v>
      </c>
      <c r="N67" s="10" t="s">
        <v>447</v>
      </c>
      <c r="O67" s="10" t="s">
        <v>448</v>
      </c>
      <c r="P67" s="10" t="str">
        <f>VLOOKUP(A67,import!A:P,16,0)</f>
        <v>Geleneksel</v>
      </c>
      <c r="Q67" s="12"/>
      <c r="R67" s="12" t="b">
        <v>0</v>
      </c>
      <c r="S67" s="12" t="b">
        <v>0</v>
      </c>
      <c r="T67" s="13"/>
      <c r="U67" s="13"/>
      <c r="V67" s="13"/>
      <c r="W67" s="13"/>
      <c r="X67" s="15"/>
      <c r="Y67" s="15"/>
      <c r="Z67" s="16"/>
      <c r="AA67" s="16"/>
      <c r="AB67" s="16"/>
      <c r="AC67" s="16"/>
      <c r="AD67" s="16"/>
      <c r="AE67" s="17"/>
      <c r="AF67" s="16"/>
      <c r="AG67" s="17"/>
      <c r="AH67" s="16"/>
      <c r="AI67" s="16"/>
      <c r="AJ67" s="16"/>
      <c r="AK67" s="16"/>
      <c r="AL67" s="16"/>
      <c r="AM67" s="16"/>
      <c r="AN67" s="16"/>
      <c r="AO67" s="16"/>
      <c r="AP67" s="18" t="s">
        <v>58</v>
      </c>
      <c r="AQ67" s="16"/>
    </row>
    <row r="68" ht="15.75" hidden="1" customHeight="1">
      <c r="A68" s="10" t="s">
        <v>449</v>
      </c>
      <c r="B68" s="10" t="s">
        <v>450</v>
      </c>
      <c r="C68" s="10" t="str">
        <f>VLOOKUP(A68,import!A:C,3,0)</f>
        <v>DOĞRU</v>
      </c>
      <c r="D68" s="10" t="s">
        <v>451</v>
      </c>
      <c r="E68" s="10">
        <f>VLOOKUP(A68,import!A:J,5,0)</f>
        <v>7815</v>
      </c>
      <c r="F68" s="10">
        <f>VLOOKUP(A68,import!A:J,6,0)</f>
        <v>658</v>
      </c>
      <c r="G68" s="10">
        <f>VLOOKUP(A68,import!A:J,7,0)</f>
        <v>40</v>
      </c>
      <c r="H68" s="10">
        <f>VLOOKUP(A68,import!A:J,8,0)</f>
        <v>11</v>
      </c>
      <c r="I68" s="10">
        <f>VLOOKUP(A68,import!A:J,9,0)</f>
        <v>51</v>
      </c>
      <c r="J68" s="11">
        <f>VLOOKUP(A68,import!A:J,10,0)</f>
        <v>0.78</v>
      </c>
      <c r="K68" s="10" t="s">
        <v>452</v>
      </c>
      <c r="L68" s="10">
        <v>5.462334534E9</v>
      </c>
      <c r="M68" s="10" t="s">
        <v>72</v>
      </c>
      <c r="N68" s="10" t="s">
        <v>82</v>
      </c>
      <c r="O68" s="10" t="s">
        <v>453</v>
      </c>
      <c r="P68" s="10" t="str">
        <f>VLOOKUP(A68,import!A:P,16,0)</f>
        <v>Geleneksel</v>
      </c>
      <c r="Q68" s="12"/>
      <c r="R68" s="12" t="b">
        <v>1</v>
      </c>
      <c r="S68" s="12" t="b">
        <v>0</v>
      </c>
      <c r="T68" s="27" t="s">
        <v>248</v>
      </c>
      <c r="U68" s="13"/>
      <c r="V68" s="13"/>
      <c r="W68" s="13" t="s">
        <v>454</v>
      </c>
      <c r="X68" s="15"/>
      <c r="Y68" s="15"/>
      <c r="Z68" s="16"/>
      <c r="AA68" s="17" t="s">
        <v>56</v>
      </c>
      <c r="AB68" s="16">
        <v>44536.0</v>
      </c>
      <c r="AC68" s="16"/>
      <c r="AD68" s="16"/>
      <c r="AE68" s="17"/>
      <c r="AF68" s="16"/>
      <c r="AG68" s="17"/>
      <c r="AH68" s="16"/>
      <c r="AI68" s="16"/>
      <c r="AJ68" s="16"/>
      <c r="AK68" s="17" t="s">
        <v>89</v>
      </c>
      <c r="AL68" s="16"/>
      <c r="AM68" s="16"/>
      <c r="AN68" s="16"/>
      <c r="AO68" s="16"/>
      <c r="AP68" s="18" t="s">
        <v>58</v>
      </c>
      <c r="AQ68" s="16"/>
    </row>
    <row r="69" ht="15.75" customHeight="1">
      <c r="A69" s="10" t="s">
        <v>455</v>
      </c>
      <c r="B69" s="10" t="s">
        <v>456</v>
      </c>
      <c r="C69" s="10" t="str">
        <f>VLOOKUP(A69,import!A:C,3,0)</f>
        <v>DOĞRU</v>
      </c>
      <c r="D69" s="10" t="s">
        <v>372</v>
      </c>
      <c r="E69" s="10">
        <f>VLOOKUP(A69,import!A:J,5,0)</f>
        <v>27394</v>
      </c>
      <c r="F69" s="10">
        <f>VLOOKUP(A69,import!A:J,6,0)</f>
        <v>1176</v>
      </c>
      <c r="G69" s="10">
        <f>VLOOKUP(A69,import!A:J,7,0)</f>
        <v>47</v>
      </c>
      <c r="H69" s="10">
        <f>VLOOKUP(A69,import!A:J,8,0)</f>
        <v>48</v>
      </c>
      <c r="I69" s="10">
        <f>VLOOKUP(A69,import!A:J,9,0)</f>
        <v>95</v>
      </c>
      <c r="J69" s="11">
        <f>VLOOKUP(A69,import!A:J,10,0)</f>
        <v>0.49</v>
      </c>
      <c r="K69" s="10" t="s">
        <v>457</v>
      </c>
      <c r="L69" s="10">
        <v>5.354218217E9</v>
      </c>
      <c r="M69" s="10" t="s">
        <v>63</v>
      </c>
      <c r="N69" s="10" t="s">
        <v>93</v>
      </c>
      <c r="O69" s="10" t="s">
        <v>458</v>
      </c>
      <c r="P69" s="10" t="str">
        <f>VLOOKUP(A69,import!A:P,16,0)</f>
        <v>Geleneksel</v>
      </c>
      <c r="Q69" s="12" t="s">
        <v>84</v>
      </c>
      <c r="R69" s="12" t="b">
        <v>1</v>
      </c>
      <c r="S69" s="12" t="b">
        <v>0</v>
      </c>
      <c r="T69" s="13" t="s">
        <v>51</v>
      </c>
      <c r="U69" s="13" t="s">
        <v>52</v>
      </c>
      <c r="V69" s="13" t="s">
        <v>53</v>
      </c>
      <c r="W69" s="13" t="s">
        <v>459</v>
      </c>
      <c r="X69" s="15">
        <v>44298.0</v>
      </c>
      <c r="Y69" s="15">
        <v>44299.0</v>
      </c>
      <c r="Z69" s="16"/>
      <c r="AA69" s="17" t="s">
        <v>56</v>
      </c>
      <c r="AB69" s="16">
        <v>44573.0</v>
      </c>
      <c r="AC69" s="16"/>
      <c r="AD69" s="16"/>
      <c r="AE69" s="17"/>
      <c r="AF69" s="16"/>
      <c r="AG69" s="17"/>
      <c r="AH69" s="16"/>
      <c r="AI69" s="16"/>
      <c r="AJ69" s="16"/>
      <c r="AK69" s="17" t="s">
        <v>89</v>
      </c>
      <c r="AL69" s="16"/>
      <c r="AM69" s="16"/>
      <c r="AN69" s="16"/>
      <c r="AO69" s="16"/>
      <c r="AP69" s="18" t="s">
        <v>58</v>
      </c>
      <c r="AQ69" s="16"/>
    </row>
    <row r="70" ht="15.75" customHeight="1">
      <c r="A70" s="10" t="s">
        <v>460</v>
      </c>
      <c r="B70" s="10" t="s">
        <v>461</v>
      </c>
      <c r="C70" s="10" t="str">
        <f>VLOOKUP(A70,import!A:C,3,0)</f>
        <v>DOĞRU</v>
      </c>
      <c r="D70" s="10" t="s">
        <v>118</v>
      </c>
      <c r="E70" s="10" t="str">
        <f>VLOOKUP(A70,import!A:J,5,0)</f>
        <v/>
      </c>
      <c r="F70" s="10" t="str">
        <f>VLOOKUP(A70,import!A:J,6,0)</f>
        <v/>
      </c>
      <c r="G70" s="10">
        <f>VLOOKUP(A70,import!A:J,7,0)</f>
        <v>0</v>
      </c>
      <c r="H70" s="10">
        <f>VLOOKUP(A70,import!A:J,8,0)</f>
        <v>19</v>
      </c>
      <c r="I70" s="10">
        <f>VLOOKUP(A70,import!A:J,9,0)</f>
        <v>19</v>
      </c>
      <c r="J70" s="11">
        <f>VLOOKUP(A70,import!A:J,10,0)</f>
        <v>0</v>
      </c>
      <c r="K70" s="10" t="s">
        <v>462</v>
      </c>
      <c r="L70" s="10">
        <v>5.067190992E9</v>
      </c>
      <c r="M70" s="10" t="s">
        <v>137</v>
      </c>
      <c r="N70" s="10" t="s">
        <v>463</v>
      </c>
      <c r="O70" s="10" t="s">
        <v>464</v>
      </c>
      <c r="P70" s="10" t="str">
        <f>VLOOKUP(A70,import!A:P,16,0)</f>
        <v>Geleneksel</v>
      </c>
      <c r="Q70" s="12"/>
      <c r="R70" s="12" t="b">
        <v>1</v>
      </c>
      <c r="S70" s="12" t="b">
        <v>0</v>
      </c>
      <c r="T70" s="13" t="s">
        <v>130</v>
      </c>
      <c r="U70" s="13" t="s">
        <v>89</v>
      </c>
      <c r="V70" s="17" t="s">
        <v>66</v>
      </c>
      <c r="W70" s="13" t="s">
        <v>465</v>
      </c>
      <c r="X70" s="15">
        <v>44649.0</v>
      </c>
      <c r="Y70" s="15">
        <v>44651.0</v>
      </c>
      <c r="Z70" s="16"/>
      <c r="AA70" s="17" t="s">
        <v>86</v>
      </c>
      <c r="AB70" s="16">
        <v>44579.0</v>
      </c>
      <c r="AC70" s="17" t="s">
        <v>56</v>
      </c>
      <c r="AD70" s="16">
        <v>44649.0</v>
      </c>
      <c r="AE70" s="17"/>
      <c r="AF70" s="16"/>
      <c r="AG70" s="17"/>
      <c r="AH70" s="16"/>
      <c r="AI70" s="16"/>
      <c r="AJ70" s="16"/>
      <c r="AK70" s="17" t="s">
        <v>52</v>
      </c>
      <c r="AL70" s="17" t="s">
        <v>89</v>
      </c>
      <c r="AM70" s="16"/>
      <c r="AN70" s="16"/>
      <c r="AO70" s="16"/>
      <c r="AP70" s="18"/>
      <c r="AQ70" s="16"/>
    </row>
    <row r="71" ht="15.75" hidden="1" customHeight="1">
      <c r="A71" s="10" t="s">
        <v>466</v>
      </c>
      <c r="B71" s="10" t="s">
        <v>467</v>
      </c>
      <c r="C71" s="10" t="str">
        <f>VLOOKUP(A71,import!A:C,3,0)</f>
        <v>DOĞRU</v>
      </c>
      <c r="D71" s="10" t="s">
        <v>356</v>
      </c>
      <c r="E71" s="10">
        <f>VLOOKUP(A71,import!A:J,5,0)</f>
        <v>94</v>
      </c>
      <c r="F71" s="10">
        <f>VLOOKUP(A71,import!A:J,6,0)</f>
        <v>7</v>
      </c>
      <c r="G71" s="10">
        <f>VLOOKUP(A71,import!A:J,7,0)</f>
        <v>0</v>
      </c>
      <c r="H71" s="10">
        <f>VLOOKUP(A71,import!A:J,8,0)</f>
        <v>38</v>
      </c>
      <c r="I71" s="10">
        <f>VLOOKUP(A71,import!A:J,9,0)</f>
        <v>38</v>
      </c>
      <c r="J71" s="11">
        <f>VLOOKUP(A71,import!A:J,10,0)</f>
        <v>0</v>
      </c>
      <c r="K71" s="10" t="s">
        <v>468</v>
      </c>
      <c r="L71" s="10">
        <v>5.525296565E9</v>
      </c>
      <c r="M71" s="10" t="s">
        <v>72</v>
      </c>
      <c r="N71" s="10" t="s">
        <v>73</v>
      </c>
      <c r="O71" s="10" t="s">
        <v>469</v>
      </c>
      <c r="P71" s="10" t="str">
        <f>VLOOKUP(A71,import!A:P,16,0)</f>
        <v>Geleneksel</v>
      </c>
      <c r="Q71" s="12"/>
      <c r="R71" s="12" t="b">
        <v>1</v>
      </c>
      <c r="S71" s="12" t="b">
        <v>1</v>
      </c>
      <c r="T71" s="13"/>
      <c r="U71" s="13"/>
      <c r="V71" s="13"/>
      <c r="W71" s="13" t="s">
        <v>470</v>
      </c>
      <c r="X71" s="15"/>
      <c r="Y71" s="15"/>
      <c r="Z71" s="16"/>
      <c r="AA71" s="17" t="s">
        <v>56</v>
      </c>
      <c r="AB71" s="16">
        <v>44262.0</v>
      </c>
      <c r="AC71" s="17" t="s">
        <v>56</v>
      </c>
      <c r="AD71" s="16">
        <v>44629.0</v>
      </c>
      <c r="AE71" s="17"/>
      <c r="AF71" s="16"/>
      <c r="AG71" s="17"/>
      <c r="AH71" s="16"/>
      <c r="AI71" s="16"/>
      <c r="AJ71" s="16"/>
      <c r="AK71" s="17" t="s">
        <v>52</v>
      </c>
      <c r="AL71" s="17" t="s">
        <v>133</v>
      </c>
      <c r="AM71" s="16"/>
      <c r="AN71" s="16"/>
      <c r="AO71" s="16"/>
      <c r="AP71" s="18"/>
      <c r="AQ71" s="16"/>
    </row>
    <row r="72" ht="15.75" hidden="1" customHeight="1">
      <c r="A72" s="10" t="s">
        <v>471</v>
      </c>
      <c r="B72" s="10" t="s">
        <v>472</v>
      </c>
      <c r="C72" s="10" t="str">
        <f>VLOOKUP(A72,import!A:C,3,0)</f>
        <v>DOĞRU</v>
      </c>
      <c r="D72" s="10" t="s">
        <v>106</v>
      </c>
      <c r="E72" s="10">
        <f>VLOOKUP(A72,import!A:J,5,0)</f>
        <v>55667</v>
      </c>
      <c r="F72" s="10">
        <f>VLOOKUP(A72,import!A:J,6,0)</f>
        <v>2031</v>
      </c>
      <c r="G72" s="10">
        <f>VLOOKUP(A72,import!A:J,7,0)</f>
        <v>2</v>
      </c>
      <c r="H72" s="10">
        <f>VLOOKUP(A72,import!A:J,8,0)</f>
        <v>5</v>
      </c>
      <c r="I72" s="10">
        <f>VLOOKUP(A72,import!A:J,9,0)</f>
        <v>7</v>
      </c>
      <c r="J72" s="11">
        <f>VLOOKUP(A72,import!A:J,10,0)</f>
        <v>0.29</v>
      </c>
      <c r="K72" s="10" t="s">
        <v>473</v>
      </c>
      <c r="L72" s="10">
        <v>3.243267318E9</v>
      </c>
      <c r="M72" s="10" t="s">
        <v>72</v>
      </c>
      <c r="N72" s="10" t="s">
        <v>73</v>
      </c>
      <c r="O72" s="10" t="s">
        <v>474</v>
      </c>
      <c r="P72" s="10" t="str">
        <f>VLOOKUP(A72,import!A:P,16,0)</f>
        <v>Geleneksel</v>
      </c>
      <c r="Q72" s="12" t="s">
        <v>50</v>
      </c>
      <c r="R72" s="12" t="b">
        <v>1</v>
      </c>
      <c r="S72" s="12" t="b">
        <v>0</v>
      </c>
      <c r="T72" s="14" t="s">
        <v>51</v>
      </c>
      <c r="U72" s="14" t="s">
        <v>267</v>
      </c>
      <c r="V72" s="17" t="s">
        <v>131</v>
      </c>
      <c r="W72" s="14" t="s">
        <v>475</v>
      </c>
      <c r="X72" s="29">
        <v>44656.0</v>
      </c>
      <c r="Y72" s="29">
        <v>44662.0</v>
      </c>
      <c r="Z72" s="16"/>
      <c r="AA72" s="17" t="s">
        <v>56</v>
      </c>
      <c r="AB72" s="16">
        <v>44551.0</v>
      </c>
      <c r="AC72" s="17" t="s">
        <v>56</v>
      </c>
      <c r="AD72" s="16">
        <v>44651.0</v>
      </c>
      <c r="AE72" s="17" t="s">
        <v>56</v>
      </c>
      <c r="AF72" s="16">
        <v>44656.0</v>
      </c>
      <c r="AG72" s="17"/>
      <c r="AH72" s="16"/>
      <c r="AI72" s="16"/>
      <c r="AJ72" s="16"/>
      <c r="AK72" s="17" t="s">
        <v>133</v>
      </c>
      <c r="AL72" s="17" t="s">
        <v>89</v>
      </c>
      <c r="AM72" s="17" t="s">
        <v>89</v>
      </c>
      <c r="AN72" s="16"/>
      <c r="AO72" s="16"/>
      <c r="AP72" s="18" t="s">
        <v>58</v>
      </c>
      <c r="AQ72" s="16"/>
    </row>
    <row r="73" ht="15.75" hidden="1" customHeight="1">
      <c r="A73" s="10" t="s">
        <v>476</v>
      </c>
      <c r="B73" s="10" t="s">
        <v>477</v>
      </c>
      <c r="C73" s="10" t="str">
        <f>VLOOKUP(A73,import!A:C,3,0)</f>
        <v>DOĞRU</v>
      </c>
      <c r="D73" s="10" t="s">
        <v>70</v>
      </c>
      <c r="E73" s="10">
        <f>VLOOKUP(A73,import!A:J,5,0)</f>
        <v>712</v>
      </c>
      <c r="F73" s="10">
        <f>VLOOKUP(A73,import!A:J,6,0)</f>
        <v>30</v>
      </c>
      <c r="G73" s="10">
        <f>VLOOKUP(A73,import!A:J,7,0)</f>
        <v>9</v>
      </c>
      <c r="H73" s="10">
        <f>VLOOKUP(A73,import!A:J,8,0)</f>
        <v>26</v>
      </c>
      <c r="I73" s="10">
        <f>VLOOKUP(A73,import!A:J,9,0)</f>
        <v>35</v>
      </c>
      <c r="J73" s="11">
        <f>VLOOKUP(A73,import!A:J,10,0)</f>
        <v>0.26</v>
      </c>
      <c r="K73" s="10" t="s">
        <v>478</v>
      </c>
      <c r="L73" s="10">
        <v>5.394236637E9</v>
      </c>
      <c r="M73" s="10" t="s">
        <v>47</v>
      </c>
      <c r="N73" s="10" t="s">
        <v>479</v>
      </c>
      <c r="O73" s="10" t="s">
        <v>480</v>
      </c>
      <c r="P73" s="10" t="str">
        <f>VLOOKUP(A73,import!A:P,16,0)</f>
        <v>Geleneksel</v>
      </c>
      <c r="Q73" s="12"/>
      <c r="R73" s="12" t="b">
        <v>1</v>
      </c>
      <c r="S73" s="12" t="b">
        <v>0</v>
      </c>
      <c r="T73" s="13" t="s">
        <v>51</v>
      </c>
      <c r="U73" s="13" t="s">
        <v>52</v>
      </c>
      <c r="V73" s="13" t="s">
        <v>66</v>
      </c>
      <c r="W73" s="13"/>
      <c r="X73" s="15">
        <v>44531.0</v>
      </c>
      <c r="Y73" s="15">
        <v>44533.0</v>
      </c>
      <c r="Z73" s="16"/>
      <c r="AA73" s="17" t="s">
        <v>56</v>
      </c>
      <c r="AB73" s="16">
        <v>44531.0</v>
      </c>
      <c r="AC73" s="16"/>
      <c r="AD73" s="16"/>
      <c r="AE73" s="17"/>
      <c r="AF73" s="16"/>
      <c r="AG73" s="17"/>
      <c r="AH73" s="16"/>
      <c r="AI73" s="16"/>
      <c r="AJ73" s="16"/>
      <c r="AK73" s="17" t="s">
        <v>52</v>
      </c>
      <c r="AL73" s="16"/>
      <c r="AM73" s="16"/>
      <c r="AN73" s="16"/>
      <c r="AO73" s="16"/>
      <c r="AP73" s="18" t="s">
        <v>58</v>
      </c>
      <c r="AQ73" s="16"/>
    </row>
    <row r="74" ht="15.75" hidden="1" customHeight="1">
      <c r="A74" s="10" t="s">
        <v>481</v>
      </c>
      <c r="B74" s="10" t="s">
        <v>482</v>
      </c>
      <c r="C74" s="10" t="str">
        <f>VLOOKUP(A74,import!A:C,3,0)</f>
        <v>DOĞRU</v>
      </c>
      <c r="D74" s="10" t="s">
        <v>80</v>
      </c>
      <c r="E74" s="10">
        <f>VLOOKUP(A74,import!A:J,5,0)</f>
        <v>1766</v>
      </c>
      <c r="F74" s="10">
        <f>VLOOKUP(A74,import!A:J,6,0)</f>
        <v>187</v>
      </c>
      <c r="G74" s="10">
        <f>VLOOKUP(A74,import!A:J,7,0)</f>
        <v>0</v>
      </c>
      <c r="H74" s="10">
        <f>VLOOKUP(A74,import!A:J,8,0)</f>
        <v>7</v>
      </c>
      <c r="I74" s="10">
        <f>VLOOKUP(A74,import!A:J,9,0)</f>
        <v>7</v>
      </c>
      <c r="J74" s="11">
        <f>VLOOKUP(A74,import!A:J,10,0)</f>
        <v>0</v>
      </c>
      <c r="K74" s="10" t="s">
        <v>483</v>
      </c>
      <c r="L74" s="10">
        <v>3.24515113E9</v>
      </c>
      <c r="M74" s="10" t="s">
        <v>47</v>
      </c>
      <c r="N74" s="10" t="s">
        <v>479</v>
      </c>
      <c r="O74" s="10" t="s">
        <v>484</v>
      </c>
      <c r="P74" s="10" t="str">
        <f>VLOOKUP(A74,import!A:P,16,0)</f>
        <v>Geleneksel</v>
      </c>
      <c r="Q74" s="12"/>
      <c r="R74" s="12" t="b">
        <v>0</v>
      </c>
      <c r="S74" s="12" t="b">
        <v>0</v>
      </c>
      <c r="T74" s="13" t="s">
        <v>485</v>
      </c>
      <c r="U74" s="13"/>
      <c r="V74" s="23"/>
      <c r="W74" s="13"/>
      <c r="X74" s="15"/>
      <c r="Y74" s="15"/>
      <c r="Z74" s="16"/>
      <c r="AA74" s="16"/>
      <c r="AB74" s="16"/>
      <c r="AC74" s="16"/>
      <c r="AD74" s="16"/>
      <c r="AE74" s="17"/>
      <c r="AF74" s="16"/>
      <c r="AG74" s="17"/>
      <c r="AH74" s="16"/>
      <c r="AI74" s="16"/>
      <c r="AJ74" s="16"/>
      <c r="AK74" s="16"/>
      <c r="AL74" s="16"/>
      <c r="AM74" s="16"/>
      <c r="AN74" s="16"/>
      <c r="AO74" s="16"/>
      <c r="AP74" s="18" t="s">
        <v>58</v>
      </c>
      <c r="AQ74" s="16"/>
    </row>
    <row r="75" ht="15.75" hidden="1" customHeight="1">
      <c r="A75" s="10" t="s">
        <v>486</v>
      </c>
      <c r="B75" s="10" t="s">
        <v>487</v>
      </c>
      <c r="C75" s="10" t="str">
        <f>VLOOKUP(A75,import!A:C,3,0)</f>
        <v>DOĞRU</v>
      </c>
      <c r="D75" s="10" t="s">
        <v>363</v>
      </c>
      <c r="E75" s="10">
        <f>VLOOKUP(A75,import!A:J,5,0)</f>
        <v>978</v>
      </c>
      <c r="F75" s="10">
        <f>VLOOKUP(A75,import!A:J,6,0)</f>
        <v>70</v>
      </c>
      <c r="G75" s="10">
        <f>VLOOKUP(A75,import!A:J,7,0)</f>
        <v>0</v>
      </c>
      <c r="H75" s="10">
        <f>VLOOKUP(A75,import!A:J,8,0)</f>
        <v>15</v>
      </c>
      <c r="I75" s="10">
        <f>VLOOKUP(A75,import!A:J,9,0)</f>
        <v>15</v>
      </c>
      <c r="J75" s="11">
        <f>VLOOKUP(A75,import!A:J,10,0)</f>
        <v>0</v>
      </c>
      <c r="K75" s="10" t="s">
        <v>488</v>
      </c>
      <c r="L75" s="10">
        <v>3.243571314E9</v>
      </c>
      <c r="M75" s="10" t="s">
        <v>47</v>
      </c>
      <c r="N75" s="10" t="s">
        <v>489</v>
      </c>
      <c r="O75" s="10" t="s">
        <v>490</v>
      </c>
      <c r="P75" s="10" t="str">
        <f>VLOOKUP(A75,import!A:P,16,0)</f>
        <v>Geleneksel</v>
      </c>
      <c r="Q75" s="12"/>
      <c r="R75" s="12" t="b">
        <v>1</v>
      </c>
      <c r="S75" s="12" t="b">
        <v>0</v>
      </c>
      <c r="T75" s="13"/>
      <c r="U75" s="13"/>
      <c r="V75" s="13"/>
      <c r="W75" s="13" t="s">
        <v>491</v>
      </c>
      <c r="X75" s="15"/>
      <c r="Y75" s="15"/>
      <c r="Z75" s="16"/>
      <c r="AA75" s="17" t="s">
        <v>55</v>
      </c>
      <c r="AB75" s="16">
        <v>44499.0</v>
      </c>
      <c r="AC75" s="17" t="s">
        <v>265</v>
      </c>
      <c r="AD75" s="16">
        <v>44538.0</v>
      </c>
      <c r="AE75" s="17"/>
      <c r="AF75" s="16"/>
      <c r="AG75" s="17"/>
      <c r="AH75" s="16"/>
      <c r="AI75" s="16"/>
      <c r="AJ75" s="16"/>
      <c r="AK75" s="17" t="s">
        <v>89</v>
      </c>
      <c r="AL75" s="17" t="s">
        <v>103</v>
      </c>
      <c r="AM75" s="16"/>
      <c r="AN75" s="16"/>
      <c r="AO75" s="16"/>
      <c r="AP75" s="18" t="s">
        <v>58</v>
      </c>
      <c r="AQ75" s="16"/>
    </row>
    <row r="76" ht="15.75" hidden="1" customHeight="1">
      <c r="A76" s="10" t="s">
        <v>492</v>
      </c>
      <c r="B76" s="10" t="s">
        <v>493</v>
      </c>
      <c r="C76" s="10" t="str">
        <f>VLOOKUP(A76,import!A:C,3,0)</f>
        <v>DOĞRU</v>
      </c>
      <c r="D76" s="10" t="s">
        <v>363</v>
      </c>
      <c r="E76" s="10">
        <f>VLOOKUP(A76,import!A:J,5,0)</f>
        <v>128</v>
      </c>
      <c r="F76" s="10">
        <f>VLOOKUP(A76,import!A:J,6,0)</f>
        <v>1</v>
      </c>
      <c r="G76" s="10">
        <f>VLOOKUP(A76,import!A:J,7,0)</f>
        <v>34</v>
      </c>
      <c r="H76" s="10">
        <f>VLOOKUP(A76,import!A:J,8,0)</f>
        <v>73</v>
      </c>
      <c r="I76" s="10">
        <f>VLOOKUP(A76,import!A:J,9,0)</f>
        <v>107</v>
      </c>
      <c r="J76" s="11">
        <f>VLOOKUP(A76,import!A:J,10,0)</f>
        <v>0.32</v>
      </c>
      <c r="K76" s="10" t="s">
        <v>494</v>
      </c>
      <c r="L76" s="10">
        <v>5.312595314E9</v>
      </c>
      <c r="M76" s="10" t="s">
        <v>72</v>
      </c>
      <c r="N76" s="10" t="s">
        <v>113</v>
      </c>
      <c r="O76" s="10" t="s">
        <v>495</v>
      </c>
      <c r="P76" s="10" t="str">
        <f>VLOOKUP(A76,import!A:P,16,0)</f>
        <v>Geleneksel</v>
      </c>
      <c r="Q76" s="12"/>
      <c r="R76" s="12" t="b">
        <v>1</v>
      </c>
      <c r="S76" s="12" t="b">
        <v>0</v>
      </c>
      <c r="T76" s="13" t="s">
        <v>248</v>
      </c>
      <c r="U76" s="13"/>
      <c r="V76" s="13"/>
      <c r="W76" s="13"/>
      <c r="X76" s="15"/>
      <c r="Y76" s="15"/>
      <c r="Z76" s="16"/>
      <c r="AA76" s="16"/>
      <c r="AB76" s="16"/>
      <c r="AC76" s="16"/>
      <c r="AD76" s="16"/>
      <c r="AE76" s="17"/>
      <c r="AF76" s="16"/>
      <c r="AG76" s="17"/>
      <c r="AH76" s="16"/>
      <c r="AI76" s="16"/>
      <c r="AJ76" s="16"/>
      <c r="AK76" s="16"/>
      <c r="AL76" s="16"/>
      <c r="AM76" s="16"/>
      <c r="AN76" s="16"/>
      <c r="AO76" s="16"/>
      <c r="AP76" s="18" t="s">
        <v>58</v>
      </c>
      <c r="AQ76" s="16"/>
    </row>
    <row r="77" ht="15.75" hidden="1" customHeight="1">
      <c r="A77" s="10" t="s">
        <v>496</v>
      </c>
      <c r="B77" s="10" t="s">
        <v>497</v>
      </c>
      <c r="C77" s="10" t="str">
        <f>VLOOKUP(A77,import!A:C,3,0)</f>
        <v>DOĞRU</v>
      </c>
      <c r="D77" s="10" t="s">
        <v>498</v>
      </c>
      <c r="E77" s="10">
        <f>VLOOKUP(A77,import!A:J,5,0)</f>
        <v>905</v>
      </c>
      <c r="F77" s="10" t="str">
        <f>VLOOKUP(A77,import!A:J,6,0)</f>
        <v/>
      </c>
      <c r="G77" s="10">
        <f>VLOOKUP(A77,import!A:J,7,0)</f>
        <v>0</v>
      </c>
      <c r="H77" s="10">
        <f>VLOOKUP(A77,import!A:J,8,0)</f>
        <v>36</v>
      </c>
      <c r="I77" s="10">
        <f>VLOOKUP(A77,import!A:J,9,0)</f>
        <v>36</v>
      </c>
      <c r="J77" s="11">
        <f>VLOOKUP(A77,import!A:J,10,0)</f>
        <v>0</v>
      </c>
      <c r="K77" s="10" t="s">
        <v>499</v>
      </c>
      <c r="L77" s="10">
        <v>3.247140002E9</v>
      </c>
      <c r="M77" s="10" t="s">
        <v>187</v>
      </c>
      <c r="N77" s="10" t="s">
        <v>188</v>
      </c>
      <c r="O77" s="10" t="s">
        <v>500</v>
      </c>
      <c r="P77" s="10" t="str">
        <f>VLOOKUP(A77,import!A:P,16,0)</f>
        <v>Geleneksel</v>
      </c>
      <c r="Q77" s="12"/>
      <c r="R77" s="12" t="b">
        <v>0</v>
      </c>
      <c r="S77" s="12" t="b">
        <v>0</v>
      </c>
      <c r="T77" s="13" t="s">
        <v>485</v>
      </c>
      <c r="U77" s="13"/>
      <c r="V77" s="13"/>
      <c r="W77" s="13"/>
      <c r="X77" s="15"/>
      <c r="Y77" s="15"/>
      <c r="Z77" s="16"/>
      <c r="AA77" s="16"/>
      <c r="AB77" s="16"/>
      <c r="AC77" s="16"/>
      <c r="AD77" s="16"/>
      <c r="AE77" s="17"/>
      <c r="AF77" s="16"/>
      <c r="AG77" s="17"/>
      <c r="AH77" s="16"/>
      <c r="AI77" s="16"/>
      <c r="AJ77" s="16"/>
      <c r="AK77" s="16"/>
      <c r="AL77" s="16"/>
      <c r="AM77" s="16"/>
      <c r="AN77" s="16"/>
      <c r="AO77" s="16"/>
      <c r="AP77" s="18" t="s">
        <v>58</v>
      </c>
      <c r="AQ77" s="16"/>
    </row>
    <row r="78" ht="15.75" hidden="1" customHeight="1">
      <c r="A78" s="18" t="s">
        <v>501</v>
      </c>
      <c r="B78" s="18" t="s">
        <v>502</v>
      </c>
      <c r="C78" s="10" t="str">
        <f>VLOOKUP(A78,import!A:C,3,0)</f>
        <v>DOĞRU</v>
      </c>
      <c r="D78" s="18" t="s">
        <v>80</v>
      </c>
      <c r="E78" s="10">
        <f>VLOOKUP(A78,import!A:J,5,0)</f>
        <v>4</v>
      </c>
      <c r="F78" s="10">
        <f>VLOOKUP(A78,import!A:J,6,0)</f>
        <v>4</v>
      </c>
      <c r="G78" s="10">
        <f>VLOOKUP(A78,import!A:J,7,0)</f>
        <v>0</v>
      </c>
      <c r="H78" s="10">
        <f>VLOOKUP(A78,import!A:J,8,0)</f>
        <v>18</v>
      </c>
      <c r="I78" s="10">
        <f>VLOOKUP(A78,import!A:J,9,0)</f>
        <v>18</v>
      </c>
      <c r="J78" s="11">
        <f>VLOOKUP(A78,import!A:J,10,0)</f>
        <v>0</v>
      </c>
      <c r="K78" s="18" t="s">
        <v>503</v>
      </c>
      <c r="L78" s="18">
        <v>5.074307786E9</v>
      </c>
      <c r="M78" s="18" t="s">
        <v>215</v>
      </c>
      <c r="N78" s="18" t="s">
        <v>504</v>
      </c>
      <c r="O78" s="18" t="s">
        <v>505</v>
      </c>
      <c r="P78" s="10" t="str">
        <f>VLOOKUP(A78,import!A:P,16,0)</f>
        <v>Geleneksel</v>
      </c>
      <c r="Q78" s="12"/>
      <c r="R78" s="12" t="b">
        <v>1</v>
      </c>
      <c r="S78" s="12" t="b">
        <v>0</v>
      </c>
      <c r="T78" s="13" t="s">
        <v>51</v>
      </c>
      <c r="U78" s="13" t="s">
        <v>89</v>
      </c>
      <c r="V78" s="17" t="s">
        <v>131</v>
      </c>
      <c r="W78" s="13"/>
      <c r="X78" s="15">
        <v>44671.0</v>
      </c>
      <c r="Y78" s="15">
        <v>44672.0</v>
      </c>
      <c r="Z78" s="16"/>
      <c r="AA78" s="17" t="s">
        <v>56</v>
      </c>
      <c r="AB78" s="16">
        <v>44671.0</v>
      </c>
      <c r="AC78" s="16"/>
      <c r="AD78" s="16"/>
      <c r="AE78" s="17"/>
      <c r="AF78" s="16"/>
      <c r="AG78" s="17"/>
      <c r="AH78" s="16"/>
      <c r="AI78" s="16"/>
      <c r="AJ78" s="16"/>
      <c r="AK78" s="17" t="s">
        <v>89</v>
      </c>
      <c r="AL78" s="16"/>
      <c r="AM78" s="16"/>
      <c r="AN78" s="16"/>
      <c r="AO78" s="16"/>
      <c r="AP78" s="18"/>
      <c r="AQ78" s="16"/>
    </row>
    <row r="79" ht="15.75" hidden="1" customHeight="1">
      <c r="A79" s="10" t="s">
        <v>506</v>
      </c>
      <c r="B79" s="10" t="s">
        <v>507</v>
      </c>
      <c r="C79" s="10" t="str">
        <f>VLOOKUP(A79,import!A:C,3,0)</f>
        <v>DOĞRU</v>
      </c>
      <c r="D79" s="10" t="s">
        <v>363</v>
      </c>
      <c r="E79" s="10">
        <f>VLOOKUP(A79,import!A:J,5,0)</f>
        <v>8414</v>
      </c>
      <c r="F79" s="10">
        <f>VLOOKUP(A79,import!A:J,6,0)</f>
        <v>153</v>
      </c>
      <c r="G79" s="10">
        <f>VLOOKUP(A79,import!A:J,7,0)</f>
        <v>6</v>
      </c>
      <c r="H79" s="10">
        <f>VLOOKUP(A79,import!A:J,8,0)</f>
        <v>31</v>
      </c>
      <c r="I79" s="10">
        <f>VLOOKUP(A79,import!A:J,9,0)</f>
        <v>37</v>
      </c>
      <c r="J79" s="11">
        <f>VLOOKUP(A79,import!A:J,10,0)</f>
        <v>0.16</v>
      </c>
      <c r="K79" s="10" t="s">
        <v>508</v>
      </c>
      <c r="L79" s="10">
        <v>3.244732011E9</v>
      </c>
      <c r="M79" s="10" t="s">
        <v>72</v>
      </c>
      <c r="N79" s="10" t="s">
        <v>509</v>
      </c>
      <c r="O79" s="10" t="s">
        <v>510</v>
      </c>
      <c r="P79" s="10" t="str">
        <f>VLOOKUP(A79,import!A:P,16,0)</f>
        <v>Geleneksel</v>
      </c>
      <c r="Q79" s="12" t="s">
        <v>75</v>
      </c>
      <c r="R79" s="12" t="b">
        <v>1</v>
      </c>
      <c r="S79" s="12" t="b">
        <v>0</v>
      </c>
      <c r="T79" s="13" t="s">
        <v>51</v>
      </c>
      <c r="U79" s="13" t="s">
        <v>103</v>
      </c>
      <c r="V79" s="13" t="s">
        <v>53</v>
      </c>
      <c r="W79" s="13" t="s">
        <v>511</v>
      </c>
      <c r="X79" s="15">
        <v>44524.0</v>
      </c>
      <c r="Y79" s="15">
        <v>44530.0</v>
      </c>
      <c r="Z79" s="16"/>
      <c r="AA79" s="17" t="s">
        <v>56</v>
      </c>
      <c r="AB79" s="16">
        <v>44358.0</v>
      </c>
      <c r="AC79" s="17" t="s">
        <v>55</v>
      </c>
      <c r="AD79" s="16">
        <v>44524.0</v>
      </c>
      <c r="AE79" s="17" t="s">
        <v>56</v>
      </c>
      <c r="AF79" s="16">
        <v>44524.0</v>
      </c>
      <c r="AG79" s="17"/>
      <c r="AH79" s="16"/>
      <c r="AI79" s="16"/>
      <c r="AJ79" s="16"/>
      <c r="AK79" s="17" t="s">
        <v>124</v>
      </c>
      <c r="AL79" s="17" t="s">
        <v>103</v>
      </c>
      <c r="AM79" s="17" t="s">
        <v>103</v>
      </c>
      <c r="AN79" s="16"/>
      <c r="AO79" s="16"/>
      <c r="AP79" s="18" t="s">
        <v>58</v>
      </c>
      <c r="AQ79" s="16"/>
    </row>
    <row r="80" ht="15.75" hidden="1" customHeight="1">
      <c r="A80" s="10" t="s">
        <v>512</v>
      </c>
      <c r="B80" s="10" t="s">
        <v>513</v>
      </c>
      <c r="C80" s="10" t="str">
        <f>VLOOKUP(A80,import!A:C,3,0)</f>
        <v>YANLIŞ</v>
      </c>
      <c r="D80" s="10" t="s">
        <v>80</v>
      </c>
      <c r="E80" s="10">
        <f>VLOOKUP(A80,import!A:J,5,0)</f>
        <v>239</v>
      </c>
      <c r="F80" s="10" t="str">
        <f>VLOOKUP(A80,import!A:J,6,0)</f>
        <v/>
      </c>
      <c r="G80" s="10">
        <f>VLOOKUP(A80,import!A:J,7,0)</f>
        <v>0</v>
      </c>
      <c r="H80" s="10">
        <f>VLOOKUP(A80,import!A:J,8,0)</f>
        <v>7</v>
      </c>
      <c r="I80" s="10">
        <f>VLOOKUP(A80,import!A:J,9,0)</f>
        <v>7</v>
      </c>
      <c r="J80" s="11">
        <f>VLOOKUP(A80,import!A:J,10,0)</f>
        <v>0</v>
      </c>
      <c r="K80" s="10" t="s">
        <v>514</v>
      </c>
      <c r="L80" s="10">
        <v>3.245153438E9</v>
      </c>
      <c r="M80" s="10" t="s">
        <v>47</v>
      </c>
      <c r="N80" s="10" t="s">
        <v>515</v>
      </c>
      <c r="O80" s="10" t="s">
        <v>516</v>
      </c>
      <c r="P80" s="10" t="str">
        <f>VLOOKUP(A80,import!A:P,16,0)</f>
        <v>Geleneksel</v>
      </c>
      <c r="Q80" s="12"/>
      <c r="R80" s="12" t="b">
        <v>1</v>
      </c>
      <c r="S80" s="12" t="b">
        <v>0</v>
      </c>
      <c r="T80" s="13" t="s">
        <v>55</v>
      </c>
      <c r="U80" s="13"/>
      <c r="V80" s="19"/>
      <c r="W80" s="13"/>
      <c r="X80" s="15"/>
      <c r="Y80" s="15"/>
      <c r="Z80" s="16"/>
      <c r="AA80" s="17" t="s">
        <v>55</v>
      </c>
      <c r="AB80" s="16">
        <v>44504.0</v>
      </c>
      <c r="AC80" s="16"/>
      <c r="AD80" s="16"/>
      <c r="AE80" s="17"/>
      <c r="AF80" s="16"/>
      <c r="AG80" s="17"/>
      <c r="AH80" s="16"/>
      <c r="AI80" s="16"/>
      <c r="AJ80" s="16"/>
      <c r="AK80" s="17" t="s">
        <v>108</v>
      </c>
      <c r="AL80" s="16"/>
      <c r="AM80" s="16"/>
      <c r="AN80" s="16"/>
      <c r="AO80" s="16"/>
      <c r="AP80" s="18" t="s">
        <v>58</v>
      </c>
      <c r="AQ80" s="16"/>
    </row>
    <row r="81" ht="15.75" hidden="1" customHeight="1">
      <c r="A81" s="10" t="s">
        <v>517</v>
      </c>
      <c r="B81" s="10" t="s">
        <v>518</v>
      </c>
      <c r="C81" s="10" t="str">
        <f>VLOOKUP(A81,import!A:C,3,0)</f>
        <v>DOĞRU</v>
      </c>
      <c r="D81" s="10" t="s">
        <v>118</v>
      </c>
      <c r="E81" s="10">
        <f>VLOOKUP(A81,import!A:J,5,0)</f>
        <v>4761</v>
      </c>
      <c r="F81" s="10">
        <f>VLOOKUP(A81,import!A:J,6,0)</f>
        <v>244</v>
      </c>
      <c r="G81" s="10">
        <f>VLOOKUP(A81,import!A:J,7,0)</f>
        <v>0</v>
      </c>
      <c r="H81" s="10">
        <f>VLOOKUP(A81,import!A:J,8,0)</f>
        <v>34</v>
      </c>
      <c r="I81" s="10">
        <f>VLOOKUP(A81,import!A:J,9,0)</f>
        <v>34</v>
      </c>
      <c r="J81" s="11">
        <f>VLOOKUP(A81,import!A:J,10,0)</f>
        <v>0</v>
      </c>
      <c r="K81" s="10" t="s">
        <v>519</v>
      </c>
      <c r="L81" s="10">
        <v>5.524594463E9</v>
      </c>
      <c r="M81" s="10" t="s">
        <v>72</v>
      </c>
      <c r="N81" s="10" t="s">
        <v>82</v>
      </c>
      <c r="O81" s="10" t="s">
        <v>520</v>
      </c>
      <c r="P81" s="10" t="str">
        <f>VLOOKUP(A81,import!A:P,16,0)</f>
        <v>Geleneksel</v>
      </c>
      <c r="Q81" s="12" t="s">
        <v>75</v>
      </c>
      <c r="R81" s="12" t="b">
        <v>1</v>
      </c>
      <c r="S81" s="12" t="b">
        <v>0</v>
      </c>
      <c r="T81" s="13" t="s">
        <v>521</v>
      </c>
      <c r="U81" s="13" t="s">
        <v>89</v>
      </c>
      <c r="V81" s="13" t="s">
        <v>66</v>
      </c>
      <c r="W81" s="13" t="s">
        <v>522</v>
      </c>
      <c r="X81" s="15">
        <v>44530.0</v>
      </c>
      <c r="Y81" s="15">
        <v>44531.0</v>
      </c>
      <c r="Z81" s="16"/>
      <c r="AA81" s="17" t="s">
        <v>56</v>
      </c>
      <c r="AB81" s="16">
        <v>44358.0</v>
      </c>
      <c r="AC81" s="17" t="s">
        <v>56</v>
      </c>
      <c r="AD81" s="16">
        <v>44393.0</v>
      </c>
      <c r="AE81" s="17" t="s">
        <v>56</v>
      </c>
      <c r="AF81" s="16">
        <v>44418.0</v>
      </c>
      <c r="AG81" s="17" t="s">
        <v>265</v>
      </c>
      <c r="AH81" s="16">
        <v>44491.0</v>
      </c>
      <c r="AI81" s="17" t="s">
        <v>56</v>
      </c>
      <c r="AJ81" s="16">
        <v>44530.0</v>
      </c>
      <c r="AK81" s="17" t="s">
        <v>163</v>
      </c>
      <c r="AL81" s="17" t="s">
        <v>52</v>
      </c>
      <c r="AM81" s="17" t="s">
        <v>57</v>
      </c>
      <c r="AN81" s="17" t="s">
        <v>89</v>
      </c>
      <c r="AO81" s="17" t="s">
        <v>89</v>
      </c>
      <c r="AP81" s="18" t="s">
        <v>58</v>
      </c>
      <c r="AQ81" s="17"/>
    </row>
    <row r="82" ht="15.75" customHeight="1">
      <c r="A82" s="10" t="s">
        <v>523</v>
      </c>
      <c r="B82" s="10" t="s">
        <v>524</v>
      </c>
      <c r="C82" s="10" t="str">
        <f>VLOOKUP(A82,import!A:C,3,0)</f>
        <v>DOĞRU</v>
      </c>
      <c r="D82" s="10" t="s">
        <v>451</v>
      </c>
      <c r="E82" s="10">
        <f>VLOOKUP(A82,import!A:J,5,0)</f>
        <v>753</v>
      </c>
      <c r="F82" s="10" t="str">
        <f>VLOOKUP(A82,import!A:J,6,0)</f>
        <v/>
      </c>
      <c r="G82" s="10">
        <f>VLOOKUP(A82,import!A:J,7,0)</f>
        <v>0</v>
      </c>
      <c r="H82" s="10">
        <f>VLOOKUP(A82,import!A:J,8,0)</f>
        <v>7</v>
      </c>
      <c r="I82" s="10">
        <f>VLOOKUP(A82,import!A:J,9,0)</f>
        <v>7</v>
      </c>
      <c r="J82" s="11">
        <f>VLOOKUP(A82,import!A:J,10,0)</f>
        <v>0</v>
      </c>
      <c r="K82" s="10" t="s">
        <v>525</v>
      </c>
      <c r="L82" s="10">
        <v>5.432401438E9</v>
      </c>
      <c r="M82" s="10" t="s">
        <v>137</v>
      </c>
      <c r="N82" s="10" t="s">
        <v>526</v>
      </c>
      <c r="O82" s="10" t="s">
        <v>527</v>
      </c>
      <c r="P82" s="10" t="str">
        <f>VLOOKUP(A82,import!A:P,16,0)</f>
        <v>Geleneksel</v>
      </c>
      <c r="Q82" s="12"/>
      <c r="R82" s="12" t="b">
        <v>1</v>
      </c>
      <c r="S82" s="12" t="b">
        <v>0</v>
      </c>
      <c r="T82" s="13" t="s">
        <v>528</v>
      </c>
      <c r="U82" s="13"/>
      <c r="V82" s="13"/>
      <c r="W82" s="13" t="s">
        <v>529</v>
      </c>
      <c r="X82" s="15"/>
      <c r="Y82" s="15"/>
      <c r="Z82" s="16"/>
      <c r="AA82" s="17" t="s">
        <v>55</v>
      </c>
      <c r="AB82" s="16">
        <v>44481.0</v>
      </c>
      <c r="AC82" s="17" t="s">
        <v>56</v>
      </c>
      <c r="AD82" s="16">
        <v>44489.0</v>
      </c>
      <c r="AE82" s="17"/>
      <c r="AF82" s="16"/>
      <c r="AG82" s="17"/>
      <c r="AH82" s="16"/>
      <c r="AI82" s="16"/>
      <c r="AJ82" s="16"/>
      <c r="AK82" s="17" t="s">
        <v>52</v>
      </c>
      <c r="AL82" s="17" t="s">
        <v>103</v>
      </c>
      <c r="AM82" s="16"/>
      <c r="AN82" s="16"/>
      <c r="AO82" s="16"/>
      <c r="AP82" s="18" t="s">
        <v>58</v>
      </c>
      <c r="AQ82" s="16"/>
    </row>
    <row r="83" ht="15.75" hidden="1" customHeight="1">
      <c r="A83" s="10" t="s">
        <v>530</v>
      </c>
      <c r="B83" s="10" t="s">
        <v>531</v>
      </c>
      <c r="C83" s="10" t="str">
        <f>VLOOKUP(A83,import!A:C,3,0)</f>
        <v>DOĞRU</v>
      </c>
      <c r="D83" s="10" t="s">
        <v>80</v>
      </c>
      <c r="E83" s="10">
        <f>VLOOKUP(A83,import!A:J,5,0)</f>
        <v>3779</v>
      </c>
      <c r="F83" s="10">
        <f>VLOOKUP(A83,import!A:J,6,0)</f>
        <v>207</v>
      </c>
      <c r="G83" s="10">
        <f>VLOOKUP(A83,import!A:J,7,0)</f>
        <v>13</v>
      </c>
      <c r="H83" s="10">
        <f>VLOOKUP(A83,import!A:J,8,0)</f>
        <v>9</v>
      </c>
      <c r="I83" s="10">
        <f>VLOOKUP(A83,import!A:J,9,0)</f>
        <v>22</v>
      </c>
      <c r="J83" s="11">
        <f>VLOOKUP(A83,import!A:J,10,0)</f>
        <v>0.59</v>
      </c>
      <c r="K83" s="10" t="s">
        <v>532</v>
      </c>
      <c r="L83" s="10">
        <v>3.243415161E9</v>
      </c>
      <c r="M83" s="10" t="s">
        <v>72</v>
      </c>
      <c r="N83" s="10" t="s">
        <v>415</v>
      </c>
      <c r="O83" s="10" t="s">
        <v>533</v>
      </c>
      <c r="P83" s="10" t="str">
        <f>VLOOKUP(A83,import!A:P,16,0)</f>
        <v>Geleneksel</v>
      </c>
      <c r="Q83" s="12" t="s">
        <v>146</v>
      </c>
      <c r="R83" s="12" t="b">
        <v>1</v>
      </c>
      <c r="S83" s="13" t="b">
        <v>0</v>
      </c>
      <c r="T83" s="13" t="s">
        <v>51</v>
      </c>
      <c r="U83" s="13" t="s">
        <v>52</v>
      </c>
      <c r="V83" s="13" t="s">
        <v>278</v>
      </c>
      <c r="W83" s="13" t="s">
        <v>534</v>
      </c>
      <c r="X83" s="15">
        <v>44267.0</v>
      </c>
      <c r="Y83" s="15">
        <v>44272.0</v>
      </c>
      <c r="Z83" s="16"/>
      <c r="AA83" s="16"/>
      <c r="AB83" s="16"/>
      <c r="AC83" s="16"/>
      <c r="AD83" s="16"/>
      <c r="AE83" s="17"/>
      <c r="AF83" s="16"/>
      <c r="AG83" s="17"/>
      <c r="AH83" s="16"/>
      <c r="AI83" s="16"/>
      <c r="AJ83" s="16"/>
      <c r="AK83" s="16"/>
      <c r="AL83" s="16"/>
      <c r="AM83" s="16"/>
      <c r="AN83" s="16"/>
      <c r="AO83" s="16"/>
      <c r="AP83" s="18" t="s">
        <v>58</v>
      </c>
      <c r="AQ83" s="16"/>
    </row>
    <row r="84" ht="15.75" hidden="1" customHeight="1">
      <c r="A84" s="10" t="s">
        <v>535</v>
      </c>
      <c r="B84" s="10" t="s">
        <v>536</v>
      </c>
      <c r="C84" s="10" t="str">
        <f>VLOOKUP(A84,import!A:C,3,0)</f>
        <v>DOĞRU</v>
      </c>
      <c r="D84" s="10" t="s">
        <v>372</v>
      </c>
      <c r="E84" s="10">
        <f>VLOOKUP(A84,import!A:J,5,0)</f>
        <v>2009</v>
      </c>
      <c r="F84" s="10">
        <f>VLOOKUP(A84,import!A:J,6,0)</f>
        <v>193</v>
      </c>
      <c r="G84" s="10">
        <f>VLOOKUP(A84,import!A:J,7,0)</f>
        <v>7</v>
      </c>
      <c r="H84" s="10">
        <f>VLOOKUP(A84,import!A:J,8,0)</f>
        <v>16</v>
      </c>
      <c r="I84" s="10">
        <f>VLOOKUP(A84,import!A:J,9,0)</f>
        <v>23</v>
      </c>
      <c r="J84" s="11">
        <f>VLOOKUP(A84,import!A:J,10,0)</f>
        <v>0.3</v>
      </c>
      <c r="K84" s="10" t="s">
        <v>537</v>
      </c>
      <c r="L84" s="10">
        <v>5.37783091E9</v>
      </c>
      <c r="M84" s="10" t="s">
        <v>72</v>
      </c>
      <c r="N84" s="10" t="s">
        <v>538</v>
      </c>
      <c r="O84" s="10" t="s">
        <v>539</v>
      </c>
      <c r="P84" s="10" t="str">
        <f>VLOOKUP(A84,import!A:P,16,0)</f>
        <v>Geleneksel</v>
      </c>
      <c r="Q84" s="12" t="s">
        <v>146</v>
      </c>
      <c r="R84" s="12" t="b">
        <v>1</v>
      </c>
      <c r="S84" s="12" t="b">
        <v>0</v>
      </c>
      <c r="T84" s="13" t="s">
        <v>51</v>
      </c>
      <c r="U84" s="13" t="s">
        <v>314</v>
      </c>
      <c r="V84" s="17" t="s">
        <v>66</v>
      </c>
      <c r="W84" s="13" t="s">
        <v>540</v>
      </c>
      <c r="X84" s="15">
        <v>44518.0</v>
      </c>
      <c r="Y84" s="15">
        <v>44522.0</v>
      </c>
      <c r="Z84" s="16"/>
      <c r="AA84" s="17" t="s">
        <v>56</v>
      </c>
      <c r="AB84" s="16">
        <v>44358.0</v>
      </c>
      <c r="AC84" s="17" t="s">
        <v>55</v>
      </c>
      <c r="AD84" s="16">
        <v>44426.0</v>
      </c>
      <c r="AE84" s="17" t="s">
        <v>56</v>
      </c>
      <c r="AF84" s="16">
        <v>44481.0</v>
      </c>
      <c r="AG84" s="17" t="s">
        <v>56</v>
      </c>
      <c r="AH84" s="16">
        <v>44517.0</v>
      </c>
      <c r="AI84" s="17" t="s">
        <v>56</v>
      </c>
      <c r="AJ84" s="16">
        <v>44551.0</v>
      </c>
      <c r="AK84" s="17" t="s">
        <v>163</v>
      </c>
      <c r="AL84" s="17" t="s">
        <v>57</v>
      </c>
      <c r="AM84" s="17" t="s">
        <v>87</v>
      </c>
      <c r="AN84" s="17" t="s">
        <v>314</v>
      </c>
      <c r="AO84" s="17" t="s">
        <v>133</v>
      </c>
      <c r="AP84" s="18" t="s">
        <v>58</v>
      </c>
      <c r="AQ84" s="17"/>
    </row>
    <row r="85" ht="15.75" hidden="1" customHeight="1">
      <c r="A85" s="10" t="s">
        <v>541</v>
      </c>
      <c r="B85" s="10" t="s">
        <v>542</v>
      </c>
      <c r="C85" s="10" t="str">
        <f>VLOOKUP(A85,import!A:C,3,0)</f>
        <v>DOĞRU</v>
      </c>
      <c r="D85" s="10" t="s">
        <v>45</v>
      </c>
      <c r="E85" s="10">
        <f>VLOOKUP(A85,import!A:J,5,0)</f>
        <v>2339</v>
      </c>
      <c r="F85" s="10">
        <f>VLOOKUP(A85,import!A:J,6,0)</f>
        <v>117</v>
      </c>
      <c r="G85" s="10">
        <f>VLOOKUP(A85,import!A:J,7,0)</f>
        <v>0</v>
      </c>
      <c r="H85" s="10">
        <f>VLOOKUP(A85,import!A:J,8,0)</f>
        <v>113</v>
      </c>
      <c r="I85" s="10">
        <f>VLOOKUP(A85,import!A:J,9,0)</f>
        <v>113</v>
      </c>
      <c r="J85" s="11">
        <f>VLOOKUP(A85,import!A:J,10,0)</f>
        <v>0</v>
      </c>
      <c r="K85" s="10" t="s">
        <v>543</v>
      </c>
      <c r="L85" s="10">
        <v>3.2461454E9</v>
      </c>
      <c r="M85" s="10" t="s">
        <v>156</v>
      </c>
      <c r="N85" s="10" t="s">
        <v>301</v>
      </c>
      <c r="O85" s="10" t="s">
        <v>544</v>
      </c>
      <c r="P85" s="10" t="str">
        <f>VLOOKUP(A85,import!A:P,16,0)</f>
        <v>Geleneksel</v>
      </c>
      <c r="Q85" s="12" t="s">
        <v>84</v>
      </c>
      <c r="R85" s="12" t="b">
        <v>1</v>
      </c>
      <c r="S85" s="12" t="b">
        <v>0</v>
      </c>
      <c r="T85" s="13" t="s">
        <v>130</v>
      </c>
      <c r="U85" s="13" t="s">
        <v>545</v>
      </c>
      <c r="V85" s="13" t="s">
        <v>66</v>
      </c>
      <c r="W85" s="13"/>
      <c r="X85" s="15">
        <v>44300.0</v>
      </c>
      <c r="Y85" s="15">
        <v>44301.0</v>
      </c>
      <c r="Z85" s="16"/>
      <c r="AA85" s="16"/>
      <c r="AB85" s="16"/>
      <c r="AC85" s="16"/>
      <c r="AD85" s="16"/>
      <c r="AE85" s="17"/>
      <c r="AF85" s="16"/>
      <c r="AG85" s="17"/>
      <c r="AH85" s="16"/>
      <c r="AI85" s="16"/>
      <c r="AJ85" s="16"/>
      <c r="AK85" s="16"/>
      <c r="AL85" s="16"/>
      <c r="AM85" s="16"/>
      <c r="AN85" s="16"/>
      <c r="AO85" s="16"/>
      <c r="AP85" s="18" t="s">
        <v>58</v>
      </c>
      <c r="AQ85" s="16"/>
    </row>
    <row r="86" ht="15.75" hidden="1" customHeight="1">
      <c r="A86" s="10" t="s">
        <v>546</v>
      </c>
      <c r="B86" s="10" t="s">
        <v>547</v>
      </c>
      <c r="C86" s="10" t="str">
        <f>VLOOKUP(A86,import!A:C,3,0)</f>
        <v>YANLIŞ</v>
      </c>
      <c r="D86" s="10" t="s">
        <v>372</v>
      </c>
      <c r="E86" s="10">
        <f>VLOOKUP(A86,import!A:J,5,0)</f>
        <v>562</v>
      </c>
      <c r="F86" s="10" t="str">
        <f>VLOOKUP(A86,import!A:J,6,0)</f>
        <v/>
      </c>
      <c r="G86" s="10">
        <f>VLOOKUP(A86,import!A:J,7,0)</f>
        <v>5</v>
      </c>
      <c r="H86" s="10">
        <f>VLOOKUP(A86,import!A:J,8,0)</f>
        <v>16</v>
      </c>
      <c r="I86" s="10">
        <f>VLOOKUP(A86,import!A:J,9,0)</f>
        <v>21</v>
      </c>
      <c r="J86" s="11">
        <f>VLOOKUP(A86,import!A:J,10,0)</f>
        <v>0.24</v>
      </c>
      <c r="K86" s="10" t="s">
        <v>537</v>
      </c>
      <c r="L86" s="10">
        <v>5.37783091E9</v>
      </c>
      <c r="M86" s="10" t="s">
        <v>72</v>
      </c>
      <c r="N86" s="10" t="s">
        <v>548</v>
      </c>
      <c r="O86" s="10" t="s">
        <v>549</v>
      </c>
      <c r="P86" s="10" t="str">
        <f>VLOOKUP(A86,import!A:P,16,0)</f>
        <v>Geleneksel</v>
      </c>
      <c r="Q86" s="12" t="s">
        <v>146</v>
      </c>
      <c r="R86" s="12" t="b">
        <v>1</v>
      </c>
      <c r="S86" s="12" t="b">
        <v>0</v>
      </c>
      <c r="T86" s="13" t="s">
        <v>51</v>
      </c>
      <c r="U86" s="13" t="s">
        <v>133</v>
      </c>
      <c r="V86" s="13" t="s">
        <v>53</v>
      </c>
      <c r="W86" s="13" t="s">
        <v>550</v>
      </c>
      <c r="X86" s="15">
        <v>44266.0</v>
      </c>
      <c r="Y86" s="15">
        <v>44270.0</v>
      </c>
      <c r="Z86" s="16"/>
      <c r="AA86" s="17" t="s">
        <v>55</v>
      </c>
      <c r="AB86" s="16">
        <v>44428.0</v>
      </c>
      <c r="AC86" s="16"/>
      <c r="AD86" s="16"/>
      <c r="AE86" s="17"/>
      <c r="AF86" s="16"/>
      <c r="AG86" s="17"/>
      <c r="AH86" s="16"/>
      <c r="AI86" s="16"/>
      <c r="AJ86" s="16"/>
      <c r="AK86" s="17" t="s">
        <v>95</v>
      </c>
      <c r="AL86" s="16"/>
      <c r="AM86" s="16"/>
      <c r="AN86" s="16"/>
      <c r="AO86" s="16"/>
      <c r="AP86" s="18" t="s">
        <v>58</v>
      </c>
      <c r="AQ86" s="16"/>
    </row>
    <row r="87" ht="15.75" customHeight="1">
      <c r="A87" s="10" t="s">
        <v>551</v>
      </c>
      <c r="B87" s="10" t="s">
        <v>552</v>
      </c>
      <c r="C87" s="10" t="str">
        <f>VLOOKUP(A87,import!A:C,3,0)</f>
        <v>DOĞRU</v>
      </c>
      <c r="D87" s="10" t="s">
        <v>372</v>
      </c>
      <c r="E87" s="10">
        <f>VLOOKUP(A87,import!A:J,5,0)</f>
        <v>2879</v>
      </c>
      <c r="F87" s="10">
        <f>VLOOKUP(A87,import!A:J,6,0)</f>
        <v>138</v>
      </c>
      <c r="G87" s="10">
        <f>VLOOKUP(A87,import!A:J,7,0)</f>
        <v>16</v>
      </c>
      <c r="H87" s="10">
        <f>VLOOKUP(A87,import!A:J,8,0)</f>
        <v>36</v>
      </c>
      <c r="I87" s="10">
        <f>VLOOKUP(A87,import!A:J,9,0)</f>
        <v>52</v>
      </c>
      <c r="J87" s="11">
        <f>VLOOKUP(A87,import!A:J,10,0)</f>
        <v>0.31</v>
      </c>
      <c r="K87" s="10" t="s">
        <v>553</v>
      </c>
      <c r="L87" s="10">
        <v>3.243369237E9</v>
      </c>
      <c r="M87" s="10" t="s">
        <v>137</v>
      </c>
      <c r="N87" s="10" t="s">
        <v>426</v>
      </c>
      <c r="O87" s="10" t="s">
        <v>554</v>
      </c>
      <c r="P87" s="10" t="str">
        <f>VLOOKUP(A87,import!A:P,16,0)</f>
        <v>Geleneksel</v>
      </c>
      <c r="Q87" s="12"/>
      <c r="R87" s="12" t="b">
        <v>1</v>
      </c>
      <c r="S87" s="12" t="b">
        <v>0</v>
      </c>
      <c r="T87" s="13" t="s">
        <v>51</v>
      </c>
      <c r="U87" s="13" t="s">
        <v>52</v>
      </c>
      <c r="V87" s="13" t="s">
        <v>53</v>
      </c>
      <c r="W87" s="13" t="s">
        <v>555</v>
      </c>
      <c r="X87" s="15">
        <v>44349.0</v>
      </c>
      <c r="Y87" s="15">
        <v>44351.0</v>
      </c>
      <c r="Z87" s="16"/>
      <c r="AA87" s="17" t="s">
        <v>56</v>
      </c>
      <c r="AB87" s="16">
        <v>44349.0</v>
      </c>
      <c r="AC87" s="17" t="s">
        <v>56</v>
      </c>
      <c r="AD87" s="16">
        <v>44496.0</v>
      </c>
      <c r="AE87" s="17"/>
      <c r="AF87" s="16"/>
      <c r="AG87" s="17"/>
      <c r="AH87" s="16"/>
      <c r="AI87" s="16"/>
      <c r="AJ87" s="16"/>
      <c r="AK87" s="17" t="s">
        <v>124</v>
      </c>
      <c r="AL87" s="17" t="s">
        <v>87</v>
      </c>
      <c r="AM87" s="16"/>
      <c r="AN87" s="16"/>
      <c r="AO87" s="16"/>
      <c r="AP87" s="18" t="s">
        <v>58</v>
      </c>
      <c r="AQ87" s="16"/>
    </row>
    <row r="88" ht="15.75" hidden="1" customHeight="1">
      <c r="A88" s="10" t="s">
        <v>556</v>
      </c>
      <c r="B88" s="10" t="s">
        <v>557</v>
      </c>
      <c r="C88" s="10" t="str">
        <f>VLOOKUP(A88,import!A:C,3,0)</f>
        <v>DOĞRU</v>
      </c>
      <c r="D88" s="10" t="s">
        <v>558</v>
      </c>
      <c r="E88" s="10">
        <f>VLOOKUP(A88,import!A:J,5,0)</f>
        <v>5</v>
      </c>
      <c r="F88" s="10">
        <f>VLOOKUP(A88,import!A:J,6,0)</f>
        <v>1</v>
      </c>
      <c r="G88" s="10">
        <f>VLOOKUP(A88,import!A:J,7,0)</f>
        <v>33</v>
      </c>
      <c r="H88" s="10">
        <f>VLOOKUP(A88,import!A:J,8,0)</f>
        <v>12</v>
      </c>
      <c r="I88" s="10">
        <f>VLOOKUP(A88,import!A:J,9,0)</f>
        <v>45</v>
      </c>
      <c r="J88" s="11">
        <f>VLOOKUP(A88,import!A:J,10,0)</f>
        <v>0.73</v>
      </c>
      <c r="K88" s="10" t="s">
        <v>559</v>
      </c>
      <c r="L88" s="10">
        <v>5.053366098E9</v>
      </c>
      <c r="M88" s="10" t="s">
        <v>215</v>
      </c>
      <c r="N88" s="10" t="s">
        <v>560</v>
      </c>
      <c r="O88" s="10" t="s">
        <v>561</v>
      </c>
      <c r="P88" s="10" t="str">
        <f>VLOOKUP(A88,import!A:P,16,0)</f>
        <v>Geleneksel</v>
      </c>
      <c r="Q88" s="12"/>
      <c r="R88" s="12" t="b">
        <v>1</v>
      </c>
      <c r="S88" s="12" t="b">
        <v>0</v>
      </c>
      <c r="T88" s="13" t="s">
        <v>51</v>
      </c>
      <c r="U88" s="13" t="s">
        <v>103</v>
      </c>
      <c r="V88" s="17" t="s">
        <v>131</v>
      </c>
      <c r="W88" s="13"/>
      <c r="X88" s="15">
        <v>44656.0</v>
      </c>
      <c r="Y88" s="15">
        <v>44658.0</v>
      </c>
      <c r="Z88" s="16"/>
      <c r="AA88" s="17" t="s">
        <v>56</v>
      </c>
      <c r="AB88" s="16">
        <v>44634.0</v>
      </c>
      <c r="AC88" s="17" t="s">
        <v>56</v>
      </c>
      <c r="AD88" s="16">
        <v>44656.0</v>
      </c>
      <c r="AE88" s="17"/>
      <c r="AF88" s="16"/>
      <c r="AG88" s="17"/>
      <c r="AH88" s="16"/>
      <c r="AI88" s="16"/>
      <c r="AJ88" s="16"/>
      <c r="AK88" s="17" t="s">
        <v>89</v>
      </c>
      <c r="AL88" s="17" t="s">
        <v>103</v>
      </c>
      <c r="AM88" s="16"/>
      <c r="AN88" s="16"/>
      <c r="AO88" s="16"/>
      <c r="AP88" s="18"/>
      <c r="AQ88" s="16"/>
    </row>
    <row r="89" ht="15.75" customHeight="1">
      <c r="A89" s="10" t="s">
        <v>562</v>
      </c>
      <c r="B89" s="10" t="s">
        <v>563</v>
      </c>
      <c r="C89" s="10" t="str">
        <f>VLOOKUP(A89,import!A:C,3,0)</f>
        <v>DOĞRU</v>
      </c>
      <c r="D89" s="10" t="s">
        <v>564</v>
      </c>
      <c r="E89" s="10">
        <f>VLOOKUP(A89,import!A:J,5,0)</f>
        <v>4023</v>
      </c>
      <c r="F89" s="10">
        <f>VLOOKUP(A89,import!A:J,6,0)</f>
        <v>143</v>
      </c>
      <c r="G89" s="10">
        <f>VLOOKUP(A89,import!A:J,7,0)</f>
        <v>91</v>
      </c>
      <c r="H89" s="10">
        <f>VLOOKUP(A89,import!A:J,8,0)</f>
        <v>16</v>
      </c>
      <c r="I89" s="10">
        <f>VLOOKUP(A89,import!A:J,9,0)</f>
        <v>107</v>
      </c>
      <c r="J89" s="11">
        <f>VLOOKUP(A89,import!A:J,10,0)</f>
        <v>0.85</v>
      </c>
      <c r="K89" s="10" t="s">
        <v>565</v>
      </c>
      <c r="L89" s="10">
        <v>5.523658202E9</v>
      </c>
      <c r="M89" s="10" t="s">
        <v>63</v>
      </c>
      <c r="N89" s="10" t="s">
        <v>566</v>
      </c>
      <c r="O89" s="10" t="s">
        <v>567</v>
      </c>
      <c r="P89" s="10" t="str">
        <f>VLOOKUP(A89,import!A:P,16,0)</f>
        <v>Geleneksel</v>
      </c>
      <c r="Q89" s="12" t="s">
        <v>84</v>
      </c>
      <c r="R89" s="12" t="b">
        <v>1</v>
      </c>
      <c r="S89" s="12" t="b">
        <v>0</v>
      </c>
      <c r="T89" s="13" t="s">
        <v>51</v>
      </c>
      <c r="U89" s="13" t="s">
        <v>89</v>
      </c>
      <c r="V89" s="17" t="s">
        <v>131</v>
      </c>
      <c r="W89" s="13" t="s">
        <v>568</v>
      </c>
      <c r="X89" s="15">
        <v>44638.0</v>
      </c>
      <c r="Y89" s="15">
        <v>44643.0</v>
      </c>
      <c r="Z89" s="16"/>
      <c r="AA89" s="17" t="s">
        <v>86</v>
      </c>
      <c r="AB89" s="16">
        <v>44418.0</v>
      </c>
      <c r="AC89" s="17" t="s">
        <v>86</v>
      </c>
      <c r="AD89" s="16">
        <v>44481.0</v>
      </c>
      <c r="AE89" s="17" t="s">
        <v>230</v>
      </c>
      <c r="AF89" s="16">
        <v>44497.0</v>
      </c>
      <c r="AG89" s="17" t="s">
        <v>230</v>
      </c>
      <c r="AH89" s="16">
        <v>44504.0</v>
      </c>
      <c r="AI89" s="17" t="s">
        <v>56</v>
      </c>
      <c r="AJ89" s="16">
        <v>44638.0</v>
      </c>
      <c r="AK89" s="17" t="s">
        <v>95</v>
      </c>
      <c r="AL89" s="17" t="s">
        <v>87</v>
      </c>
      <c r="AM89" s="17" t="s">
        <v>267</v>
      </c>
      <c r="AN89" s="17" t="s">
        <v>108</v>
      </c>
      <c r="AO89" s="17" t="s">
        <v>89</v>
      </c>
      <c r="AP89" s="18" t="s">
        <v>58</v>
      </c>
      <c r="AQ89" s="16"/>
    </row>
    <row r="90" ht="15.75" customHeight="1">
      <c r="A90" s="10" t="s">
        <v>569</v>
      </c>
      <c r="B90" s="10" t="s">
        <v>570</v>
      </c>
      <c r="C90" s="10" t="str">
        <f>VLOOKUP(A90,import!A:C,3,0)</f>
        <v>DOĞRU</v>
      </c>
      <c r="D90" s="10" t="s">
        <v>564</v>
      </c>
      <c r="E90" s="10">
        <f>VLOOKUP(A90,import!A:J,5,0)</f>
        <v>1228</v>
      </c>
      <c r="F90" s="10">
        <f>VLOOKUP(A90,import!A:J,6,0)</f>
        <v>42</v>
      </c>
      <c r="G90" s="10">
        <f>VLOOKUP(A90,import!A:J,7,0)</f>
        <v>0</v>
      </c>
      <c r="H90" s="10">
        <f>VLOOKUP(A90,import!A:J,8,0)</f>
        <v>36</v>
      </c>
      <c r="I90" s="10">
        <f>VLOOKUP(A90,import!A:J,9,0)</f>
        <v>36</v>
      </c>
      <c r="J90" s="11">
        <f>VLOOKUP(A90,import!A:J,10,0)</f>
        <v>0</v>
      </c>
      <c r="K90" s="10" t="s">
        <v>571</v>
      </c>
      <c r="L90" s="10">
        <v>3.24502143E9</v>
      </c>
      <c r="M90" s="10" t="s">
        <v>63</v>
      </c>
      <c r="N90" s="10" t="s">
        <v>137</v>
      </c>
      <c r="O90" s="10" t="s">
        <v>572</v>
      </c>
      <c r="P90" s="10" t="str">
        <f>VLOOKUP(A90,import!A:P,16,0)</f>
        <v>Geleneksel</v>
      </c>
      <c r="Q90" s="12" t="s">
        <v>75</v>
      </c>
      <c r="R90" s="12" t="b">
        <v>1</v>
      </c>
      <c r="S90" s="12" t="b">
        <v>0</v>
      </c>
      <c r="T90" s="13" t="s">
        <v>199</v>
      </c>
      <c r="U90" s="13" t="s">
        <v>108</v>
      </c>
      <c r="V90" s="13" t="s">
        <v>53</v>
      </c>
      <c r="W90" s="13" t="s">
        <v>573</v>
      </c>
      <c r="X90" s="15">
        <v>44450.0</v>
      </c>
      <c r="Y90" s="15">
        <v>44452.0</v>
      </c>
      <c r="Z90" s="16"/>
      <c r="AA90" s="17" t="s">
        <v>55</v>
      </c>
      <c r="AB90" s="16">
        <v>44426.0</v>
      </c>
      <c r="AC90" s="17" t="s">
        <v>56</v>
      </c>
      <c r="AD90" s="16">
        <v>44446.0</v>
      </c>
      <c r="AE90" s="17" t="s">
        <v>56</v>
      </c>
      <c r="AF90" s="16">
        <v>44450.0</v>
      </c>
      <c r="AG90" s="17" t="s">
        <v>56</v>
      </c>
      <c r="AH90" s="16">
        <v>44460.0</v>
      </c>
      <c r="AI90" s="17" t="s">
        <v>56</v>
      </c>
      <c r="AJ90" s="16">
        <v>44495.0</v>
      </c>
      <c r="AK90" s="17" t="s">
        <v>57</v>
      </c>
      <c r="AL90" s="17" t="s">
        <v>367</v>
      </c>
      <c r="AM90" s="17" t="s">
        <v>108</v>
      </c>
      <c r="AN90" s="17" t="s">
        <v>87</v>
      </c>
      <c r="AO90" s="17" t="s">
        <v>89</v>
      </c>
      <c r="AP90" s="18" t="s">
        <v>58</v>
      </c>
      <c r="AQ90" s="17"/>
    </row>
    <row r="91" ht="15.75" customHeight="1">
      <c r="A91" s="10" t="s">
        <v>574</v>
      </c>
      <c r="B91" s="10" t="s">
        <v>575</v>
      </c>
      <c r="C91" s="10" t="str">
        <f>VLOOKUP(A91,import!A:C,3,0)</f>
        <v>DOĞRU</v>
      </c>
      <c r="D91" s="10" t="s">
        <v>564</v>
      </c>
      <c r="E91" s="10">
        <f>VLOOKUP(A91,import!A:J,5,0)</f>
        <v>448</v>
      </c>
      <c r="F91" s="10">
        <f>VLOOKUP(A91,import!A:J,6,0)</f>
        <v>216</v>
      </c>
      <c r="G91" s="10">
        <f>VLOOKUP(A91,import!A:J,7,0)</f>
        <v>25</v>
      </c>
      <c r="H91" s="10">
        <f>VLOOKUP(A91,import!A:J,8,0)</f>
        <v>8</v>
      </c>
      <c r="I91" s="10">
        <f>VLOOKUP(A91,import!A:J,9,0)</f>
        <v>33</v>
      </c>
      <c r="J91" s="11">
        <f>VLOOKUP(A91,import!A:J,10,0)</f>
        <v>0.76</v>
      </c>
      <c r="K91" s="10" t="s">
        <v>576</v>
      </c>
      <c r="L91" s="10">
        <v>5.346801734E9</v>
      </c>
      <c r="M91" s="10" t="s">
        <v>63</v>
      </c>
      <c r="N91" s="10" t="s">
        <v>318</v>
      </c>
      <c r="O91" s="10" t="s">
        <v>577</v>
      </c>
      <c r="P91" s="10" t="str">
        <f>VLOOKUP(A91,import!A:P,16,0)</f>
        <v>Geleneksel</v>
      </c>
      <c r="Q91" s="12"/>
      <c r="R91" s="12" t="b">
        <v>1</v>
      </c>
      <c r="S91" s="12" t="b">
        <v>0</v>
      </c>
      <c r="T91" s="13" t="s">
        <v>51</v>
      </c>
      <c r="U91" s="13" t="s">
        <v>89</v>
      </c>
      <c r="V91" s="17" t="s">
        <v>66</v>
      </c>
      <c r="W91" s="13"/>
      <c r="X91" s="15">
        <v>44630.0</v>
      </c>
      <c r="Y91" s="15">
        <v>44631.0</v>
      </c>
      <c r="Z91" s="16"/>
      <c r="AA91" s="17" t="s">
        <v>56</v>
      </c>
      <c r="AB91" s="16">
        <v>44630.0</v>
      </c>
      <c r="AC91" s="16"/>
      <c r="AD91" s="16"/>
      <c r="AE91" s="17"/>
      <c r="AF91" s="16"/>
      <c r="AG91" s="17"/>
      <c r="AH91" s="16"/>
      <c r="AI91" s="16"/>
      <c r="AJ91" s="16"/>
      <c r="AK91" s="17" t="s">
        <v>89</v>
      </c>
      <c r="AL91" s="16"/>
      <c r="AM91" s="16"/>
      <c r="AN91" s="16"/>
      <c r="AO91" s="16"/>
      <c r="AP91" s="18"/>
      <c r="AQ91" s="16"/>
    </row>
    <row r="92" ht="15.75" hidden="1" customHeight="1">
      <c r="A92" s="10" t="s">
        <v>578</v>
      </c>
      <c r="B92" s="10" t="s">
        <v>579</v>
      </c>
      <c r="C92" s="10" t="str">
        <f>VLOOKUP(A92,import!A:C,3,0)</f>
        <v>DOĞRU</v>
      </c>
      <c r="D92" s="10" t="s">
        <v>564</v>
      </c>
      <c r="E92" s="10">
        <f>VLOOKUP(A92,import!A:J,5,0)</f>
        <v>695</v>
      </c>
      <c r="F92" s="10">
        <f>VLOOKUP(A92,import!A:J,6,0)</f>
        <v>299</v>
      </c>
      <c r="G92" s="10">
        <f>VLOOKUP(A92,import!A:J,7,0)</f>
        <v>16</v>
      </c>
      <c r="H92" s="10">
        <f>VLOOKUP(A92,import!A:J,8,0)</f>
        <v>8</v>
      </c>
      <c r="I92" s="10">
        <f>VLOOKUP(A92,import!A:J,9,0)</f>
        <v>24</v>
      </c>
      <c r="J92" s="11">
        <f>VLOOKUP(A92,import!A:J,10,0)</f>
        <v>0.67</v>
      </c>
      <c r="K92" s="10" t="s">
        <v>576</v>
      </c>
      <c r="L92" s="10">
        <v>5.346801734E9</v>
      </c>
      <c r="M92" s="10" t="s">
        <v>72</v>
      </c>
      <c r="N92" s="10" t="s">
        <v>120</v>
      </c>
      <c r="O92" s="10" t="s">
        <v>580</v>
      </c>
      <c r="P92" s="10" t="str">
        <f>VLOOKUP(A92,import!A:P,16,0)</f>
        <v>Geleneksel</v>
      </c>
      <c r="Q92" s="12"/>
      <c r="R92" s="12" t="b">
        <v>1</v>
      </c>
      <c r="S92" s="12" t="b">
        <v>0</v>
      </c>
      <c r="T92" s="13" t="s">
        <v>51</v>
      </c>
      <c r="U92" s="13" t="s">
        <v>52</v>
      </c>
      <c r="V92" s="13" t="s">
        <v>131</v>
      </c>
      <c r="W92" s="13" t="s">
        <v>581</v>
      </c>
      <c r="X92" s="15">
        <v>44624.0</v>
      </c>
      <c r="Y92" s="15">
        <v>44627.0</v>
      </c>
      <c r="Z92" s="16"/>
      <c r="AA92" s="17" t="s">
        <v>56</v>
      </c>
      <c r="AB92" s="16">
        <v>44624.0</v>
      </c>
      <c r="AC92" s="16"/>
      <c r="AD92" s="16"/>
      <c r="AE92" s="17"/>
      <c r="AF92" s="16"/>
      <c r="AG92" s="17"/>
      <c r="AH92" s="16"/>
      <c r="AI92" s="16"/>
      <c r="AJ92" s="16"/>
      <c r="AK92" s="17" t="s">
        <v>52</v>
      </c>
      <c r="AL92" s="16"/>
      <c r="AM92" s="16"/>
      <c r="AN92" s="16"/>
      <c r="AO92" s="16"/>
      <c r="AP92" s="18"/>
      <c r="AQ92" s="16"/>
    </row>
    <row r="93" ht="15.75" hidden="1" customHeight="1">
      <c r="A93" s="10" t="s">
        <v>582</v>
      </c>
      <c r="B93" s="10" t="s">
        <v>583</v>
      </c>
      <c r="C93" s="10" t="str">
        <f>VLOOKUP(A93,import!A:C,3,0)</f>
        <v>DOĞRU</v>
      </c>
      <c r="D93" s="10" t="s">
        <v>70</v>
      </c>
      <c r="E93" s="10">
        <f>VLOOKUP(A93,import!A:J,5,0)</f>
        <v>1618</v>
      </c>
      <c r="F93" s="10">
        <f>VLOOKUP(A93,import!A:J,6,0)</f>
        <v>98</v>
      </c>
      <c r="G93" s="10">
        <f>VLOOKUP(A93,import!A:J,7,0)</f>
        <v>0</v>
      </c>
      <c r="H93" s="10">
        <f>VLOOKUP(A93,import!A:J,8,0)</f>
        <v>34</v>
      </c>
      <c r="I93" s="10">
        <f>VLOOKUP(A93,import!A:J,9,0)</f>
        <v>34</v>
      </c>
      <c r="J93" s="11">
        <f>VLOOKUP(A93,import!A:J,10,0)</f>
        <v>0</v>
      </c>
      <c r="K93" s="10" t="s">
        <v>584</v>
      </c>
      <c r="L93" s="10">
        <v>5.531263333E9</v>
      </c>
      <c r="M93" s="10" t="s">
        <v>215</v>
      </c>
      <c r="N93" s="10" t="s">
        <v>227</v>
      </c>
      <c r="O93" s="10" t="s">
        <v>585</v>
      </c>
      <c r="P93" s="10" t="str">
        <f>VLOOKUP(A93,import!A:P,16,0)</f>
        <v>Geleneksel</v>
      </c>
      <c r="Q93" s="12" t="s">
        <v>146</v>
      </c>
      <c r="R93" s="12" t="b">
        <v>1</v>
      </c>
      <c r="S93" s="12" t="b">
        <v>0</v>
      </c>
      <c r="T93" s="13" t="s">
        <v>199</v>
      </c>
      <c r="U93" s="13" t="s">
        <v>89</v>
      </c>
      <c r="V93" s="13" t="s">
        <v>53</v>
      </c>
      <c r="W93" s="13" t="s">
        <v>586</v>
      </c>
      <c r="X93" s="15">
        <v>44499.0</v>
      </c>
      <c r="Y93" s="15">
        <v>44501.0</v>
      </c>
      <c r="Z93" s="16"/>
      <c r="AA93" s="17" t="s">
        <v>56</v>
      </c>
      <c r="AB93" s="16">
        <v>44349.0</v>
      </c>
      <c r="AC93" s="17" t="s">
        <v>265</v>
      </c>
      <c r="AD93" s="16">
        <v>44363.0</v>
      </c>
      <c r="AE93" s="17" t="s">
        <v>56</v>
      </c>
      <c r="AF93" s="16">
        <v>44426.0</v>
      </c>
      <c r="AG93" s="17" t="s">
        <v>230</v>
      </c>
      <c r="AH93" s="16">
        <v>44491.0</v>
      </c>
      <c r="AI93" s="17" t="s">
        <v>56</v>
      </c>
      <c r="AJ93" s="16">
        <v>44499.0</v>
      </c>
      <c r="AK93" s="17" t="s">
        <v>124</v>
      </c>
      <c r="AL93" s="17" t="s">
        <v>52</v>
      </c>
      <c r="AM93" s="17" t="s">
        <v>57</v>
      </c>
      <c r="AN93" s="17" t="s">
        <v>89</v>
      </c>
      <c r="AO93" s="17" t="s">
        <v>89</v>
      </c>
      <c r="AP93" s="18" t="s">
        <v>58</v>
      </c>
      <c r="AQ93" s="17"/>
    </row>
    <row r="94" ht="15.75" hidden="1" customHeight="1">
      <c r="A94" s="10" t="s">
        <v>587</v>
      </c>
      <c r="B94" s="10" t="s">
        <v>588</v>
      </c>
      <c r="C94" s="10" t="str">
        <f>VLOOKUP(A94,import!A:C,3,0)</f>
        <v>DOĞRU</v>
      </c>
      <c r="D94" s="10" t="s">
        <v>45</v>
      </c>
      <c r="E94" s="10" t="str">
        <f>VLOOKUP(A94,import!A:J,5,0)</f>
        <v/>
      </c>
      <c r="F94" s="10" t="str">
        <f>VLOOKUP(A94,import!A:J,6,0)</f>
        <v/>
      </c>
      <c r="G94" s="10">
        <f>VLOOKUP(A94,import!A:J,7,0)</f>
        <v>0</v>
      </c>
      <c r="H94" s="10">
        <f>VLOOKUP(A94,import!A:J,8,0)</f>
        <v>47</v>
      </c>
      <c r="I94" s="10">
        <f>VLOOKUP(A94,import!A:J,9,0)</f>
        <v>47</v>
      </c>
      <c r="J94" s="11">
        <f>VLOOKUP(A94,import!A:J,10,0)</f>
        <v>0</v>
      </c>
      <c r="K94" s="10" t="s">
        <v>589</v>
      </c>
      <c r="L94" s="10">
        <v>5.522491033E9</v>
      </c>
      <c r="M94" s="10" t="s">
        <v>72</v>
      </c>
      <c r="N94" s="10" t="s">
        <v>113</v>
      </c>
      <c r="O94" s="10" t="s">
        <v>590</v>
      </c>
      <c r="P94" s="10" t="str">
        <f>VLOOKUP(A94,import!A:P,16,0)</f>
        <v>Geleneksel</v>
      </c>
      <c r="Q94" s="12"/>
      <c r="R94" s="12" t="b">
        <v>1</v>
      </c>
      <c r="S94" s="12" t="b">
        <v>0</v>
      </c>
      <c r="T94" s="13" t="s">
        <v>591</v>
      </c>
      <c r="U94" s="13"/>
      <c r="V94" s="13"/>
      <c r="W94" s="13" t="s">
        <v>592</v>
      </c>
      <c r="X94" s="15"/>
      <c r="Y94" s="15"/>
      <c r="Z94" s="16"/>
      <c r="AA94" s="17" t="s">
        <v>55</v>
      </c>
      <c r="AB94" s="16">
        <v>44629.0</v>
      </c>
      <c r="AC94" s="17" t="s">
        <v>55</v>
      </c>
      <c r="AD94" s="16">
        <v>44636.0</v>
      </c>
      <c r="AE94" s="17" t="s">
        <v>56</v>
      </c>
      <c r="AF94" s="16">
        <v>44638.0</v>
      </c>
      <c r="AG94" s="17"/>
      <c r="AH94" s="16"/>
      <c r="AI94" s="16"/>
      <c r="AJ94" s="16"/>
      <c r="AK94" s="17" t="s">
        <v>133</v>
      </c>
      <c r="AL94" s="17" t="s">
        <v>133</v>
      </c>
      <c r="AM94" s="17" t="s">
        <v>133</v>
      </c>
      <c r="AN94" s="16"/>
      <c r="AO94" s="16"/>
      <c r="AP94" s="18"/>
      <c r="AQ94" s="16"/>
    </row>
    <row r="95" ht="15.75" hidden="1" customHeight="1">
      <c r="A95" s="10" t="s">
        <v>593</v>
      </c>
      <c r="B95" s="10" t="s">
        <v>594</v>
      </c>
      <c r="C95" s="10" t="str">
        <f>VLOOKUP(A95,import!A:C,3,0)</f>
        <v>DOĞRU</v>
      </c>
      <c r="D95" s="10" t="s">
        <v>45</v>
      </c>
      <c r="E95" s="10">
        <f>VLOOKUP(A95,import!A:J,5,0)</f>
        <v>2149</v>
      </c>
      <c r="F95" s="10">
        <f>VLOOKUP(A95,import!A:J,6,0)</f>
        <v>291</v>
      </c>
      <c r="G95" s="10">
        <f>VLOOKUP(A95,import!A:J,7,0)</f>
        <v>12</v>
      </c>
      <c r="H95" s="10">
        <f>VLOOKUP(A95,import!A:J,8,0)</f>
        <v>10</v>
      </c>
      <c r="I95" s="10">
        <f>VLOOKUP(A95,import!A:J,9,0)</f>
        <v>22</v>
      </c>
      <c r="J95" s="11">
        <f>VLOOKUP(A95,import!A:J,10,0)</f>
        <v>0.55</v>
      </c>
      <c r="K95" s="10" t="s">
        <v>595</v>
      </c>
      <c r="L95" s="10">
        <v>5.304677333E9</v>
      </c>
      <c r="M95" s="10" t="s">
        <v>156</v>
      </c>
      <c r="N95" s="10" t="s">
        <v>596</v>
      </c>
      <c r="O95" s="10" t="s">
        <v>597</v>
      </c>
      <c r="P95" s="10" t="str">
        <f>VLOOKUP(A95,import!A:P,16,0)</f>
        <v>Geleneksel</v>
      </c>
      <c r="Q95" s="12" t="s">
        <v>146</v>
      </c>
      <c r="R95" s="12" t="b">
        <v>1</v>
      </c>
      <c r="S95" s="12" t="b">
        <v>0</v>
      </c>
      <c r="T95" s="13" t="s">
        <v>140</v>
      </c>
      <c r="U95" s="13"/>
      <c r="V95" s="13"/>
      <c r="W95" s="13"/>
      <c r="X95" s="15"/>
      <c r="Y95" s="15"/>
      <c r="Z95" s="16"/>
      <c r="AA95" s="16"/>
      <c r="AB95" s="16"/>
      <c r="AC95" s="16"/>
      <c r="AD95" s="16"/>
      <c r="AE95" s="17"/>
      <c r="AF95" s="16"/>
      <c r="AG95" s="17"/>
      <c r="AH95" s="16"/>
      <c r="AI95" s="16"/>
      <c r="AJ95" s="16"/>
      <c r="AK95" s="16"/>
      <c r="AL95" s="16"/>
      <c r="AM95" s="16"/>
      <c r="AN95" s="16"/>
      <c r="AO95" s="16"/>
      <c r="AP95" s="18" t="s">
        <v>58</v>
      </c>
      <c r="AQ95" s="16"/>
    </row>
    <row r="96" ht="15.75" hidden="1" customHeight="1">
      <c r="A96" s="10" t="s">
        <v>598</v>
      </c>
      <c r="B96" s="10" t="s">
        <v>599</v>
      </c>
      <c r="C96" s="10" t="str">
        <f>VLOOKUP(A96,import!A:C,3,0)</f>
        <v>DOĞRU</v>
      </c>
      <c r="D96" s="10" t="s">
        <v>45</v>
      </c>
      <c r="E96" s="10">
        <f>VLOOKUP(A96,import!A:J,5,0)</f>
        <v>2490</v>
      </c>
      <c r="F96" s="10">
        <f>VLOOKUP(A96,import!A:J,6,0)</f>
        <v>199</v>
      </c>
      <c r="G96" s="10">
        <f>VLOOKUP(A96,import!A:J,7,0)</f>
        <v>11</v>
      </c>
      <c r="H96" s="10">
        <f>VLOOKUP(A96,import!A:J,8,0)</f>
        <v>11</v>
      </c>
      <c r="I96" s="10">
        <f>VLOOKUP(A96,import!A:J,9,0)</f>
        <v>22</v>
      </c>
      <c r="J96" s="11">
        <f>VLOOKUP(A96,import!A:J,10,0)</f>
        <v>0.5</v>
      </c>
      <c r="K96" s="10" t="s">
        <v>595</v>
      </c>
      <c r="L96" s="10">
        <v>5.313470333E9</v>
      </c>
      <c r="M96" s="10" t="s">
        <v>72</v>
      </c>
      <c r="N96" s="10" t="s">
        <v>113</v>
      </c>
      <c r="O96" s="10" t="s">
        <v>600</v>
      </c>
      <c r="P96" s="10" t="str">
        <f>VLOOKUP(A96,import!A:P,16,0)</f>
        <v>Geleneksel</v>
      </c>
      <c r="Q96" s="12" t="s">
        <v>146</v>
      </c>
      <c r="R96" s="12" t="b">
        <v>1</v>
      </c>
      <c r="S96" s="12" t="b">
        <v>0</v>
      </c>
      <c r="T96" s="13" t="s">
        <v>51</v>
      </c>
      <c r="U96" s="13" t="s">
        <v>545</v>
      </c>
      <c r="V96" s="13" t="s">
        <v>278</v>
      </c>
      <c r="W96" s="13" t="s">
        <v>601</v>
      </c>
      <c r="X96" s="15">
        <v>44281.0</v>
      </c>
      <c r="Y96" s="15">
        <v>44284.0</v>
      </c>
      <c r="Z96" s="16"/>
      <c r="AA96" s="16"/>
      <c r="AB96" s="16"/>
      <c r="AC96" s="16"/>
      <c r="AD96" s="16"/>
      <c r="AE96" s="17"/>
      <c r="AF96" s="16"/>
      <c r="AG96" s="17"/>
      <c r="AH96" s="16"/>
      <c r="AI96" s="16"/>
      <c r="AJ96" s="16"/>
      <c r="AK96" s="16"/>
      <c r="AL96" s="16"/>
      <c r="AM96" s="16"/>
      <c r="AN96" s="16"/>
      <c r="AO96" s="16"/>
      <c r="AP96" s="18" t="s">
        <v>58</v>
      </c>
      <c r="AQ96" s="16"/>
    </row>
    <row r="97" ht="15.75" hidden="1" customHeight="1">
      <c r="A97" s="18" t="s">
        <v>602</v>
      </c>
      <c r="B97" s="18" t="s">
        <v>599</v>
      </c>
      <c r="C97" s="10" t="str">
        <f>VLOOKUP(A97,import!A:C,3,0)</f>
        <v>DOĞRU</v>
      </c>
      <c r="D97" s="18" t="s">
        <v>45</v>
      </c>
      <c r="E97" s="10">
        <f>VLOOKUP(A97,import!A:J,5,0)</f>
        <v>11</v>
      </c>
      <c r="F97" s="10">
        <f>VLOOKUP(A97,import!A:J,6,0)</f>
        <v>11</v>
      </c>
      <c r="G97" s="10">
        <f>VLOOKUP(A97,import!A:J,7,0)</f>
        <v>0</v>
      </c>
      <c r="H97" s="10">
        <f>VLOOKUP(A97,import!A:J,8,0)</f>
        <v>19</v>
      </c>
      <c r="I97" s="10">
        <f>VLOOKUP(A97,import!A:J,9,0)</f>
        <v>19</v>
      </c>
      <c r="J97" s="11">
        <f>VLOOKUP(A97,import!A:J,10,0)</f>
        <v>0</v>
      </c>
      <c r="K97" s="18" t="s">
        <v>603</v>
      </c>
      <c r="L97" s="18">
        <v>5.313470333E9</v>
      </c>
      <c r="M97" s="18" t="s">
        <v>72</v>
      </c>
      <c r="N97" s="18" t="s">
        <v>113</v>
      </c>
      <c r="O97" s="18" t="s">
        <v>604</v>
      </c>
      <c r="P97" s="10" t="str">
        <f>VLOOKUP(A97,import!A:P,16,0)</f>
        <v>Geleneksel</v>
      </c>
      <c r="Q97" s="12"/>
      <c r="R97" s="12" t="b">
        <v>0</v>
      </c>
      <c r="S97" s="12" t="b">
        <v>0</v>
      </c>
      <c r="T97" s="13"/>
      <c r="U97" s="13"/>
      <c r="V97" s="19"/>
      <c r="W97" s="13"/>
      <c r="X97" s="15"/>
      <c r="Y97" s="15"/>
      <c r="Z97" s="16"/>
      <c r="AA97" s="17"/>
      <c r="AB97" s="16"/>
      <c r="AC97" s="16"/>
      <c r="AD97" s="16"/>
      <c r="AE97" s="17"/>
      <c r="AF97" s="16"/>
      <c r="AG97" s="17"/>
      <c r="AH97" s="16"/>
      <c r="AI97" s="16"/>
      <c r="AJ97" s="16"/>
      <c r="AK97" s="17"/>
      <c r="AL97" s="16"/>
      <c r="AM97" s="16"/>
      <c r="AN97" s="16"/>
      <c r="AO97" s="16"/>
      <c r="AP97" s="18"/>
      <c r="AQ97" s="16"/>
    </row>
    <row r="98" ht="15.75" hidden="1" customHeight="1">
      <c r="A98" s="18" t="s">
        <v>605</v>
      </c>
      <c r="B98" s="18" t="s">
        <v>606</v>
      </c>
      <c r="C98" s="10" t="str">
        <f>VLOOKUP(A98,import!A:C,3,0)</f>
        <v>DOĞRU</v>
      </c>
      <c r="D98" s="18" t="s">
        <v>61</v>
      </c>
      <c r="E98" s="10">
        <f>VLOOKUP(A98,import!A:J,5,0)</f>
        <v>2</v>
      </c>
      <c r="F98" s="10">
        <f>VLOOKUP(A98,import!A:J,6,0)</f>
        <v>2</v>
      </c>
      <c r="G98" s="10">
        <f>VLOOKUP(A98,import!A:J,7,0)</f>
        <v>0</v>
      </c>
      <c r="H98" s="10">
        <f>VLOOKUP(A98,import!A:J,8,0)</f>
        <v>11</v>
      </c>
      <c r="I98" s="10">
        <f>VLOOKUP(A98,import!A:J,9,0)</f>
        <v>11</v>
      </c>
      <c r="J98" s="11">
        <f>VLOOKUP(A98,import!A:J,10,0)</f>
        <v>0</v>
      </c>
      <c r="K98" s="18" t="s">
        <v>607</v>
      </c>
      <c r="L98" s="18">
        <v>5.434081128E9</v>
      </c>
      <c r="M98" s="18" t="s">
        <v>47</v>
      </c>
      <c r="N98" s="18" t="s">
        <v>608</v>
      </c>
      <c r="O98" s="18" t="s">
        <v>609</v>
      </c>
      <c r="P98" s="10" t="str">
        <f>VLOOKUP(A98,import!A:P,16,0)</f>
        <v>Geleneksel</v>
      </c>
      <c r="Q98" s="12"/>
      <c r="R98" s="12" t="b">
        <v>0</v>
      </c>
      <c r="S98" s="12" t="b">
        <v>0</v>
      </c>
      <c r="T98" s="13" t="s">
        <v>485</v>
      </c>
      <c r="U98" s="13"/>
      <c r="V98" s="13"/>
      <c r="W98" s="13"/>
      <c r="X98" s="15"/>
      <c r="Y98" s="15"/>
      <c r="Z98" s="16"/>
      <c r="AA98" s="17"/>
      <c r="AB98" s="16"/>
      <c r="AC98" s="16"/>
      <c r="AD98" s="16"/>
      <c r="AE98" s="17"/>
      <c r="AF98" s="16"/>
      <c r="AG98" s="17"/>
      <c r="AH98" s="16"/>
      <c r="AI98" s="16"/>
      <c r="AJ98" s="16"/>
      <c r="AK98" s="17"/>
      <c r="AL98" s="16"/>
      <c r="AM98" s="16"/>
      <c r="AN98" s="16"/>
      <c r="AO98" s="16"/>
      <c r="AP98" s="18"/>
      <c r="AQ98" s="16"/>
    </row>
    <row r="99" ht="15.75" hidden="1" customHeight="1">
      <c r="A99" s="10" t="s">
        <v>610</v>
      </c>
      <c r="B99" s="10" t="s">
        <v>611</v>
      </c>
      <c r="C99" s="10" t="str">
        <f>VLOOKUP(A99,import!A:C,3,0)</f>
        <v>DOĞRU</v>
      </c>
      <c r="D99" s="10" t="s">
        <v>118</v>
      </c>
      <c r="E99" s="10">
        <f>VLOOKUP(A99,import!A:J,5,0)</f>
        <v>2809</v>
      </c>
      <c r="F99" s="10">
        <f>VLOOKUP(A99,import!A:J,6,0)</f>
        <v>12</v>
      </c>
      <c r="G99" s="10">
        <f>VLOOKUP(A99,import!A:J,7,0)</f>
        <v>5</v>
      </c>
      <c r="H99" s="10">
        <f>VLOOKUP(A99,import!A:J,8,0)</f>
        <v>7</v>
      </c>
      <c r="I99" s="10">
        <f>VLOOKUP(A99,import!A:J,9,0)</f>
        <v>12</v>
      </c>
      <c r="J99" s="11">
        <f>VLOOKUP(A99,import!A:J,10,0)</f>
        <v>0.42</v>
      </c>
      <c r="K99" s="10" t="s">
        <v>612</v>
      </c>
      <c r="L99" s="10">
        <v>5.42317541E9</v>
      </c>
      <c r="M99" s="10" t="s">
        <v>215</v>
      </c>
      <c r="N99" s="10" t="s">
        <v>613</v>
      </c>
      <c r="O99" s="10" t="s">
        <v>614</v>
      </c>
      <c r="P99" s="10" t="str">
        <f>VLOOKUP(A99,import!A:P,16,0)</f>
        <v>Geleneksel</v>
      </c>
      <c r="Q99" s="12"/>
      <c r="R99" s="12" t="b">
        <v>1</v>
      </c>
      <c r="S99" s="12" t="b">
        <v>0</v>
      </c>
      <c r="T99" s="13" t="s">
        <v>51</v>
      </c>
      <c r="U99" s="13" t="s">
        <v>87</v>
      </c>
      <c r="V99" s="13" t="s">
        <v>53</v>
      </c>
      <c r="W99" s="13" t="s">
        <v>615</v>
      </c>
      <c r="X99" s="15">
        <v>44480.0</v>
      </c>
      <c r="Y99" s="15">
        <v>44481.0</v>
      </c>
      <c r="Z99" s="17" t="s">
        <v>616</v>
      </c>
      <c r="AA99" s="17" t="s">
        <v>55</v>
      </c>
      <c r="AB99" s="16">
        <v>44363.0</v>
      </c>
      <c r="AC99" s="17" t="s">
        <v>55</v>
      </c>
      <c r="AD99" s="16">
        <v>44363.0</v>
      </c>
      <c r="AE99" s="17" t="s">
        <v>55</v>
      </c>
      <c r="AF99" s="16">
        <v>44393.0</v>
      </c>
      <c r="AG99" s="17" t="s">
        <v>56</v>
      </c>
      <c r="AH99" s="16">
        <v>44480.0</v>
      </c>
      <c r="AI99" s="16"/>
      <c r="AJ99" s="16"/>
      <c r="AK99" s="17" t="s">
        <v>360</v>
      </c>
      <c r="AL99" s="17" t="s">
        <v>52</v>
      </c>
      <c r="AM99" s="17" t="s">
        <v>52</v>
      </c>
      <c r="AN99" s="17" t="s">
        <v>87</v>
      </c>
      <c r="AO99" s="16"/>
      <c r="AP99" s="18" t="s">
        <v>58</v>
      </c>
      <c r="AQ99" s="16"/>
    </row>
    <row r="100" ht="15.75" hidden="1" customHeight="1">
      <c r="A100" s="10" t="s">
        <v>617</v>
      </c>
      <c r="B100" s="10" t="s">
        <v>618</v>
      </c>
      <c r="C100" s="10" t="str">
        <f>VLOOKUP(A100,import!A:C,3,0)</f>
        <v>DOĞRU</v>
      </c>
      <c r="D100" s="10" t="s">
        <v>564</v>
      </c>
      <c r="E100" s="10">
        <f>VLOOKUP(A100,import!A:J,5,0)</f>
        <v>1634</v>
      </c>
      <c r="F100" s="10">
        <f>VLOOKUP(A100,import!A:J,6,0)</f>
        <v>352</v>
      </c>
      <c r="G100" s="10">
        <f>VLOOKUP(A100,import!A:J,7,0)</f>
        <v>29</v>
      </c>
      <c r="H100" s="10">
        <f>VLOOKUP(A100,import!A:J,8,0)</f>
        <v>9</v>
      </c>
      <c r="I100" s="10">
        <f>VLOOKUP(A100,import!A:J,9,0)</f>
        <v>38</v>
      </c>
      <c r="J100" s="11">
        <f>VLOOKUP(A100,import!A:J,10,0)</f>
        <v>0.76</v>
      </c>
      <c r="K100" s="10" t="s">
        <v>619</v>
      </c>
      <c r="L100" s="10">
        <v>3.243410033E9</v>
      </c>
      <c r="M100" s="10" t="s">
        <v>72</v>
      </c>
      <c r="N100" s="10" t="s">
        <v>548</v>
      </c>
      <c r="O100" s="10" t="s">
        <v>620</v>
      </c>
      <c r="P100" s="10" t="str">
        <f>VLOOKUP(A100,import!A:P,16,0)</f>
        <v>Geleneksel</v>
      </c>
      <c r="Q100" s="12"/>
      <c r="R100" s="12" t="b">
        <v>1</v>
      </c>
      <c r="S100" s="12" t="b">
        <v>0</v>
      </c>
      <c r="T100" s="13" t="s">
        <v>51</v>
      </c>
      <c r="U100" s="13" t="s">
        <v>52</v>
      </c>
      <c r="V100" s="19" t="s">
        <v>131</v>
      </c>
      <c r="W100" s="13"/>
      <c r="X100" s="15">
        <v>44624.0</v>
      </c>
      <c r="Y100" s="15">
        <v>44627.0</v>
      </c>
      <c r="Z100" s="16"/>
      <c r="AA100" s="17" t="s">
        <v>56</v>
      </c>
      <c r="AB100" s="16">
        <v>44624.0</v>
      </c>
      <c r="AC100" s="16"/>
      <c r="AD100" s="16"/>
      <c r="AE100" s="17"/>
      <c r="AF100" s="16"/>
      <c r="AG100" s="17"/>
      <c r="AH100" s="16"/>
      <c r="AI100" s="16"/>
      <c r="AJ100" s="16"/>
      <c r="AK100" s="17" t="s">
        <v>52</v>
      </c>
      <c r="AL100" s="16"/>
      <c r="AM100" s="16"/>
      <c r="AN100" s="16"/>
      <c r="AO100" s="16"/>
      <c r="AP100" s="18"/>
      <c r="AQ100" s="16"/>
    </row>
    <row r="101" ht="15.75" hidden="1" customHeight="1">
      <c r="A101" s="10" t="s">
        <v>621</v>
      </c>
      <c r="B101" s="10" t="s">
        <v>622</v>
      </c>
      <c r="C101" s="10" t="str">
        <f>VLOOKUP(A101,import!A:C,3,0)</f>
        <v>DOĞRU</v>
      </c>
      <c r="D101" s="10" t="s">
        <v>118</v>
      </c>
      <c r="E101" s="10">
        <f>VLOOKUP(A101,import!A:J,5,0)</f>
        <v>3711</v>
      </c>
      <c r="F101" s="10">
        <f>VLOOKUP(A101,import!A:J,6,0)</f>
        <v>118</v>
      </c>
      <c r="G101" s="10">
        <f>VLOOKUP(A101,import!A:J,7,0)</f>
        <v>10</v>
      </c>
      <c r="H101" s="10">
        <f>VLOOKUP(A101,import!A:J,8,0)</f>
        <v>21</v>
      </c>
      <c r="I101" s="10">
        <f>VLOOKUP(A101,import!A:J,9,0)</f>
        <v>31</v>
      </c>
      <c r="J101" s="11">
        <f>VLOOKUP(A101,import!A:J,10,0)</f>
        <v>0.32</v>
      </c>
      <c r="K101" s="10" t="s">
        <v>623</v>
      </c>
      <c r="L101" s="10">
        <v>5.387494964E9</v>
      </c>
      <c r="M101" s="10" t="s">
        <v>156</v>
      </c>
      <c r="N101" s="10" t="s">
        <v>283</v>
      </c>
      <c r="O101" s="10" t="s">
        <v>624</v>
      </c>
      <c r="P101" s="10" t="str">
        <f>VLOOKUP(A101,import!A:P,16,0)</f>
        <v>Geleneksel</v>
      </c>
      <c r="Q101" s="12" t="s">
        <v>146</v>
      </c>
      <c r="R101" s="12" t="b">
        <v>1</v>
      </c>
      <c r="S101" s="12" t="b">
        <v>0</v>
      </c>
      <c r="T101" s="13" t="s">
        <v>51</v>
      </c>
      <c r="U101" s="13" t="s">
        <v>437</v>
      </c>
      <c r="V101" s="13" t="s">
        <v>53</v>
      </c>
      <c r="W101" s="13" t="s">
        <v>625</v>
      </c>
      <c r="X101" s="15">
        <v>44300.0</v>
      </c>
      <c r="Y101" s="15">
        <v>44301.0</v>
      </c>
      <c r="Z101" s="16"/>
      <c r="AA101" s="16"/>
      <c r="AB101" s="16"/>
      <c r="AC101" s="16"/>
      <c r="AD101" s="16"/>
      <c r="AE101" s="17"/>
      <c r="AF101" s="16"/>
      <c r="AG101" s="17"/>
      <c r="AH101" s="16"/>
      <c r="AI101" s="16"/>
      <c r="AJ101" s="16"/>
      <c r="AK101" s="16"/>
      <c r="AL101" s="16"/>
      <c r="AM101" s="16"/>
      <c r="AN101" s="16"/>
      <c r="AO101" s="16"/>
      <c r="AP101" s="18" t="s">
        <v>58</v>
      </c>
      <c r="AQ101" s="16"/>
    </row>
    <row r="102" ht="15.75" customHeight="1">
      <c r="A102" s="10" t="s">
        <v>626</v>
      </c>
      <c r="B102" s="10" t="s">
        <v>627</v>
      </c>
      <c r="C102" s="10" t="str">
        <f>VLOOKUP(A102,import!A:C,3,0)</f>
        <v>DOĞRU</v>
      </c>
      <c r="D102" s="10" t="s">
        <v>363</v>
      </c>
      <c r="E102" s="10">
        <f>VLOOKUP(A102,import!A:J,5,0)</f>
        <v>2315</v>
      </c>
      <c r="F102" s="10">
        <f>VLOOKUP(A102,import!A:J,6,0)</f>
        <v>74</v>
      </c>
      <c r="G102" s="10">
        <f>VLOOKUP(A102,import!A:J,7,0)</f>
        <v>63</v>
      </c>
      <c r="H102" s="10">
        <f>VLOOKUP(A102,import!A:J,8,0)</f>
        <v>17</v>
      </c>
      <c r="I102" s="10">
        <f>VLOOKUP(A102,import!A:J,9,0)</f>
        <v>80</v>
      </c>
      <c r="J102" s="11">
        <f>VLOOKUP(A102,import!A:J,10,0)</f>
        <v>0.79</v>
      </c>
      <c r="K102" s="10" t="s">
        <v>628</v>
      </c>
      <c r="L102" s="10">
        <v>5.538865713E9</v>
      </c>
      <c r="M102" s="10" t="s">
        <v>63</v>
      </c>
      <c r="N102" s="10" t="s">
        <v>137</v>
      </c>
      <c r="O102" s="10" t="s">
        <v>629</v>
      </c>
      <c r="P102" s="10" t="str">
        <f>VLOOKUP(A102,import!A:P,16,0)</f>
        <v>Geleneksel</v>
      </c>
      <c r="Q102" s="12" t="s">
        <v>84</v>
      </c>
      <c r="R102" s="12" t="b">
        <v>1</v>
      </c>
      <c r="S102" s="12" t="b">
        <v>0</v>
      </c>
      <c r="T102" s="13" t="s">
        <v>51</v>
      </c>
      <c r="U102" s="13" t="s">
        <v>367</v>
      </c>
      <c r="V102" s="13" t="s">
        <v>53</v>
      </c>
      <c r="W102" s="28" t="s">
        <v>630</v>
      </c>
      <c r="X102" s="15">
        <v>44489.0</v>
      </c>
      <c r="Y102" s="15">
        <v>44490.0</v>
      </c>
      <c r="Z102" s="16"/>
      <c r="AA102" s="17" t="s">
        <v>56</v>
      </c>
      <c r="AB102" s="16">
        <v>44489.0</v>
      </c>
      <c r="AC102" s="16"/>
      <c r="AD102" s="16"/>
      <c r="AE102" s="17"/>
      <c r="AF102" s="16"/>
      <c r="AG102" s="17"/>
      <c r="AH102" s="16"/>
      <c r="AI102" s="16"/>
      <c r="AJ102" s="16"/>
      <c r="AK102" s="17" t="s">
        <v>367</v>
      </c>
      <c r="AL102" s="16"/>
      <c r="AM102" s="16"/>
      <c r="AN102" s="16"/>
      <c r="AO102" s="16"/>
      <c r="AP102" s="18" t="s">
        <v>58</v>
      </c>
      <c r="AQ102" s="16"/>
    </row>
    <row r="103" ht="15.75" hidden="1" customHeight="1">
      <c r="A103" s="10" t="s">
        <v>631</v>
      </c>
      <c r="B103" s="10" t="s">
        <v>632</v>
      </c>
      <c r="C103" s="10" t="str">
        <f>VLOOKUP(A103,import!A:C,3,0)</f>
        <v>DOĞRU</v>
      </c>
      <c r="D103" s="10" t="s">
        <v>118</v>
      </c>
      <c r="E103" s="10">
        <f>VLOOKUP(A103,import!A:J,5,0)</f>
        <v>59</v>
      </c>
      <c r="F103" s="10">
        <f>VLOOKUP(A103,import!A:J,6,0)</f>
        <v>13</v>
      </c>
      <c r="G103" s="10">
        <f>VLOOKUP(A103,import!A:J,7,0)</f>
        <v>18</v>
      </c>
      <c r="H103" s="10">
        <f>VLOOKUP(A103,import!A:J,8,0)</f>
        <v>0</v>
      </c>
      <c r="I103" s="10">
        <f>VLOOKUP(A103,import!A:J,9,0)</f>
        <v>18</v>
      </c>
      <c r="J103" s="11">
        <f>VLOOKUP(A103,import!A:J,10,0)</f>
        <v>1</v>
      </c>
      <c r="K103" s="10" t="s">
        <v>633</v>
      </c>
      <c r="L103" s="10">
        <v>5.363007575E9</v>
      </c>
      <c r="M103" s="10" t="s">
        <v>215</v>
      </c>
      <c r="N103" s="10" t="s">
        <v>634</v>
      </c>
      <c r="O103" s="10" t="s">
        <v>635</v>
      </c>
      <c r="P103" s="10" t="str">
        <f>VLOOKUP(A103,import!A:P,16,0)</f>
        <v>Geleneksel</v>
      </c>
      <c r="Q103" s="12"/>
      <c r="R103" s="12" t="b">
        <v>1</v>
      </c>
      <c r="S103" s="12" t="b">
        <v>0</v>
      </c>
      <c r="T103" s="13" t="s">
        <v>51</v>
      </c>
      <c r="U103" s="13" t="s">
        <v>89</v>
      </c>
      <c r="V103" s="17" t="s">
        <v>131</v>
      </c>
      <c r="W103" s="13"/>
      <c r="X103" s="15">
        <v>44634.0</v>
      </c>
      <c r="Y103" s="15">
        <v>44635.0</v>
      </c>
      <c r="Z103" s="16"/>
      <c r="AA103" s="17" t="s">
        <v>56</v>
      </c>
      <c r="AB103" s="16">
        <v>44634.0</v>
      </c>
      <c r="AC103" s="16"/>
      <c r="AD103" s="16"/>
      <c r="AE103" s="17"/>
      <c r="AF103" s="16"/>
      <c r="AG103" s="17"/>
      <c r="AH103" s="16"/>
      <c r="AI103" s="16"/>
      <c r="AJ103" s="16"/>
      <c r="AK103" s="17" t="s">
        <v>89</v>
      </c>
      <c r="AL103" s="16"/>
      <c r="AM103" s="16"/>
      <c r="AN103" s="16"/>
      <c r="AO103" s="16"/>
      <c r="AP103" s="18"/>
      <c r="AQ103" s="16"/>
    </row>
    <row r="104" ht="15.75" hidden="1" customHeight="1">
      <c r="A104" s="10" t="s">
        <v>636</v>
      </c>
      <c r="B104" s="10" t="s">
        <v>637</v>
      </c>
      <c r="C104" s="10" t="str">
        <f>VLOOKUP(A104,import!A:C,3,0)</f>
        <v>DOĞRU</v>
      </c>
      <c r="D104" s="10" t="s">
        <v>45</v>
      </c>
      <c r="E104" s="10">
        <f>VLOOKUP(A104,import!A:J,5,0)</f>
        <v>5</v>
      </c>
      <c r="F104" s="10">
        <f>VLOOKUP(A104,import!A:J,6,0)</f>
        <v>4</v>
      </c>
      <c r="G104" s="10">
        <f>VLOOKUP(A104,import!A:J,7,0)</f>
        <v>0</v>
      </c>
      <c r="H104" s="10">
        <f>VLOOKUP(A104,import!A:J,8,0)</f>
        <v>21</v>
      </c>
      <c r="I104" s="10">
        <f>VLOOKUP(A104,import!A:J,9,0)</f>
        <v>21</v>
      </c>
      <c r="J104" s="11">
        <f>VLOOKUP(A104,import!A:J,10,0)</f>
        <v>0</v>
      </c>
      <c r="K104" s="10" t="s">
        <v>638</v>
      </c>
      <c r="L104" s="10">
        <v>5.301185333E9</v>
      </c>
      <c r="M104" s="10" t="s">
        <v>72</v>
      </c>
      <c r="N104" s="10" t="s">
        <v>538</v>
      </c>
      <c r="O104" s="10" t="s">
        <v>639</v>
      </c>
      <c r="P104" s="10" t="str">
        <f>VLOOKUP(A104,import!A:P,16,0)</f>
        <v>Geleneksel</v>
      </c>
      <c r="Q104" s="12"/>
      <c r="R104" s="12" t="b">
        <v>1</v>
      </c>
      <c r="S104" s="12" t="b">
        <v>0</v>
      </c>
      <c r="T104" s="13" t="s">
        <v>265</v>
      </c>
      <c r="U104" s="13" t="s">
        <v>133</v>
      </c>
      <c r="V104" s="17" t="s">
        <v>66</v>
      </c>
      <c r="W104" s="13" t="s">
        <v>640</v>
      </c>
      <c r="X104" s="15">
        <v>44648.0</v>
      </c>
      <c r="Y104" s="15">
        <v>44649.0</v>
      </c>
      <c r="Z104" s="16"/>
      <c r="AA104" s="17" t="s">
        <v>56</v>
      </c>
      <c r="AB104" s="16">
        <v>44648.0</v>
      </c>
      <c r="AC104" s="17" t="s">
        <v>56</v>
      </c>
      <c r="AD104" s="16"/>
      <c r="AE104" s="17"/>
      <c r="AF104" s="16"/>
      <c r="AG104" s="17"/>
      <c r="AH104" s="16"/>
      <c r="AI104" s="16"/>
      <c r="AJ104" s="16"/>
      <c r="AK104" s="17" t="s">
        <v>133</v>
      </c>
      <c r="AL104" s="16"/>
      <c r="AM104" s="16"/>
      <c r="AN104" s="16"/>
      <c r="AO104" s="16"/>
      <c r="AP104" s="18"/>
      <c r="AQ104" s="16"/>
    </row>
    <row r="105" ht="15.75" hidden="1" customHeight="1">
      <c r="A105" s="10" t="s">
        <v>641</v>
      </c>
      <c r="B105" s="10" t="s">
        <v>642</v>
      </c>
      <c r="C105" s="10" t="str">
        <f>VLOOKUP(A105,import!A:C,3,0)</f>
        <v>DOĞRU</v>
      </c>
      <c r="D105" s="10" t="s">
        <v>70</v>
      </c>
      <c r="E105" s="10">
        <f>VLOOKUP(A105,import!A:J,5,0)</f>
        <v>162</v>
      </c>
      <c r="F105" s="10" t="str">
        <f>VLOOKUP(A105,import!A:J,6,0)</f>
        <v/>
      </c>
      <c r="G105" s="10">
        <f>VLOOKUP(A105,import!A:J,7,0)</f>
        <v>1</v>
      </c>
      <c r="H105" s="10">
        <f>VLOOKUP(A105,import!A:J,8,0)</f>
        <v>4</v>
      </c>
      <c r="I105" s="10">
        <f>VLOOKUP(A105,import!A:J,9,0)</f>
        <v>5</v>
      </c>
      <c r="J105" s="11">
        <f>VLOOKUP(A105,import!A:J,10,0)</f>
        <v>0.2</v>
      </c>
      <c r="K105" s="10" t="s">
        <v>643</v>
      </c>
      <c r="L105" s="10">
        <v>5.373717529E9</v>
      </c>
      <c r="M105" s="10" t="s">
        <v>72</v>
      </c>
      <c r="N105" s="10" t="s">
        <v>113</v>
      </c>
      <c r="O105" s="10" t="s">
        <v>644</v>
      </c>
      <c r="P105" s="10" t="str">
        <f>VLOOKUP(A105,import!A:P,16,0)</f>
        <v>Geleneksel</v>
      </c>
      <c r="Q105" s="12"/>
      <c r="R105" s="12" t="b">
        <v>1</v>
      </c>
      <c r="S105" s="12" t="b">
        <v>0</v>
      </c>
      <c r="T105" s="13" t="s">
        <v>51</v>
      </c>
      <c r="U105" s="13" t="s">
        <v>133</v>
      </c>
      <c r="V105" s="19" t="s">
        <v>66</v>
      </c>
      <c r="W105" s="13"/>
      <c r="X105" s="15">
        <v>44636.0</v>
      </c>
      <c r="Y105" s="15">
        <v>44637.0</v>
      </c>
      <c r="Z105" s="16"/>
      <c r="AA105" s="17" t="s">
        <v>56</v>
      </c>
      <c r="AB105" s="16">
        <v>44636.0</v>
      </c>
      <c r="AC105" s="16"/>
      <c r="AD105" s="16"/>
      <c r="AE105" s="17"/>
      <c r="AF105" s="16"/>
      <c r="AG105" s="17"/>
      <c r="AH105" s="16"/>
      <c r="AI105" s="16"/>
      <c r="AJ105" s="16"/>
      <c r="AK105" s="17" t="s">
        <v>133</v>
      </c>
      <c r="AL105" s="16"/>
      <c r="AM105" s="16"/>
      <c r="AN105" s="16"/>
      <c r="AO105" s="16"/>
      <c r="AP105" s="18"/>
      <c r="AQ105" s="16"/>
    </row>
    <row r="106" ht="15.75" hidden="1" customHeight="1">
      <c r="A106" s="10" t="s">
        <v>645</v>
      </c>
      <c r="B106" s="10" t="s">
        <v>646</v>
      </c>
      <c r="C106" s="10" t="str">
        <f>VLOOKUP(A106,import!A:C,3,0)</f>
        <v>DOĞRU</v>
      </c>
      <c r="D106" s="10" t="s">
        <v>118</v>
      </c>
      <c r="E106" s="10">
        <f>VLOOKUP(A106,import!A:J,5,0)</f>
        <v>1454</v>
      </c>
      <c r="F106" s="10">
        <f>VLOOKUP(A106,import!A:J,6,0)</f>
        <v>56</v>
      </c>
      <c r="G106" s="10">
        <f>VLOOKUP(A106,import!A:J,7,0)</f>
        <v>12</v>
      </c>
      <c r="H106" s="10">
        <f>VLOOKUP(A106,import!A:J,8,0)</f>
        <v>4</v>
      </c>
      <c r="I106" s="10">
        <f>VLOOKUP(A106,import!A:J,9,0)</f>
        <v>16</v>
      </c>
      <c r="J106" s="11">
        <f>VLOOKUP(A106,import!A:J,10,0)</f>
        <v>0.75</v>
      </c>
      <c r="K106" s="10" t="s">
        <v>647</v>
      </c>
      <c r="L106" s="10">
        <v>5.362294646E9</v>
      </c>
      <c r="M106" s="10" t="s">
        <v>215</v>
      </c>
      <c r="N106" s="10" t="s">
        <v>648</v>
      </c>
      <c r="O106" s="10" t="s">
        <v>649</v>
      </c>
      <c r="P106" s="10" t="str">
        <f>VLOOKUP(A106,import!A:P,16,0)</f>
        <v>Geleneksel</v>
      </c>
      <c r="Q106" s="12" t="s">
        <v>50</v>
      </c>
      <c r="R106" s="12" t="b">
        <v>1</v>
      </c>
      <c r="S106" s="12" t="b">
        <v>0</v>
      </c>
      <c r="T106" s="13" t="s">
        <v>51</v>
      </c>
      <c r="U106" s="13" t="s">
        <v>133</v>
      </c>
      <c r="V106" s="13" t="s">
        <v>53</v>
      </c>
      <c r="W106" s="13" t="s">
        <v>218</v>
      </c>
      <c r="X106" s="15">
        <v>44278.0</v>
      </c>
      <c r="Y106" s="15">
        <v>44279.0</v>
      </c>
      <c r="Z106" s="16"/>
      <c r="AA106" s="16"/>
      <c r="AB106" s="16"/>
      <c r="AC106" s="16"/>
      <c r="AD106" s="16"/>
      <c r="AE106" s="17"/>
      <c r="AF106" s="16"/>
      <c r="AG106" s="17"/>
      <c r="AH106" s="16"/>
      <c r="AI106" s="16"/>
      <c r="AJ106" s="16"/>
      <c r="AK106" s="16"/>
      <c r="AL106" s="16"/>
      <c r="AM106" s="16"/>
      <c r="AN106" s="16"/>
      <c r="AO106" s="16"/>
      <c r="AP106" s="18" t="s">
        <v>58</v>
      </c>
      <c r="AQ106" s="16"/>
    </row>
    <row r="107" ht="15.75" customHeight="1">
      <c r="A107" s="10" t="s">
        <v>650</v>
      </c>
      <c r="B107" s="10" t="s">
        <v>651</v>
      </c>
      <c r="C107" s="10" t="str">
        <f>VLOOKUP(A107,import!A:C,3,0)</f>
        <v>DOĞRU</v>
      </c>
      <c r="D107" s="10" t="s">
        <v>70</v>
      </c>
      <c r="E107" s="10">
        <f>VLOOKUP(A107,import!A:J,5,0)</f>
        <v>567</v>
      </c>
      <c r="F107" s="10">
        <f>VLOOKUP(A107,import!A:J,6,0)</f>
        <v>58</v>
      </c>
      <c r="G107" s="10">
        <f>VLOOKUP(A107,import!A:J,7,0)</f>
        <v>2</v>
      </c>
      <c r="H107" s="10">
        <f>VLOOKUP(A107,import!A:J,8,0)</f>
        <v>3</v>
      </c>
      <c r="I107" s="10">
        <f>VLOOKUP(A107,import!A:J,9,0)</f>
        <v>5</v>
      </c>
      <c r="J107" s="11">
        <f>VLOOKUP(A107,import!A:J,10,0)</f>
        <v>0.4</v>
      </c>
      <c r="K107" s="10" t="s">
        <v>652</v>
      </c>
      <c r="L107" s="10">
        <v>3.242373317E9</v>
      </c>
      <c r="M107" s="10" t="s">
        <v>137</v>
      </c>
      <c r="N107" s="10" t="s">
        <v>138</v>
      </c>
      <c r="O107" s="10" t="s">
        <v>653</v>
      </c>
      <c r="P107" s="10" t="str">
        <f>VLOOKUP(A107,import!A:P,16,0)</f>
        <v>Geleneksel</v>
      </c>
      <c r="Q107" s="12" t="s">
        <v>50</v>
      </c>
      <c r="R107" s="12" t="b">
        <v>1</v>
      </c>
      <c r="S107" s="12" t="b">
        <v>0</v>
      </c>
      <c r="T107" s="13" t="s">
        <v>51</v>
      </c>
      <c r="U107" s="13" t="s">
        <v>654</v>
      </c>
      <c r="V107" s="13" t="s">
        <v>53</v>
      </c>
      <c r="W107" s="13"/>
      <c r="X107" s="15">
        <v>44279.0</v>
      </c>
      <c r="Y107" s="15">
        <v>44281.0</v>
      </c>
      <c r="Z107" s="16"/>
      <c r="AA107" s="16"/>
      <c r="AB107" s="16"/>
      <c r="AC107" s="16"/>
      <c r="AD107" s="16"/>
      <c r="AE107" s="17"/>
      <c r="AF107" s="16"/>
      <c r="AG107" s="17"/>
      <c r="AH107" s="16"/>
      <c r="AI107" s="16"/>
      <c r="AJ107" s="16"/>
      <c r="AK107" s="16"/>
      <c r="AL107" s="16"/>
      <c r="AM107" s="16"/>
      <c r="AN107" s="16"/>
      <c r="AO107" s="16"/>
      <c r="AP107" s="18" t="s">
        <v>58</v>
      </c>
      <c r="AQ107" s="16"/>
    </row>
    <row r="108" ht="15.75" hidden="1" customHeight="1">
      <c r="A108" s="10" t="s">
        <v>655</v>
      </c>
      <c r="B108" s="10" t="s">
        <v>656</v>
      </c>
      <c r="C108" s="10" t="str">
        <f>VLOOKUP(A108,import!A:C,3,0)</f>
        <v>DOĞRU</v>
      </c>
      <c r="D108" s="10" t="s">
        <v>80</v>
      </c>
      <c r="E108" s="10">
        <f>VLOOKUP(A108,import!A:J,5,0)</f>
        <v>400</v>
      </c>
      <c r="F108" s="10" t="str">
        <f>VLOOKUP(A108,import!A:J,6,0)</f>
        <v/>
      </c>
      <c r="G108" s="10">
        <f>VLOOKUP(A108,import!A:J,7,0)</f>
        <v>7</v>
      </c>
      <c r="H108" s="10">
        <f>VLOOKUP(A108,import!A:J,8,0)</f>
        <v>20</v>
      </c>
      <c r="I108" s="10">
        <f>VLOOKUP(A108,import!A:J,9,0)</f>
        <v>27</v>
      </c>
      <c r="J108" s="11">
        <f>VLOOKUP(A108,import!A:J,10,0)</f>
        <v>0.26</v>
      </c>
      <c r="K108" s="10" t="s">
        <v>657</v>
      </c>
      <c r="L108" s="10">
        <v>5.453242626E9</v>
      </c>
      <c r="M108" s="10" t="s">
        <v>215</v>
      </c>
      <c r="N108" s="10" t="s">
        <v>658</v>
      </c>
      <c r="O108" s="10" t="s">
        <v>659</v>
      </c>
      <c r="P108" s="10" t="str">
        <f>VLOOKUP(A108,import!A:P,16,0)</f>
        <v>Geleneksel</v>
      </c>
      <c r="Q108" s="12"/>
      <c r="R108" s="12" t="b">
        <v>1</v>
      </c>
      <c r="S108" s="12" t="b">
        <v>0</v>
      </c>
      <c r="T108" s="13"/>
      <c r="U108" s="13"/>
      <c r="V108" s="13"/>
      <c r="W108" s="13" t="s">
        <v>660</v>
      </c>
      <c r="X108" s="15"/>
      <c r="Y108" s="15"/>
      <c r="Z108" s="16"/>
      <c r="AA108" s="17" t="s">
        <v>56</v>
      </c>
      <c r="AB108" s="16">
        <v>44508.0</v>
      </c>
      <c r="AC108" s="17" t="s">
        <v>56</v>
      </c>
      <c r="AD108" s="16">
        <v>44540.0</v>
      </c>
      <c r="AE108" s="17"/>
      <c r="AF108" s="16"/>
      <c r="AG108" s="17"/>
      <c r="AH108" s="16"/>
      <c r="AI108" s="16"/>
      <c r="AJ108" s="16"/>
      <c r="AK108" s="17" t="s">
        <v>133</v>
      </c>
      <c r="AL108" s="17" t="s">
        <v>89</v>
      </c>
      <c r="AM108" s="16"/>
      <c r="AN108" s="16"/>
      <c r="AO108" s="16"/>
      <c r="AP108" s="18" t="s">
        <v>58</v>
      </c>
      <c r="AQ108" s="16"/>
    </row>
    <row r="109" ht="15.75" hidden="1" customHeight="1">
      <c r="A109" s="18" t="s">
        <v>661</v>
      </c>
      <c r="B109" s="18" t="s">
        <v>662</v>
      </c>
      <c r="C109" s="10" t="str">
        <f>VLOOKUP(A109,import!A:C,3,0)</f>
        <v>DOĞRU</v>
      </c>
      <c r="D109" s="18" t="s">
        <v>363</v>
      </c>
      <c r="E109" s="10" t="str">
        <f>VLOOKUP(A109,import!A:J,5,0)</f>
        <v/>
      </c>
      <c r="F109" s="10" t="str">
        <f>VLOOKUP(A109,import!A:J,6,0)</f>
        <v/>
      </c>
      <c r="G109" s="10">
        <f>VLOOKUP(A109,import!A:J,7,0)</f>
        <v>0</v>
      </c>
      <c r="H109" s="10">
        <f>VLOOKUP(A109,import!A:J,8,0)</f>
        <v>9</v>
      </c>
      <c r="I109" s="10">
        <f>VLOOKUP(A109,import!A:J,9,0)</f>
        <v>9</v>
      </c>
      <c r="J109" s="11">
        <f>VLOOKUP(A109,import!A:J,10,0)</f>
        <v>0</v>
      </c>
      <c r="K109" s="18" t="s">
        <v>663</v>
      </c>
      <c r="L109" s="18">
        <v>5.496250161E9</v>
      </c>
      <c r="M109" s="18" t="s">
        <v>156</v>
      </c>
      <c r="N109" s="18" t="s">
        <v>204</v>
      </c>
      <c r="O109" s="18" t="s">
        <v>664</v>
      </c>
      <c r="P109" s="10" t="str">
        <f>VLOOKUP(A109,import!A:P,16,0)</f>
        <v>Geleneksel</v>
      </c>
      <c r="Q109" s="12"/>
      <c r="R109" s="12" t="b">
        <v>0</v>
      </c>
      <c r="S109" s="12" t="b">
        <v>0</v>
      </c>
      <c r="T109" s="13"/>
      <c r="U109" s="13"/>
      <c r="V109" s="19"/>
      <c r="W109" s="13"/>
      <c r="X109" s="15"/>
      <c r="Y109" s="15"/>
      <c r="Z109" s="16"/>
      <c r="AA109" s="17"/>
      <c r="AB109" s="16"/>
      <c r="AC109" s="16"/>
      <c r="AD109" s="16"/>
      <c r="AE109" s="17"/>
      <c r="AF109" s="16"/>
      <c r="AG109" s="17"/>
      <c r="AH109" s="16"/>
      <c r="AI109" s="16"/>
      <c r="AJ109" s="16"/>
      <c r="AK109" s="17"/>
      <c r="AL109" s="16"/>
      <c r="AM109" s="16"/>
      <c r="AN109" s="16"/>
      <c r="AO109" s="16"/>
      <c r="AP109" s="18"/>
      <c r="AQ109" s="16"/>
    </row>
    <row r="110" ht="15.75" customHeight="1">
      <c r="A110" s="10" t="s">
        <v>665</v>
      </c>
      <c r="B110" s="10" t="s">
        <v>666</v>
      </c>
      <c r="C110" s="10" t="str">
        <f>VLOOKUP(A110,import!A:C,3,0)</f>
        <v>DOĞRU</v>
      </c>
      <c r="D110" s="10" t="s">
        <v>363</v>
      </c>
      <c r="E110" s="10">
        <f>VLOOKUP(A110,import!A:J,5,0)</f>
        <v>1094</v>
      </c>
      <c r="F110" s="10">
        <f>VLOOKUP(A110,import!A:J,6,0)</f>
        <v>225</v>
      </c>
      <c r="G110" s="10">
        <f>VLOOKUP(A110,import!A:J,7,0)</f>
        <v>20</v>
      </c>
      <c r="H110" s="10">
        <f>VLOOKUP(A110,import!A:J,8,0)</f>
        <v>6</v>
      </c>
      <c r="I110" s="10">
        <f>VLOOKUP(A110,import!A:J,9,0)</f>
        <v>26</v>
      </c>
      <c r="J110" s="11">
        <f>VLOOKUP(A110,import!A:J,10,0)</f>
        <v>0.77</v>
      </c>
      <c r="K110" s="10" t="s">
        <v>667</v>
      </c>
      <c r="L110" s="10">
        <v>5.526602614E9</v>
      </c>
      <c r="M110" s="10" t="s">
        <v>63</v>
      </c>
      <c r="N110" s="10" t="s">
        <v>93</v>
      </c>
      <c r="O110" s="10" t="s">
        <v>668</v>
      </c>
      <c r="P110" s="10" t="str">
        <f>VLOOKUP(A110,import!A:P,16,0)</f>
        <v>Geleneksel</v>
      </c>
      <c r="Q110" s="12"/>
      <c r="R110" s="12" t="b">
        <v>1</v>
      </c>
      <c r="S110" s="12" t="b">
        <v>0</v>
      </c>
      <c r="T110" s="13" t="s">
        <v>51</v>
      </c>
      <c r="U110" s="13" t="s">
        <v>89</v>
      </c>
      <c r="V110" s="13" t="s">
        <v>66</v>
      </c>
      <c r="W110" s="23"/>
      <c r="X110" s="15">
        <v>44545.0</v>
      </c>
      <c r="Y110" s="15">
        <v>44547.0</v>
      </c>
      <c r="Z110" s="16"/>
      <c r="AA110" s="17" t="s">
        <v>56</v>
      </c>
      <c r="AB110" s="16">
        <v>44545.0</v>
      </c>
      <c r="AC110" s="16"/>
      <c r="AD110" s="16"/>
      <c r="AE110" s="17"/>
      <c r="AF110" s="16"/>
      <c r="AG110" s="17"/>
      <c r="AH110" s="16"/>
      <c r="AI110" s="16"/>
      <c r="AJ110" s="16"/>
      <c r="AK110" s="17" t="s">
        <v>89</v>
      </c>
      <c r="AL110" s="16"/>
      <c r="AM110" s="16"/>
      <c r="AN110" s="16"/>
      <c r="AO110" s="16"/>
      <c r="AP110" s="18" t="s">
        <v>58</v>
      </c>
      <c r="AQ110" s="16"/>
    </row>
    <row r="111" ht="15.75" hidden="1" customHeight="1">
      <c r="A111" s="10" t="s">
        <v>669</v>
      </c>
      <c r="B111" s="10" t="s">
        <v>670</v>
      </c>
      <c r="C111" s="10" t="str">
        <f>VLOOKUP(A111,import!A:C,3,0)</f>
        <v>DOĞRU</v>
      </c>
      <c r="D111" s="10" t="s">
        <v>363</v>
      </c>
      <c r="E111" s="10">
        <f>VLOOKUP(A111,import!A:J,5,0)</f>
        <v>922</v>
      </c>
      <c r="F111" s="10">
        <f>VLOOKUP(A111,import!A:J,6,0)</f>
        <v>274</v>
      </c>
      <c r="G111" s="10">
        <f>VLOOKUP(A111,import!A:J,7,0)</f>
        <v>0</v>
      </c>
      <c r="H111" s="10">
        <f>VLOOKUP(A111,import!A:J,8,0)</f>
        <v>30</v>
      </c>
      <c r="I111" s="10">
        <f>VLOOKUP(A111,import!A:J,9,0)</f>
        <v>30</v>
      </c>
      <c r="J111" s="11">
        <f>VLOOKUP(A111,import!A:J,10,0)</f>
        <v>0</v>
      </c>
      <c r="K111" s="10" t="s">
        <v>667</v>
      </c>
      <c r="L111" s="10">
        <v>5.526602615E9</v>
      </c>
      <c r="M111" s="10" t="s">
        <v>215</v>
      </c>
      <c r="N111" s="10" t="s">
        <v>671</v>
      </c>
      <c r="O111" s="10" t="s">
        <v>672</v>
      </c>
      <c r="P111" s="10" t="str">
        <f>VLOOKUP(A111,import!A:P,16,0)</f>
        <v>Geleneksel</v>
      </c>
      <c r="Q111" s="12"/>
      <c r="R111" s="12" t="b">
        <v>1</v>
      </c>
      <c r="S111" s="12" t="b">
        <v>0</v>
      </c>
      <c r="T111" s="13" t="s">
        <v>140</v>
      </c>
      <c r="U111" s="13"/>
      <c r="V111" s="13"/>
      <c r="W111" s="13" t="s">
        <v>673</v>
      </c>
      <c r="X111" s="15"/>
      <c r="Y111" s="15"/>
      <c r="Z111" s="16"/>
      <c r="AA111" s="17" t="s">
        <v>56</v>
      </c>
      <c r="AB111" s="16">
        <v>44547.0</v>
      </c>
      <c r="AC111" s="16"/>
      <c r="AD111" s="16"/>
      <c r="AE111" s="17"/>
      <c r="AF111" s="16"/>
      <c r="AG111" s="17"/>
      <c r="AH111" s="16"/>
      <c r="AI111" s="16"/>
      <c r="AJ111" s="16"/>
      <c r="AK111" s="17" t="s">
        <v>87</v>
      </c>
      <c r="AL111" s="16"/>
      <c r="AM111" s="16"/>
      <c r="AN111" s="16"/>
      <c r="AO111" s="16"/>
      <c r="AP111" s="18" t="s">
        <v>58</v>
      </c>
      <c r="AQ111" s="16"/>
    </row>
    <row r="112" ht="15.75" customHeight="1">
      <c r="A112" s="10" t="s">
        <v>674</v>
      </c>
      <c r="B112" s="10" t="s">
        <v>675</v>
      </c>
      <c r="C112" s="10" t="str">
        <f>VLOOKUP(A112,import!A:C,3,0)</f>
        <v>DOĞRU</v>
      </c>
      <c r="D112" s="10" t="s">
        <v>676</v>
      </c>
      <c r="E112" s="10">
        <f>VLOOKUP(A112,import!A:J,5,0)</f>
        <v>137</v>
      </c>
      <c r="F112" s="10">
        <f>VLOOKUP(A112,import!A:J,6,0)</f>
        <v>21</v>
      </c>
      <c r="G112" s="10">
        <f>VLOOKUP(A112,import!A:J,7,0)</f>
        <v>4</v>
      </c>
      <c r="H112" s="10">
        <f>VLOOKUP(A112,import!A:J,8,0)</f>
        <v>24</v>
      </c>
      <c r="I112" s="10">
        <f>VLOOKUP(A112,import!A:J,9,0)</f>
        <v>28</v>
      </c>
      <c r="J112" s="11">
        <f>VLOOKUP(A112,import!A:J,10,0)</f>
        <v>0.14</v>
      </c>
      <c r="K112" s="10" t="s">
        <v>677</v>
      </c>
      <c r="L112" s="10">
        <v>5.360306026E9</v>
      </c>
      <c r="M112" s="10" t="s">
        <v>63</v>
      </c>
      <c r="N112" s="10" t="s">
        <v>678</v>
      </c>
      <c r="O112" s="10" t="s">
        <v>679</v>
      </c>
      <c r="P112" s="10" t="str">
        <f>VLOOKUP(A112,import!A:P,16,0)</f>
        <v>Geleneksel</v>
      </c>
      <c r="Q112" s="12"/>
      <c r="R112" s="12" t="b">
        <v>1</v>
      </c>
      <c r="S112" s="12" t="b">
        <v>0</v>
      </c>
      <c r="T112" s="13" t="s">
        <v>51</v>
      </c>
      <c r="U112" s="13" t="s">
        <v>103</v>
      </c>
      <c r="V112" s="13" t="s">
        <v>66</v>
      </c>
      <c r="W112" s="13" t="s">
        <v>680</v>
      </c>
      <c r="X112" s="15">
        <v>44505.0</v>
      </c>
      <c r="Y112" s="15">
        <v>44508.0</v>
      </c>
      <c r="Z112" s="16"/>
      <c r="AA112" s="17" t="s">
        <v>56</v>
      </c>
      <c r="AB112" s="16">
        <v>44446.0</v>
      </c>
      <c r="AC112" s="17" t="s">
        <v>265</v>
      </c>
      <c r="AD112" s="16">
        <v>44459.0</v>
      </c>
      <c r="AE112" s="17" t="s">
        <v>56</v>
      </c>
      <c r="AF112" s="16">
        <v>44495.0</v>
      </c>
      <c r="AG112" s="17" t="s">
        <v>56</v>
      </c>
      <c r="AH112" s="16">
        <v>44497.0</v>
      </c>
      <c r="AI112" s="17" t="s">
        <v>56</v>
      </c>
      <c r="AJ112" s="16">
        <v>44533.0</v>
      </c>
      <c r="AK112" s="17" t="s">
        <v>367</v>
      </c>
      <c r="AL112" s="17" t="s">
        <v>267</v>
      </c>
      <c r="AM112" s="17" t="s">
        <v>89</v>
      </c>
      <c r="AN112" s="17" t="s">
        <v>267</v>
      </c>
      <c r="AO112" s="17" t="s">
        <v>108</v>
      </c>
      <c r="AP112" s="18" t="s">
        <v>58</v>
      </c>
      <c r="AQ112" s="17"/>
    </row>
    <row r="113" ht="15.75" hidden="1" customHeight="1">
      <c r="A113" s="10" t="s">
        <v>681</v>
      </c>
      <c r="B113" s="10" t="s">
        <v>682</v>
      </c>
      <c r="C113" s="10" t="str">
        <f>VLOOKUP(A113,import!A:C,3,0)</f>
        <v>DOĞRU</v>
      </c>
      <c r="D113" s="10" t="s">
        <v>676</v>
      </c>
      <c r="E113" s="10">
        <f>VLOOKUP(A113,import!A:J,5,0)</f>
        <v>27</v>
      </c>
      <c r="F113" s="10">
        <f>VLOOKUP(A113,import!A:J,6,0)</f>
        <v>1</v>
      </c>
      <c r="G113" s="10">
        <f>VLOOKUP(A113,import!A:J,7,0)</f>
        <v>0</v>
      </c>
      <c r="H113" s="10">
        <f>VLOOKUP(A113,import!A:J,8,0)</f>
        <v>23</v>
      </c>
      <c r="I113" s="10">
        <f>VLOOKUP(A113,import!A:J,9,0)</f>
        <v>23</v>
      </c>
      <c r="J113" s="11">
        <f>VLOOKUP(A113,import!A:J,10,0)</f>
        <v>0</v>
      </c>
      <c r="K113" s="10" t="s">
        <v>683</v>
      </c>
      <c r="L113" s="10">
        <v>3.245577864E9</v>
      </c>
      <c r="M113" s="10" t="s">
        <v>47</v>
      </c>
      <c r="N113" s="10" t="s">
        <v>684</v>
      </c>
      <c r="O113" s="10" t="s">
        <v>685</v>
      </c>
      <c r="P113" s="10" t="str">
        <f>VLOOKUP(A113,import!A:P,16,0)</f>
        <v>Geleneksel</v>
      </c>
      <c r="Q113" s="12"/>
      <c r="R113" s="12" t="b">
        <v>1</v>
      </c>
      <c r="S113" s="12" t="b">
        <v>0</v>
      </c>
      <c r="T113" s="13" t="s">
        <v>199</v>
      </c>
      <c r="U113" s="13"/>
      <c r="V113" s="13"/>
      <c r="W113" s="13" t="s">
        <v>686</v>
      </c>
      <c r="X113" s="15"/>
      <c r="Y113" s="15"/>
      <c r="Z113" s="16"/>
      <c r="AA113" s="17" t="s">
        <v>56</v>
      </c>
      <c r="AB113" s="16">
        <v>44531.0</v>
      </c>
      <c r="AC113" s="16"/>
      <c r="AD113" s="16"/>
      <c r="AE113" s="17"/>
      <c r="AF113" s="16"/>
      <c r="AG113" s="17"/>
      <c r="AH113" s="16"/>
      <c r="AI113" s="16"/>
      <c r="AJ113" s="16"/>
      <c r="AK113" s="17" t="s">
        <v>52</v>
      </c>
      <c r="AL113" s="16"/>
      <c r="AM113" s="16"/>
      <c r="AN113" s="16"/>
      <c r="AO113" s="16"/>
      <c r="AP113" s="18" t="s">
        <v>58</v>
      </c>
      <c r="AQ113" s="16"/>
    </row>
    <row r="114" ht="15.75" customHeight="1">
      <c r="A114" s="10" t="s">
        <v>687</v>
      </c>
      <c r="B114" s="10" t="s">
        <v>688</v>
      </c>
      <c r="C114" s="10" t="str">
        <f>VLOOKUP(A114,import!A:C,3,0)</f>
        <v>DOĞRU</v>
      </c>
      <c r="D114" s="10" t="s">
        <v>676</v>
      </c>
      <c r="E114" s="10">
        <f>VLOOKUP(A114,import!A:J,5,0)</f>
        <v>2</v>
      </c>
      <c r="F114" s="10" t="str">
        <f>VLOOKUP(A114,import!A:J,6,0)</f>
        <v/>
      </c>
      <c r="G114" s="10">
        <f>VLOOKUP(A114,import!A:J,7,0)</f>
        <v>0</v>
      </c>
      <c r="H114" s="10">
        <f>VLOOKUP(A114,import!A:J,8,0)</f>
        <v>23</v>
      </c>
      <c r="I114" s="10">
        <f>VLOOKUP(A114,import!A:J,9,0)</f>
        <v>23</v>
      </c>
      <c r="J114" s="11">
        <f>VLOOKUP(A114,import!A:J,10,0)</f>
        <v>0</v>
      </c>
      <c r="K114" s="10" t="s">
        <v>689</v>
      </c>
      <c r="L114" s="10">
        <v>5.373734724E9</v>
      </c>
      <c r="M114" s="10" t="s">
        <v>137</v>
      </c>
      <c r="N114" s="10" t="s">
        <v>374</v>
      </c>
      <c r="O114" s="10" t="s">
        <v>690</v>
      </c>
      <c r="P114" s="10" t="str">
        <f>VLOOKUP(A114,import!A:P,16,0)</f>
        <v>Geleneksel</v>
      </c>
      <c r="Q114" s="12"/>
      <c r="R114" s="12" t="b">
        <v>1</v>
      </c>
      <c r="S114" s="12" t="b">
        <v>0</v>
      </c>
      <c r="T114" s="13" t="s">
        <v>199</v>
      </c>
      <c r="U114" s="13" t="s">
        <v>103</v>
      </c>
      <c r="V114" s="13" t="s">
        <v>66</v>
      </c>
      <c r="W114" s="13" t="s">
        <v>691</v>
      </c>
      <c r="X114" s="15">
        <v>44536.0</v>
      </c>
      <c r="Y114" s="15">
        <v>44537.0</v>
      </c>
      <c r="Z114" s="16"/>
      <c r="AA114" s="17" t="s">
        <v>56</v>
      </c>
      <c r="AB114" s="16">
        <v>44536.0</v>
      </c>
      <c r="AC114" s="17" t="s">
        <v>56</v>
      </c>
      <c r="AD114" s="16">
        <v>44547.0</v>
      </c>
      <c r="AE114" s="17"/>
      <c r="AF114" s="16"/>
      <c r="AG114" s="17"/>
      <c r="AH114" s="16"/>
      <c r="AI114" s="16"/>
      <c r="AJ114" s="16"/>
      <c r="AK114" s="17" t="s">
        <v>103</v>
      </c>
      <c r="AL114" s="17" t="s">
        <v>87</v>
      </c>
      <c r="AM114" s="16"/>
      <c r="AN114" s="16"/>
      <c r="AO114" s="16"/>
      <c r="AP114" s="18" t="s">
        <v>58</v>
      </c>
      <c r="AQ114" s="16"/>
    </row>
    <row r="115" ht="15.75" hidden="1" customHeight="1">
      <c r="A115" s="10" t="s">
        <v>692</v>
      </c>
      <c r="B115" s="10" t="s">
        <v>693</v>
      </c>
      <c r="C115" s="10" t="str">
        <f>VLOOKUP(A115,import!A:C,3,0)</f>
        <v>DOĞRU</v>
      </c>
      <c r="D115" s="10" t="s">
        <v>676</v>
      </c>
      <c r="E115" s="10">
        <f>VLOOKUP(A115,import!A:J,5,0)</f>
        <v>549</v>
      </c>
      <c r="F115" s="10">
        <f>VLOOKUP(A115,import!A:J,6,0)</f>
        <v>26</v>
      </c>
      <c r="G115" s="10">
        <f>VLOOKUP(A115,import!A:J,7,0)</f>
        <v>10</v>
      </c>
      <c r="H115" s="10">
        <f>VLOOKUP(A115,import!A:J,8,0)</f>
        <v>12</v>
      </c>
      <c r="I115" s="10">
        <f>VLOOKUP(A115,import!A:J,9,0)</f>
        <v>22</v>
      </c>
      <c r="J115" s="11">
        <f>VLOOKUP(A115,import!A:J,10,0)</f>
        <v>0.45</v>
      </c>
      <c r="K115" s="10" t="s">
        <v>694</v>
      </c>
      <c r="L115" s="10">
        <v>3.243275463E9</v>
      </c>
      <c r="M115" s="10" t="s">
        <v>72</v>
      </c>
      <c r="N115" s="10" t="s">
        <v>181</v>
      </c>
      <c r="O115" s="10" t="s">
        <v>695</v>
      </c>
      <c r="P115" s="10" t="str">
        <f>VLOOKUP(A115,import!A:P,16,0)</f>
        <v>Geleneksel</v>
      </c>
      <c r="Q115" s="12" t="s">
        <v>146</v>
      </c>
      <c r="R115" s="12" t="b">
        <v>1</v>
      </c>
      <c r="S115" s="12" t="b">
        <v>0</v>
      </c>
      <c r="T115" s="13" t="s">
        <v>51</v>
      </c>
      <c r="U115" s="13" t="s">
        <v>654</v>
      </c>
      <c r="V115" s="13" t="s">
        <v>278</v>
      </c>
      <c r="W115" s="13" t="s">
        <v>696</v>
      </c>
      <c r="X115" s="15">
        <v>44281.0</v>
      </c>
      <c r="Y115" s="15">
        <v>44284.0</v>
      </c>
      <c r="Z115" s="16"/>
      <c r="AA115" s="24"/>
      <c r="AB115" s="16"/>
      <c r="AC115" s="16"/>
      <c r="AD115" s="16"/>
      <c r="AE115" s="17"/>
      <c r="AF115" s="16"/>
      <c r="AG115" s="17"/>
      <c r="AH115" s="16"/>
      <c r="AI115" s="16"/>
      <c r="AJ115" s="16"/>
      <c r="AK115" s="16"/>
      <c r="AL115" s="16"/>
      <c r="AM115" s="16"/>
      <c r="AN115" s="16"/>
      <c r="AO115" s="16"/>
      <c r="AP115" s="18" t="s">
        <v>58</v>
      </c>
      <c r="AQ115" s="16"/>
    </row>
    <row r="116" ht="15.75" customHeight="1">
      <c r="A116" s="10" t="s">
        <v>697</v>
      </c>
      <c r="B116" s="10" t="s">
        <v>698</v>
      </c>
      <c r="C116" s="10" t="str">
        <f>VLOOKUP(A116,import!A:C,3,0)</f>
        <v>DOĞRU</v>
      </c>
      <c r="D116" s="10" t="s">
        <v>676</v>
      </c>
      <c r="E116" s="10">
        <f>VLOOKUP(A116,import!A:J,5,0)</f>
        <v>2251</v>
      </c>
      <c r="F116" s="10">
        <f>VLOOKUP(A116,import!A:J,6,0)</f>
        <v>52</v>
      </c>
      <c r="G116" s="10">
        <f>VLOOKUP(A116,import!A:J,7,0)</f>
        <v>24</v>
      </c>
      <c r="H116" s="10">
        <f>VLOOKUP(A116,import!A:J,8,0)</f>
        <v>32</v>
      </c>
      <c r="I116" s="10">
        <f>VLOOKUP(A116,import!A:J,9,0)</f>
        <v>56</v>
      </c>
      <c r="J116" s="11">
        <f>VLOOKUP(A116,import!A:J,10,0)</f>
        <v>0.43</v>
      </c>
      <c r="K116" s="10" t="s">
        <v>699</v>
      </c>
      <c r="L116" s="10">
        <v>3.243593461E9</v>
      </c>
      <c r="M116" s="10" t="s">
        <v>63</v>
      </c>
      <c r="N116" s="10" t="s">
        <v>700</v>
      </c>
      <c r="O116" s="10" t="s">
        <v>701</v>
      </c>
      <c r="P116" s="10" t="str">
        <f>VLOOKUP(A116,import!A:P,16,0)</f>
        <v>Geleneksel</v>
      </c>
      <c r="Q116" s="12" t="s">
        <v>84</v>
      </c>
      <c r="R116" s="12" t="b">
        <v>1</v>
      </c>
      <c r="S116" s="12" t="b">
        <v>0</v>
      </c>
      <c r="T116" s="13" t="s">
        <v>51</v>
      </c>
      <c r="U116" s="13" t="s">
        <v>52</v>
      </c>
      <c r="V116" s="13" t="s">
        <v>66</v>
      </c>
      <c r="W116" s="30" t="s">
        <v>702</v>
      </c>
      <c r="X116" s="15">
        <v>44487.0</v>
      </c>
      <c r="Y116" s="15">
        <v>44488.0</v>
      </c>
      <c r="Z116" s="16"/>
      <c r="AA116" s="31" t="s">
        <v>56</v>
      </c>
      <c r="AB116" s="16">
        <v>44418.0</v>
      </c>
      <c r="AC116" s="17" t="s">
        <v>56</v>
      </c>
      <c r="AD116" s="16">
        <v>44446.0</v>
      </c>
      <c r="AE116" s="17" t="s">
        <v>56</v>
      </c>
      <c r="AF116" s="16">
        <v>44484.0</v>
      </c>
      <c r="AG116" s="17" t="s">
        <v>56</v>
      </c>
      <c r="AH116" s="16">
        <v>44487.0</v>
      </c>
      <c r="AI116" s="17" t="s">
        <v>56</v>
      </c>
      <c r="AJ116" s="16">
        <v>44504.0</v>
      </c>
      <c r="AK116" s="17" t="s">
        <v>57</v>
      </c>
      <c r="AL116" s="17" t="s">
        <v>52</v>
      </c>
      <c r="AM116" s="17" t="s">
        <v>367</v>
      </c>
      <c r="AN116" s="17" t="s">
        <v>52</v>
      </c>
      <c r="AO116" s="17" t="s">
        <v>108</v>
      </c>
      <c r="AP116" s="18" t="s">
        <v>58</v>
      </c>
      <c r="AQ116" s="17"/>
    </row>
    <row r="117" ht="15.75" hidden="1" customHeight="1">
      <c r="A117" s="10" t="s">
        <v>703</v>
      </c>
      <c r="B117" s="10" t="s">
        <v>704</v>
      </c>
      <c r="C117" s="10" t="str">
        <f>VLOOKUP(A117,import!A:C,3,0)</f>
        <v>DOĞRU</v>
      </c>
      <c r="D117" s="10" t="s">
        <v>70</v>
      </c>
      <c r="E117" s="10">
        <f>VLOOKUP(A117,import!A:J,5,0)</f>
        <v>823</v>
      </c>
      <c r="F117" s="10">
        <f>VLOOKUP(A117,import!A:J,6,0)</f>
        <v>77</v>
      </c>
      <c r="G117" s="10">
        <f>VLOOKUP(A117,import!A:J,7,0)</f>
        <v>0</v>
      </c>
      <c r="H117" s="10">
        <f>VLOOKUP(A117,import!A:J,8,0)</f>
        <v>9</v>
      </c>
      <c r="I117" s="10">
        <f>VLOOKUP(A117,import!A:J,9,0)</f>
        <v>9</v>
      </c>
      <c r="J117" s="11">
        <f>VLOOKUP(A117,import!A:J,10,0)</f>
        <v>0</v>
      </c>
      <c r="K117" s="10" t="s">
        <v>705</v>
      </c>
      <c r="L117" s="10">
        <v>3.243250015E9</v>
      </c>
      <c r="M117" s="10" t="s">
        <v>72</v>
      </c>
      <c r="N117" s="10" t="s">
        <v>181</v>
      </c>
      <c r="O117" s="10" t="s">
        <v>706</v>
      </c>
      <c r="P117" s="10" t="str">
        <f>VLOOKUP(A117,import!A:P,16,0)</f>
        <v>Geleneksel</v>
      </c>
      <c r="Q117" s="12"/>
      <c r="R117" s="12" t="b">
        <v>1</v>
      </c>
      <c r="S117" s="12" t="b">
        <v>0</v>
      </c>
      <c r="T117" s="13" t="s">
        <v>51</v>
      </c>
      <c r="U117" s="13" t="s">
        <v>89</v>
      </c>
      <c r="V117" s="13" t="s">
        <v>53</v>
      </c>
      <c r="W117" s="13" t="s">
        <v>707</v>
      </c>
      <c r="X117" s="15">
        <v>44536.0</v>
      </c>
      <c r="Y117" s="15">
        <v>44537.0</v>
      </c>
      <c r="Z117" s="16"/>
      <c r="AA117" s="17" t="s">
        <v>56</v>
      </c>
      <c r="AB117" s="16">
        <v>44536.0</v>
      </c>
      <c r="AC117" s="17" t="s">
        <v>56</v>
      </c>
      <c r="AD117" s="16">
        <v>44559.0</v>
      </c>
      <c r="AE117" s="17" t="s">
        <v>56</v>
      </c>
      <c r="AF117" s="16">
        <v>44638.0</v>
      </c>
      <c r="AG117" s="17"/>
      <c r="AH117" s="16"/>
      <c r="AI117" s="16"/>
      <c r="AJ117" s="16"/>
      <c r="AK117" s="17" t="s">
        <v>89</v>
      </c>
      <c r="AL117" s="17" t="s">
        <v>133</v>
      </c>
      <c r="AM117" s="17" t="s">
        <v>133</v>
      </c>
      <c r="AN117" s="16"/>
      <c r="AO117" s="16"/>
      <c r="AP117" s="18" t="s">
        <v>58</v>
      </c>
      <c r="AQ117" s="16"/>
    </row>
    <row r="118" ht="15.75" customHeight="1">
      <c r="A118" s="10" t="s">
        <v>708</v>
      </c>
      <c r="B118" s="10" t="s">
        <v>709</v>
      </c>
      <c r="C118" s="10" t="str">
        <f>VLOOKUP(A118,import!A:C,3,0)</f>
        <v>DOĞRU</v>
      </c>
      <c r="D118" s="10" t="s">
        <v>70</v>
      </c>
      <c r="E118" s="10">
        <f>VLOOKUP(A118,import!A:J,5,0)</f>
        <v>1995</v>
      </c>
      <c r="F118" s="10">
        <f>VLOOKUP(A118,import!A:J,6,0)</f>
        <v>58</v>
      </c>
      <c r="G118" s="10">
        <f>VLOOKUP(A118,import!A:J,7,0)</f>
        <v>0</v>
      </c>
      <c r="H118" s="10">
        <f>VLOOKUP(A118,import!A:J,8,0)</f>
        <v>33</v>
      </c>
      <c r="I118" s="10">
        <f>VLOOKUP(A118,import!A:J,9,0)</f>
        <v>33</v>
      </c>
      <c r="J118" s="11">
        <f>VLOOKUP(A118,import!A:J,10,0)</f>
        <v>0</v>
      </c>
      <c r="K118" s="10" t="s">
        <v>710</v>
      </c>
      <c r="L118" s="10">
        <v>3.243572321E9</v>
      </c>
      <c r="M118" s="10" t="s">
        <v>63</v>
      </c>
      <c r="N118" s="10" t="s">
        <v>100</v>
      </c>
      <c r="O118" s="10" t="s">
        <v>711</v>
      </c>
      <c r="P118" s="10" t="str">
        <f>VLOOKUP(A118,import!A:P,16,0)</f>
        <v>Geleneksel</v>
      </c>
      <c r="Q118" s="12" t="s">
        <v>84</v>
      </c>
      <c r="R118" s="12" t="b">
        <v>1</v>
      </c>
      <c r="S118" s="12" t="b">
        <v>1</v>
      </c>
      <c r="T118" s="13"/>
      <c r="U118" s="13" t="s">
        <v>133</v>
      </c>
      <c r="V118" s="13" t="s">
        <v>53</v>
      </c>
      <c r="W118" s="13" t="s">
        <v>712</v>
      </c>
      <c r="X118" s="15">
        <v>44294.0</v>
      </c>
      <c r="Y118" s="15">
        <v>44295.0</v>
      </c>
      <c r="Z118" s="16"/>
      <c r="AA118" s="17" t="s">
        <v>56</v>
      </c>
      <c r="AB118" s="16">
        <v>44460.0</v>
      </c>
      <c r="AC118" s="16"/>
      <c r="AD118" s="16"/>
      <c r="AE118" s="17"/>
      <c r="AF118" s="16"/>
      <c r="AG118" s="17"/>
      <c r="AH118" s="16"/>
      <c r="AI118" s="16"/>
      <c r="AJ118" s="16"/>
      <c r="AK118" s="17" t="s">
        <v>87</v>
      </c>
      <c r="AL118" s="16"/>
      <c r="AM118" s="16"/>
      <c r="AN118" s="16"/>
      <c r="AO118" s="16"/>
      <c r="AP118" s="18" t="s">
        <v>58</v>
      </c>
      <c r="AQ118" s="16"/>
    </row>
    <row r="119" ht="15.75" hidden="1" customHeight="1">
      <c r="A119" s="10" t="s">
        <v>713</v>
      </c>
      <c r="B119" s="10" t="s">
        <v>714</v>
      </c>
      <c r="C119" s="10" t="str">
        <f>VLOOKUP(A119,import!A:C,3,0)</f>
        <v>DOĞRU</v>
      </c>
      <c r="D119" s="10" t="s">
        <v>45</v>
      </c>
      <c r="E119" s="10">
        <f>VLOOKUP(A119,import!A:J,5,0)</f>
        <v>6453</v>
      </c>
      <c r="F119" s="10">
        <f>VLOOKUP(A119,import!A:J,6,0)</f>
        <v>200</v>
      </c>
      <c r="G119" s="10">
        <f>VLOOKUP(A119,import!A:J,7,0)</f>
        <v>0</v>
      </c>
      <c r="H119" s="10">
        <f>VLOOKUP(A119,import!A:J,8,0)</f>
        <v>23</v>
      </c>
      <c r="I119" s="10">
        <f>VLOOKUP(A119,import!A:J,9,0)</f>
        <v>23</v>
      </c>
      <c r="J119" s="11">
        <f>VLOOKUP(A119,import!A:J,10,0)</f>
        <v>0</v>
      </c>
      <c r="K119" s="10" t="s">
        <v>715</v>
      </c>
      <c r="L119" s="10">
        <v>5.442540227E9</v>
      </c>
      <c r="M119" s="10" t="s">
        <v>72</v>
      </c>
      <c r="N119" s="10" t="s">
        <v>716</v>
      </c>
      <c r="O119" s="10" t="s">
        <v>717</v>
      </c>
      <c r="P119" s="10" t="str">
        <f>VLOOKUP(A119,import!A:P,16,0)</f>
        <v>Geleneksel</v>
      </c>
      <c r="Q119" s="12" t="s">
        <v>84</v>
      </c>
      <c r="R119" s="12" t="b">
        <v>1</v>
      </c>
      <c r="S119" s="12" t="b">
        <v>1</v>
      </c>
      <c r="T119" s="13"/>
      <c r="U119" s="13" t="s">
        <v>133</v>
      </c>
      <c r="V119" s="17" t="s">
        <v>131</v>
      </c>
      <c r="W119" s="13"/>
      <c r="X119" s="15">
        <v>44636.0</v>
      </c>
      <c r="Y119" s="15">
        <v>44641.0</v>
      </c>
      <c r="Z119" s="16"/>
      <c r="AA119" s="17" t="s">
        <v>86</v>
      </c>
      <c r="AB119" s="16">
        <v>44498.0</v>
      </c>
      <c r="AC119" s="17" t="s">
        <v>56</v>
      </c>
      <c r="AD119" s="16">
        <v>44636.0</v>
      </c>
      <c r="AE119" s="17"/>
      <c r="AF119" s="16"/>
      <c r="AG119" s="17"/>
      <c r="AH119" s="16"/>
      <c r="AI119" s="16"/>
      <c r="AJ119" s="16"/>
      <c r="AK119" s="17" t="s">
        <v>52</v>
      </c>
      <c r="AL119" s="17" t="s">
        <v>133</v>
      </c>
      <c r="AM119" s="16"/>
      <c r="AN119" s="16"/>
      <c r="AO119" s="16"/>
      <c r="AP119" s="18" t="s">
        <v>58</v>
      </c>
      <c r="AQ119" s="16"/>
    </row>
    <row r="120" ht="15.75" hidden="1" customHeight="1">
      <c r="A120" s="10" t="s">
        <v>718</v>
      </c>
      <c r="B120" s="10" t="s">
        <v>719</v>
      </c>
      <c r="C120" s="10" t="str">
        <f>VLOOKUP(A120,import!A:C,3,0)</f>
        <v>DOĞRU</v>
      </c>
      <c r="D120" s="10" t="s">
        <v>363</v>
      </c>
      <c r="E120" s="10">
        <f>VLOOKUP(A120,import!A:J,5,0)</f>
        <v>317</v>
      </c>
      <c r="F120" s="10">
        <f>VLOOKUP(A120,import!A:J,6,0)</f>
        <v>14</v>
      </c>
      <c r="G120" s="10">
        <f>VLOOKUP(A120,import!A:J,7,0)</f>
        <v>0</v>
      </c>
      <c r="H120" s="10">
        <f>VLOOKUP(A120,import!A:J,8,0)</f>
        <v>87</v>
      </c>
      <c r="I120" s="10">
        <f>VLOOKUP(A120,import!A:J,9,0)</f>
        <v>87</v>
      </c>
      <c r="J120" s="11">
        <f>VLOOKUP(A120,import!A:J,10,0)</f>
        <v>0</v>
      </c>
      <c r="K120" s="10" t="s">
        <v>720</v>
      </c>
      <c r="L120" s="10">
        <v>5.526112033E9</v>
      </c>
      <c r="M120" s="10" t="s">
        <v>72</v>
      </c>
      <c r="N120" s="10" t="s">
        <v>73</v>
      </c>
      <c r="O120" s="10" t="s">
        <v>721</v>
      </c>
      <c r="P120" s="10" t="str">
        <f>VLOOKUP(A120,import!A:P,16,0)</f>
        <v>Geleneksel</v>
      </c>
      <c r="Q120" s="12" t="s">
        <v>84</v>
      </c>
      <c r="R120" s="12" t="b">
        <v>1</v>
      </c>
      <c r="S120" s="13" t="b">
        <v>1</v>
      </c>
      <c r="T120" s="13"/>
      <c r="U120" s="13"/>
      <c r="V120" s="13"/>
      <c r="W120" s="13" t="s">
        <v>722</v>
      </c>
      <c r="X120" s="15"/>
      <c r="Y120" s="15"/>
      <c r="Z120" s="16"/>
      <c r="AA120" s="17" t="s">
        <v>56</v>
      </c>
      <c r="AB120" s="16">
        <v>44418.0</v>
      </c>
      <c r="AC120" s="17" t="s">
        <v>55</v>
      </c>
      <c r="AD120" s="16">
        <v>44456.0</v>
      </c>
      <c r="AE120" s="17" t="s">
        <v>56</v>
      </c>
      <c r="AF120" s="16">
        <v>44551.0</v>
      </c>
      <c r="AG120" s="17"/>
      <c r="AH120" s="16"/>
      <c r="AI120" s="16"/>
      <c r="AJ120" s="16"/>
      <c r="AK120" s="17" t="s">
        <v>57</v>
      </c>
      <c r="AL120" s="17" t="s">
        <v>171</v>
      </c>
      <c r="AM120" s="17" t="s">
        <v>314</v>
      </c>
      <c r="AN120" s="16"/>
      <c r="AO120" s="16"/>
      <c r="AP120" s="18" t="s">
        <v>58</v>
      </c>
      <c r="AQ120" s="16"/>
    </row>
    <row r="121" ht="15.75" customHeight="1">
      <c r="A121" s="10" t="s">
        <v>723</v>
      </c>
      <c r="B121" s="10" t="s">
        <v>724</v>
      </c>
      <c r="C121" s="10" t="str">
        <f>VLOOKUP(A121,import!A:C,3,0)</f>
        <v>DOĞRU</v>
      </c>
      <c r="D121" s="10" t="s">
        <v>451</v>
      </c>
      <c r="E121" s="10">
        <f>VLOOKUP(A121,import!A:J,5,0)</f>
        <v>4006</v>
      </c>
      <c r="F121" s="10">
        <f>VLOOKUP(A121,import!A:J,6,0)</f>
        <v>107</v>
      </c>
      <c r="G121" s="10">
        <f>VLOOKUP(A121,import!A:J,7,0)</f>
        <v>0</v>
      </c>
      <c r="H121" s="10">
        <f>VLOOKUP(A121,import!A:J,8,0)</f>
        <v>23</v>
      </c>
      <c r="I121" s="10">
        <f>VLOOKUP(A121,import!A:J,9,0)</f>
        <v>23</v>
      </c>
      <c r="J121" s="11">
        <f>VLOOKUP(A121,import!A:J,10,0)</f>
        <v>0</v>
      </c>
      <c r="K121" s="10" t="s">
        <v>725</v>
      </c>
      <c r="L121" s="10">
        <v>3.243581302E9</v>
      </c>
      <c r="M121" s="10" t="s">
        <v>63</v>
      </c>
      <c r="N121" s="10" t="s">
        <v>700</v>
      </c>
      <c r="O121" s="10" t="s">
        <v>726</v>
      </c>
      <c r="P121" s="10" t="str">
        <f>VLOOKUP(A121,import!A:P,16,0)</f>
        <v>Geleneksel</v>
      </c>
      <c r="Q121" s="12" t="s">
        <v>50</v>
      </c>
      <c r="R121" s="12" t="b">
        <v>1</v>
      </c>
      <c r="S121" s="12" t="b">
        <v>0</v>
      </c>
      <c r="T121" s="14" t="s">
        <v>199</v>
      </c>
      <c r="U121" s="14" t="s">
        <v>367</v>
      </c>
      <c r="V121" s="14" t="s">
        <v>66</v>
      </c>
      <c r="W121" s="14" t="s">
        <v>727</v>
      </c>
      <c r="X121" s="29">
        <v>44552.0</v>
      </c>
      <c r="Y121" s="29">
        <v>44554.0</v>
      </c>
      <c r="Z121" s="16"/>
      <c r="AA121" s="17" t="s">
        <v>56</v>
      </c>
      <c r="AB121" s="16">
        <v>44419.0</v>
      </c>
      <c r="AC121" s="17" t="s">
        <v>86</v>
      </c>
      <c r="AD121" s="16">
        <v>44495.0</v>
      </c>
      <c r="AE121" s="17" t="s">
        <v>86</v>
      </c>
      <c r="AF121" s="16">
        <v>44506.0</v>
      </c>
      <c r="AG121" s="17" t="s">
        <v>55</v>
      </c>
      <c r="AH121" s="16">
        <v>44552.0</v>
      </c>
      <c r="AI121" s="17" t="s">
        <v>56</v>
      </c>
      <c r="AJ121" s="16">
        <v>44571.0</v>
      </c>
      <c r="AK121" s="17" t="s">
        <v>108</v>
      </c>
      <c r="AL121" s="17" t="s">
        <v>89</v>
      </c>
      <c r="AM121" s="17" t="s">
        <v>89</v>
      </c>
      <c r="AN121" s="17" t="s">
        <v>314</v>
      </c>
      <c r="AO121" s="17" t="s">
        <v>89</v>
      </c>
      <c r="AP121" s="18" t="s">
        <v>58</v>
      </c>
      <c r="AQ121" s="16"/>
    </row>
    <row r="122" ht="15.75" hidden="1" customHeight="1">
      <c r="A122" s="10" t="s">
        <v>728</v>
      </c>
      <c r="B122" s="10" t="s">
        <v>729</v>
      </c>
      <c r="C122" s="10" t="str">
        <f>VLOOKUP(A122,import!A:C,3,0)</f>
        <v>DOĞRU</v>
      </c>
      <c r="D122" s="10" t="s">
        <v>451</v>
      </c>
      <c r="E122" s="10">
        <f>VLOOKUP(A122,import!A:J,5,0)</f>
        <v>140</v>
      </c>
      <c r="F122" s="10" t="str">
        <f>VLOOKUP(A122,import!A:J,6,0)</f>
        <v/>
      </c>
      <c r="G122" s="10">
        <f>VLOOKUP(A122,import!A:J,7,0)</f>
        <v>5</v>
      </c>
      <c r="H122" s="10">
        <f>VLOOKUP(A122,import!A:J,8,0)</f>
        <v>4</v>
      </c>
      <c r="I122" s="10">
        <f>VLOOKUP(A122,import!A:J,9,0)</f>
        <v>9</v>
      </c>
      <c r="J122" s="11">
        <f>VLOOKUP(A122,import!A:J,10,0)</f>
        <v>0.56</v>
      </c>
      <c r="K122" s="10" t="s">
        <v>730</v>
      </c>
      <c r="L122" s="10">
        <v>5.446140112E9</v>
      </c>
      <c r="M122" s="10" t="s">
        <v>72</v>
      </c>
      <c r="N122" s="10" t="s">
        <v>352</v>
      </c>
      <c r="O122" s="10" t="s">
        <v>731</v>
      </c>
      <c r="P122" s="10" t="str">
        <f>VLOOKUP(A122,import!A:P,16,0)</f>
        <v>Geleneksel</v>
      </c>
      <c r="Q122" s="12"/>
      <c r="R122" s="12" t="b">
        <v>1</v>
      </c>
      <c r="S122" s="12" t="b">
        <v>0</v>
      </c>
      <c r="T122" s="13" t="s">
        <v>51</v>
      </c>
      <c r="U122" s="13" t="s">
        <v>52</v>
      </c>
      <c r="V122" s="13" t="s">
        <v>53</v>
      </c>
      <c r="W122" s="13"/>
      <c r="X122" s="15">
        <v>44557.0</v>
      </c>
      <c r="Y122" s="15">
        <v>44558.0</v>
      </c>
      <c r="Z122" s="16"/>
      <c r="AA122" s="17" t="s">
        <v>56</v>
      </c>
      <c r="AB122" s="16">
        <v>44557.0</v>
      </c>
      <c r="AC122" s="16"/>
      <c r="AD122" s="16"/>
      <c r="AE122" s="17"/>
      <c r="AF122" s="16"/>
      <c r="AG122" s="17"/>
      <c r="AH122" s="16"/>
      <c r="AI122" s="16"/>
      <c r="AJ122" s="16"/>
      <c r="AK122" s="17" t="s">
        <v>52</v>
      </c>
      <c r="AL122" s="16"/>
      <c r="AM122" s="16"/>
      <c r="AN122" s="16"/>
      <c r="AO122" s="16"/>
      <c r="AP122" s="18"/>
      <c r="AQ122" s="16"/>
    </row>
    <row r="123" ht="15.75" customHeight="1">
      <c r="A123" s="10" t="s">
        <v>732</v>
      </c>
      <c r="B123" s="10" t="s">
        <v>733</v>
      </c>
      <c r="C123" s="10" t="str">
        <f>VLOOKUP(A123,import!A:C,3,0)</f>
        <v>DOĞRU</v>
      </c>
      <c r="D123" s="10" t="s">
        <v>167</v>
      </c>
      <c r="E123" s="10">
        <f>VLOOKUP(A123,import!A:J,5,0)</f>
        <v>2268</v>
      </c>
      <c r="F123" s="10">
        <f>VLOOKUP(A123,import!A:J,6,0)</f>
        <v>169</v>
      </c>
      <c r="G123" s="10">
        <f>VLOOKUP(A123,import!A:J,7,0)</f>
        <v>24</v>
      </c>
      <c r="H123" s="10">
        <f>VLOOKUP(A123,import!A:J,8,0)</f>
        <v>2</v>
      </c>
      <c r="I123" s="10">
        <f>VLOOKUP(A123,import!A:J,9,0)</f>
        <v>26</v>
      </c>
      <c r="J123" s="11">
        <f>VLOOKUP(A123,import!A:J,10,0)</f>
        <v>0.92</v>
      </c>
      <c r="K123" s="10" t="s">
        <v>734</v>
      </c>
      <c r="L123" s="10">
        <v>5.434776333E9</v>
      </c>
      <c r="M123" s="10" t="s">
        <v>63</v>
      </c>
      <c r="N123" s="10" t="s">
        <v>566</v>
      </c>
      <c r="O123" s="10" t="s">
        <v>735</v>
      </c>
      <c r="P123" s="10" t="str">
        <f>VLOOKUP(A123,import!A:P,16,0)</f>
        <v>Geleneksel</v>
      </c>
      <c r="Q123" s="12" t="s">
        <v>146</v>
      </c>
      <c r="R123" s="12" t="b">
        <v>1</v>
      </c>
      <c r="S123" s="12" t="b">
        <v>0</v>
      </c>
      <c r="T123" s="14" t="s">
        <v>248</v>
      </c>
      <c r="U123" s="14"/>
      <c r="V123" s="14"/>
      <c r="W123" s="14" t="s">
        <v>736</v>
      </c>
      <c r="X123" s="29"/>
      <c r="Y123" s="29"/>
      <c r="Z123" s="16"/>
      <c r="AA123" s="16"/>
      <c r="AB123" s="16"/>
      <c r="AC123" s="16"/>
      <c r="AD123" s="16"/>
      <c r="AE123" s="17"/>
      <c r="AF123" s="16"/>
      <c r="AG123" s="17"/>
      <c r="AH123" s="16"/>
      <c r="AI123" s="16"/>
      <c r="AJ123" s="16"/>
      <c r="AK123" s="16"/>
      <c r="AL123" s="16"/>
      <c r="AM123" s="16"/>
      <c r="AN123" s="16"/>
      <c r="AO123" s="16"/>
      <c r="AP123" s="18" t="s">
        <v>58</v>
      </c>
      <c r="AQ123" s="16"/>
    </row>
    <row r="124" ht="15.75" hidden="1" customHeight="1">
      <c r="A124" s="10" t="s">
        <v>737</v>
      </c>
      <c r="B124" s="10" t="s">
        <v>738</v>
      </c>
      <c r="C124" s="10" t="str">
        <f>VLOOKUP(A124,import!A:C,3,0)</f>
        <v>DOĞRU</v>
      </c>
      <c r="D124" s="10" t="s">
        <v>167</v>
      </c>
      <c r="E124" s="10">
        <f>VLOOKUP(A124,import!A:J,5,0)</f>
        <v>256</v>
      </c>
      <c r="F124" s="10">
        <f>VLOOKUP(A124,import!A:J,6,0)</f>
        <v>12</v>
      </c>
      <c r="G124" s="10">
        <f>VLOOKUP(A124,import!A:J,7,0)</f>
        <v>5</v>
      </c>
      <c r="H124" s="10">
        <f>VLOOKUP(A124,import!A:J,8,0)</f>
        <v>22</v>
      </c>
      <c r="I124" s="10">
        <f>VLOOKUP(A124,import!A:J,9,0)</f>
        <v>27</v>
      </c>
      <c r="J124" s="11">
        <f>VLOOKUP(A124,import!A:J,10,0)</f>
        <v>0.19</v>
      </c>
      <c r="K124" s="10" t="s">
        <v>739</v>
      </c>
      <c r="L124" s="10">
        <v>5.301108895E9</v>
      </c>
      <c r="M124" s="10" t="s">
        <v>156</v>
      </c>
      <c r="N124" s="10" t="s">
        <v>740</v>
      </c>
      <c r="O124" s="10" t="s">
        <v>741</v>
      </c>
      <c r="P124" s="10" t="str">
        <f>VLOOKUP(A124,import!A:P,16,0)</f>
        <v>Geleneksel</v>
      </c>
      <c r="Q124" s="12"/>
      <c r="R124" s="12" t="b">
        <v>0</v>
      </c>
      <c r="S124" s="12" t="b">
        <v>0</v>
      </c>
      <c r="T124" s="13" t="s">
        <v>248</v>
      </c>
      <c r="U124" s="13"/>
      <c r="V124" s="13"/>
      <c r="W124" s="13"/>
      <c r="X124" s="15"/>
      <c r="Y124" s="15"/>
      <c r="Z124" s="17" t="s">
        <v>616</v>
      </c>
      <c r="AA124" s="16"/>
      <c r="AB124" s="16"/>
      <c r="AC124" s="16"/>
      <c r="AD124" s="16"/>
      <c r="AE124" s="17"/>
      <c r="AF124" s="16"/>
      <c r="AG124" s="17"/>
      <c r="AH124" s="16"/>
      <c r="AI124" s="16"/>
      <c r="AJ124" s="16"/>
      <c r="AK124" s="16"/>
      <c r="AL124" s="16"/>
      <c r="AM124" s="16"/>
      <c r="AN124" s="16"/>
      <c r="AO124" s="16"/>
      <c r="AP124" s="18" t="s">
        <v>58</v>
      </c>
      <c r="AQ124" s="16"/>
    </row>
    <row r="125" ht="15.75" hidden="1" customHeight="1">
      <c r="A125" s="10" t="s">
        <v>742</v>
      </c>
      <c r="B125" s="10" t="s">
        <v>743</v>
      </c>
      <c r="C125" s="10" t="str">
        <f>VLOOKUP(A125,import!A:C,3,0)</f>
        <v>DOĞRU</v>
      </c>
      <c r="D125" s="10" t="s">
        <v>80</v>
      </c>
      <c r="E125" s="10">
        <f>VLOOKUP(A125,import!A:J,5,0)</f>
        <v>754</v>
      </c>
      <c r="F125" s="10">
        <f>VLOOKUP(A125,import!A:J,6,0)</f>
        <v>68</v>
      </c>
      <c r="G125" s="10">
        <f>VLOOKUP(A125,import!A:J,7,0)</f>
        <v>10</v>
      </c>
      <c r="H125" s="10">
        <f>VLOOKUP(A125,import!A:J,8,0)</f>
        <v>1</v>
      </c>
      <c r="I125" s="10">
        <f>VLOOKUP(A125,import!A:J,9,0)</f>
        <v>11</v>
      </c>
      <c r="J125" s="11">
        <f>VLOOKUP(A125,import!A:J,10,0)</f>
        <v>0.91</v>
      </c>
      <c r="K125" s="10" t="s">
        <v>744</v>
      </c>
      <c r="L125" s="10">
        <v>5.077248433E9</v>
      </c>
      <c r="M125" s="10" t="s">
        <v>215</v>
      </c>
      <c r="N125" s="10" t="s">
        <v>745</v>
      </c>
      <c r="O125" s="10" t="s">
        <v>746</v>
      </c>
      <c r="P125" s="10" t="str">
        <f>VLOOKUP(A125,import!A:P,16,0)</f>
        <v>Geleneksel</v>
      </c>
      <c r="Q125" s="12"/>
      <c r="R125" s="12" t="b">
        <v>1</v>
      </c>
      <c r="S125" s="12" t="b">
        <v>0</v>
      </c>
      <c r="T125" s="13" t="s">
        <v>51</v>
      </c>
      <c r="U125" s="13" t="s">
        <v>133</v>
      </c>
      <c r="V125" s="13" t="s">
        <v>53</v>
      </c>
      <c r="W125" s="13"/>
      <c r="X125" s="15">
        <v>44508.0</v>
      </c>
      <c r="Y125" s="15">
        <v>44510.0</v>
      </c>
      <c r="Z125" s="16"/>
      <c r="AA125" s="17" t="s">
        <v>56</v>
      </c>
      <c r="AB125" s="16">
        <v>44508.0</v>
      </c>
      <c r="AC125" s="16"/>
      <c r="AD125" s="16"/>
      <c r="AE125" s="17"/>
      <c r="AF125" s="16"/>
      <c r="AG125" s="17"/>
      <c r="AH125" s="16"/>
      <c r="AI125" s="16"/>
      <c r="AJ125" s="16"/>
      <c r="AK125" s="17" t="s">
        <v>133</v>
      </c>
      <c r="AL125" s="16"/>
      <c r="AM125" s="16"/>
      <c r="AN125" s="16"/>
      <c r="AO125" s="16"/>
      <c r="AP125" s="18" t="s">
        <v>58</v>
      </c>
      <c r="AQ125" s="16"/>
    </row>
    <row r="126" ht="15.75" hidden="1" customHeight="1">
      <c r="A126" s="10" t="s">
        <v>747</v>
      </c>
      <c r="B126" s="10" t="s">
        <v>748</v>
      </c>
      <c r="C126" s="10" t="str">
        <f>VLOOKUP(A126,import!A:C,3,0)</f>
        <v>DOĞRU</v>
      </c>
      <c r="D126" s="10" t="s">
        <v>70</v>
      </c>
      <c r="E126" s="10">
        <f>VLOOKUP(A126,import!A:J,5,0)</f>
        <v>3028</v>
      </c>
      <c r="F126" s="10" t="str">
        <f>VLOOKUP(A126,import!A:J,6,0)</f>
        <v/>
      </c>
      <c r="G126" s="10">
        <f>VLOOKUP(A126,import!A:J,7,0)</f>
        <v>4</v>
      </c>
      <c r="H126" s="10">
        <f>VLOOKUP(A126,import!A:J,8,0)</f>
        <v>55</v>
      </c>
      <c r="I126" s="10">
        <f>VLOOKUP(A126,import!A:J,9,0)</f>
        <v>59</v>
      </c>
      <c r="J126" s="11">
        <f>VLOOKUP(A126,import!A:J,10,0)</f>
        <v>0.07</v>
      </c>
      <c r="K126" s="10" t="s">
        <v>749</v>
      </c>
      <c r="L126" s="10">
        <v>5.319378485E9</v>
      </c>
      <c r="M126" s="10" t="s">
        <v>72</v>
      </c>
      <c r="N126" s="10" t="s">
        <v>82</v>
      </c>
      <c r="O126" s="10" t="s">
        <v>750</v>
      </c>
      <c r="P126" s="10" t="str">
        <f>VLOOKUP(A126,import!A:P,16,0)</f>
        <v>Geleneksel</v>
      </c>
      <c r="Q126" s="12"/>
      <c r="R126" s="12" t="b">
        <v>1</v>
      </c>
      <c r="S126" s="12" t="b">
        <v>0</v>
      </c>
      <c r="T126" s="13" t="s">
        <v>51</v>
      </c>
      <c r="U126" s="13" t="s">
        <v>108</v>
      </c>
      <c r="V126" s="13" t="s">
        <v>66</v>
      </c>
      <c r="W126" s="32" t="s">
        <v>751</v>
      </c>
      <c r="X126" s="15">
        <v>44516.0</v>
      </c>
      <c r="Y126" s="15">
        <v>44517.0</v>
      </c>
      <c r="Z126" s="16"/>
      <c r="AA126" s="17" t="s">
        <v>55</v>
      </c>
      <c r="AB126" s="16">
        <v>44494.0</v>
      </c>
      <c r="AC126" s="17" t="s">
        <v>56</v>
      </c>
      <c r="AD126" s="16">
        <v>44494.0</v>
      </c>
      <c r="AE126" s="17" t="s">
        <v>56</v>
      </c>
      <c r="AF126" s="16">
        <v>44503.0</v>
      </c>
      <c r="AG126" s="17" t="s">
        <v>56</v>
      </c>
      <c r="AH126" s="16">
        <v>44516.0</v>
      </c>
      <c r="AI126" s="16"/>
      <c r="AJ126" s="16"/>
      <c r="AK126" s="17" t="s">
        <v>52</v>
      </c>
      <c r="AL126" s="17" t="s">
        <v>52</v>
      </c>
      <c r="AM126" s="17" t="s">
        <v>103</v>
      </c>
      <c r="AN126" s="17" t="s">
        <v>108</v>
      </c>
      <c r="AO126" s="16"/>
      <c r="AP126" s="18" t="s">
        <v>58</v>
      </c>
      <c r="AQ126" s="16"/>
    </row>
    <row r="127" ht="15.75" hidden="1" customHeight="1">
      <c r="A127" s="10" t="s">
        <v>752</v>
      </c>
      <c r="B127" s="10" t="s">
        <v>753</v>
      </c>
      <c r="C127" s="10" t="str">
        <f>VLOOKUP(A127,import!A:C,3,0)</f>
        <v>DOĞRU</v>
      </c>
      <c r="D127" s="10" t="s">
        <v>754</v>
      </c>
      <c r="E127" s="10">
        <f>VLOOKUP(A127,import!A:J,5,0)</f>
        <v>2586</v>
      </c>
      <c r="F127" s="10">
        <f>VLOOKUP(A127,import!A:J,6,0)</f>
        <v>162</v>
      </c>
      <c r="G127" s="10">
        <f>VLOOKUP(A127,import!A:J,7,0)</f>
        <v>9</v>
      </c>
      <c r="H127" s="10">
        <f>VLOOKUP(A127,import!A:J,8,0)</f>
        <v>4</v>
      </c>
      <c r="I127" s="10">
        <f>VLOOKUP(A127,import!A:J,9,0)</f>
        <v>13</v>
      </c>
      <c r="J127" s="11">
        <f>VLOOKUP(A127,import!A:J,10,0)</f>
        <v>0.69</v>
      </c>
      <c r="K127" s="10" t="s">
        <v>755</v>
      </c>
      <c r="L127" s="10">
        <v>5.372805738E9</v>
      </c>
      <c r="M127" s="10" t="s">
        <v>47</v>
      </c>
      <c r="N127" s="10" t="s">
        <v>756</v>
      </c>
      <c r="O127" s="10" t="s">
        <v>757</v>
      </c>
      <c r="P127" s="10" t="str">
        <f>VLOOKUP(A127,import!A:P,16,0)</f>
        <v>Geleneksel</v>
      </c>
      <c r="Q127" s="12" t="s">
        <v>50</v>
      </c>
      <c r="R127" s="12" t="b">
        <v>1</v>
      </c>
      <c r="S127" s="12" t="b">
        <v>0</v>
      </c>
      <c r="T127" s="13" t="s">
        <v>51</v>
      </c>
      <c r="U127" s="13" t="s">
        <v>654</v>
      </c>
      <c r="V127" s="13" t="s">
        <v>53</v>
      </c>
      <c r="W127" s="13"/>
      <c r="X127" s="15">
        <v>44281.0</v>
      </c>
      <c r="Y127" s="15">
        <v>44284.0</v>
      </c>
      <c r="Z127" s="16"/>
      <c r="AA127" s="16"/>
      <c r="AB127" s="16"/>
      <c r="AC127" s="16"/>
      <c r="AD127" s="16"/>
      <c r="AE127" s="17"/>
      <c r="AF127" s="16"/>
      <c r="AG127" s="17"/>
      <c r="AH127" s="16"/>
      <c r="AI127" s="16"/>
      <c r="AJ127" s="16"/>
      <c r="AK127" s="16"/>
      <c r="AL127" s="16"/>
      <c r="AM127" s="16"/>
      <c r="AN127" s="16"/>
      <c r="AO127" s="16"/>
      <c r="AP127" s="18" t="s">
        <v>58</v>
      </c>
      <c r="AQ127" s="16"/>
    </row>
    <row r="128" ht="15.75" customHeight="1">
      <c r="A128" s="10" t="s">
        <v>758</v>
      </c>
      <c r="B128" s="10" t="s">
        <v>759</v>
      </c>
      <c r="C128" s="10" t="str">
        <f>VLOOKUP(A128,import!A:C,3,0)</f>
        <v>DOĞRU</v>
      </c>
      <c r="D128" s="10" t="s">
        <v>80</v>
      </c>
      <c r="E128" s="10">
        <f>VLOOKUP(A128,import!A:J,5,0)</f>
        <v>725</v>
      </c>
      <c r="F128" s="10">
        <f>VLOOKUP(A128,import!A:J,6,0)</f>
        <v>114</v>
      </c>
      <c r="G128" s="10">
        <f>VLOOKUP(A128,import!A:J,7,0)</f>
        <v>15</v>
      </c>
      <c r="H128" s="10">
        <f>VLOOKUP(A128,import!A:J,8,0)</f>
        <v>30</v>
      </c>
      <c r="I128" s="10">
        <f>VLOOKUP(A128,import!A:J,9,0)</f>
        <v>45</v>
      </c>
      <c r="J128" s="11">
        <f>VLOOKUP(A128,import!A:J,10,0)</f>
        <v>0.33</v>
      </c>
      <c r="K128" s="10" t="s">
        <v>760</v>
      </c>
      <c r="L128" s="10">
        <v>3.243581312E9</v>
      </c>
      <c r="M128" s="10" t="s">
        <v>63</v>
      </c>
      <c r="N128" s="10" t="s">
        <v>566</v>
      </c>
      <c r="O128" s="10" t="s">
        <v>761</v>
      </c>
      <c r="P128" s="10" t="str">
        <f>VLOOKUP(A128,import!A:P,16,0)</f>
        <v>Geleneksel</v>
      </c>
      <c r="Q128" s="12"/>
      <c r="R128" s="12" t="b">
        <v>1</v>
      </c>
      <c r="S128" s="12" t="b">
        <v>0</v>
      </c>
      <c r="T128" s="13" t="s">
        <v>272</v>
      </c>
      <c r="U128" s="13" t="s">
        <v>89</v>
      </c>
      <c r="V128" s="13" t="s">
        <v>66</v>
      </c>
      <c r="W128" s="13" t="s">
        <v>762</v>
      </c>
      <c r="X128" s="15">
        <v>44578.0</v>
      </c>
      <c r="Y128" s="15">
        <v>44580.0</v>
      </c>
      <c r="Z128" s="16"/>
      <c r="AA128" s="17" t="s">
        <v>56</v>
      </c>
      <c r="AB128" s="16">
        <v>44578.0</v>
      </c>
      <c r="AC128" s="17" t="s">
        <v>56</v>
      </c>
      <c r="AD128" s="16">
        <v>44581.0</v>
      </c>
      <c r="AE128" s="17"/>
      <c r="AF128" s="16"/>
      <c r="AG128" s="17"/>
      <c r="AH128" s="16"/>
      <c r="AI128" s="16"/>
      <c r="AJ128" s="16"/>
      <c r="AK128" s="17" t="s">
        <v>89</v>
      </c>
      <c r="AL128" s="16"/>
      <c r="AM128" s="16"/>
      <c r="AN128" s="16"/>
      <c r="AO128" s="16"/>
      <c r="AP128" s="18"/>
      <c r="AQ128" s="16"/>
    </row>
    <row r="129" ht="15.75" customHeight="1">
      <c r="A129" s="10" t="s">
        <v>763</v>
      </c>
      <c r="B129" s="10" t="s">
        <v>764</v>
      </c>
      <c r="C129" s="10" t="str">
        <f>VLOOKUP(A129,import!A:C,3,0)</f>
        <v>DOĞRU</v>
      </c>
      <c r="D129" s="10" t="s">
        <v>80</v>
      </c>
      <c r="E129" s="10">
        <f>VLOOKUP(A129,import!A:J,5,0)</f>
        <v>53</v>
      </c>
      <c r="F129" s="10">
        <f>VLOOKUP(A129,import!A:J,6,0)</f>
        <v>35</v>
      </c>
      <c r="G129" s="10">
        <f>VLOOKUP(A129,import!A:J,7,0)</f>
        <v>6</v>
      </c>
      <c r="H129" s="10">
        <f>VLOOKUP(A129,import!A:J,8,0)</f>
        <v>0</v>
      </c>
      <c r="I129" s="10">
        <f>VLOOKUP(A129,import!A:J,9,0)</f>
        <v>6</v>
      </c>
      <c r="J129" s="11">
        <f>VLOOKUP(A129,import!A:J,10,0)</f>
        <v>1</v>
      </c>
      <c r="K129" s="10" t="s">
        <v>765</v>
      </c>
      <c r="L129" s="10">
        <v>3.245026303E9</v>
      </c>
      <c r="M129" s="10" t="s">
        <v>137</v>
      </c>
      <c r="N129" s="10" t="s">
        <v>209</v>
      </c>
      <c r="O129" s="10" t="s">
        <v>766</v>
      </c>
      <c r="P129" s="10" t="str">
        <f>VLOOKUP(A129,import!A:P,16,0)</f>
        <v>Geleneksel</v>
      </c>
      <c r="Q129" s="12"/>
      <c r="R129" s="12" t="b">
        <v>1</v>
      </c>
      <c r="S129" s="12" t="b">
        <v>0</v>
      </c>
      <c r="T129" s="13" t="s">
        <v>51</v>
      </c>
      <c r="U129" s="13" t="s">
        <v>133</v>
      </c>
      <c r="V129" s="17" t="s">
        <v>131</v>
      </c>
      <c r="W129" s="13"/>
      <c r="X129" s="15">
        <v>44648.0</v>
      </c>
      <c r="Y129" s="15">
        <v>44649.0</v>
      </c>
      <c r="Z129" s="16"/>
      <c r="AA129" s="17" t="s">
        <v>56</v>
      </c>
      <c r="AB129" s="16">
        <v>44648.0</v>
      </c>
      <c r="AC129" s="16"/>
      <c r="AD129" s="16"/>
      <c r="AE129" s="17"/>
      <c r="AF129" s="16"/>
      <c r="AG129" s="17"/>
      <c r="AH129" s="16"/>
      <c r="AI129" s="16"/>
      <c r="AJ129" s="16"/>
      <c r="AK129" s="17" t="s">
        <v>133</v>
      </c>
      <c r="AL129" s="16"/>
      <c r="AM129" s="16"/>
      <c r="AN129" s="16"/>
      <c r="AO129" s="16"/>
      <c r="AP129" s="18"/>
      <c r="AQ129" s="16"/>
    </row>
    <row r="130" ht="15.75" customHeight="1">
      <c r="A130" s="10" t="s">
        <v>767</v>
      </c>
      <c r="B130" s="10" t="s">
        <v>768</v>
      </c>
      <c r="C130" s="10" t="str">
        <f>VLOOKUP(A130,import!A:C,3,0)</f>
        <v>DOĞRU</v>
      </c>
      <c r="D130" s="10" t="s">
        <v>70</v>
      </c>
      <c r="E130" s="10">
        <f>VLOOKUP(A130,import!A:J,5,0)</f>
        <v>150</v>
      </c>
      <c r="F130" s="10">
        <f>VLOOKUP(A130,import!A:J,6,0)</f>
        <v>4</v>
      </c>
      <c r="G130" s="10">
        <f>VLOOKUP(A130,import!A:J,7,0)</f>
        <v>1</v>
      </c>
      <c r="H130" s="10">
        <f>VLOOKUP(A130,import!A:J,8,0)</f>
        <v>4</v>
      </c>
      <c r="I130" s="10">
        <f>VLOOKUP(A130,import!A:J,9,0)</f>
        <v>5</v>
      </c>
      <c r="J130" s="11">
        <f>VLOOKUP(A130,import!A:J,10,0)</f>
        <v>0.2</v>
      </c>
      <c r="K130" s="10" t="s">
        <v>769</v>
      </c>
      <c r="L130" s="10">
        <v>5.05005701E9</v>
      </c>
      <c r="M130" s="10" t="s">
        <v>63</v>
      </c>
      <c r="N130" s="10" t="s">
        <v>770</v>
      </c>
      <c r="O130" s="10" t="s">
        <v>771</v>
      </c>
      <c r="P130" s="10" t="str">
        <f>VLOOKUP(A130,import!A:P,16,0)</f>
        <v>Geleneksel</v>
      </c>
      <c r="Q130" s="12"/>
      <c r="R130" s="12" t="b">
        <v>1</v>
      </c>
      <c r="S130" s="12" t="b">
        <v>0</v>
      </c>
      <c r="T130" s="13" t="s">
        <v>51</v>
      </c>
      <c r="U130" s="13" t="s">
        <v>258</v>
      </c>
      <c r="V130" s="13" t="s">
        <v>53</v>
      </c>
      <c r="W130" s="13"/>
      <c r="X130" s="15">
        <v>44288.0</v>
      </c>
      <c r="Y130" s="15">
        <v>44292.0</v>
      </c>
      <c r="Z130" s="16"/>
      <c r="AA130" s="16"/>
      <c r="AB130" s="16"/>
      <c r="AC130" s="16"/>
      <c r="AD130" s="16"/>
      <c r="AE130" s="17"/>
      <c r="AF130" s="16"/>
      <c r="AG130" s="17"/>
      <c r="AH130" s="16"/>
      <c r="AI130" s="16"/>
      <c r="AJ130" s="16"/>
      <c r="AK130" s="16"/>
      <c r="AL130" s="16"/>
      <c r="AM130" s="16"/>
      <c r="AN130" s="16"/>
      <c r="AO130" s="16"/>
      <c r="AP130" s="18" t="s">
        <v>58</v>
      </c>
      <c r="AQ130" s="16"/>
    </row>
    <row r="131" ht="15.75" hidden="1" customHeight="1">
      <c r="A131" s="10" t="s">
        <v>772</v>
      </c>
      <c r="B131" s="10" t="s">
        <v>773</v>
      </c>
      <c r="C131" s="10" t="str">
        <f>VLOOKUP(A131,import!A:C,3,0)</f>
        <v>DOĞRU</v>
      </c>
      <c r="D131" s="10" t="s">
        <v>70</v>
      </c>
      <c r="E131" s="10">
        <f>VLOOKUP(A131,import!A:J,5,0)</f>
        <v>4017</v>
      </c>
      <c r="F131" s="10">
        <f>VLOOKUP(A131,import!A:J,6,0)</f>
        <v>120</v>
      </c>
      <c r="G131" s="10">
        <f>VLOOKUP(A131,import!A:J,7,0)</f>
        <v>15</v>
      </c>
      <c r="H131" s="10">
        <f>VLOOKUP(A131,import!A:J,8,0)</f>
        <v>6</v>
      </c>
      <c r="I131" s="10">
        <f>VLOOKUP(A131,import!A:J,9,0)</f>
        <v>21</v>
      </c>
      <c r="J131" s="11">
        <f>VLOOKUP(A131,import!A:J,10,0)</f>
        <v>0.71</v>
      </c>
      <c r="K131" s="10" t="s">
        <v>774</v>
      </c>
      <c r="L131" s="10">
        <v>5.535799292E9</v>
      </c>
      <c r="M131" s="10" t="s">
        <v>215</v>
      </c>
      <c r="N131" s="10" t="s">
        <v>671</v>
      </c>
      <c r="O131" s="10" t="s">
        <v>672</v>
      </c>
      <c r="P131" s="10" t="str">
        <f>VLOOKUP(A131,import!A:P,16,0)</f>
        <v>Geleneksel</v>
      </c>
      <c r="Q131" s="12" t="s">
        <v>146</v>
      </c>
      <c r="R131" s="12" t="b">
        <v>1</v>
      </c>
      <c r="S131" s="12" t="b">
        <v>0</v>
      </c>
      <c r="T131" s="13" t="s">
        <v>51</v>
      </c>
      <c r="U131" s="13" t="s">
        <v>258</v>
      </c>
      <c r="V131" s="13" t="s">
        <v>53</v>
      </c>
      <c r="W131" s="13" t="s">
        <v>775</v>
      </c>
      <c r="X131" s="15"/>
      <c r="Y131" s="15">
        <v>44284.0</v>
      </c>
      <c r="Z131" s="16"/>
      <c r="AA131" s="16"/>
      <c r="AB131" s="16"/>
      <c r="AC131" s="16"/>
      <c r="AD131" s="16"/>
      <c r="AE131" s="17"/>
      <c r="AF131" s="16"/>
      <c r="AG131" s="17"/>
      <c r="AH131" s="16"/>
      <c r="AI131" s="16"/>
      <c r="AJ131" s="16"/>
      <c r="AK131" s="16"/>
      <c r="AL131" s="16"/>
      <c r="AM131" s="16"/>
      <c r="AN131" s="16"/>
      <c r="AO131" s="16"/>
      <c r="AP131" s="18" t="s">
        <v>58</v>
      </c>
      <c r="AQ131" s="16"/>
    </row>
    <row r="132" ht="15.75" hidden="1" customHeight="1">
      <c r="A132" s="10" t="s">
        <v>776</v>
      </c>
      <c r="B132" s="10" t="s">
        <v>777</v>
      </c>
      <c r="C132" s="10" t="str">
        <f>VLOOKUP(A132,import!A:C,3,0)</f>
        <v>DOĞRU</v>
      </c>
      <c r="D132" s="10" t="s">
        <v>118</v>
      </c>
      <c r="E132" s="10">
        <f>VLOOKUP(A132,import!A:J,5,0)</f>
        <v>552</v>
      </c>
      <c r="F132" s="10">
        <f>VLOOKUP(A132,import!A:J,6,0)</f>
        <v>55</v>
      </c>
      <c r="G132" s="10">
        <f>VLOOKUP(A132,import!A:J,7,0)</f>
        <v>8</v>
      </c>
      <c r="H132" s="10">
        <f>VLOOKUP(A132,import!A:J,8,0)</f>
        <v>8</v>
      </c>
      <c r="I132" s="10">
        <f>VLOOKUP(A132,import!A:J,9,0)</f>
        <v>16</v>
      </c>
      <c r="J132" s="11">
        <f>VLOOKUP(A132,import!A:J,10,0)</f>
        <v>0.5</v>
      </c>
      <c r="K132" s="10" t="s">
        <v>778</v>
      </c>
      <c r="L132" s="10">
        <v>5.441552133E9</v>
      </c>
      <c r="M132" s="10" t="s">
        <v>215</v>
      </c>
      <c r="N132" s="10" t="s">
        <v>779</v>
      </c>
      <c r="O132" s="10" t="s">
        <v>780</v>
      </c>
      <c r="P132" s="10" t="str">
        <f>VLOOKUP(A132,import!A:P,16,0)</f>
        <v>Geleneksel</v>
      </c>
      <c r="Q132" s="12"/>
      <c r="R132" s="12" t="b">
        <v>1</v>
      </c>
      <c r="S132" s="12" t="b">
        <v>0</v>
      </c>
      <c r="T132" s="13" t="s">
        <v>51</v>
      </c>
      <c r="U132" s="13" t="s">
        <v>52</v>
      </c>
      <c r="V132" s="13" t="s">
        <v>131</v>
      </c>
      <c r="W132" s="13" t="s">
        <v>781</v>
      </c>
      <c r="X132" s="15">
        <v>44628.0</v>
      </c>
      <c r="Y132" s="15">
        <v>44631.0</v>
      </c>
      <c r="Z132" s="16"/>
      <c r="AA132" s="17" t="s">
        <v>56</v>
      </c>
      <c r="AB132" s="16">
        <v>44628.0</v>
      </c>
      <c r="AC132" s="16"/>
      <c r="AD132" s="16"/>
      <c r="AE132" s="17"/>
      <c r="AF132" s="16"/>
      <c r="AG132" s="17"/>
      <c r="AH132" s="16"/>
      <c r="AI132" s="16"/>
      <c r="AJ132" s="16"/>
      <c r="AK132" s="17" t="s">
        <v>52</v>
      </c>
      <c r="AL132" s="16"/>
      <c r="AM132" s="16"/>
      <c r="AN132" s="16"/>
      <c r="AO132" s="16"/>
      <c r="AP132" s="18"/>
      <c r="AQ132" s="16"/>
    </row>
    <row r="133" ht="15.75" customHeight="1">
      <c r="A133" s="10" t="s">
        <v>782</v>
      </c>
      <c r="B133" s="10" t="s">
        <v>783</v>
      </c>
      <c r="C133" s="10" t="str">
        <f>VLOOKUP(A133,import!A:C,3,0)</f>
        <v>DOĞRU</v>
      </c>
      <c r="D133" s="10" t="s">
        <v>80</v>
      </c>
      <c r="E133" s="10">
        <f>VLOOKUP(A133,import!A:J,5,0)</f>
        <v>926</v>
      </c>
      <c r="F133" s="10">
        <f>VLOOKUP(A133,import!A:J,6,0)</f>
        <v>48</v>
      </c>
      <c r="G133" s="10">
        <f>VLOOKUP(A133,import!A:J,7,0)</f>
        <v>6</v>
      </c>
      <c r="H133" s="10">
        <f>VLOOKUP(A133,import!A:J,8,0)</f>
        <v>2</v>
      </c>
      <c r="I133" s="10">
        <f>VLOOKUP(A133,import!A:J,9,0)</f>
        <v>8</v>
      </c>
      <c r="J133" s="11">
        <f>VLOOKUP(A133,import!A:J,10,0)</f>
        <v>0.75</v>
      </c>
      <c r="K133" s="10" t="s">
        <v>784</v>
      </c>
      <c r="L133" s="10">
        <v>5.525325112E9</v>
      </c>
      <c r="M133" s="10" t="s">
        <v>137</v>
      </c>
      <c r="N133" s="10" t="s">
        <v>426</v>
      </c>
      <c r="O133" s="10" t="s">
        <v>785</v>
      </c>
      <c r="P133" s="10" t="str">
        <f>VLOOKUP(A133,import!A:P,16,0)</f>
        <v>Geleneksel</v>
      </c>
      <c r="Q133" s="12" t="s">
        <v>50</v>
      </c>
      <c r="R133" s="12" t="b">
        <v>1</v>
      </c>
      <c r="S133" s="12" t="b">
        <v>0</v>
      </c>
      <c r="T133" s="13" t="s">
        <v>51</v>
      </c>
      <c r="U133" s="13" t="s">
        <v>76</v>
      </c>
      <c r="V133" s="13" t="s">
        <v>53</v>
      </c>
      <c r="W133" s="13"/>
      <c r="X133" s="15">
        <v>44287.0</v>
      </c>
      <c r="Y133" s="15">
        <v>44287.0</v>
      </c>
      <c r="Z133" s="16"/>
      <c r="AA133" s="16"/>
      <c r="AB133" s="16"/>
      <c r="AC133" s="16"/>
      <c r="AD133" s="16"/>
      <c r="AE133" s="17"/>
      <c r="AF133" s="16"/>
      <c r="AG133" s="17"/>
      <c r="AH133" s="16"/>
      <c r="AI133" s="16"/>
      <c r="AJ133" s="16"/>
      <c r="AK133" s="16"/>
      <c r="AL133" s="16"/>
      <c r="AM133" s="16"/>
      <c r="AN133" s="16"/>
      <c r="AO133" s="16"/>
      <c r="AP133" s="18" t="s">
        <v>58</v>
      </c>
      <c r="AQ133" s="16"/>
    </row>
    <row r="134" ht="15.75" hidden="1" customHeight="1">
      <c r="A134" s="10" t="s">
        <v>786</v>
      </c>
      <c r="B134" s="10" t="s">
        <v>787</v>
      </c>
      <c r="C134" s="10" t="str">
        <f>VLOOKUP(A134,import!A:C,3,0)</f>
        <v>DOĞRU</v>
      </c>
      <c r="D134" s="10" t="s">
        <v>80</v>
      </c>
      <c r="E134" s="10">
        <f>VLOOKUP(A134,import!A:J,5,0)</f>
        <v>7</v>
      </c>
      <c r="F134" s="10" t="str">
        <f>VLOOKUP(A134,import!A:J,6,0)</f>
        <v/>
      </c>
      <c r="G134" s="10">
        <f>VLOOKUP(A134,import!A:J,7,0)</f>
        <v>4</v>
      </c>
      <c r="H134" s="10">
        <f>VLOOKUP(A134,import!A:J,8,0)</f>
        <v>8</v>
      </c>
      <c r="I134" s="10">
        <f>VLOOKUP(A134,import!A:J,9,0)</f>
        <v>12</v>
      </c>
      <c r="J134" s="11">
        <f>VLOOKUP(A134,import!A:J,10,0)</f>
        <v>0.33</v>
      </c>
      <c r="K134" s="10" t="s">
        <v>788</v>
      </c>
      <c r="L134" s="10">
        <v>5.416488863E9</v>
      </c>
      <c r="M134" s="10" t="s">
        <v>215</v>
      </c>
      <c r="N134" s="10" t="s">
        <v>789</v>
      </c>
      <c r="O134" s="10" t="s">
        <v>790</v>
      </c>
      <c r="P134" s="10" t="str">
        <f>VLOOKUP(A134,import!A:P,16,0)</f>
        <v>Geleneksel</v>
      </c>
      <c r="Q134" s="12"/>
      <c r="R134" s="12" t="b">
        <v>1</v>
      </c>
      <c r="S134" s="12" t="b">
        <v>0</v>
      </c>
      <c r="T134" s="13" t="s">
        <v>51</v>
      </c>
      <c r="U134" s="13" t="s">
        <v>52</v>
      </c>
      <c r="V134" s="13" t="s">
        <v>53</v>
      </c>
      <c r="W134" s="13" t="s">
        <v>791</v>
      </c>
      <c r="X134" s="15">
        <v>44515.0</v>
      </c>
      <c r="Y134" s="15">
        <v>44516.0</v>
      </c>
      <c r="Z134" s="16"/>
      <c r="AA134" s="17" t="s">
        <v>56</v>
      </c>
      <c r="AB134" s="16">
        <v>44515.0</v>
      </c>
      <c r="AC134" s="17" t="s">
        <v>56</v>
      </c>
      <c r="AD134" s="16">
        <v>44533.0</v>
      </c>
      <c r="AE134" s="17"/>
      <c r="AF134" s="16"/>
      <c r="AG134" s="17"/>
      <c r="AH134" s="16"/>
      <c r="AI134" s="16"/>
      <c r="AJ134" s="16"/>
      <c r="AK134" s="17" t="s">
        <v>52</v>
      </c>
      <c r="AL134" s="17" t="s">
        <v>108</v>
      </c>
      <c r="AM134" s="16"/>
      <c r="AN134" s="16"/>
      <c r="AO134" s="16"/>
      <c r="AP134" s="18" t="s">
        <v>58</v>
      </c>
      <c r="AQ134" s="16"/>
    </row>
    <row r="135" ht="15.75" hidden="1" customHeight="1">
      <c r="A135" s="10" t="s">
        <v>792</v>
      </c>
      <c r="B135" s="10" t="s">
        <v>793</v>
      </c>
      <c r="C135" s="10" t="str">
        <f>VLOOKUP(A135,import!A:C,3,0)</f>
        <v>DOĞRU</v>
      </c>
      <c r="D135" s="10" t="s">
        <v>167</v>
      </c>
      <c r="E135" s="10">
        <f>VLOOKUP(A135,import!A:J,5,0)</f>
        <v>9</v>
      </c>
      <c r="F135" s="10">
        <f>VLOOKUP(A135,import!A:J,6,0)</f>
        <v>1</v>
      </c>
      <c r="G135" s="10">
        <f>VLOOKUP(A135,import!A:J,7,0)</f>
        <v>0</v>
      </c>
      <c r="H135" s="10">
        <f>VLOOKUP(A135,import!A:J,8,0)</f>
        <v>16</v>
      </c>
      <c r="I135" s="10">
        <f>VLOOKUP(A135,import!A:J,9,0)</f>
        <v>16</v>
      </c>
      <c r="J135" s="11">
        <f>VLOOKUP(A135,import!A:J,10,0)</f>
        <v>0</v>
      </c>
      <c r="K135" s="10" t="s">
        <v>794</v>
      </c>
      <c r="L135" s="10">
        <v>5.380249486E9</v>
      </c>
      <c r="M135" s="10" t="s">
        <v>156</v>
      </c>
      <c r="N135" s="10" t="s">
        <v>283</v>
      </c>
      <c r="O135" s="10" t="s">
        <v>795</v>
      </c>
      <c r="P135" s="10" t="str">
        <f>VLOOKUP(A135,import!A:P,16,0)</f>
        <v>Geleneksel</v>
      </c>
      <c r="Q135" s="12"/>
      <c r="R135" s="12" t="b">
        <v>0</v>
      </c>
      <c r="S135" s="12" t="b">
        <v>0</v>
      </c>
      <c r="T135" s="13"/>
      <c r="U135" s="13"/>
      <c r="V135" s="13"/>
      <c r="W135" s="13"/>
      <c r="X135" s="15"/>
      <c r="Y135" s="15"/>
      <c r="Z135" s="16"/>
      <c r="AA135" s="17"/>
      <c r="AB135" s="16"/>
      <c r="AC135" s="16"/>
      <c r="AD135" s="16"/>
      <c r="AE135" s="17"/>
      <c r="AF135" s="16"/>
      <c r="AG135" s="17"/>
      <c r="AH135" s="16"/>
      <c r="AI135" s="16"/>
      <c r="AJ135" s="16"/>
      <c r="AK135" s="17"/>
      <c r="AL135" s="16"/>
      <c r="AM135" s="16"/>
      <c r="AN135" s="16"/>
      <c r="AO135" s="16"/>
      <c r="AP135" s="18"/>
      <c r="AQ135" s="16"/>
    </row>
    <row r="136" ht="15.75" hidden="1" customHeight="1">
      <c r="A136" s="10" t="s">
        <v>796</v>
      </c>
      <c r="B136" s="10" t="s">
        <v>797</v>
      </c>
      <c r="C136" s="10" t="str">
        <f>VLOOKUP(A136,import!A:C,3,0)</f>
        <v>DOĞRU</v>
      </c>
      <c r="D136" s="10" t="s">
        <v>451</v>
      </c>
      <c r="E136" s="10">
        <f>VLOOKUP(A136,import!A:J,5,0)</f>
        <v>30</v>
      </c>
      <c r="F136" s="10" t="str">
        <f>VLOOKUP(A136,import!A:J,6,0)</f>
        <v/>
      </c>
      <c r="G136" s="10">
        <f>VLOOKUP(A136,import!A:J,7,0)</f>
        <v>0</v>
      </c>
      <c r="H136" s="10">
        <f>VLOOKUP(A136,import!A:J,8,0)</f>
        <v>18</v>
      </c>
      <c r="I136" s="10">
        <f>VLOOKUP(A136,import!A:J,9,0)</f>
        <v>18</v>
      </c>
      <c r="J136" s="11">
        <f>VLOOKUP(A136,import!A:J,10,0)</f>
        <v>0</v>
      </c>
      <c r="K136" s="10" t="s">
        <v>798</v>
      </c>
      <c r="L136" s="10">
        <v>5.352392139E9</v>
      </c>
      <c r="M136" s="10" t="s">
        <v>215</v>
      </c>
      <c r="N136" s="10" t="s">
        <v>799</v>
      </c>
      <c r="O136" s="10" t="s">
        <v>800</v>
      </c>
      <c r="P136" s="10" t="str">
        <f>VLOOKUP(A136,import!A:P,16,0)</f>
        <v>Geleneksel</v>
      </c>
      <c r="Q136" s="12"/>
      <c r="R136" s="12" t="b">
        <v>1</v>
      </c>
      <c r="S136" s="12" t="b">
        <v>1</v>
      </c>
      <c r="T136" s="13"/>
      <c r="U136" s="13"/>
      <c r="V136" s="13"/>
      <c r="W136" s="13" t="s">
        <v>801</v>
      </c>
      <c r="X136" s="15"/>
      <c r="Y136" s="15"/>
      <c r="Z136" s="16"/>
      <c r="AA136" s="17" t="s">
        <v>56</v>
      </c>
      <c r="AB136" s="16">
        <v>44508.0</v>
      </c>
      <c r="AC136" s="17" t="s">
        <v>56</v>
      </c>
      <c r="AD136" s="16">
        <v>44537.0</v>
      </c>
      <c r="AE136" s="17" t="s">
        <v>230</v>
      </c>
      <c r="AF136" s="16">
        <v>44635.0</v>
      </c>
      <c r="AG136" s="17"/>
      <c r="AH136" s="16"/>
      <c r="AI136" s="16"/>
      <c r="AJ136" s="16"/>
      <c r="AK136" s="17" t="s">
        <v>133</v>
      </c>
      <c r="AL136" s="17" t="s">
        <v>89</v>
      </c>
      <c r="AM136" s="16"/>
      <c r="AN136" s="16"/>
      <c r="AO136" s="16"/>
      <c r="AP136" s="18" t="s">
        <v>58</v>
      </c>
      <c r="AQ136" s="16"/>
    </row>
    <row r="137" ht="15.75" hidden="1" customHeight="1">
      <c r="A137" s="10" t="s">
        <v>802</v>
      </c>
      <c r="B137" s="10" t="s">
        <v>803</v>
      </c>
      <c r="C137" s="10" t="str">
        <f>VLOOKUP(A137,import!A:C,3,0)</f>
        <v>DOĞRU</v>
      </c>
      <c r="D137" s="10" t="s">
        <v>80</v>
      </c>
      <c r="E137" s="10">
        <f>VLOOKUP(A137,import!A:J,5,0)</f>
        <v>9349</v>
      </c>
      <c r="F137" s="10">
        <f>VLOOKUP(A137,import!A:J,6,0)</f>
        <v>683</v>
      </c>
      <c r="G137" s="10">
        <f>VLOOKUP(A137,import!A:J,7,0)</f>
        <v>0</v>
      </c>
      <c r="H137" s="10">
        <f>VLOOKUP(A137,import!A:J,8,0)</f>
        <v>26</v>
      </c>
      <c r="I137" s="10">
        <f>VLOOKUP(A137,import!A:J,9,0)</f>
        <v>26</v>
      </c>
      <c r="J137" s="11">
        <f>VLOOKUP(A137,import!A:J,10,0)</f>
        <v>0</v>
      </c>
      <c r="K137" s="10" t="s">
        <v>804</v>
      </c>
      <c r="L137" s="10">
        <v>3.243221115E9</v>
      </c>
      <c r="M137" s="10" t="s">
        <v>215</v>
      </c>
      <c r="N137" s="10" t="s">
        <v>671</v>
      </c>
      <c r="O137" s="10" t="s">
        <v>805</v>
      </c>
      <c r="P137" s="10" t="str">
        <f>VLOOKUP(A137,import!A:P,16,0)</f>
        <v>Geleneksel</v>
      </c>
      <c r="Q137" s="12" t="s">
        <v>75</v>
      </c>
      <c r="R137" s="12" t="b">
        <v>1</v>
      </c>
      <c r="S137" s="12" t="b">
        <v>0</v>
      </c>
      <c r="T137" s="13" t="s">
        <v>327</v>
      </c>
      <c r="U137" s="13"/>
      <c r="V137" s="13"/>
      <c r="W137" s="13" t="s">
        <v>806</v>
      </c>
      <c r="X137" s="15"/>
      <c r="Y137" s="15"/>
      <c r="Z137" s="16"/>
      <c r="AA137" s="17" t="s">
        <v>265</v>
      </c>
      <c r="AB137" s="16">
        <v>44363.0</v>
      </c>
      <c r="AC137" s="16"/>
      <c r="AD137" s="16"/>
      <c r="AE137" s="17"/>
      <c r="AF137" s="16"/>
      <c r="AG137" s="17"/>
      <c r="AH137" s="16"/>
      <c r="AI137" s="16"/>
      <c r="AJ137" s="16"/>
      <c r="AK137" s="17" t="s">
        <v>52</v>
      </c>
      <c r="AL137" s="16"/>
      <c r="AM137" s="16"/>
      <c r="AN137" s="16"/>
      <c r="AO137" s="16"/>
      <c r="AP137" s="18" t="s">
        <v>58</v>
      </c>
      <c r="AQ137" s="16"/>
    </row>
    <row r="138" ht="15.75" hidden="1" customHeight="1">
      <c r="A138" s="10" t="s">
        <v>807</v>
      </c>
      <c r="B138" s="10" t="s">
        <v>808</v>
      </c>
      <c r="C138" s="10" t="str">
        <f>VLOOKUP(A138,import!A:C,3,0)</f>
        <v>DOĞRU</v>
      </c>
      <c r="D138" s="10" t="s">
        <v>80</v>
      </c>
      <c r="E138" s="10">
        <f>VLOOKUP(A138,import!A:J,5,0)</f>
        <v>32</v>
      </c>
      <c r="F138" s="10">
        <f>VLOOKUP(A138,import!A:J,6,0)</f>
        <v>16</v>
      </c>
      <c r="G138" s="10">
        <f>VLOOKUP(A138,import!A:J,7,0)</f>
        <v>12</v>
      </c>
      <c r="H138" s="10">
        <f>VLOOKUP(A138,import!A:J,8,0)</f>
        <v>3</v>
      </c>
      <c r="I138" s="10">
        <f>VLOOKUP(A138,import!A:J,9,0)</f>
        <v>15</v>
      </c>
      <c r="J138" s="11">
        <f>VLOOKUP(A138,import!A:J,10,0)</f>
        <v>0.8</v>
      </c>
      <c r="K138" s="10" t="s">
        <v>809</v>
      </c>
      <c r="L138" s="10">
        <v>5.525996933E9</v>
      </c>
      <c r="M138" s="10" t="s">
        <v>72</v>
      </c>
      <c r="N138" s="10" t="s">
        <v>810</v>
      </c>
      <c r="O138" s="10" t="s">
        <v>811</v>
      </c>
      <c r="P138" s="10" t="str">
        <f>VLOOKUP(A138,import!A:P,16,0)</f>
        <v>Geleneksel</v>
      </c>
      <c r="Q138" s="12"/>
      <c r="R138" s="12" t="b">
        <v>1</v>
      </c>
      <c r="S138" s="12" t="b">
        <v>0</v>
      </c>
      <c r="T138" s="13" t="s">
        <v>51</v>
      </c>
      <c r="U138" s="13" t="s">
        <v>89</v>
      </c>
      <c r="V138" s="13" t="s">
        <v>66</v>
      </c>
      <c r="W138" s="13"/>
      <c r="X138" s="15"/>
      <c r="Y138" s="15"/>
      <c r="Z138" s="16"/>
      <c r="AA138" s="17" t="s">
        <v>56</v>
      </c>
      <c r="AB138" s="16">
        <v>44641.0</v>
      </c>
      <c r="AC138" s="16"/>
      <c r="AD138" s="16"/>
      <c r="AE138" s="17"/>
      <c r="AF138" s="16"/>
      <c r="AG138" s="17"/>
      <c r="AH138" s="16"/>
      <c r="AI138" s="16"/>
      <c r="AJ138" s="16"/>
      <c r="AK138" s="17" t="s">
        <v>89</v>
      </c>
      <c r="AL138" s="17" t="s">
        <v>89</v>
      </c>
      <c r="AM138" s="16"/>
      <c r="AN138" s="16"/>
      <c r="AO138" s="16"/>
      <c r="AP138" s="18"/>
      <c r="AQ138" s="16"/>
    </row>
    <row r="139" ht="15.75" customHeight="1">
      <c r="A139" s="10" t="s">
        <v>812</v>
      </c>
      <c r="B139" s="10" t="s">
        <v>813</v>
      </c>
      <c r="C139" s="10" t="str">
        <f>VLOOKUP(A139,import!A:C,3,0)</f>
        <v>DOĞRU</v>
      </c>
      <c r="D139" s="10" t="s">
        <v>80</v>
      </c>
      <c r="E139" s="10">
        <f>VLOOKUP(A139,import!A:J,5,0)</f>
        <v>1470</v>
      </c>
      <c r="F139" s="10">
        <f>VLOOKUP(A139,import!A:J,6,0)</f>
        <v>64</v>
      </c>
      <c r="G139" s="10">
        <f>VLOOKUP(A139,import!A:J,7,0)</f>
        <v>11</v>
      </c>
      <c r="H139" s="10">
        <f>VLOOKUP(A139,import!A:J,8,0)</f>
        <v>7</v>
      </c>
      <c r="I139" s="10">
        <f>VLOOKUP(A139,import!A:J,9,0)</f>
        <v>18</v>
      </c>
      <c r="J139" s="11">
        <f>VLOOKUP(A139,import!A:J,10,0)</f>
        <v>0.61</v>
      </c>
      <c r="K139" s="10" t="s">
        <v>814</v>
      </c>
      <c r="L139" s="10">
        <v>3.243575714E9</v>
      </c>
      <c r="M139" s="10" t="s">
        <v>63</v>
      </c>
      <c r="N139" s="10" t="s">
        <v>566</v>
      </c>
      <c r="O139" s="10" t="s">
        <v>815</v>
      </c>
      <c r="P139" s="10" t="str">
        <f>VLOOKUP(A139,import!A:P,16,0)</f>
        <v>Geleneksel</v>
      </c>
      <c r="Q139" s="12" t="s">
        <v>146</v>
      </c>
      <c r="R139" s="12" t="b">
        <v>1</v>
      </c>
      <c r="S139" s="12" t="b">
        <v>0</v>
      </c>
      <c r="T139" s="13" t="s">
        <v>51</v>
      </c>
      <c r="U139" s="13" t="s">
        <v>108</v>
      </c>
      <c r="V139" s="13" t="s">
        <v>66</v>
      </c>
      <c r="W139" s="13" t="s">
        <v>816</v>
      </c>
      <c r="X139" s="15">
        <v>44266.0</v>
      </c>
      <c r="Y139" s="15">
        <v>44270.0</v>
      </c>
      <c r="Z139" s="16"/>
      <c r="AA139" s="16"/>
      <c r="AB139" s="16"/>
      <c r="AC139" s="16"/>
      <c r="AD139" s="16"/>
      <c r="AE139" s="17"/>
      <c r="AF139" s="16"/>
      <c r="AG139" s="17"/>
      <c r="AH139" s="16"/>
      <c r="AI139" s="16"/>
      <c r="AJ139" s="16"/>
      <c r="AK139" s="16"/>
      <c r="AL139" s="16"/>
      <c r="AM139" s="16"/>
      <c r="AN139" s="16"/>
      <c r="AO139" s="16"/>
      <c r="AP139" s="18" t="s">
        <v>58</v>
      </c>
      <c r="AQ139" s="16"/>
    </row>
    <row r="140" ht="15.75" hidden="1" customHeight="1">
      <c r="A140" s="10" t="s">
        <v>817</v>
      </c>
      <c r="B140" s="10" t="s">
        <v>818</v>
      </c>
      <c r="C140" s="10" t="str">
        <f>VLOOKUP(A140,import!A:C,3,0)</f>
        <v>DOĞRU</v>
      </c>
      <c r="D140" s="10" t="s">
        <v>167</v>
      </c>
      <c r="E140" s="10">
        <f>VLOOKUP(A140,import!A:J,5,0)</f>
        <v>418</v>
      </c>
      <c r="F140" s="10">
        <f>VLOOKUP(A140,import!A:J,6,0)</f>
        <v>35</v>
      </c>
      <c r="G140" s="10">
        <f>VLOOKUP(A140,import!A:J,7,0)</f>
        <v>9</v>
      </c>
      <c r="H140" s="10">
        <f>VLOOKUP(A140,import!A:J,8,0)</f>
        <v>9</v>
      </c>
      <c r="I140" s="10">
        <f>VLOOKUP(A140,import!A:J,9,0)</f>
        <v>18</v>
      </c>
      <c r="J140" s="11">
        <f>VLOOKUP(A140,import!A:J,10,0)</f>
        <v>0.5</v>
      </c>
      <c r="K140" s="10" t="s">
        <v>819</v>
      </c>
      <c r="L140" s="10">
        <v>5.443451303E9</v>
      </c>
      <c r="M140" s="10" t="s">
        <v>72</v>
      </c>
      <c r="N140" s="10" t="s">
        <v>82</v>
      </c>
      <c r="O140" s="10" t="s">
        <v>820</v>
      </c>
      <c r="P140" s="10" t="str">
        <f>VLOOKUP(A140,import!A:P,16,0)</f>
        <v>Geleneksel</v>
      </c>
      <c r="Q140" s="12"/>
      <c r="R140" s="12" t="b">
        <v>1</v>
      </c>
      <c r="S140" s="12" t="b">
        <v>0</v>
      </c>
      <c r="T140" s="13" t="s">
        <v>51</v>
      </c>
      <c r="U140" s="13" t="s">
        <v>89</v>
      </c>
      <c r="V140" s="13" t="s">
        <v>53</v>
      </c>
      <c r="W140" s="23" t="s">
        <v>211</v>
      </c>
      <c r="X140" s="15">
        <v>44511.0</v>
      </c>
      <c r="Y140" s="15">
        <v>44515.0</v>
      </c>
      <c r="Z140" s="16"/>
      <c r="AA140" s="17" t="s">
        <v>55</v>
      </c>
      <c r="AB140" s="16">
        <v>44508.0</v>
      </c>
      <c r="AC140" s="17" t="s">
        <v>56</v>
      </c>
      <c r="AD140" s="16">
        <v>44508.0</v>
      </c>
      <c r="AE140" s="17" t="s">
        <v>56</v>
      </c>
      <c r="AF140" s="16">
        <v>44511.0</v>
      </c>
      <c r="AG140" s="17" t="s">
        <v>56</v>
      </c>
      <c r="AH140" s="16">
        <v>44533.0</v>
      </c>
      <c r="AI140" s="16"/>
      <c r="AJ140" s="16"/>
      <c r="AK140" s="17" t="s">
        <v>133</v>
      </c>
      <c r="AL140" s="17" t="s">
        <v>52</v>
      </c>
      <c r="AM140" s="17" t="s">
        <v>89</v>
      </c>
      <c r="AN140" s="17" t="s">
        <v>108</v>
      </c>
      <c r="AO140" s="16"/>
      <c r="AP140" s="18" t="s">
        <v>58</v>
      </c>
      <c r="AQ140" s="16"/>
    </row>
    <row r="141" ht="15.75" hidden="1" customHeight="1">
      <c r="A141" s="10" t="s">
        <v>821</v>
      </c>
      <c r="B141" s="10" t="s">
        <v>822</v>
      </c>
      <c r="C141" s="10" t="str">
        <f>VLOOKUP(A141,import!A:C,3,0)</f>
        <v>DOĞRU</v>
      </c>
      <c r="D141" s="10" t="s">
        <v>80</v>
      </c>
      <c r="E141" s="10">
        <f>VLOOKUP(A141,import!A:J,5,0)</f>
        <v>1031</v>
      </c>
      <c r="F141" s="10">
        <f>VLOOKUP(A141,import!A:J,6,0)</f>
        <v>194</v>
      </c>
      <c r="G141" s="10">
        <f>VLOOKUP(A141,import!A:J,7,0)</f>
        <v>15</v>
      </c>
      <c r="H141" s="10">
        <f>VLOOKUP(A141,import!A:J,8,0)</f>
        <v>6</v>
      </c>
      <c r="I141" s="10">
        <f>VLOOKUP(A141,import!A:J,9,0)</f>
        <v>21</v>
      </c>
      <c r="J141" s="11">
        <f>VLOOKUP(A141,import!A:J,10,0)</f>
        <v>0.71</v>
      </c>
      <c r="K141" s="10" t="s">
        <v>823</v>
      </c>
      <c r="L141" s="10">
        <v>5.335084713E9</v>
      </c>
      <c r="M141" s="10" t="s">
        <v>215</v>
      </c>
      <c r="N141" s="10" t="s">
        <v>745</v>
      </c>
      <c r="O141" s="10" t="s">
        <v>824</v>
      </c>
      <c r="P141" s="10" t="str">
        <f>VLOOKUP(A141,import!A:P,16,0)</f>
        <v>Geleneksel</v>
      </c>
      <c r="Q141" s="12"/>
      <c r="R141" s="12" t="b">
        <v>1</v>
      </c>
      <c r="S141" s="12" t="b">
        <v>0</v>
      </c>
      <c r="T141" s="13" t="s">
        <v>51</v>
      </c>
      <c r="U141" s="13" t="s">
        <v>103</v>
      </c>
      <c r="V141" s="19" t="s">
        <v>53</v>
      </c>
      <c r="W141" s="13"/>
      <c r="X141" s="15">
        <v>44483.0</v>
      </c>
      <c r="Y141" s="15">
        <v>44484.0</v>
      </c>
      <c r="Z141" s="16"/>
      <c r="AA141" s="17" t="s">
        <v>56</v>
      </c>
      <c r="AB141" s="16">
        <v>44483.0</v>
      </c>
      <c r="AC141" s="16"/>
      <c r="AD141" s="16"/>
      <c r="AE141" s="17"/>
      <c r="AF141" s="16"/>
      <c r="AG141" s="17"/>
      <c r="AH141" s="16"/>
      <c r="AI141" s="16"/>
      <c r="AJ141" s="16"/>
      <c r="AK141" s="17" t="s">
        <v>103</v>
      </c>
      <c r="AL141" s="16"/>
      <c r="AM141" s="16"/>
      <c r="AN141" s="16"/>
      <c r="AO141" s="16"/>
      <c r="AP141" s="18" t="s">
        <v>58</v>
      </c>
      <c r="AQ141" s="16"/>
    </row>
    <row r="142" ht="15.75" customHeight="1">
      <c r="A142" s="10" t="s">
        <v>825</v>
      </c>
      <c r="B142" s="10" t="s">
        <v>826</v>
      </c>
      <c r="C142" s="10" t="str">
        <f>VLOOKUP(A142,import!A:C,3,0)</f>
        <v>DOĞRU</v>
      </c>
      <c r="D142" s="10" t="s">
        <v>118</v>
      </c>
      <c r="E142" s="10">
        <f>VLOOKUP(A142,import!A:J,5,0)</f>
        <v>64</v>
      </c>
      <c r="F142" s="10" t="str">
        <f>VLOOKUP(A142,import!A:J,6,0)</f>
        <v/>
      </c>
      <c r="G142" s="10">
        <f>VLOOKUP(A142,import!A:J,7,0)</f>
        <v>0</v>
      </c>
      <c r="H142" s="10">
        <f>VLOOKUP(A142,import!A:J,8,0)</f>
        <v>13</v>
      </c>
      <c r="I142" s="10">
        <f>VLOOKUP(A142,import!A:J,9,0)</f>
        <v>13</v>
      </c>
      <c r="J142" s="11">
        <f>VLOOKUP(A142,import!A:J,10,0)</f>
        <v>0</v>
      </c>
      <c r="K142" s="10" t="s">
        <v>827</v>
      </c>
      <c r="L142" s="10">
        <v>3.242390909E9</v>
      </c>
      <c r="M142" s="10" t="s">
        <v>137</v>
      </c>
      <c r="N142" s="10" t="s">
        <v>175</v>
      </c>
      <c r="O142" s="10" t="s">
        <v>828</v>
      </c>
      <c r="P142" s="10" t="str">
        <f>VLOOKUP(A142,import!A:P,16,0)</f>
        <v>Geleneksel</v>
      </c>
      <c r="Q142" s="12"/>
      <c r="R142" s="12" t="b">
        <v>1</v>
      </c>
      <c r="S142" s="12" t="b">
        <v>0</v>
      </c>
      <c r="T142" s="13" t="s">
        <v>272</v>
      </c>
      <c r="U142" s="13" t="s">
        <v>52</v>
      </c>
      <c r="V142" s="13" t="s">
        <v>66</v>
      </c>
      <c r="W142" s="13">
        <v>5.467253353E9</v>
      </c>
      <c r="X142" s="15">
        <v>44579.0</v>
      </c>
      <c r="Y142" s="15">
        <v>44581.0</v>
      </c>
      <c r="Z142" s="16"/>
      <c r="AA142" s="17" t="s">
        <v>56</v>
      </c>
      <c r="AB142" s="16">
        <v>44579.0</v>
      </c>
      <c r="AC142" s="16"/>
      <c r="AD142" s="16"/>
      <c r="AE142" s="17"/>
      <c r="AF142" s="16"/>
      <c r="AG142" s="17"/>
      <c r="AH142" s="16"/>
      <c r="AI142" s="16"/>
      <c r="AJ142" s="16"/>
      <c r="AK142" s="17" t="s">
        <v>52</v>
      </c>
      <c r="AL142" s="16"/>
      <c r="AM142" s="16"/>
      <c r="AN142" s="16"/>
      <c r="AO142" s="16"/>
      <c r="AP142" s="18"/>
      <c r="AQ142" s="16"/>
    </row>
    <row r="143" ht="15.75" customHeight="1">
      <c r="A143" s="10" t="s">
        <v>829</v>
      </c>
      <c r="B143" s="10" t="s">
        <v>830</v>
      </c>
      <c r="C143" s="10" t="str">
        <f>VLOOKUP(A143,import!A:C,3,0)</f>
        <v>DOĞRU</v>
      </c>
      <c r="D143" s="10" t="s">
        <v>80</v>
      </c>
      <c r="E143" s="10">
        <f>VLOOKUP(A143,import!A:J,5,0)</f>
        <v>2819</v>
      </c>
      <c r="F143" s="10">
        <f>VLOOKUP(A143,import!A:J,6,0)</f>
        <v>232</v>
      </c>
      <c r="G143" s="10">
        <f>VLOOKUP(A143,import!A:J,7,0)</f>
        <v>0</v>
      </c>
      <c r="H143" s="10">
        <f>VLOOKUP(A143,import!A:J,8,0)</f>
        <v>16</v>
      </c>
      <c r="I143" s="10">
        <f>VLOOKUP(A143,import!A:J,9,0)</f>
        <v>16</v>
      </c>
      <c r="J143" s="11">
        <f>VLOOKUP(A143,import!A:J,10,0)</f>
        <v>0</v>
      </c>
      <c r="K143" s="10" t="s">
        <v>831</v>
      </c>
      <c r="L143" s="10">
        <v>5.331652033E9</v>
      </c>
      <c r="M143" s="10" t="s">
        <v>137</v>
      </c>
      <c r="N143" s="10" t="s">
        <v>526</v>
      </c>
      <c r="O143" s="10" t="s">
        <v>832</v>
      </c>
      <c r="P143" s="10" t="str">
        <f>VLOOKUP(A143,import!A:P,16,0)</f>
        <v>Geleneksel</v>
      </c>
      <c r="Q143" s="12" t="s">
        <v>50</v>
      </c>
      <c r="R143" s="12" t="b">
        <v>1</v>
      </c>
      <c r="S143" s="13" t="b">
        <v>0</v>
      </c>
      <c r="T143" s="13" t="s">
        <v>327</v>
      </c>
      <c r="U143" s="13"/>
      <c r="V143" s="13"/>
      <c r="W143" s="13" t="s">
        <v>833</v>
      </c>
      <c r="X143" s="15"/>
      <c r="Y143" s="15"/>
      <c r="Z143" s="16"/>
      <c r="AA143" s="17" t="s">
        <v>230</v>
      </c>
      <c r="AB143" s="16">
        <v>44356.0</v>
      </c>
      <c r="AC143" s="16"/>
      <c r="AD143" s="16"/>
      <c r="AE143" s="17"/>
      <c r="AF143" s="16"/>
      <c r="AG143" s="17"/>
      <c r="AH143" s="16"/>
      <c r="AI143" s="16"/>
      <c r="AJ143" s="16"/>
      <c r="AK143" s="17" t="s">
        <v>52</v>
      </c>
      <c r="AL143" s="16"/>
      <c r="AM143" s="16"/>
      <c r="AN143" s="16"/>
      <c r="AO143" s="16"/>
      <c r="AP143" s="18" t="s">
        <v>58</v>
      </c>
      <c r="AQ143" s="16"/>
    </row>
    <row r="144" ht="15.75" customHeight="1">
      <c r="A144" s="18" t="s">
        <v>834</v>
      </c>
      <c r="B144" s="18" t="s">
        <v>835</v>
      </c>
      <c r="C144" s="10" t="str">
        <f>VLOOKUP(A144,import!A:C,3,0)</f>
        <v>DOĞRU</v>
      </c>
      <c r="D144" s="18" t="s">
        <v>80</v>
      </c>
      <c r="E144" s="10">
        <f>VLOOKUP(A144,import!A:J,5,0)</f>
        <v>36</v>
      </c>
      <c r="F144" s="10">
        <f>VLOOKUP(A144,import!A:J,6,0)</f>
        <v>36</v>
      </c>
      <c r="G144" s="10">
        <f>VLOOKUP(A144,import!A:J,7,0)</f>
        <v>0</v>
      </c>
      <c r="H144" s="10">
        <f>VLOOKUP(A144,import!A:J,8,0)</f>
        <v>12</v>
      </c>
      <c r="I144" s="10">
        <f>VLOOKUP(A144,import!A:J,9,0)</f>
        <v>12</v>
      </c>
      <c r="J144" s="11">
        <f>VLOOKUP(A144,import!A:J,10,0)</f>
        <v>0</v>
      </c>
      <c r="K144" s="18" t="s">
        <v>827</v>
      </c>
      <c r="L144" s="18">
        <v>3.243595933E9</v>
      </c>
      <c r="M144" s="18" t="s">
        <v>63</v>
      </c>
      <c r="N144" s="18" t="s">
        <v>137</v>
      </c>
      <c r="O144" s="18" t="s">
        <v>836</v>
      </c>
      <c r="P144" s="10" t="str">
        <f>VLOOKUP(A144,import!A:P,16,0)</f>
        <v>Geleneksel</v>
      </c>
      <c r="Q144" s="12"/>
      <c r="R144" s="12" t="b">
        <v>0</v>
      </c>
      <c r="S144" s="12" t="b">
        <v>0</v>
      </c>
      <c r="T144" s="13"/>
      <c r="U144" s="13"/>
      <c r="V144" s="13"/>
      <c r="W144" s="13"/>
      <c r="X144" s="15"/>
      <c r="Y144" s="15"/>
      <c r="Z144" s="16"/>
      <c r="AA144" s="17"/>
      <c r="AB144" s="16"/>
      <c r="AC144" s="16"/>
      <c r="AD144" s="16"/>
      <c r="AE144" s="17"/>
      <c r="AF144" s="16"/>
      <c r="AG144" s="17"/>
      <c r="AH144" s="16"/>
      <c r="AI144" s="16"/>
      <c r="AJ144" s="16"/>
      <c r="AK144" s="17"/>
      <c r="AL144" s="16"/>
      <c r="AM144" s="16"/>
      <c r="AN144" s="16"/>
      <c r="AO144" s="16"/>
      <c r="AP144" s="18"/>
      <c r="AQ144" s="16"/>
    </row>
    <row r="145" ht="15.75" hidden="1" customHeight="1">
      <c r="A145" s="10" t="s">
        <v>837</v>
      </c>
      <c r="B145" s="10" t="s">
        <v>838</v>
      </c>
      <c r="C145" s="10" t="str">
        <f>VLOOKUP(A145,import!A:C,3,0)</f>
        <v>DOĞRU</v>
      </c>
      <c r="D145" s="10" t="s">
        <v>80</v>
      </c>
      <c r="E145" s="10">
        <f>VLOOKUP(A145,import!A:J,5,0)</f>
        <v>1166</v>
      </c>
      <c r="F145" s="10">
        <f>VLOOKUP(A145,import!A:J,6,0)</f>
        <v>154</v>
      </c>
      <c r="G145" s="10">
        <f>VLOOKUP(A145,import!A:J,7,0)</f>
        <v>1</v>
      </c>
      <c r="H145" s="10">
        <f>VLOOKUP(A145,import!A:J,8,0)</f>
        <v>9</v>
      </c>
      <c r="I145" s="10">
        <f>VLOOKUP(A145,import!A:J,9,0)</f>
        <v>10</v>
      </c>
      <c r="J145" s="11">
        <f>VLOOKUP(A145,import!A:J,10,0)</f>
        <v>0.1</v>
      </c>
      <c r="K145" s="10" t="s">
        <v>839</v>
      </c>
      <c r="L145" s="10">
        <v>3.249994818E9</v>
      </c>
      <c r="M145" s="10" t="s">
        <v>72</v>
      </c>
      <c r="N145" s="10" t="s">
        <v>113</v>
      </c>
      <c r="O145" s="10" t="s">
        <v>840</v>
      </c>
      <c r="P145" s="10" t="str">
        <f>VLOOKUP(A145,import!A:P,16,0)</f>
        <v>Geleneksel</v>
      </c>
      <c r="Q145" s="12"/>
      <c r="R145" s="12" t="b">
        <v>1</v>
      </c>
      <c r="S145" s="12" t="b">
        <v>0</v>
      </c>
      <c r="T145" s="13" t="s">
        <v>521</v>
      </c>
      <c r="U145" s="13" t="s">
        <v>314</v>
      </c>
      <c r="V145" s="13" t="s">
        <v>53</v>
      </c>
      <c r="W145" s="13" t="s">
        <v>841</v>
      </c>
      <c r="X145" s="15">
        <v>44543.0</v>
      </c>
      <c r="Y145" s="15">
        <v>44545.0</v>
      </c>
      <c r="Z145" s="16"/>
      <c r="AA145" s="17" t="s">
        <v>56</v>
      </c>
      <c r="AB145" s="16">
        <v>44475.0</v>
      </c>
      <c r="AC145" s="17" t="s">
        <v>56</v>
      </c>
      <c r="AD145" s="16">
        <v>44536.0</v>
      </c>
      <c r="AE145" s="17" t="s">
        <v>230</v>
      </c>
      <c r="AF145" s="16">
        <v>44540.0</v>
      </c>
      <c r="AG145" s="17" t="s">
        <v>56</v>
      </c>
      <c r="AH145" s="16">
        <v>44540.0</v>
      </c>
      <c r="AI145" s="17" t="s">
        <v>56</v>
      </c>
      <c r="AJ145" s="16">
        <v>44545.0</v>
      </c>
      <c r="AK145" s="17" t="s">
        <v>171</v>
      </c>
      <c r="AL145" s="17" t="s">
        <v>89</v>
      </c>
      <c r="AM145" s="17" t="s">
        <v>314</v>
      </c>
      <c r="AN145" s="17" t="s">
        <v>314</v>
      </c>
      <c r="AO145" s="17" t="s">
        <v>314</v>
      </c>
      <c r="AP145" s="18" t="s">
        <v>58</v>
      </c>
      <c r="AQ145" s="17"/>
    </row>
    <row r="146" ht="15.75" customHeight="1">
      <c r="A146" s="10" t="s">
        <v>842</v>
      </c>
      <c r="B146" s="10" t="s">
        <v>843</v>
      </c>
      <c r="C146" s="10" t="str">
        <f>VLOOKUP(A146,import!A:C,3,0)</f>
        <v>DOĞRU</v>
      </c>
      <c r="D146" s="10" t="s">
        <v>564</v>
      </c>
      <c r="E146" s="10">
        <f>VLOOKUP(A146,import!A:J,5,0)</f>
        <v>791</v>
      </c>
      <c r="F146" s="10">
        <f>VLOOKUP(A146,import!A:J,6,0)</f>
        <v>74</v>
      </c>
      <c r="G146" s="10">
        <f>VLOOKUP(A146,import!A:J,7,0)</f>
        <v>0</v>
      </c>
      <c r="H146" s="10">
        <f>VLOOKUP(A146,import!A:J,8,0)</f>
        <v>54</v>
      </c>
      <c r="I146" s="10">
        <f>VLOOKUP(A146,import!A:J,9,0)</f>
        <v>54</v>
      </c>
      <c r="J146" s="11">
        <f>VLOOKUP(A146,import!A:J,10,0)</f>
        <v>0</v>
      </c>
      <c r="K146" s="10" t="s">
        <v>844</v>
      </c>
      <c r="L146" s="10">
        <v>5.073023317E9</v>
      </c>
      <c r="M146" s="10" t="s">
        <v>137</v>
      </c>
      <c r="N146" s="10" t="s">
        <v>845</v>
      </c>
      <c r="O146" s="10" t="s">
        <v>846</v>
      </c>
      <c r="P146" s="10" t="str">
        <f>VLOOKUP(A146,import!A:P,16,0)</f>
        <v>Geleneksel</v>
      </c>
      <c r="Q146" s="12"/>
      <c r="R146" s="12" t="b">
        <v>1</v>
      </c>
      <c r="S146" s="12" t="b">
        <v>1</v>
      </c>
      <c r="T146" s="13"/>
      <c r="U146" s="13"/>
      <c r="V146" s="13"/>
      <c r="W146" s="13" t="s">
        <v>847</v>
      </c>
      <c r="X146" s="15"/>
      <c r="Y146" s="15"/>
      <c r="Z146" s="16"/>
      <c r="AA146" s="17" t="s">
        <v>55</v>
      </c>
      <c r="AB146" s="16">
        <v>44426.0</v>
      </c>
      <c r="AC146" s="17" t="s">
        <v>56</v>
      </c>
      <c r="AD146" s="16">
        <v>44484.0</v>
      </c>
      <c r="AE146" s="17"/>
      <c r="AF146" s="16"/>
      <c r="AG146" s="17"/>
      <c r="AH146" s="16"/>
      <c r="AI146" s="16"/>
      <c r="AJ146" s="16"/>
      <c r="AK146" s="17" t="s">
        <v>57</v>
      </c>
      <c r="AL146" s="17" t="s">
        <v>367</v>
      </c>
      <c r="AM146" s="16"/>
      <c r="AN146" s="16"/>
      <c r="AO146" s="16"/>
      <c r="AP146" s="18" t="s">
        <v>58</v>
      </c>
      <c r="AQ146" s="16"/>
    </row>
    <row r="147" ht="15.75" hidden="1" customHeight="1">
      <c r="A147" s="10" t="s">
        <v>848</v>
      </c>
      <c r="B147" s="10" t="s">
        <v>849</v>
      </c>
      <c r="C147" s="10" t="str">
        <f>VLOOKUP(A147,import!A:C,3,0)</f>
        <v>DOĞRU</v>
      </c>
      <c r="D147" s="10" t="s">
        <v>356</v>
      </c>
      <c r="E147" s="10">
        <f>VLOOKUP(A147,import!A:J,5,0)</f>
        <v>1006</v>
      </c>
      <c r="F147" s="10">
        <f>VLOOKUP(A147,import!A:J,6,0)</f>
        <v>44</v>
      </c>
      <c r="G147" s="10">
        <f>VLOOKUP(A147,import!A:J,7,0)</f>
        <v>32</v>
      </c>
      <c r="H147" s="10">
        <f>VLOOKUP(A147,import!A:J,8,0)</f>
        <v>52</v>
      </c>
      <c r="I147" s="10">
        <f>VLOOKUP(A147,import!A:J,9,0)</f>
        <v>84</v>
      </c>
      <c r="J147" s="11">
        <f>VLOOKUP(A147,import!A:J,10,0)</f>
        <v>0.38</v>
      </c>
      <c r="K147" s="10" t="s">
        <v>850</v>
      </c>
      <c r="L147" s="10">
        <v>3.249990616E9</v>
      </c>
      <c r="M147" s="10" t="s">
        <v>72</v>
      </c>
      <c r="N147" s="10" t="s">
        <v>73</v>
      </c>
      <c r="O147" s="10" t="s">
        <v>851</v>
      </c>
      <c r="P147" s="10" t="str">
        <f>VLOOKUP(A147,import!A:P,16,0)</f>
        <v>Geleneksel</v>
      </c>
      <c r="Q147" s="12" t="s">
        <v>84</v>
      </c>
      <c r="R147" s="12" t="b">
        <v>1</v>
      </c>
      <c r="S147" s="12" t="b">
        <v>0</v>
      </c>
      <c r="T147" s="13" t="s">
        <v>51</v>
      </c>
      <c r="U147" s="13" t="s">
        <v>545</v>
      </c>
      <c r="V147" s="13" t="s">
        <v>66</v>
      </c>
      <c r="W147" s="20" t="s">
        <v>852</v>
      </c>
      <c r="X147" s="15">
        <v>44286.0</v>
      </c>
      <c r="Y147" s="15">
        <v>44288.0</v>
      </c>
      <c r="Z147" s="16"/>
      <c r="AA147" s="17" t="s">
        <v>56</v>
      </c>
      <c r="AB147" s="16">
        <v>44551.0</v>
      </c>
      <c r="AC147" s="17" t="s">
        <v>56</v>
      </c>
      <c r="AD147" s="16">
        <v>44560.0</v>
      </c>
      <c r="AE147" s="17"/>
      <c r="AF147" s="16"/>
      <c r="AG147" s="17"/>
      <c r="AH147" s="16"/>
      <c r="AI147" s="16"/>
      <c r="AJ147" s="16"/>
      <c r="AK147" s="17" t="s">
        <v>133</v>
      </c>
      <c r="AL147" s="17" t="s">
        <v>87</v>
      </c>
      <c r="AM147" s="16"/>
      <c r="AN147" s="16"/>
      <c r="AO147" s="16"/>
      <c r="AP147" s="18" t="s">
        <v>58</v>
      </c>
      <c r="AQ147" s="16"/>
    </row>
    <row r="148" ht="15.75" hidden="1" customHeight="1">
      <c r="A148" s="10" t="s">
        <v>853</v>
      </c>
      <c r="B148" s="10" t="s">
        <v>854</v>
      </c>
      <c r="C148" s="10" t="str">
        <f>VLOOKUP(A148,import!A:C,3,0)</f>
        <v>DOĞRU</v>
      </c>
      <c r="D148" s="10" t="s">
        <v>70</v>
      </c>
      <c r="E148" s="10">
        <f>VLOOKUP(A148,import!A:J,5,0)</f>
        <v>48490</v>
      </c>
      <c r="F148" s="10">
        <f>VLOOKUP(A148,import!A:J,6,0)</f>
        <v>2556</v>
      </c>
      <c r="G148" s="10">
        <f>VLOOKUP(A148,import!A:J,7,0)</f>
        <v>19</v>
      </c>
      <c r="H148" s="10">
        <f>VLOOKUP(A148,import!A:J,8,0)</f>
        <v>7</v>
      </c>
      <c r="I148" s="10">
        <f>VLOOKUP(A148,import!A:J,9,0)</f>
        <v>26</v>
      </c>
      <c r="J148" s="11">
        <f>VLOOKUP(A148,import!A:J,10,0)</f>
        <v>0.73</v>
      </c>
      <c r="K148" s="10" t="s">
        <v>855</v>
      </c>
      <c r="L148" s="10">
        <v>3.243268589E9</v>
      </c>
      <c r="M148" s="10" t="s">
        <v>72</v>
      </c>
      <c r="N148" s="10" t="s">
        <v>128</v>
      </c>
      <c r="O148" s="10" t="s">
        <v>856</v>
      </c>
      <c r="P148" s="10" t="str">
        <f>VLOOKUP(A148,import!A:P,16,0)</f>
        <v>Geleneksel</v>
      </c>
      <c r="Q148" s="12" t="s">
        <v>146</v>
      </c>
      <c r="R148" s="12" t="b">
        <v>1</v>
      </c>
      <c r="S148" s="12" t="b">
        <v>0</v>
      </c>
      <c r="T148" s="13" t="s">
        <v>51</v>
      </c>
      <c r="U148" s="13" t="s">
        <v>133</v>
      </c>
      <c r="V148" s="13" t="s">
        <v>66</v>
      </c>
      <c r="W148" s="13" t="s">
        <v>857</v>
      </c>
      <c r="X148" s="15">
        <v>44278.0</v>
      </c>
      <c r="Y148" s="15">
        <v>44279.0</v>
      </c>
      <c r="Z148" s="16"/>
      <c r="AA148" s="16"/>
      <c r="AB148" s="16"/>
      <c r="AC148" s="16"/>
      <c r="AD148" s="16"/>
      <c r="AE148" s="17"/>
      <c r="AF148" s="16"/>
      <c r="AG148" s="17"/>
      <c r="AH148" s="16"/>
      <c r="AI148" s="16"/>
      <c r="AJ148" s="16"/>
      <c r="AK148" s="16"/>
      <c r="AL148" s="16"/>
      <c r="AM148" s="16"/>
      <c r="AN148" s="16"/>
      <c r="AO148" s="16"/>
      <c r="AP148" s="18" t="s">
        <v>58</v>
      </c>
      <c r="AQ148" s="16"/>
    </row>
    <row r="149" ht="15.75" hidden="1" customHeight="1">
      <c r="A149" s="10" t="s">
        <v>858</v>
      </c>
      <c r="B149" s="10" t="s">
        <v>859</v>
      </c>
      <c r="C149" s="10" t="str">
        <f>VLOOKUP(A149,import!A:C,3,0)</f>
        <v>DOĞRU</v>
      </c>
      <c r="D149" s="10" t="s">
        <v>80</v>
      </c>
      <c r="E149" s="10">
        <f>VLOOKUP(A149,import!A:J,5,0)</f>
        <v>502</v>
      </c>
      <c r="F149" s="10">
        <f>VLOOKUP(A149,import!A:J,6,0)</f>
        <v>21</v>
      </c>
      <c r="G149" s="10">
        <f>VLOOKUP(A149,import!A:J,7,0)</f>
        <v>0</v>
      </c>
      <c r="H149" s="10">
        <f>VLOOKUP(A149,import!A:J,8,0)</f>
        <v>9</v>
      </c>
      <c r="I149" s="10">
        <f>VLOOKUP(A149,import!A:J,9,0)</f>
        <v>9</v>
      </c>
      <c r="J149" s="11">
        <f>VLOOKUP(A149,import!A:J,10,0)</f>
        <v>0</v>
      </c>
      <c r="K149" s="10" t="s">
        <v>860</v>
      </c>
      <c r="L149" s="10">
        <v>5.524072874E9</v>
      </c>
      <c r="M149" s="10" t="s">
        <v>215</v>
      </c>
      <c r="N149" s="10" t="s">
        <v>861</v>
      </c>
      <c r="O149" s="10" t="s">
        <v>862</v>
      </c>
      <c r="P149" s="10" t="str">
        <f>VLOOKUP(A149,import!A:P,16,0)</f>
        <v>Geleneksel</v>
      </c>
      <c r="Q149" s="12"/>
      <c r="R149" s="12" t="b">
        <v>1</v>
      </c>
      <c r="S149" s="12" t="b">
        <v>1</v>
      </c>
      <c r="T149" s="13"/>
      <c r="U149" s="13"/>
      <c r="V149" s="19"/>
      <c r="W149" s="13" t="s">
        <v>863</v>
      </c>
      <c r="X149" s="15"/>
      <c r="Y149" s="15"/>
      <c r="Z149" s="16"/>
      <c r="AA149" s="17" t="s">
        <v>56</v>
      </c>
      <c r="AB149" s="16">
        <v>44347.0</v>
      </c>
      <c r="AC149" s="17" t="s">
        <v>55</v>
      </c>
      <c r="AD149" s="16">
        <v>44533.0</v>
      </c>
      <c r="AE149" s="17"/>
      <c r="AF149" s="16"/>
      <c r="AG149" s="17"/>
      <c r="AH149" s="16"/>
      <c r="AI149" s="16"/>
      <c r="AJ149" s="16"/>
      <c r="AK149" s="16"/>
      <c r="AL149" s="17" t="s">
        <v>367</v>
      </c>
      <c r="AM149" s="16"/>
      <c r="AN149" s="16"/>
      <c r="AO149" s="16"/>
      <c r="AP149" s="18" t="s">
        <v>58</v>
      </c>
      <c r="AQ149" s="16"/>
    </row>
    <row r="150" ht="15.75" customHeight="1">
      <c r="A150" s="10" t="s">
        <v>864</v>
      </c>
      <c r="B150" s="10" t="s">
        <v>865</v>
      </c>
      <c r="C150" s="10" t="str">
        <f>VLOOKUP(A150,import!A:C,3,0)</f>
        <v>DOĞRU</v>
      </c>
      <c r="D150" s="10" t="s">
        <v>451</v>
      </c>
      <c r="E150" s="10">
        <f>VLOOKUP(A150,import!A:J,5,0)</f>
        <v>357</v>
      </c>
      <c r="F150" s="10">
        <f>VLOOKUP(A150,import!A:J,6,0)</f>
        <v>120</v>
      </c>
      <c r="G150" s="10">
        <f>VLOOKUP(A150,import!A:J,7,0)</f>
        <v>10</v>
      </c>
      <c r="H150" s="10">
        <f>VLOOKUP(A150,import!A:J,8,0)</f>
        <v>0</v>
      </c>
      <c r="I150" s="10">
        <f>VLOOKUP(A150,import!A:J,9,0)</f>
        <v>10</v>
      </c>
      <c r="J150" s="11">
        <f>VLOOKUP(A150,import!A:J,10,0)</f>
        <v>1</v>
      </c>
      <c r="K150" s="10" t="s">
        <v>866</v>
      </c>
      <c r="L150" s="10">
        <v>3.24290299E9</v>
      </c>
      <c r="M150" s="10" t="s">
        <v>63</v>
      </c>
      <c r="N150" s="10" t="s">
        <v>93</v>
      </c>
      <c r="O150" s="10" t="s">
        <v>867</v>
      </c>
      <c r="P150" s="10" t="str">
        <f>VLOOKUP(A150,import!A:P,16,0)</f>
        <v>Geleneksel</v>
      </c>
      <c r="Q150" s="12"/>
      <c r="R150" s="12" t="b">
        <v>1</v>
      </c>
      <c r="S150" s="12" t="b">
        <v>0</v>
      </c>
      <c r="T150" s="13" t="s">
        <v>51</v>
      </c>
      <c r="U150" s="13" t="s">
        <v>89</v>
      </c>
      <c r="V150" s="17" t="s">
        <v>131</v>
      </c>
      <c r="W150" s="13"/>
      <c r="X150" s="15">
        <v>44635.0</v>
      </c>
      <c r="Y150" s="15">
        <v>44636.0</v>
      </c>
      <c r="Z150" s="16"/>
      <c r="AA150" s="17" t="s">
        <v>56</v>
      </c>
      <c r="AB150" s="16">
        <v>44635.0</v>
      </c>
      <c r="AC150" s="16"/>
      <c r="AD150" s="16"/>
      <c r="AE150" s="17"/>
      <c r="AF150" s="16"/>
      <c r="AG150" s="17"/>
      <c r="AH150" s="16"/>
      <c r="AI150" s="16"/>
      <c r="AJ150" s="16"/>
      <c r="AK150" s="17" t="s">
        <v>89</v>
      </c>
      <c r="AL150" s="16"/>
      <c r="AM150" s="16"/>
      <c r="AN150" s="16"/>
      <c r="AO150" s="16"/>
      <c r="AP150" s="18"/>
      <c r="AQ150" s="16"/>
    </row>
    <row r="151" ht="15.75" hidden="1" customHeight="1">
      <c r="A151" s="10" t="s">
        <v>868</v>
      </c>
      <c r="B151" s="10" t="s">
        <v>869</v>
      </c>
      <c r="C151" s="10" t="str">
        <f>VLOOKUP(A151,import!A:C,3,0)</f>
        <v>DOĞRU</v>
      </c>
      <c r="D151" s="10" t="s">
        <v>45</v>
      </c>
      <c r="E151" s="10">
        <f>VLOOKUP(A151,import!A:J,5,0)</f>
        <v>7096</v>
      </c>
      <c r="F151" s="10">
        <f>VLOOKUP(A151,import!A:J,6,0)</f>
        <v>164</v>
      </c>
      <c r="G151" s="10">
        <f>VLOOKUP(A151,import!A:J,7,0)</f>
        <v>15</v>
      </c>
      <c r="H151" s="10">
        <f>VLOOKUP(A151,import!A:J,8,0)</f>
        <v>46</v>
      </c>
      <c r="I151" s="10">
        <f>VLOOKUP(A151,import!A:J,9,0)</f>
        <v>61</v>
      </c>
      <c r="J151" s="11">
        <f>VLOOKUP(A151,import!A:J,10,0)</f>
        <v>0.25</v>
      </c>
      <c r="K151" s="10" t="s">
        <v>870</v>
      </c>
      <c r="L151" s="10">
        <v>3.243410707E9</v>
      </c>
      <c r="M151" s="10" t="s">
        <v>72</v>
      </c>
      <c r="N151" s="10" t="s">
        <v>73</v>
      </c>
      <c r="O151" s="10" t="s">
        <v>871</v>
      </c>
      <c r="P151" s="10" t="str">
        <f>VLOOKUP(A151,import!A:P,16,0)</f>
        <v>Geleneksel</v>
      </c>
      <c r="Q151" s="12" t="s">
        <v>84</v>
      </c>
      <c r="R151" s="12" t="b">
        <v>1</v>
      </c>
      <c r="S151" s="12" t="b">
        <v>0</v>
      </c>
      <c r="T151" s="13" t="s">
        <v>51</v>
      </c>
      <c r="U151" s="13" t="s">
        <v>171</v>
      </c>
      <c r="V151" s="13" t="s">
        <v>53</v>
      </c>
      <c r="W151" s="13" t="s">
        <v>872</v>
      </c>
      <c r="X151" s="15">
        <v>44447.0</v>
      </c>
      <c r="Y151" s="15">
        <v>44455.0</v>
      </c>
      <c r="Z151" s="16"/>
      <c r="AA151" s="17" t="s">
        <v>56</v>
      </c>
      <c r="AB151" s="16">
        <v>44428.0</v>
      </c>
      <c r="AC151" s="17" t="s">
        <v>56</v>
      </c>
      <c r="AD151" s="16">
        <v>44434.0</v>
      </c>
      <c r="AE151" s="17" t="s">
        <v>56</v>
      </c>
      <c r="AF151" s="16">
        <v>44447.0</v>
      </c>
      <c r="AG151" s="17"/>
      <c r="AH151" s="16"/>
      <c r="AI151" s="16"/>
      <c r="AJ151" s="16"/>
      <c r="AK151" s="17" t="s">
        <v>95</v>
      </c>
      <c r="AL151" s="17" t="s">
        <v>367</v>
      </c>
      <c r="AM151" s="17" t="s">
        <v>171</v>
      </c>
      <c r="AN151" s="16"/>
      <c r="AO151" s="16"/>
      <c r="AP151" s="18" t="s">
        <v>58</v>
      </c>
      <c r="AQ151" s="16"/>
    </row>
    <row r="152" ht="15.75" hidden="1" customHeight="1">
      <c r="A152" s="10" t="s">
        <v>873</v>
      </c>
      <c r="B152" s="10" t="s">
        <v>874</v>
      </c>
      <c r="C152" s="10" t="str">
        <f>VLOOKUP(A152,import!A:C,3,0)</f>
        <v>DOĞRU</v>
      </c>
      <c r="D152" s="10" t="s">
        <v>363</v>
      </c>
      <c r="E152" s="10">
        <f>VLOOKUP(A152,import!A:J,5,0)</f>
        <v>526</v>
      </c>
      <c r="F152" s="10">
        <f>VLOOKUP(A152,import!A:J,6,0)</f>
        <v>1</v>
      </c>
      <c r="G152" s="10">
        <f>VLOOKUP(A152,import!A:J,7,0)</f>
        <v>0</v>
      </c>
      <c r="H152" s="10">
        <f>VLOOKUP(A152,import!A:J,8,0)</f>
        <v>38</v>
      </c>
      <c r="I152" s="10">
        <f>VLOOKUP(A152,import!A:J,9,0)</f>
        <v>38</v>
      </c>
      <c r="J152" s="11">
        <f>VLOOKUP(A152,import!A:J,10,0)</f>
        <v>0</v>
      </c>
      <c r="K152" s="10" t="s">
        <v>875</v>
      </c>
      <c r="L152" s="10">
        <v>5.325224556E9</v>
      </c>
      <c r="M152" s="10" t="s">
        <v>187</v>
      </c>
      <c r="N152" s="10" t="s">
        <v>188</v>
      </c>
      <c r="O152" s="10" t="s">
        <v>876</v>
      </c>
      <c r="P152" s="10" t="str">
        <f>VLOOKUP(A152,import!A:P,16,0)</f>
        <v>Geleneksel</v>
      </c>
      <c r="Q152" s="12"/>
      <c r="R152" s="12" t="b">
        <v>0</v>
      </c>
      <c r="S152" s="12" t="b">
        <v>0</v>
      </c>
      <c r="T152" s="13" t="s">
        <v>485</v>
      </c>
      <c r="U152" s="13"/>
      <c r="V152" s="13"/>
      <c r="W152" s="13"/>
      <c r="X152" s="15"/>
      <c r="Y152" s="15"/>
      <c r="Z152" s="16"/>
      <c r="AA152" s="16"/>
      <c r="AB152" s="16"/>
      <c r="AC152" s="16"/>
      <c r="AD152" s="16"/>
      <c r="AE152" s="17"/>
      <c r="AF152" s="16"/>
      <c r="AG152" s="17"/>
      <c r="AH152" s="16"/>
      <c r="AI152" s="16"/>
      <c r="AJ152" s="16"/>
      <c r="AK152" s="16"/>
      <c r="AL152" s="16"/>
      <c r="AM152" s="16"/>
      <c r="AN152" s="16"/>
      <c r="AO152" s="16"/>
      <c r="AP152" s="18" t="s">
        <v>58</v>
      </c>
      <c r="AQ152" s="16"/>
    </row>
    <row r="153" ht="15.75" hidden="1" customHeight="1">
      <c r="A153" s="10" t="s">
        <v>877</v>
      </c>
      <c r="B153" s="10" t="s">
        <v>878</v>
      </c>
      <c r="C153" s="10" t="str">
        <f>VLOOKUP(A153,import!A:C,3,0)</f>
        <v>DOĞRU</v>
      </c>
      <c r="D153" s="10" t="s">
        <v>356</v>
      </c>
      <c r="E153" s="10">
        <f>VLOOKUP(A153,import!A:J,5,0)</f>
        <v>52</v>
      </c>
      <c r="F153" s="10">
        <f>VLOOKUP(A153,import!A:J,6,0)</f>
        <v>1</v>
      </c>
      <c r="G153" s="10">
        <f>VLOOKUP(A153,import!A:J,7,0)</f>
        <v>1</v>
      </c>
      <c r="H153" s="10">
        <f>VLOOKUP(A153,import!A:J,8,0)</f>
        <v>6</v>
      </c>
      <c r="I153" s="10">
        <f>VLOOKUP(A153,import!A:J,9,0)</f>
        <v>7</v>
      </c>
      <c r="J153" s="11">
        <f>VLOOKUP(A153,import!A:J,10,0)</f>
        <v>0.14</v>
      </c>
      <c r="K153" s="10" t="s">
        <v>879</v>
      </c>
      <c r="L153" s="10">
        <v>5.307804533E9</v>
      </c>
      <c r="M153" s="10" t="s">
        <v>72</v>
      </c>
      <c r="N153" s="10" t="s">
        <v>128</v>
      </c>
      <c r="O153" s="10" t="s">
        <v>880</v>
      </c>
      <c r="P153" s="10" t="str">
        <f>VLOOKUP(A153,import!A:P,16,0)</f>
        <v>Geleneksel</v>
      </c>
      <c r="Q153" s="12"/>
      <c r="R153" s="12" t="b">
        <v>1</v>
      </c>
      <c r="S153" s="12" t="b">
        <v>0</v>
      </c>
      <c r="T153" s="13" t="s">
        <v>51</v>
      </c>
      <c r="U153" s="13" t="s">
        <v>171</v>
      </c>
      <c r="V153" s="13" t="s">
        <v>53</v>
      </c>
      <c r="W153" s="13" t="s">
        <v>881</v>
      </c>
      <c r="X153" s="15">
        <v>44477.0</v>
      </c>
      <c r="Y153" s="15">
        <v>44480.0</v>
      </c>
      <c r="Z153" s="16"/>
      <c r="AA153" s="17" t="s">
        <v>265</v>
      </c>
      <c r="AB153" s="16">
        <v>44442.0</v>
      </c>
      <c r="AC153" s="17" t="s">
        <v>56</v>
      </c>
      <c r="AD153" s="16">
        <v>44477.0</v>
      </c>
      <c r="AE153" s="17" t="s">
        <v>56</v>
      </c>
      <c r="AF153" s="16">
        <v>44559.0</v>
      </c>
      <c r="AG153" s="17"/>
      <c r="AH153" s="16"/>
      <c r="AI153" s="16"/>
      <c r="AJ153" s="16"/>
      <c r="AK153" s="17" t="s">
        <v>367</v>
      </c>
      <c r="AL153" s="17" t="s">
        <v>171</v>
      </c>
      <c r="AM153" s="17" t="s">
        <v>133</v>
      </c>
      <c r="AN153" s="16"/>
      <c r="AO153" s="16"/>
      <c r="AP153" s="18" t="s">
        <v>58</v>
      </c>
      <c r="AQ153" s="16"/>
    </row>
    <row r="154" ht="15.75" hidden="1" customHeight="1">
      <c r="A154" s="10" t="s">
        <v>882</v>
      </c>
      <c r="B154" s="10" t="s">
        <v>883</v>
      </c>
      <c r="C154" s="10" t="str">
        <f>VLOOKUP(A154,import!A:C,3,0)</f>
        <v>DOĞRU</v>
      </c>
      <c r="D154" s="10" t="s">
        <v>884</v>
      </c>
      <c r="E154" s="10" t="str">
        <f>VLOOKUP(A154,import!A:J,5,0)</f>
        <v/>
      </c>
      <c r="F154" s="10" t="str">
        <f>VLOOKUP(A154,import!A:J,6,0)</f>
        <v/>
      </c>
      <c r="G154" s="10">
        <f>VLOOKUP(A154,import!A:J,7,0)</f>
        <v>0</v>
      </c>
      <c r="H154" s="10">
        <f>VLOOKUP(A154,import!A:J,8,0)</f>
        <v>15</v>
      </c>
      <c r="I154" s="10">
        <f>VLOOKUP(A154,import!A:J,9,0)</f>
        <v>15</v>
      </c>
      <c r="J154" s="11">
        <f>VLOOKUP(A154,import!A:J,10,0)</f>
        <v>0</v>
      </c>
      <c r="K154" s="10" t="s">
        <v>885</v>
      </c>
      <c r="L154" s="10">
        <v>5.526476232E9</v>
      </c>
      <c r="M154" s="10" t="s">
        <v>72</v>
      </c>
      <c r="N154" s="10" t="s">
        <v>73</v>
      </c>
      <c r="O154" s="10" t="s">
        <v>886</v>
      </c>
      <c r="P154" s="10" t="str">
        <f>VLOOKUP(A154,import!A:P,16,0)</f>
        <v>Geleneksel</v>
      </c>
      <c r="Q154" s="12" t="s">
        <v>50</v>
      </c>
      <c r="R154" s="12" t="b">
        <v>1</v>
      </c>
      <c r="S154" s="12" t="b">
        <v>0</v>
      </c>
      <c r="T154" s="14" t="s">
        <v>55</v>
      </c>
      <c r="U154" s="14"/>
      <c r="V154" s="14"/>
      <c r="W154" s="14" t="s">
        <v>887</v>
      </c>
      <c r="X154" s="29"/>
      <c r="Y154" s="29"/>
      <c r="Z154" s="16"/>
      <c r="AA154" s="17" t="s">
        <v>55</v>
      </c>
      <c r="AB154" s="16">
        <v>44483.0</v>
      </c>
      <c r="AC154" s="17" t="s">
        <v>55</v>
      </c>
      <c r="AD154" s="16">
        <v>44488.0</v>
      </c>
      <c r="AE154" s="17" t="s">
        <v>55</v>
      </c>
      <c r="AF154" s="16">
        <v>44491.0</v>
      </c>
      <c r="AG154" s="17" t="s">
        <v>55</v>
      </c>
      <c r="AH154" s="16">
        <v>44503.0</v>
      </c>
      <c r="AI154" s="17" t="s">
        <v>55</v>
      </c>
      <c r="AJ154" s="16">
        <v>44544.0</v>
      </c>
      <c r="AK154" s="17" t="s">
        <v>103</v>
      </c>
      <c r="AL154" s="17" t="s">
        <v>108</v>
      </c>
      <c r="AM154" s="17" t="s">
        <v>52</v>
      </c>
      <c r="AN154" s="17" t="s">
        <v>103</v>
      </c>
      <c r="AO154" s="17" t="s">
        <v>103</v>
      </c>
      <c r="AP154" s="18" t="s">
        <v>58</v>
      </c>
      <c r="AQ154" s="17"/>
    </row>
    <row r="155" ht="15.75" customHeight="1">
      <c r="A155" s="10" t="s">
        <v>888</v>
      </c>
      <c r="B155" s="10" t="s">
        <v>889</v>
      </c>
      <c r="C155" s="10" t="str">
        <f>VLOOKUP(A155,import!A:C,3,0)</f>
        <v>DOĞRU</v>
      </c>
      <c r="D155" s="10" t="s">
        <v>372</v>
      </c>
      <c r="E155" s="10">
        <f>VLOOKUP(A155,import!A:J,5,0)</f>
        <v>640</v>
      </c>
      <c r="F155" s="10">
        <f>VLOOKUP(A155,import!A:J,6,0)</f>
        <v>27</v>
      </c>
      <c r="G155" s="10">
        <f>VLOOKUP(A155,import!A:J,7,0)</f>
        <v>0</v>
      </c>
      <c r="H155" s="10">
        <f>VLOOKUP(A155,import!A:J,8,0)</f>
        <v>30</v>
      </c>
      <c r="I155" s="10">
        <f>VLOOKUP(A155,import!A:J,9,0)</f>
        <v>30</v>
      </c>
      <c r="J155" s="11">
        <f>VLOOKUP(A155,import!A:J,10,0)</f>
        <v>0</v>
      </c>
      <c r="K155" s="10" t="s">
        <v>890</v>
      </c>
      <c r="L155" s="10">
        <v>3.243367379E9</v>
      </c>
      <c r="M155" s="10" t="s">
        <v>137</v>
      </c>
      <c r="N155" s="10" t="s">
        <v>426</v>
      </c>
      <c r="O155" s="10" t="s">
        <v>891</v>
      </c>
      <c r="P155" s="10" t="str">
        <f>VLOOKUP(A155,import!A:P,16,0)</f>
        <v>Geleneksel</v>
      </c>
      <c r="Q155" s="12"/>
      <c r="R155" s="12" t="b">
        <v>1</v>
      </c>
      <c r="S155" s="12" t="b">
        <v>1</v>
      </c>
      <c r="T155" s="13"/>
      <c r="U155" s="13"/>
      <c r="V155" s="13"/>
      <c r="W155" s="32" t="s">
        <v>892</v>
      </c>
      <c r="X155" s="15"/>
      <c r="Y155" s="15"/>
      <c r="Z155" s="16"/>
      <c r="AA155" s="17" t="s">
        <v>56</v>
      </c>
      <c r="AB155" s="16">
        <v>44481.0</v>
      </c>
      <c r="AC155" s="16"/>
      <c r="AD155" s="16"/>
      <c r="AE155" s="17"/>
      <c r="AF155" s="16"/>
      <c r="AG155" s="17"/>
      <c r="AH155" s="16"/>
      <c r="AI155" s="16"/>
      <c r="AJ155" s="16"/>
      <c r="AK155" s="17" t="s">
        <v>52</v>
      </c>
      <c r="AL155" s="16"/>
      <c r="AM155" s="16"/>
      <c r="AN155" s="16"/>
      <c r="AO155" s="16"/>
      <c r="AP155" s="18" t="s">
        <v>58</v>
      </c>
      <c r="AQ155" s="16"/>
    </row>
    <row r="156" ht="15.75" hidden="1" customHeight="1">
      <c r="A156" s="10" t="s">
        <v>893</v>
      </c>
      <c r="B156" s="10" t="s">
        <v>894</v>
      </c>
      <c r="C156" s="10" t="str">
        <f>VLOOKUP(A156,import!A:C,3,0)</f>
        <v>DOĞRU</v>
      </c>
      <c r="D156" s="10" t="s">
        <v>363</v>
      </c>
      <c r="E156" s="10">
        <f>VLOOKUP(A156,import!A:J,5,0)</f>
        <v>133</v>
      </c>
      <c r="F156" s="10">
        <f>VLOOKUP(A156,import!A:J,6,0)</f>
        <v>3</v>
      </c>
      <c r="G156" s="10">
        <f>VLOOKUP(A156,import!A:J,7,0)</f>
        <v>53</v>
      </c>
      <c r="H156" s="10">
        <f>VLOOKUP(A156,import!A:J,8,0)</f>
        <v>21</v>
      </c>
      <c r="I156" s="10">
        <f>VLOOKUP(A156,import!A:J,9,0)</f>
        <v>74</v>
      </c>
      <c r="J156" s="11">
        <f>VLOOKUP(A156,import!A:J,10,0)</f>
        <v>0.72</v>
      </c>
      <c r="K156" s="10" t="s">
        <v>895</v>
      </c>
      <c r="L156" s="10">
        <v>3.243267379E9</v>
      </c>
      <c r="M156" s="10" t="s">
        <v>72</v>
      </c>
      <c r="N156" s="10" t="s">
        <v>548</v>
      </c>
      <c r="O156" s="10" t="s">
        <v>896</v>
      </c>
      <c r="P156" s="10" t="str">
        <f>VLOOKUP(A156,import!A:P,16,0)</f>
        <v>Geleneksel</v>
      </c>
      <c r="Q156" s="12" t="s">
        <v>84</v>
      </c>
      <c r="R156" s="12" t="b">
        <v>1</v>
      </c>
      <c r="S156" s="12" t="b">
        <v>0</v>
      </c>
      <c r="T156" s="13" t="s">
        <v>248</v>
      </c>
      <c r="U156" s="13"/>
      <c r="V156" s="19"/>
      <c r="W156" s="13" t="s">
        <v>897</v>
      </c>
      <c r="X156" s="15"/>
      <c r="Y156" s="15"/>
      <c r="Z156" s="16"/>
      <c r="AA156" s="16"/>
      <c r="AB156" s="16"/>
      <c r="AC156" s="16"/>
      <c r="AD156" s="16"/>
      <c r="AE156" s="17"/>
      <c r="AF156" s="16"/>
      <c r="AG156" s="17"/>
      <c r="AH156" s="16"/>
      <c r="AI156" s="16"/>
      <c r="AJ156" s="16"/>
      <c r="AK156" s="16"/>
      <c r="AL156" s="16"/>
      <c r="AM156" s="16"/>
      <c r="AN156" s="16"/>
      <c r="AO156" s="16"/>
      <c r="AP156" s="18" t="s">
        <v>898</v>
      </c>
      <c r="AQ156" s="16"/>
    </row>
    <row r="157" ht="15.75" hidden="1" customHeight="1">
      <c r="A157" s="10" t="s">
        <v>899</v>
      </c>
      <c r="B157" s="10" t="s">
        <v>900</v>
      </c>
      <c r="C157" s="10" t="str">
        <f>VLOOKUP(A157,import!A:C,3,0)</f>
        <v>DOĞRU</v>
      </c>
      <c r="D157" s="10" t="s">
        <v>363</v>
      </c>
      <c r="E157" s="10">
        <f>VLOOKUP(A157,import!A:J,5,0)</f>
        <v>1774</v>
      </c>
      <c r="F157" s="10">
        <f>VLOOKUP(A157,import!A:J,6,0)</f>
        <v>112</v>
      </c>
      <c r="G157" s="10">
        <f>VLOOKUP(A157,import!A:J,7,0)</f>
        <v>0</v>
      </c>
      <c r="H157" s="10">
        <f>VLOOKUP(A157,import!A:J,8,0)</f>
        <v>22</v>
      </c>
      <c r="I157" s="10">
        <f>VLOOKUP(A157,import!A:J,9,0)</f>
        <v>22</v>
      </c>
      <c r="J157" s="11">
        <f>VLOOKUP(A157,import!A:J,10,0)</f>
        <v>0</v>
      </c>
      <c r="K157" s="10" t="s">
        <v>901</v>
      </c>
      <c r="L157" s="10">
        <v>5.528570733E9</v>
      </c>
      <c r="M157" s="10" t="s">
        <v>902</v>
      </c>
      <c r="N157" s="10" t="s">
        <v>903</v>
      </c>
      <c r="O157" s="10" t="s">
        <v>904</v>
      </c>
      <c r="P157" s="10" t="str">
        <f>VLOOKUP(A157,import!A:P,16,0)</f>
        <v>Geleneksel</v>
      </c>
      <c r="Q157" s="12"/>
      <c r="R157" s="12" t="b">
        <v>0</v>
      </c>
      <c r="S157" s="12" t="b">
        <v>0</v>
      </c>
      <c r="T157" s="13" t="s">
        <v>485</v>
      </c>
      <c r="U157" s="13"/>
      <c r="V157" s="13"/>
      <c r="W157" s="13"/>
      <c r="X157" s="15"/>
      <c r="Y157" s="15"/>
      <c r="Z157" s="16"/>
      <c r="AA157" s="16"/>
      <c r="AB157" s="16"/>
      <c r="AC157" s="16"/>
      <c r="AD157" s="16"/>
      <c r="AE157" s="17"/>
      <c r="AF157" s="16"/>
      <c r="AG157" s="17"/>
      <c r="AH157" s="16"/>
      <c r="AI157" s="16"/>
      <c r="AJ157" s="16"/>
      <c r="AK157" s="16"/>
      <c r="AL157" s="16"/>
      <c r="AM157" s="16"/>
      <c r="AN157" s="16"/>
      <c r="AO157" s="16"/>
      <c r="AP157" s="18" t="s">
        <v>58</v>
      </c>
      <c r="AQ157" s="16"/>
    </row>
    <row r="158" ht="15.75" hidden="1" customHeight="1">
      <c r="A158" s="10" t="s">
        <v>905</v>
      </c>
      <c r="B158" s="10" t="s">
        <v>906</v>
      </c>
      <c r="C158" s="10" t="str">
        <f>VLOOKUP(A158,import!A:C,3,0)</f>
        <v>YANLIŞ</v>
      </c>
      <c r="D158" s="10" t="s">
        <v>80</v>
      </c>
      <c r="E158" s="10">
        <f>VLOOKUP(A158,import!A:J,5,0)</f>
        <v>229</v>
      </c>
      <c r="F158" s="10" t="str">
        <f>VLOOKUP(A158,import!A:J,6,0)</f>
        <v/>
      </c>
      <c r="G158" s="10">
        <f>VLOOKUP(A158,import!A:J,7,0)</f>
        <v>4</v>
      </c>
      <c r="H158" s="10">
        <f>VLOOKUP(A158,import!A:J,8,0)</f>
        <v>2</v>
      </c>
      <c r="I158" s="10">
        <f>VLOOKUP(A158,import!A:J,9,0)</f>
        <v>6</v>
      </c>
      <c r="J158" s="11">
        <f>VLOOKUP(A158,import!A:J,10,0)</f>
        <v>0.67</v>
      </c>
      <c r="K158" s="10" t="s">
        <v>907</v>
      </c>
      <c r="L158" s="10">
        <v>5.435007915E9</v>
      </c>
      <c r="M158" s="10" t="s">
        <v>72</v>
      </c>
      <c r="N158" s="10" t="s">
        <v>128</v>
      </c>
      <c r="O158" s="10" t="s">
        <v>908</v>
      </c>
      <c r="P158" s="10" t="str">
        <f>VLOOKUP(A158,import!A:P,16,0)</f>
        <v>Geleneksel</v>
      </c>
      <c r="Q158" s="12"/>
      <c r="R158" s="12" t="b">
        <v>1</v>
      </c>
      <c r="S158" s="12" t="b">
        <v>0</v>
      </c>
      <c r="T158" s="13" t="s">
        <v>51</v>
      </c>
      <c r="U158" s="13"/>
      <c r="V158" s="13"/>
      <c r="W158" s="13"/>
      <c r="X158" s="15"/>
      <c r="Y158" s="15"/>
      <c r="Z158" s="16"/>
      <c r="AA158" s="17" t="s">
        <v>55</v>
      </c>
      <c r="AB158" s="16">
        <v>44428.0</v>
      </c>
      <c r="AC158" s="17" t="s">
        <v>86</v>
      </c>
      <c r="AD158" s="16">
        <v>44476.0</v>
      </c>
      <c r="AE158" s="17" t="s">
        <v>230</v>
      </c>
      <c r="AF158" s="16">
        <v>44477.0</v>
      </c>
      <c r="AG158" s="17" t="s">
        <v>86</v>
      </c>
      <c r="AH158" s="16">
        <v>44496.0</v>
      </c>
      <c r="AI158" s="16"/>
      <c r="AJ158" s="16"/>
      <c r="AK158" s="17" t="s">
        <v>95</v>
      </c>
      <c r="AL158" s="17" t="s">
        <v>171</v>
      </c>
      <c r="AM158" s="17" t="s">
        <v>171</v>
      </c>
      <c r="AN158" s="17" t="s">
        <v>87</v>
      </c>
      <c r="AO158" s="16"/>
      <c r="AP158" s="18" t="s">
        <v>58</v>
      </c>
      <c r="AQ158" s="16"/>
    </row>
    <row r="159" ht="15.75" hidden="1" customHeight="1">
      <c r="A159" s="10" t="s">
        <v>909</v>
      </c>
      <c r="B159" s="10" t="s">
        <v>906</v>
      </c>
      <c r="C159" s="10" t="str">
        <f>VLOOKUP(A159,import!A:C,3,0)</f>
        <v>DOĞRU</v>
      </c>
      <c r="D159" s="10" t="s">
        <v>80</v>
      </c>
      <c r="E159" s="10">
        <f>VLOOKUP(A159,import!A:J,5,0)</f>
        <v>47</v>
      </c>
      <c r="F159" s="10" t="str">
        <f>VLOOKUP(A159,import!A:J,6,0)</f>
        <v/>
      </c>
      <c r="G159" s="10">
        <f>VLOOKUP(A159,import!A:J,7,0)</f>
        <v>4</v>
      </c>
      <c r="H159" s="10">
        <f>VLOOKUP(A159,import!A:J,8,0)</f>
        <v>2</v>
      </c>
      <c r="I159" s="10">
        <f>VLOOKUP(A159,import!A:J,9,0)</f>
        <v>6</v>
      </c>
      <c r="J159" s="11">
        <f>VLOOKUP(A159,import!A:J,10,0)</f>
        <v>0.67</v>
      </c>
      <c r="K159" s="10" t="s">
        <v>910</v>
      </c>
      <c r="L159" s="10">
        <v>5.42291506E9</v>
      </c>
      <c r="M159" s="10" t="s">
        <v>72</v>
      </c>
      <c r="N159" s="10" t="s">
        <v>128</v>
      </c>
      <c r="O159" s="10" t="s">
        <v>908</v>
      </c>
      <c r="P159" s="10" t="str">
        <f>VLOOKUP(A159,import!A:P,16,0)</f>
        <v>Geleneksel</v>
      </c>
      <c r="Q159" s="12"/>
      <c r="R159" s="12" t="b">
        <v>1</v>
      </c>
      <c r="S159" s="12" t="b">
        <v>0</v>
      </c>
      <c r="T159" s="13" t="s">
        <v>51</v>
      </c>
      <c r="U159" s="13" t="s">
        <v>133</v>
      </c>
      <c r="V159" s="17" t="s">
        <v>66</v>
      </c>
      <c r="W159" s="13"/>
      <c r="X159" s="15">
        <v>44629.0</v>
      </c>
      <c r="Y159" s="15">
        <v>44630.0</v>
      </c>
      <c r="Z159" s="16"/>
      <c r="AA159" s="17" t="s">
        <v>56</v>
      </c>
      <c r="AB159" s="16">
        <v>44629.0</v>
      </c>
      <c r="AC159" s="16"/>
      <c r="AD159" s="16"/>
      <c r="AE159" s="17"/>
      <c r="AF159" s="16"/>
      <c r="AG159" s="17"/>
      <c r="AH159" s="16"/>
      <c r="AI159" s="16"/>
      <c r="AJ159" s="16"/>
      <c r="AK159" s="17" t="s">
        <v>133</v>
      </c>
      <c r="AL159" s="16"/>
      <c r="AM159" s="16"/>
      <c r="AN159" s="16"/>
      <c r="AO159" s="16"/>
      <c r="AP159" s="18"/>
      <c r="AQ159" s="16"/>
    </row>
    <row r="160" ht="15.75" hidden="1" customHeight="1">
      <c r="A160" s="10" t="s">
        <v>911</v>
      </c>
      <c r="B160" s="10" t="s">
        <v>912</v>
      </c>
      <c r="C160" s="10" t="str">
        <f>VLOOKUP(A160,import!A:C,3,0)</f>
        <v>DOĞRU</v>
      </c>
      <c r="D160" s="10" t="s">
        <v>913</v>
      </c>
      <c r="E160" s="10">
        <f>VLOOKUP(A160,import!A:J,5,0)</f>
        <v>54</v>
      </c>
      <c r="F160" s="10">
        <f>VLOOKUP(A160,import!A:J,6,0)</f>
        <v>2</v>
      </c>
      <c r="G160" s="10">
        <f>VLOOKUP(A160,import!A:J,7,0)</f>
        <v>0</v>
      </c>
      <c r="H160" s="10">
        <f>VLOOKUP(A160,import!A:J,8,0)</f>
        <v>24</v>
      </c>
      <c r="I160" s="10">
        <f>VLOOKUP(A160,import!A:J,9,0)</f>
        <v>24</v>
      </c>
      <c r="J160" s="11">
        <f>VLOOKUP(A160,import!A:J,10,0)</f>
        <v>0</v>
      </c>
      <c r="K160" s="10" t="s">
        <v>914</v>
      </c>
      <c r="L160" s="10">
        <v>5.327172949E9</v>
      </c>
      <c r="M160" s="10" t="s">
        <v>72</v>
      </c>
      <c r="N160" s="10" t="s">
        <v>915</v>
      </c>
      <c r="O160" s="10" t="s">
        <v>916</v>
      </c>
      <c r="P160" s="10" t="str">
        <f>VLOOKUP(A160,import!A:P,16,0)</f>
        <v>Geleneksel</v>
      </c>
      <c r="Q160" s="12"/>
      <c r="R160" s="12" t="b">
        <v>1</v>
      </c>
      <c r="S160" s="12" t="b">
        <v>0</v>
      </c>
      <c r="T160" s="13" t="s">
        <v>199</v>
      </c>
      <c r="U160" s="13"/>
      <c r="V160" s="13"/>
      <c r="W160" s="13"/>
      <c r="X160" s="15"/>
      <c r="Y160" s="15"/>
      <c r="Z160" s="16"/>
      <c r="AA160" s="17" t="s">
        <v>56</v>
      </c>
      <c r="AB160" s="16">
        <v>44358.0</v>
      </c>
      <c r="AC160" s="17" t="s">
        <v>55</v>
      </c>
      <c r="AD160" s="16">
        <v>44426.0</v>
      </c>
      <c r="AE160" s="17" t="s">
        <v>56</v>
      </c>
      <c r="AF160" s="16">
        <v>44629.0</v>
      </c>
      <c r="AG160" s="17"/>
      <c r="AH160" s="16"/>
      <c r="AI160" s="16"/>
      <c r="AJ160" s="16"/>
      <c r="AK160" s="17" t="s">
        <v>163</v>
      </c>
      <c r="AL160" s="17" t="s">
        <v>57</v>
      </c>
      <c r="AM160" s="17" t="s">
        <v>133</v>
      </c>
      <c r="AN160" s="16"/>
      <c r="AO160" s="16"/>
      <c r="AP160" s="18" t="s">
        <v>58</v>
      </c>
      <c r="AQ160" s="16"/>
    </row>
    <row r="161" ht="15.75" hidden="1" customHeight="1">
      <c r="A161" s="10" t="s">
        <v>917</v>
      </c>
      <c r="B161" s="10" t="s">
        <v>918</v>
      </c>
      <c r="C161" s="10" t="str">
        <f>VLOOKUP(A161,import!A:C,3,0)</f>
        <v>DOĞRU</v>
      </c>
      <c r="D161" s="10" t="s">
        <v>363</v>
      </c>
      <c r="E161" s="10">
        <f>VLOOKUP(A161,import!A:J,5,0)</f>
        <v>13</v>
      </c>
      <c r="F161" s="10">
        <f>VLOOKUP(A161,import!A:J,6,0)</f>
        <v>4</v>
      </c>
      <c r="G161" s="10">
        <f>VLOOKUP(A161,import!A:J,7,0)</f>
        <v>49</v>
      </c>
      <c r="H161" s="10">
        <f>VLOOKUP(A161,import!A:J,8,0)</f>
        <v>8</v>
      </c>
      <c r="I161" s="10">
        <f>VLOOKUP(A161,import!A:J,9,0)</f>
        <v>57</v>
      </c>
      <c r="J161" s="11">
        <f>VLOOKUP(A161,import!A:J,10,0)</f>
        <v>0.86</v>
      </c>
      <c r="K161" s="10" t="s">
        <v>919</v>
      </c>
      <c r="L161" s="10">
        <v>5.324224608E9</v>
      </c>
      <c r="M161" s="10" t="s">
        <v>72</v>
      </c>
      <c r="N161" s="10" t="s">
        <v>120</v>
      </c>
      <c r="O161" s="10" t="s">
        <v>920</v>
      </c>
      <c r="P161" s="10" t="str">
        <f>VLOOKUP(A161,import!A:P,16,0)</f>
        <v>Geleneksel</v>
      </c>
      <c r="Q161" s="12"/>
      <c r="R161" s="12" t="b">
        <v>1</v>
      </c>
      <c r="S161" s="12" t="b">
        <v>0</v>
      </c>
      <c r="T161" s="13" t="s">
        <v>51</v>
      </c>
      <c r="U161" s="13" t="s">
        <v>133</v>
      </c>
      <c r="V161" s="13" t="s">
        <v>131</v>
      </c>
      <c r="W161" s="13"/>
      <c r="X161" s="15">
        <v>44632.0</v>
      </c>
      <c r="Y161" s="15">
        <v>44634.0</v>
      </c>
      <c r="Z161" s="16"/>
      <c r="AA161" s="17" t="s">
        <v>56</v>
      </c>
      <c r="AB161" s="16">
        <v>44632.0</v>
      </c>
      <c r="AC161" s="16"/>
      <c r="AD161" s="16"/>
      <c r="AE161" s="17"/>
      <c r="AF161" s="16"/>
      <c r="AG161" s="17"/>
      <c r="AH161" s="16"/>
      <c r="AI161" s="16"/>
      <c r="AJ161" s="16"/>
      <c r="AK161" s="17" t="s">
        <v>133</v>
      </c>
      <c r="AL161" s="16"/>
      <c r="AM161" s="16"/>
      <c r="AN161" s="16"/>
      <c r="AO161" s="16"/>
      <c r="AP161" s="18"/>
      <c r="AQ161" s="16"/>
    </row>
    <row r="162" ht="15.75" hidden="1" customHeight="1">
      <c r="A162" s="10" t="s">
        <v>921</v>
      </c>
      <c r="B162" s="10" t="s">
        <v>922</v>
      </c>
      <c r="C162" s="10" t="str">
        <f>VLOOKUP(A162,import!A:C,3,0)</f>
        <v>DOĞRU</v>
      </c>
      <c r="D162" s="10" t="s">
        <v>363</v>
      </c>
      <c r="E162" s="10">
        <f>VLOOKUP(A162,import!A:J,5,0)</f>
        <v>180</v>
      </c>
      <c r="F162" s="10">
        <f>VLOOKUP(A162,import!A:J,6,0)</f>
        <v>1</v>
      </c>
      <c r="G162" s="10">
        <f>VLOOKUP(A162,import!A:J,7,0)</f>
        <v>5</v>
      </c>
      <c r="H162" s="10">
        <f>VLOOKUP(A162,import!A:J,8,0)</f>
        <v>26</v>
      </c>
      <c r="I162" s="10">
        <f>VLOOKUP(A162,import!A:J,9,0)</f>
        <v>31</v>
      </c>
      <c r="J162" s="11">
        <f>VLOOKUP(A162,import!A:J,10,0)</f>
        <v>0.16</v>
      </c>
      <c r="K162" s="10" t="s">
        <v>923</v>
      </c>
      <c r="L162" s="10">
        <v>3.243275453E9</v>
      </c>
      <c r="M162" s="10" t="s">
        <v>72</v>
      </c>
      <c r="N162" s="10" t="s">
        <v>120</v>
      </c>
      <c r="O162" s="10" t="s">
        <v>924</v>
      </c>
      <c r="P162" s="10" t="str">
        <f>VLOOKUP(A162,import!A:P,16,0)</f>
        <v>Geleneksel</v>
      </c>
      <c r="Q162" s="12" t="s">
        <v>75</v>
      </c>
      <c r="R162" s="12" t="b">
        <v>1</v>
      </c>
      <c r="S162" s="12" t="b">
        <v>0</v>
      </c>
      <c r="T162" s="13" t="s">
        <v>130</v>
      </c>
      <c r="U162" s="13" t="s">
        <v>52</v>
      </c>
      <c r="V162" s="13" t="s">
        <v>53</v>
      </c>
      <c r="W162" s="13" t="s">
        <v>925</v>
      </c>
      <c r="X162" s="15">
        <v>44333.0</v>
      </c>
      <c r="Y162" s="15">
        <v>44335.0</v>
      </c>
      <c r="Z162" s="16"/>
      <c r="AA162" s="17" t="s">
        <v>230</v>
      </c>
      <c r="AB162" s="16">
        <v>44431.0</v>
      </c>
      <c r="AC162" s="17" t="s">
        <v>56</v>
      </c>
      <c r="AD162" s="16">
        <v>44524.0</v>
      </c>
      <c r="AE162" s="17" t="s">
        <v>56</v>
      </c>
      <c r="AF162" s="16">
        <v>44636.0</v>
      </c>
      <c r="AG162" s="17"/>
      <c r="AH162" s="16"/>
      <c r="AI162" s="16"/>
      <c r="AJ162" s="16"/>
      <c r="AK162" s="17" t="s">
        <v>926</v>
      </c>
      <c r="AL162" s="17" t="s">
        <v>103</v>
      </c>
      <c r="AM162" s="17" t="s">
        <v>133</v>
      </c>
      <c r="AN162" s="16"/>
      <c r="AO162" s="16"/>
      <c r="AP162" s="18" t="s">
        <v>58</v>
      </c>
      <c r="AQ162" s="16"/>
    </row>
    <row r="163" ht="15.75" hidden="1" customHeight="1">
      <c r="A163" s="10" t="s">
        <v>927</v>
      </c>
      <c r="B163" s="10" t="s">
        <v>928</v>
      </c>
      <c r="C163" s="10" t="str">
        <f>VLOOKUP(A163,import!A:C,3,0)</f>
        <v>DOĞRU</v>
      </c>
      <c r="D163" s="10" t="s">
        <v>106</v>
      </c>
      <c r="E163" s="10">
        <f>VLOOKUP(A163,import!A:J,5,0)</f>
        <v>253</v>
      </c>
      <c r="F163" s="10">
        <f>VLOOKUP(A163,import!A:J,6,0)</f>
        <v>1</v>
      </c>
      <c r="G163" s="10">
        <f>VLOOKUP(A163,import!A:J,7,0)</f>
        <v>0</v>
      </c>
      <c r="H163" s="10">
        <f>VLOOKUP(A163,import!A:J,8,0)</f>
        <v>28</v>
      </c>
      <c r="I163" s="10">
        <f>VLOOKUP(A163,import!A:J,9,0)</f>
        <v>28</v>
      </c>
      <c r="J163" s="11">
        <f>VLOOKUP(A163,import!A:J,10,0)</f>
        <v>0</v>
      </c>
      <c r="K163" s="10" t="s">
        <v>929</v>
      </c>
      <c r="L163" s="10">
        <v>3.243200358E9</v>
      </c>
      <c r="M163" s="10" t="s">
        <v>215</v>
      </c>
      <c r="N163" s="10" t="s">
        <v>263</v>
      </c>
      <c r="O163" s="10" t="s">
        <v>930</v>
      </c>
      <c r="P163" s="10" t="str">
        <f>VLOOKUP(A163,import!A:P,16,0)</f>
        <v>Geleneksel</v>
      </c>
      <c r="Q163" s="12" t="s">
        <v>146</v>
      </c>
      <c r="R163" s="12" t="b">
        <v>1</v>
      </c>
      <c r="S163" s="12" t="b">
        <v>0</v>
      </c>
      <c r="T163" s="13" t="s">
        <v>931</v>
      </c>
      <c r="U163" s="13"/>
      <c r="V163" s="13"/>
      <c r="W163" s="13" t="s">
        <v>932</v>
      </c>
      <c r="X163" s="15">
        <v>44281.0</v>
      </c>
      <c r="Y163" s="15">
        <v>44284.0</v>
      </c>
      <c r="Z163" s="16"/>
      <c r="AA163" s="17" t="s">
        <v>230</v>
      </c>
      <c r="AB163" s="16">
        <v>44363.0</v>
      </c>
      <c r="AC163" s="17" t="s">
        <v>86</v>
      </c>
      <c r="AD163" s="16">
        <v>44480.0</v>
      </c>
      <c r="AE163" s="17" t="s">
        <v>56</v>
      </c>
      <c r="AF163" s="16">
        <v>44491.0</v>
      </c>
      <c r="AG163" s="17"/>
      <c r="AH163" s="16"/>
      <c r="AI163" s="16"/>
      <c r="AJ163" s="16"/>
      <c r="AK163" s="17" t="s">
        <v>124</v>
      </c>
      <c r="AL163" s="17" t="s">
        <v>87</v>
      </c>
      <c r="AM163" s="17" t="s">
        <v>89</v>
      </c>
      <c r="AN163" s="16"/>
      <c r="AO163" s="16"/>
      <c r="AP163" s="18" t="s">
        <v>58</v>
      </c>
      <c r="AQ163" s="16"/>
    </row>
    <row r="164" ht="15.75" hidden="1" customHeight="1">
      <c r="A164" s="10" t="s">
        <v>933</v>
      </c>
      <c r="B164" s="10" t="s">
        <v>934</v>
      </c>
      <c r="C164" s="10" t="str">
        <f>VLOOKUP(A164,import!A:C,3,0)</f>
        <v>DOĞRU</v>
      </c>
      <c r="D164" s="10" t="s">
        <v>45</v>
      </c>
      <c r="E164" s="10">
        <f>VLOOKUP(A164,import!A:J,5,0)</f>
        <v>32</v>
      </c>
      <c r="F164" s="10">
        <f>VLOOKUP(A164,import!A:J,6,0)</f>
        <v>10</v>
      </c>
      <c r="G164" s="10">
        <f>VLOOKUP(A164,import!A:J,7,0)</f>
        <v>0</v>
      </c>
      <c r="H164" s="10">
        <f>VLOOKUP(A164,import!A:J,8,0)</f>
        <v>19</v>
      </c>
      <c r="I164" s="10">
        <f>VLOOKUP(A164,import!A:J,9,0)</f>
        <v>19</v>
      </c>
      <c r="J164" s="11">
        <f>VLOOKUP(A164,import!A:J,10,0)</f>
        <v>0</v>
      </c>
      <c r="K164" s="10" t="s">
        <v>935</v>
      </c>
      <c r="L164" s="10">
        <v>5.536317783E9</v>
      </c>
      <c r="M164" s="10" t="s">
        <v>72</v>
      </c>
      <c r="N164" s="10" t="s">
        <v>73</v>
      </c>
      <c r="O164" s="10" t="s">
        <v>936</v>
      </c>
      <c r="P164" s="10" t="str">
        <f>VLOOKUP(A164,import!A:P,16,0)</f>
        <v>Geleneksel</v>
      </c>
      <c r="Q164" s="12"/>
      <c r="R164" s="12" t="b">
        <v>1</v>
      </c>
      <c r="S164" s="12" t="b">
        <v>0</v>
      </c>
      <c r="T164" s="13" t="s">
        <v>265</v>
      </c>
      <c r="U164" s="13"/>
      <c r="V164" s="13"/>
      <c r="W164" s="13" t="s">
        <v>937</v>
      </c>
      <c r="X164" s="15"/>
      <c r="Y164" s="15"/>
      <c r="Z164" s="16"/>
      <c r="AA164" s="17" t="s">
        <v>56</v>
      </c>
      <c r="AB164" s="16">
        <v>44629.0</v>
      </c>
      <c r="AC164" s="17" t="s">
        <v>56</v>
      </c>
      <c r="AD164" s="16">
        <v>44638.0</v>
      </c>
      <c r="AE164" s="17"/>
      <c r="AF164" s="16"/>
      <c r="AG164" s="17"/>
      <c r="AH164" s="16"/>
      <c r="AI164" s="16"/>
      <c r="AJ164" s="16"/>
      <c r="AK164" s="17" t="s">
        <v>133</v>
      </c>
      <c r="AL164" s="17" t="s">
        <v>133</v>
      </c>
      <c r="AM164" s="16"/>
      <c r="AN164" s="16"/>
      <c r="AO164" s="16"/>
      <c r="AP164" s="18"/>
      <c r="AQ164" s="16"/>
    </row>
    <row r="165" ht="15.75" hidden="1" customHeight="1">
      <c r="A165" s="10" t="s">
        <v>938</v>
      </c>
      <c r="B165" s="10" t="s">
        <v>939</v>
      </c>
      <c r="C165" s="10" t="str">
        <f>VLOOKUP(A165,import!A:C,3,0)</f>
        <v>DOĞRU</v>
      </c>
      <c r="D165" s="10" t="s">
        <v>80</v>
      </c>
      <c r="E165" s="10">
        <f>VLOOKUP(A165,import!A:J,5,0)</f>
        <v>2705</v>
      </c>
      <c r="F165" s="10">
        <f>VLOOKUP(A165,import!A:J,6,0)</f>
        <v>120</v>
      </c>
      <c r="G165" s="10">
        <f>VLOOKUP(A165,import!A:J,7,0)</f>
        <v>6</v>
      </c>
      <c r="H165" s="10">
        <f>VLOOKUP(A165,import!A:J,8,0)</f>
        <v>0</v>
      </c>
      <c r="I165" s="10">
        <f>VLOOKUP(A165,import!A:J,9,0)</f>
        <v>6</v>
      </c>
      <c r="J165" s="11">
        <f>VLOOKUP(A165,import!A:J,10,0)</f>
        <v>1</v>
      </c>
      <c r="K165" s="10" t="s">
        <v>940</v>
      </c>
      <c r="L165" s="10">
        <v>5.411623233E9</v>
      </c>
      <c r="M165" s="10" t="s">
        <v>215</v>
      </c>
      <c r="N165" s="10" t="s">
        <v>442</v>
      </c>
      <c r="O165" s="10" t="s">
        <v>941</v>
      </c>
      <c r="P165" s="10" t="str">
        <f>VLOOKUP(A165,import!A:P,16,0)</f>
        <v>Geleneksel</v>
      </c>
      <c r="Q165" s="12"/>
      <c r="R165" s="12" t="b">
        <v>1</v>
      </c>
      <c r="S165" s="12" t="b">
        <v>0</v>
      </c>
      <c r="T165" s="13" t="s">
        <v>51</v>
      </c>
      <c r="U165" s="13" t="s">
        <v>133</v>
      </c>
      <c r="V165" s="13"/>
      <c r="W165" s="13"/>
      <c r="X165" s="15">
        <v>44523.0</v>
      </c>
      <c r="Y165" s="15">
        <v>44536.0</v>
      </c>
      <c r="Z165" s="16"/>
      <c r="AA165" s="17" t="s">
        <v>56</v>
      </c>
      <c r="AB165" s="16">
        <v>44523.0</v>
      </c>
      <c r="AC165" s="16"/>
      <c r="AD165" s="16"/>
      <c r="AE165" s="17"/>
      <c r="AF165" s="16"/>
      <c r="AG165" s="17"/>
      <c r="AH165" s="16"/>
      <c r="AI165" s="16"/>
      <c r="AJ165" s="16"/>
      <c r="AK165" s="17" t="s">
        <v>133</v>
      </c>
      <c r="AL165" s="16"/>
      <c r="AM165" s="16"/>
      <c r="AN165" s="16"/>
      <c r="AO165" s="16"/>
      <c r="AP165" s="18" t="s">
        <v>58</v>
      </c>
      <c r="AQ165" s="16"/>
    </row>
    <row r="166" ht="15.75" hidden="1" customHeight="1">
      <c r="A166" s="10" t="s">
        <v>942</v>
      </c>
      <c r="B166" s="10" t="s">
        <v>943</v>
      </c>
      <c r="C166" s="10" t="str">
        <f>VLOOKUP(A166,import!A:C,3,0)</f>
        <v>DOĞRU</v>
      </c>
      <c r="D166" s="10" t="s">
        <v>45</v>
      </c>
      <c r="E166" s="10">
        <f>VLOOKUP(A166,import!A:J,5,0)</f>
        <v>5792</v>
      </c>
      <c r="F166" s="10">
        <f>VLOOKUP(A166,import!A:J,6,0)</f>
        <v>271</v>
      </c>
      <c r="G166" s="10">
        <f>VLOOKUP(A166,import!A:J,7,0)</f>
        <v>17</v>
      </c>
      <c r="H166" s="10">
        <f>VLOOKUP(A166,import!A:J,8,0)</f>
        <v>17</v>
      </c>
      <c r="I166" s="10">
        <f>VLOOKUP(A166,import!A:J,9,0)</f>
        <v>34</v>
      </c>
      <c r="J166" s="11">
        <f>VLOOKUP(A166,import!A:J,10,0)</f>
        <v>0.5</v>
      </c>
      <c r="K166" s="10" t="s">
        <v>944</v>
      </c>
      <c r="L166" s="10">
        <v>3.245038199E9</v>
      </c>
      <c r="M166" s="10" t="s">
        <v>72</v>
      </c>
      <c r="N166" s="10" t="s">
        <v>82</v>
      </c>
      <c r="O166" s="10" t="s">
        <v>945</v>
      </c>
      <c r="P166" s="10" t="str">
        <f>VLOOKUP(A166,import!A:P,16,0)</f>
        <v>Geleneksel</v>
      </c>
      <c r="Q166" s="12" t="s">
        <v>84</v>
      </c>
      <c r="R166" s="12" t="b">
        <v>1</v>
      </c>
      <c r="S166" s="12" t="b">
        <v>0</v>
      </c>
      <c r="T166" s="13" t="s">
        <v>51</v>
      </c>
      <c r="U166" s="13" t="s">
        <v>654</v>
      </c>
      <c r="V166" s="19" t="s">
        <v>53</v>
      </c>
      <c r="W166" s="13" t="s">
        <v>475</v>
      </c>
      <c r="X166" s="15">
        <v>44270.0</v>
      </c>
      <c r="Y166" s="15">
        <v>44273.0</v>
      </c>
      <c r="Z166" s="16"/>
      <c r="AA166" s="16"/>
      <c r="AB166" s="16"/>
      <c r="AC166" s="16"/>
      <c r="AD166" s="16"/>
      <c r="AE166" s="17"/>
      <c r="AF166" s="16"/>
      <c r="AG166" s="17"/>
      <c r="AH166" s="16"/>
      <c r="AI166" s="16"/>
      <c r="AJ166" s="16"/>
      <c r="AK166" s="16"/>
      <c r="AL166" s="16"/>
      <c r="AM166" s="16"/>
      <c r="AN166" s="16"/>
      <c r="AO166" s="16"/>
      <c r="AP166" s="18" t="s">
        <v>58</v>
      </c>
      <c r="AQ166" s="16"/>
    </row>
    <row r="167" ht="15.75" customHeight="1">
      <c r="A167" s="10" t="s">
        <v>946</v>
      </c>
      <c r="B167" s="10" t="s">
        <v>947</v>
      </c>
      <c r="C167" s="10" t="str">
        <f>VLOOKUP(A167,import!A:C,3,0)</f>
        <v>DOĞRU</v>
      </c>
      <c r="D167" s="10" t="s">
        <v>948</v>
      </c>
      <c r="E167" s="10">
        <f>VLOOKUP(A167,import!A:J,5,0)</f>
        <v>1205</v>
      </c>
      <c r="F167" s="10">
        <f>VLOOKUP(A167,import!A:J,6,0)</f>
        <v>47</v>
      </c>
      <c r="G167" s="10">
        <f>VLOOKUP(A167,import!A:J,7,0)</f>
        <v>8</v>
      </c>
      <c r="H167" s="10">
        <f>VLOOKUP(A167,import!A:J,8,0)</f>
        <v>12</v>
      </c>
      <c r="I167" s="10">
        <f>VLOOKUP(A167,import!A:J,9,0)</f>
        <v>20</v>
      </c>
      <c r="J167" s="11">
        <f>VLOOKUP(A167,import!A:J,10,0)</f>
        <v>0.4</v>
      </c>
      <c r="K167" s="10" t="s">
        <v>949</v>
      </c>
      <c r="L167" s="10">
        <v>5.494999904E9</v>
      </c>
      <c r="M167" s="10" t="s">
        <v>137</v>
      </c>
      <c r="N167" s="10" t="s">
        <v>426</v>
      </c>
      <c r="O167" s="10" t="s">
        <v>950</v>
      </c>
      <c r="P167" s="10" t="str">
        <f>VLOOKUP(A167,import!A:P,16,0)</f>
        <v>Geleneksel</v>
      </c>
      <c r="Q167" s="12" t="s">
        <v>50</v>
      </c>
      <c r="R167" s="12" t="b">
        <v>1</v>
      </c>
      <c r="S167" s="12" t="b">
        <v>0</v>
      </c>
      <c r="T167" s="13" t="s">
        <v>51</v>
      </c>
      <c r="U167" s="13" t="s">
        <v>654</v>
      </c>
      <c r="V167" s="13" t="s">
        <v>53</v>
      </c>
      <c r="W167" s="13"/>
      <c r="X167" s="15">
        <v>44279.0</v>
      </c>
      <c r="Y167" s="15">
        <v>44281.0</v>
      </c>
      <c r="Z167" s="16"/>
      <c r="AA167" s="16"/>
      <c r="AB167" s="16"/>
      <c r="AC167" s="16"/>
      <c r="AD167" s="16"/>
      <c r="AE167" s="17"/>
      <c r="AF167" s="16"/>
      <c r="AG167" s="17"/>
      <c r="AH167" s="16"/>
      <c r="AI167" s="16"/>
      <c r="AJ167" s="16"/>
      <c r="AK167" s="16"/>
      <c r="AL167" s="16"/>
      <c r="AM167" s="16"/>
      <c r="AN167" s="16"/>
      <c r="AO167" s="16"/>
      <c r="AP167" s="18" t="s">
        <v>58</v>
      </c>
      <c r="AQ167" s="16"/>
    </row>
    <row r="168" ht="15.75" customHeight="1">
      <c r="A168" s="10" t="s">
        <v>951</v>
      </c>
      <c r="B168" s="10" t="s">
        <v>952</v>
      </c>
      <c r="C168" s="10" t="str">
        <f>VLOOKUP(A168,import!A:C,3,0)</f>
        <v>DOĞRU</v>
      </c>
      <c r="D168" s="10" t="s">
        <v>80</v>
      </c>
      <c r="E168" s="10">
        <f>VLOOKUP(A168,import!A:J,5,0)</f>
        <v>736</v>
      </c>
      <c r="F168" s="10">
        <f>VLOOKUP(A168,import!A:J,6,0)</f>
        <v>13</v>
      </c>
      <c r="G168" s="10">
        <f>VLOOKUP(A168,import!A:J,7,0)</f>
        <v>20</v>
      </c>
      <c r="H168" s="10">
        <f>VLOOKUP(A168,import!A:J,8,0)</f>
        <v>4</v>
      </c>
      <c r="I168" s="10">
        <f>VLOOKUP(A168,import!A:J,9,0)</f>
        <v>24</v>
      </c>
      <c r="J168" s="11">
        <f>VLOOKUP(A168,import!A:J,10,0)</f>
        <v>0.83</v>
      </c>
      <c r="K168" s="10" t="s">
        <v>953</v>
      </c>
      <c r="L168" s="10">
        <v>3.242384343E9</v>
      </c>
      <c r="M168" s="10" t="s">
        <v>137</v>
      </c>
      <c r="N168" s="10" t="s">
        <v>209</v>
      </c>
      <c r="O168" s="10" t="s">
        <v>954</v>
      </c>
      <c r="P168" s="10" t="str">
        <f>VLOOKUP(A168,import!A:P,16,0)</f>
        <v>Geleneksel</v>
      </c>
      <c r="Q168" s="12" t="s">
        <v>146</v>
      </c>
      <c r="R168" s="12" t="b">
        <v>1</v>
      </c>
      <c r="S168" s="12" t="b">
        <v>0</v>
      </c>
      <c r="T168" s="13" t="s">
        <v>51</v>
      </c>
      <c r="U168" s="13" t="s">
        <v>258</v>
      </c>
      <c r="V168" s="13" t="s">
        <v>53</v>
      </c>
      <c r="W168" s="13" t="s">
        <v>955</v>
      </c>
      <c r="X168" s="15">
        <v>44285.0</v>
      </c>
      <c r="Y168" s="15">
        <v>44287.0</v>
      </c>
      <c r="Z168" s="16"/>
      <c r="AA168" s="16"/>
      <c r="AB168" s="16"/>
      <c r="AC168" s="16"/>
      <c r="AD168" s="16"/>
      <c r="AE168" s="17"/>
      <c r="AF168" s="16"/>
      <c r="AG168" s="17"/>
      <c r="AH168" s="16"/>
      <c r="AI168" s="16"/>
      <c r="AJ168" s="16"/>
      <c r="AK168" s="16"/>
      <c r="AL168" s="16"/>
      <c r="AM168" s="16"/>
      <c r="AN168" s="16"/>
      <c r="AO168" s="16"/>
      <c r="AP168" s="18" t="s">
        <v>58</v>
      </c>
      <c r="AQ168" s="16"/>
    </row>
    <row r="169" ht="15.75" hidden="1" customHeight="1">
      <c r="A169" s="10" t="s">
        <v>956</v>
      </c>
      <c r="B169" s="10" t="s">
        <v>957</v>
      </c>
      <c r="C169" s="10" t="str">
        <f>VLOOKUP(A169,import!A:C,3,0)</f>
        <v>DOĞRU</v>
      </c>
      <c r="D169" s="10" t="s">
        <v>80</v>
      </c>
      <c r="E169" s="10">
        <f>VLOOKUP(A169,import!A:J,5,0)</f>
        <v>194</v>
      </c>
      <c r="F169" s="10">
        <f>VLOOKUP(A169,import!A:J,6,0)</f>
        <v>38</v>
      </c>
      <c r="G169" s="10">
        <f>VLOOKUP(A169,import!A:J,7,0)</f>
        <v>7</v>
      </c>
      <c r="H169" s="10">
        <f>VLOOKUP(A169,import!A:J,8,0)</f>
        <v>2</v>
      </c>
      <c r="I169" s="10">
        <f>VLOOKUP(A169,import!A:J,9,0)</f>
        <v>9</v>
      </c>
      <c r="J169" s="11">
        <f>VLOOKUP(A169,import!A:J,10,0)</f>
        <v>0.78</v>
      </c>
      <c r="K169" s="10" t="s">
        <v>958</v>
      </c>
      <c r="L169" s="10">
        <v>5.339735338E9</v>
      </c>
      <c r="M169" s="10" t="s">
        <v>72</v>
      </c>
      <c r="N169" s="10" t="s">
        <v>415</v>
      </c>
      <c r="O169" s="10" t="s">
        <v>959</v>
      </c>
      <c r="P169" s="10" t="str">
        <f>VLOOKUP(A169,import!A:P,16,0)</f>
        <v>Geleneksel</v>
      </c>
      <c r="Q169" s="12"/>
      <c r="R169" s="12" t="b">
        <v>1</v>
      </c>
      <c r="S169" s="12" t="b">
        <v>0</v>
      </c>
      <c r="T169" s="13" t="s">
        <v>51</v>
      </c>
      <c r="U169" s="13" t="s">
        <v>89</v>
      </c>
      <c r="V169" s="13" t="s">
        <v>66</v>
      </c>
      <c r="W169" s="13" t="s">
        <v>960</v>
      </c>
      <c r="X169" s="15">
        <v>44578.0</v>
      </c>
      <c r="Y169" s="15">
        <v>44579.0</v>
      </c>
      <c r="Z169" s="16"/>
      <c r="AA169" s="17" t="s">
        <v>56</v>
      </c>
      <c r="AB169" s="16">
        <v>44578.0</v>
      </c>
      <c r="AC169" s="17" t="s">
        <v>56</v>
      </c>
      <c r="AD169" s="16">
        <v>44581.0</v>
      </c>
      <c r="AE169" s="17"/>
      <c r="AF169" s="16"/>
      <c r="AG169" s="17"/>
      <c r="AH169" s="16"/>
      <c r="AI169" s="16"/>
      <c r="AJ169" s="16"/>
      <c r="AK169" s="17" t="s">
        <v>89</v>
      </c>
      <c r="AL169" s="17" t="s">
        <v>89</v>
      </c>
      <c r="AM169" s="16"/>
      <c r="AN169" s="16"/>
      <c r="AO169" s="16"/>
      <c r="AP169" s="18"/>
      <c r="AQ169" s="16"/>
    </row>
    <row r="170" ht="15.75" customHeight="1">
      <c r="A170" s="18" t="s">
        <v>961</v>
      </c>
      <c r="B170" s="18" t="s">
        <v>962</v>
      </c>
      <c r="C170" s="10" t="str">
        <f>VLOOKUP(A170,import!A:C,3,0)</f>
        <v>DOĞRU</v>
      </c>
      <c r="D170" s="18" t="s">
        <v>167</v>
      </c>
      <c r="E170" s="10">
        <f>VLOOKUP(A170,import!A:J,5,0)</f>
        <v>104</v>
      </c>
      <c r="F170" s="10">
        <f>VLOOKUP(A170,import!A:J,6,0)</f>
        <v>104</v>
      </c>
      <c r="G170" s="10">
        <f>VLOOKUP(A170,import!A:J,7,0)</f>
        <v>0</v>
      </c>
      <c r="H170" s="10">
        <f>VLOOKUP(A170,import!A:J,8,0)</f>
        <v>16</v>
      </c>
      <c r="I170" s="10">
        <f>VLOOKUP(A170,import!A:J,9,0)</f>
        <v>16</v>
      </c>
      <c r="J170" s="11">
        <f>VLOOKUP(A170,import!A:J,10,0)</f>
        <v>0</v>
      </c>
      <c r="K170" s="18" t="s">
        <v>963</v>
      </c>
      <c r="L170" s="18">
        <v>5.522292549E9</v>
      </c>
      <c r="M170" s="18" t="s">
        <v>63</v>
      </c>
      <c r="N170" s="18" t="s">
        <v>93</v>
      </c>
      <c r="O170" s="18" t="s">
        <v>964</v>
      </c>
      <c r="P170" s="10" t="str">
        <f>VLOOKUP(A170,import!A:P,16,0)</f>
        <v>Geleneksel</v>
      </c>
      <c r="Q170" s="12"/>
      <c r="R170" s="12" t="b">
        <v>0</v>
      </c>
      <c r="S170" s="12" t="b">
        <v>0</v>
      </c>
      <c r="T170" s="13"/>
      <c r="U170" s="13"/>
      <c r="V170" s="13"/>
      <c r="W170" s="13"/>
      <c r="X170" s="15"/>
      <c r="Y170" s="15"/>
      <c r="Z170" s="16"/>
      <c r="AA170" s="17"/>
      <c r="AB170" s="16"/>
      <c r="AC170" s="16"/>
      <c r="AD170" s="16"/>
      <c r="AE170" s="17"/>
      <c r="AF170" s="16"/>
      <c r="AG170" s="17"/>
      <c r="AH170" s="16"/>
      <c r="AI170" s="16"/>
      <c r="AJ170" s="16"/>
      <c r="AK170" s="17"/>
      <c r="AL170" s="16"/>
      <c r="AM170" s="16"/>
      <c r="AN170" s="16"/>
      <c r="AO170" s="16"/>
      <c r="AP170" s="18"/>
      <c r="AQ170" s="16"/>
    </row>
    <row r="171" ht="15.75" hidden="1" customHeight="1">
      <c r="A171" s="10" t="s">
        <v>965</v>
      </c>
      <c r="B171" s="10" t="s">
        <v>966</v>
      </c>
      <c r="C171" s="10" t="str">
        <f>VLOOKUP(A171,import!A:C,3,0)</f>
        <v>DOĞRU</v>
      </c>
      <c r="D171" s="10" t="s">
        <v>564</v>
      </c>
      <c r="E171" s="10">
        <f>VLOOKUP(A171,import!A:J,5,0)</f>
        <v>3772</v>
      </c>
      <c r="F171" s="10">
        <f>VLOOKUP(A171,import!A:J,6,0)</f>
        <v>253</v>
      </c>
      <c r="G171" s="10">
        <f>VLOOKUP(A171,import!A:J,7,0)</f>
        <v>18</v>
      </c>
      <c r="H171" s="10">
        <f>VLOOKUP(A171,import!A:J,8,0)</f>
        <v>67</v>
      </c>
      <c r="I171" s="10">
        <f>VLOOKUP(A171,import!A:J,9,0)</f>
        <v>85</v>
      </c>
      <c r="J171" s="11">
        <f>VLOOKUP(A171,import!A:J,10,0)</f>
        <v>0.21</v>
      </c>
      <c r="K171" s="10" t="s">
        <v>967</v>
      </c>
      <c r="L171" s="10">
        <v>5.3885152E9</v>
      </c>
      <c r="M171" s="10" t="s">
        <v>72</v>
      </c>
      <c r="N171" s="10" t="s">
        <v>82</v>
      </c>
      <c r="O171" s="10" t="s">
        <v>968</v>
      </c>
      <c r="P171" s="10" t="str">
        <f>VLOOKUP(A171,import!A:P,16,0)</f>
        <v>Geleneksel</v>
      </c>
      <c r="Q171" s="12" t="s">
        <v>84</v>
      </c>
      <c r="R171" s="12" t="b">
        <v>1</v>
      </c>
      <c r="S171" s="12" t="b">
        <v>0</v>
      </c>
      <c r="T171" s="13" t="s">
        <v>51</v>
      </c>
      <c r="U171" s="13" t="s">
        <v>52</v>
      </c>
      <c r="V171" s="13" t="s">
        <v>53</v>
      </c>
      <c r="W171" s="13" t="s">
        <v>969</v>
      </c>
      <c r="X171" s="15">
        <v>44404.0</v>
      </c>
      <c r="Y171" s="15">
        <v>44406.0</v>
      </c>
      <c r="Z171" s="16"/>
      <c r="AA171" s="17" t="s">
        <v>56</v>
      </c>
      <c r="AB171" s="16">
        <v>44393.0</v>
      </c>
      <c r="AC171" s="17" t="s">
        <v>56</v>
      </c>
      <c r="AD171" s="16">
        <v>44404.0</v>
      </c>
      <c r="AE171" s="17" t="s">
        <v>56</v>
      </c>
      <c r="AF171" s="16">
        <v>44590.0</v>
      </c>
      <c r="AG171" s="17"/>
      <c r="AH171" s="16"/>
      <c r="AI171" s="16"/>
      <c r="AJ171" s="16"/>
      <c r="AK171" s="17" t="s">
        <v>52</v>
      </c>
      <c r="AL171" s="17" t="s">
        <v>89</v>
      </c>
      <c r="AM171" s="16"/>
      <c r="AN171" s="16"/>
      <c r="AO171" s="16"/>
      <c r="AP171" s="18" t="s">
        <v>58</v>
      </c>
      <c r="AQ171" s="16"/>
    </row>
    <row r="172" ht="15.75" hidden="1" customHeight="1">
      <c r="A172" s="10" t="s">
        <v>970</v>
      </c>
      <c r="B172" s="10" t="s">
        <v>971</v>
      </c>
      <c r="C172" s="10" t="str">
        <f>VLOOKUP(A172,import!A:C,3,0)</f>
        <v>DOĞRU</v>
      </c>
      <c r="D172" s="10" t="s">
        <v>70</v>
      </c>
      <c r="E172" s="10">
        <f>VLOOKUP(A172,import!A:J,5,0)</f>
        <v>28180</v>
      </c>
      <c r="F172" s="10">
        <f>VLOOKUP(A172,import!A:J,6,0)</f>
        <v>1846</v>
      </c>
      <c r="G172" s="10">
        <f>VLOOKUP(A172,import!A:J,7,0)</f>
        <v>11</v>
      </c>
      <c r="H172" s="10">
        <f>VLOOKUP(A172,import!A:J,8,0)</f>
        <v>40</v>
      </c>
      <c r="I172" s="10">
        <f>VLOOKUP(A172,import!A:J,9,0)</f>
        <v>51</v>
      </c>
      <c r="J172" s="11">
        <f>VLOOKUP(A172,import!A:J,10,0)</f>
        <v>0.22</v>
      </c>
      <c r="K172" s="10" t="s">
        <v>972</v>
      </c>
      <c r="L172" s="10">
        <v>3.243253131E9</v>
      </c>
      <c r="M172" s="10" t="s">
        <v>72</v>
      </c>
      <c r="N172" s="10" t="s">
        <v>113</v>
      </c>
      <c r="O172" s="10" t="s">
        <v>973</v>
      </c>
      <c r="P172" s="10" t="str">
        <f>VLOOKUP(A172,import!A:P,16,0)</f>
        <v>Geleneksel</v>
      </c>
      <c r="Q172" s="12" t="s">
        <v>84</v>
      </c>
      <c r="R172" s="12" t="b">
        <v>1</v>
      </c>
      <c r="S172" s="12" t="b">
        <v>0</v>
      </c>
      <c r="T172" s="13" t="s">
        <v>51</v>
      </c>
      <c r="U172" s="13" t="s">
        <v>171</v>
      </c>
      <c r="V172" s="13" t="s">
        <v>53</v>
      </c>
      <c r="W172" s="13" t="s">
        <v>974</v>
      </c>
      <c r="X172" s="15">
        <v>44475.0</v>
      </c>
      <c r="Y172" s="15">
        <v>44476.0</v>
      </c>
      <c r="Z172" s="16"/>
      <c r="AA172" s="17" t="s">
        <v>56</v>
      </c>
      <c r="AB172" s="16">
        <v>44475.0</v>
      </c>
      <c r="AC172" s="16"/>
      <c r="AD172" s="16"/>
      <c r="AE172" s="17"/>
      <c r="AF172" s="16"/>
      <c r="AG172" s="17"/>
      <c r="AH172" s="16"/>
      <c r="AI172" s="16"/>
      <c r="AJ172" s="16"/>
      <c r="AK172" s="17" t="s">
        <v>171</v>
      </c>
      <c r="AL172" s="16"/>
      <c r="AM172" s="16"/>
      <c r="AN172" s="16"/>
      <c r="AO172" s="16"/>
      <c r="AP172" s="18" t="s">
        <v>58</v>
      </c>
      <c r="AQ172" s="16"/>
    </row>
    <row r="173" ht="15.75" customHeight="1">
      <c r="A173" s="10" t="s">
        <v>975</v>
      </c>
      <c r="B173" s="10" t="s">
        <v>976</v>
      </c>
      <c r="C173" s="10" t="str">
        <f>VLOOKUP(A173,import!A:C,3,0)</f>
        <v>DOĞRU</v>
      </c>
      <c r="D173" s="10" t="s">
        <v>70</v>
      </c>
      <c r="E173" s="10">
        <f>VLOOKUP(A173,import!A:J,5,0)</f>
        <v>4453</v>
      </c>
      <c r="F173" s="10">
        <f>VLOOKUP(A173,import!A:J,6,0)</f>
        <v>33</v>
      </c>
      <c r="G173" s="10">
        <f>VLOOKUP(A173,import!A:J,7,0)</f>
        <v>3</v>
      </c>
      <c r="H173" s="10">
        <f>VLOOKUP(A173,import!A:J,8,0)</f>
        <v>16</v>
      </c>
      <c r="I173" s="10">
        <f>VLOOKUP(A173,import!A:J,9,0)</f>
        <v>19</v>
      </c>
      <c r="J173" s="11">
        <f>VLOOKUP(A173,import!A:J,10,0)</f>
        <v>0.16</v>
      </c>
      <c r="K173" s="10" t="s">
        <v>977</v>
      </c>
      <c r="L173" s="10">
        <v>3.243596161E9</v>
      </c>
      <c r="M173" s="10" t="s">
        <v>63</v>
      </c>
      <c r="N173" s="10" t="s">
        <v>137</v>
      </c>
      <c r="O173" s="10" t="s">
        <v>978</v>
      </c>
      <c r="P173" s="10" t="str">
        <f>VLOOKUP(A173,import!A:P,16,0)</f>
        <v>Geleneksel</v>
      </c>
      <c r="Q173" s="12"/>
      <c r="R173" s="12" t="b">
        <v>1</v>
      </c>
      <c r="S173" s="12" t="b">
        <v>0</v>
      </c>
      <c r="T173" s="13" t="s">
        <v>51</v>
      </c>
      <c r="U173" s="13" t="s">
        <v>87</v>
      </c>
      <c r="V173" s="13" t="s">
        <v>53</v>
      </c>
      <c r="W173" s="13" t="s">
        <v>979</v>
      </c>
      <c r="X173" s="15">
        <v>44461.0</v>
      </c>
      <c r="Y173" s="15">
        <v>44462.0</v>
      </c>
      <c r="Z173" s="16"/>
      <c r="AA173" s="17" t="s">
        <v>56</v>
      </c>
      <c r="AB173" s="16">
        <v>44446.0</v>
      </c>
      <c r="AC173" s="17" t="s">
        <v>56</v>
      </c>
      <c r="AD173" s="16">
        <v>44460.0</v>
      </c>
      <c r="AE173" s="17" t="s">
        <v>56</v>
      </c>
      <c r="AF173" s="16">
        <v>44461.0</v>
      </c>
      <c r="AG173" s="17"/>
      <c r="AH173" s="16"/>
      <c r="AI173" s="16"/>
      <c r="AJ173" s="16"/>
      <c r="AK173" s="17" t="s">
        <v>367</v>
      </c>
      <c r="AL173" s="17" t="s">
        <v>87</v>
      </c>
      <c r="AM173" s="17" t="s">
        <v>52</v>
      </c>
      <c r="AN173" s="16"/>
      <c r="AO173" s="16"/>
      <c r="AP173" s="18" t="s">
        <v>58</v>
      </c>
      <c r="AQ173" s="16"/>
    </row>
    <row r="174" ht="15.75" hidden="1" customHeight="1">
      <c r="A174" s="18" t="s">
        <v>980</v>
      </c>
      <c r="B174" s="18" t="s">
        <v>981</v>
      </c>
      <c r="C174" s="10" t="str">
        <f>VLOOKUP(A174,import!A:C,3,0)</f>
        <v>DOĞRU</v>
      </c>
      <c r="D174" s="18" t="s">
        <v>948</v>
      </c>
      <c r="E174" s="10">
        <f>VLOOKUP(A174,import!A:J,5,0)</f>
        <v>18</v>
      </c>
      <c r="F174" s="10">
        <f>VLOOKUP(A174,import!A:J,6,0)</f>
        <v>18</v>
      </c>
      <c r="G174" s="10">
        <f>VLOOKUP(A174,import!A:J,7,0)</f>
        <v>0</v>
      </c>
      <c r="H174" s="10">
        <f>VLOOKUP(A174,import!A:J,8,0)</f>
        <v>101</v>
      </c>
      <c r="I174" s="10">
        <f>VLOOKUP(A174,import!A:J,9,0)</f>
        <v>101</v>
      </c>
      <c r="J174" s="11">
        <f>VLOOKUP(A174,import!A:J,10,0)</f>
        <v>0</v>
      </c>
      <c r="K174" s="18" t="s">
        <v>982</v>
      </c>
      <c r="L174" s="18">
        <v>5.432145766E9</v>
      </c>
      <c r="M174" s="18" t="s">
        <v>72</v>
      </c>
      <c r="N174" s="18" t="s">
        <v>983</v>
      </c>
      <c r="O174" s="18" t="s">
        <v>984</v>
      </c>
      <c r="P174" s="10" t="str">
        <f>VLOOKUP(A174,import!A:P,16,0)</f>
        <v>Geleneksel</v>
      </c>
      <c r="Q174" s="12"/>
      <c r="R174" s="12" t="b">
        <v>0</v>
      </c>
      <c r="S174" s="12" t="b">
        <v>0</v>
      </c>
      <c r="T174" s="13"/>
      <c r="U174" s="13"/>
      <c r="V174" s="13"/>
      <c r="W174" s="13"/>
      <c r="X174" s="15"/>
      <c r="Y174" s="15"/>
      <c r="Z174" s="16"/>
      <c r="AA174" s="17"/>
      <c r="AB174" s="16"/>
      <c r="AC174" s="16"/>
      <c r="AD174" s="16"/>
      <c r="AE174" s="17"/>
      <c r="AF174" s="16"/>
      <c r="AG174" s="17"/>
      <c r="AH174" s="16"/>
      <c r="AI174" s="16"/>
      <c r="AJ174" s="16"/>
      <c r="AK174" s="17"/>
      <c r="AL174" s="16"/>
      <c r="AM174" s="16"/>
      <c r="AN174" s="16"/>
      <c r="AO174" s="16"/>
      <c r="AP174" s="18"/>
      <c r="AQ174" s="16"/>
    </row>
    <row r="175" ht="15.75" hidden="1" customHeight="1">
      <c r="A175" s="18" t="s">
        <v>985</v>
      </c>
      <c r="B175" s="18" t="s">
        <v>986</v>
      </c>
      <c r="C175" s="10" t="str">
        <f>VLOOKUP(A175,import!A:C,3,0)</f>
        <v>DOĞRU</v>
      </c>
      <c r="D175" s="18" t="s">
        <v>372</v>
      </c>
      <c r="E175" s="10">
        <f>VLOOKUP(A175,import!A:J,5,0)</f>
        <v>1</v>
      </c>
      <c r="F175" s="10">
        <f>VLOOKUP(A175,import!A:J,6,0)</f>
        <v>1</v>
      </c>
      <c r="G175" s="10">
        <f>VLOOKUP(A175,import!A:J,7,0)</f>
        <v>0</v>
      </c>
      <c r="H175" s="10">
        <f>VLOOKUP(A175,import!A:J,8,0)</f>
        <v>6</v>
      </c>
      <c r="I175" s="10">
        <f>VLOOKUP(A175,import!A:J,9,0)</f>
        <v>6</v>
      </c>
      <c r="J175" s="11">
        <f>VLOOKUP(A175,import!A:J,10,0)</f>
        <v>0</v>
      </c>
      <c r="K175" s="18" t="s">
        <v>982</v>
      </c>
      <c r="L175" s="18">
        <v>5.432145766E9</v>
      </c>
      <c r="M175" s="18" t="s">
        <v>72</v>
      </c>
      <c r="N175" s="18" t="s">
        <v>82</v>
      </c>
      <c r="O175" s="18" t="s">
        <v>984</v>
      </c>
      <c r="P175" s="10" t="str">
        <f>VLOOKUP(A175,import!A:P,16,0)</f>
        <v>Geleneksel</v>
      </c>
      <c r="Q175" s="12"/>
      <c r="R175" s="12" t="b">
        <v>0</v>
      </c>
      <c r="S175" s="12" t="b">
        <v>0</v>
      </c>
      <c r="T175" s="13"/>
      <c r="U175" s="13"/>
      <c r="V175" s="13"/>
      <c r="W175" s="13"/>
      <c r="X175" s="15"/>
      <c r="Y175" s="15"/>
      <c r="Z175" s="16"/>
      <c r="AA175" s="17"/>
      <c r="AB175" s="16"/>
      <c r="AC175" s="16"/>
      <c r="AD175" s="16"/>
      <c r="AE175" s="17"/>
      <c r="AF175" s="16"/>
      <c r="AG175" s="17"/>
      <c r="AH175" s="16"/>
      <c r="AI175" s="16"/>
      <c r="AJ175" s="16"/>
      <c r="AK175" s="17"/>
      <c r="AL175" s="16"/>
      <c r="AM175" s="16"/>
      <c r="AN175" s="16"/>
      <c r="AO175" s="16"/>
      <c r="AP175" s="18"/>
      <c r="AQ175" s="16"/>
    </row>
    <row r="176" ht="15.75" hidden="1" customHeight="1">
      <c r="A176" s="10" t="s">
        <v>987</v>
      </c>
      <c r="B176" s="10" t="s">
        <v>988</v>
      </c>
      <c r="C176" s="10" t="str">
        <f>VLOOKUP(A176,import!A:C,3,0)</f>
        <v>DOĞRU</v>
      </c>
      <c r="D176" s="10" t="s">
        <v>45</v>
      </c>
      <c r="E176" s="10">
        <f>VLOOKUP(A176,import!A:J,5,0)</f>
        <v>476</v>
      </c>
      <c r="F176" s="10">
        <f>VLOOKUP(A176,import!A:J,6,0)</f>
        <v>5</v>
      </c>
      <c r="G176" s="10">
        <f>VLOOKUP(A176,import!A:J,7,0)</f>
        <v>29</v>
      </c>
      <c r="H176" s="10">
        <f>VLOOKUP(A176,import!A:J,8,0)</f>
        <v>35</v>
      </c>
      <c r="I176" s="10">
        <f>VLOOKUP(A176,import!A:J,9,0)</f>
        <v>64</v>
      </c>
      <c r="J176" s="11">
        <f>VLOOKUP(A176,import!A:J,10,0)</f>
        <v>0.45</v>
      </c>
      <c r="K176" s="10" t="s">
        <v>989</v>
      </c>
      <c r="L176" s="10">
        <v>5.323047605E9</v>
      </c>
      <c r="M176" s="10" t="s">
        <v>72</v>
      </c>
      <c r="N176" s="10" t="s">
        <v>509</v>
      </c>
      <c r="O176" s="10" t="s">
        <v>990</v>
      </c>
      <c r="P176" s="10" t="str">
        <f>VLOOKUP(A176,import!A:P,16,0)</f>
        <v>Geleneksel</v>
      </c>
      <c r="Q176" s="12" t="s">
        <v>84</v>
      </c>
      <c r="R176" s="12" t="b">
        <v>1</v>
      </c>
      <c r="S176" s="12" t="b">
        <v>0</v>
      </c>
      <c r="T176" s="13" t="s">
        <v>51</v>
      </c>
      <c r="U176" s="13" t="s">
        <v>258</v>
      </c>
      <c r="V176" s="13" t="s">
        <v>66</v>
      </c>
      <c r="W176" s="13" t="s">
        <v>991</v>
      </c>
      <c r="X176" s="15">
        <v>44288.0</v>
      </c>
      <c r="Y176" s="15">
        <v>44292.0</v>
      </c>
      <c r="Z176" s="16"/>
      <c r="AA176" s="17" t="s">
        <v>56</v>
      </c>
      <c r="AB176" s="16">
        <v>44498.0</v>
      </c>
      <c r="AC176" s="16"/>
      <c r="AD176" s="16"/>
      <c r="AE176" s="17"/>
      <c r="AF176" s="16"/>
      <c r="AG176" s="17"/>
      <c r="AH176" s="16"/>
      <c r="AI176" s="16"/>
      <c r="AJ176" s="16"/>
      <c r="AK176" s="17" t="s">
        <v>52</v>
      </c>
      <c r="AL176" s="16"/>
      <c r="AM176" s="16"/>
      <c r="AN176" s="16"/>
      <c r="AO176" s="16"/>
      <c r="AP176" s="18" t="s">
        <v>58</v>
      </c>
      <c r="AQ176" s="16"/>
    </row>
    <row r="177" ht="15.75" hidden="1" customHeight="1">
      <c r="A177" s="10" t="s">
        <v>992</v>
      </c>
      <c r="B177" s="10" t="s">
        <v>993</v>
      </c>
      <c r="C177" s="10" t="str">
        <f>VLOOKUP(A177,import!A:C,3,0)</f>
        <v>YANLIŞ</v>
      </c>
      <c r="D177" s="10" t="s">
        <v>45</v>
      </c>
      <c r="E177" s="10">
        <f>VLOOKUP(A177,import!A:J,5,0)</f>
        <v>2429</v>
      </c>
      <c r="F177" s="10" t="str">
        <f>VLOOKUP(A177,import!A:J,6,0)</f>
        <v/>
      </c>
      <c r="G177" s="10">
        <f>VLOOKUP(A177,import!A:J,7,0)</f>
        <v>16</v>
      </c>
      <c r="H177" s="10">
        <f>VLOOKUP(A177,import!A:J,8,0)</f>
        <v>18</v>
      </c>
      <c r="I177" s="10">
        <f>VLOOKUP(A177,import!A:J,9,0)</f>
        <v>34</v>
      </c>
      <c r="J177" s="11">
        <f>VLOOKUP(A177,import!A:J,10,0)</f>
        <v>0.47</v>
      </c>
      <c r="K177" s="10" t="s">
        <v>994</v>
      </c>
      <c r="L177" s="10">
        <v>3.243285566E9</v>
      </c>
      <c r="M177" s="10" t="s">
        <v>72</v>
      </c>
      <c r="N177" s="10" t="s">
        <v>120</v>
      </c>
      <c r="O177" s="10" t="s">
        <v>995</v>
      </c>
      <c r="P177" s="10" t="str">
        <f>VLOOKUP(A177,import!A:P,16,0)</f>
        <v>Geleneksel</v>
      </c>
      <c r="Q177" s="12" t="s">
        <v>75</v>
      </c>
      <c r="R177" s="12" t="b">
        <v>1</v>
      </c>
      <c r="S177" s="12" t="b">
        <v>0</v>
      </c>
      <c r="T177" s="13" t="s">
        <v>51</v>
      </c>
      <c r="U177" s="13" t="s">
        <v>89</v>
      </c>
      <c r="V177" s="13" t="s">
        <v>66</v>
      </c>
      <c r="W177" s="13" t="s">
        <v>996</v>
      </c>
      <c r="X177" s="15">
        <v>44545.0</v>
      </c>
      <c r="Y177" s="15">
        <v>44546.0</v>
      </c>
      <c r="Z177" s="16"/>
      <c r="AA177" s="17" t="s">
        <v>56</v>
      </c>
      <c r="AB177" s="16">
        <v>44358.0</v>
      </c>
      <c r="AC177" s="17" t="s">
        <v>55</v>
      </c>
      <c r="AD177" s="16">
        <v>44544.0</v>
      </c>
      <c r="AE177" s="17" t="s">
        <v>56</v>
      </c>
      <c r="AF177" s="16">
        <v>44545.0</v>
      </c>
      <c r="AG177" s="17" t="s">
        <v>55</v>
      </c>
      <c r="AH177" s="16">
        <v>44551.0</v>
      </c>
      <c r="AI177" s="17" t="s">
        <v>56</v>
      </c>
      <c r="AJ177" s="16">
        <v>44572.0</v>
      </c>
      <c r="AK177" s="17" t="s">
        <v>163</v>
      </c>
      <c r="AL177" s="17" t="s">
        <v>108</v>
      </c>
      <c r="AM177" s="17" t="s">
        <v>89</v>
      </c>
      <c r="AN177" s="17" t="s">
        <v>133</v>
      </c>
      <c r="AO177" s="17" t="s">
        <v>133</v>
      </c>
      <c r="AP177" s="18" t="s">
        <v>58</v>
      </c>
      <c r="AQ177" s="16"/>
    </row>
    <row r="178" ht="15.75" hidden="1" customHeight="1">
      <c r="A178" s="10" t="s">
        <v>997</v>
      </c>
      <c r="B178" s="10" t="s">
        <v>998</v>
      </c>
      <c r="C178" s="10" t="str">
        <f>VLOOKUP(A178,import!A:C,3,0)</f>
        <v>YANLIŞ</v>
      </c>
      <c r="D178" s="10" t="s">
        <v>45</v>
      </c>
      <c r="E178" s="10">
        <f>VLOOKUP(A178,import!A:J,5,0)</f>
        <v>68</v>
      </c>
      <c r="F178" s="10" t="str">
        <f>VLOOKUP(A178,import!A:J,6,0)</f>
        <v/>
      </c>
      <c r="G178" s="10">
        <f>VLOOKUP(A178,import!A:J,7,0)</f>
        <v>0</v>
      </c>
      <c r="H178" s="10">
        <f>VLOOKUP(A178,import!A:J,8,0)</f>
        <v>26</v>
      </c>
      <c r="I178" s="10">
        <f>VLOOKUP(A178,import!A:J,9,0)</f>
        <v>26</v>
      </c>
      <c r="J178" s="11">
        <f>VLOOKUP(A178,import!A:J,10,0)</f>
        <v>0</v>
      </c>
      <c r="K178" s="10" t="s">
        <v>999</v>
      </c>
      <c r="L178" s="10">
        <v>3.246262616E9</v>
      </c>
      <c r="M178" s="10" t="s">
        <v>156</v>
      </c>
      <c r="N178" s="10" t="s">
        <v>1000</v>
      </c>
      <c r="O178" s="10" t="s">
        <v>1001</v>
      </c>
      <c r="P178" s="10" t="str">
        <f>VLOOKUP(A178,import!A:P,16,0)</f>
        <v>Geleneksel</v>
      </c>
      <c r="Q178" s="12"/>
      <c r="R178" s="12" t="b">
        <v>1</v>
      </c>
      <c r="S178" s="12" t="b">
        <v>0</v>
      </c>
      <c r="T178" s="13" t="s">
        <v>55</v>
      </c>
      <c r="U178" s="13"/>
      <c r="V178" s="13"/>
      <c r="W178" s="13" t="s">
        <v>1002</v>
      </c>
      <c r="X178" s="15"/>
      <c r="Y178" s="15"/>
      <c r="Z178" s="16"/>
      <c r="AA178" s="17" t="s">
        <v>55</v>
      </c>
      <c r="AB178" s="16">
        <v>44540.0</v>
      </c>
      <c r="AC178" s="16"/>
      <c r="AD178" s="16"/>
      <c r="AE178" s="17"/>
      <c r="AF178" s="16"/>
      <c r="AG178" s="17"/>
      <c r="AH178" s="16"/>
      <c r="AI178" s="16"/>
      <c r="AJ178" s="16"/>
      <c r="AK178" s="17" t="s">
        <v>52</v>
      </c>
      <c r="AL178" s="16"/>
      <c r="AM178" s="16"/>
      <c r="AN178" s="16"/>
      <c r="AO178" s="16"/>
      <c r="AP178" s="18" t="s">
        <v>58</v>
      </c>
      <c r="AQ178" s="16"/>
    </row>
    <row r="179" ht="15.75" hidden="1" customHeight="1">
      <c r="A179" s="10" t="s">
        <v>1003</v>
      </c>
      <c r="B179" s="10" t="s">
        <v>1004</v>
      </c>
      <c r="C179" s="10" t="str">
        <f>VLOOKUP(A179,import!A:C,3,0)</f>
        <v>DOĞRU</v>
      </c>
      <c r="D179" s="10" t="s">
        <v>363</v>
      </c>
      <c r="E179" s="10">
        <f>VLOOKUP(A179,import!A:J,5,0)</f>
        <v>1471</v>
      </c>
      <c r="F179" s="10">
        <f>VLOOKUP(A179,import!A:J,6,0)</f>
        <v>143</v>
      </c>
      <c r="G179" s="10">
        <f>VLOOKUP(A179,import!A:J,7,0)</f>
        <v>58</v>
      </c>
      <c r="H179" s="10">
        <f>VLOOKUP(A179,import!A:J,8,0)</f>
        <v>2</v>
      </c>
      <c r="I179" s="10">
        <f>VLOOKUP(A179,import!A:J,9,0)</f>
        <v>60</v>
      </c>
      <c r="J179" s="11">
        <f>VLOOKUP(A179,import!A:J,10,0)</f>
        <v>0.97</v>
      </c>
      <c r="K179" s="10" t="s">
        <v>1005</v>
      </c>
      <c r="L179" s="10">
        <v>3.243256066E9</v>
      </c>
      <c r="M179" s="10" t="s">
        <v>72</v>
      </c>
      <c r="N179" s="10" t="s">
        <v>113</v>
      </c>
      <c r="O179" s="10" t="s">
        <v>1006</v>
      </c>
      <c r="P179" s="10" t="str">
        <f>VLOOKUP(A179,import!A:P,16,0)</f>
        <v>Geleneksel</v>
      </c>
      <c r="Q179" s="12" t="s">
        <v>84</v>
      </c>
      <c r="R179" s="12" t="b">
        <v>1</v>
      </c>
      <c r="S179" s="12" t="b">
        <v>0</v>
      </c>
      <c r="T179" s="13" t="s">
        <v>51</v>
      </c>
      <c r="U179" s="13" t="s">
        <v>133</v>
      </c>
      <c r="V179" s="17" t="s">
        <v>131</v>
      </c>
      <c r="W179" s="13" t="s">
        <v>1007</v>
      </c>
      <c r="X179" s="15">
        <v>44638.0</v>
      </c>
      <c r="Y179" s="15">
        <v>44641.0</v>
      </c>
      <c r="Z179" s="16"/>
      <c r="AA179" s="17" t="s">
        <v>56</v>
      </c>
      <c r="AB179" s="16">
        <v>44638.0</v>
      </c>
      <c r="AC179" s="16"/>
      <c r="AD179" s="16"/>
      <c r="AE179" s="17"/>
      <c r="AF179" s="16"/>
      <c r="AG179" s="17"/>
      <c r="AH179" s="16"/>
      <c r="AI179" s="16"/>
      <c r="AJ179" s="16"/>
      <c r="AK179" s="17" t="s">
        <v>133</v>
      </c>
      <c r="AL179" s="16"/>
      <c r="AM179" s="16"/>
      <c r="AN179" s="16"/>
      <c r="AO179" s="16"/>
      <c r="AP179" s="18" t="s">
        <v>58</v>
      </c>
      <c r="AQ179" s="16"/>
    </row>
    <row r="180" ht="15.75" customHeight="1">
      <c r="A180" s="10" t="s">
        <v>1008</v>
      </c>
      <c r="B180" s="10" t="s">
        <v>1009</v>
      </c>
      <c r="C180" s="10" t="str">
        <f>VLOOKUP(A180,import!A:C,3,0)</f>
        <v>DOĞRU</v>
      </c>
      <c r="D180" s="10" t="s">
        <v>70</v>
      </c>
      <c r="E180" s="10">
        <f>VLOOKUP(A180,import!A:J,5,0)</f>
        <v>1050</v>
      </c>
      <c r="F180" s="10">
        <f>VLOOKUP(A180,import!A:J,6,0)</f>
        <v>27</v>
      </c>
      <c r="G180" s="10">
        <f>VLOOKUP(A180,import!A:J,7,0)</f>
        <v>17</v>
      </c>
      <c r="H180" s="10">
        <f>VLOOKUP(A180,import!A:J,8,0)</f>
        <v>38</v>
      </c>
      <c r="I180" s="10">
        <f>VLOOKUP(A180,import!A:J,9,0)</f>
        <v>55</v>
      </c>
      <c r="J180" s="11">
        <f>VLOOKUP(A180,import!A:J,10,0)</f>
        <v>0.31</v>
      </c>
      <c r="K180" s="10" t="s">
        <v>1010</v>
      </c>
      <c r="L180" s="10">
        <v>5.367188818E9</v>
      </c>
      <c r="M180" s="10" t="s">
        <v>137</v>
      </c>
      <c r="N180" s="10" t="s">
        <v>138</v>
      </c>
      <c r="O180" s="10" t="s">
        <v>1011</v>
      </c>
      <c r="P180" s="10" t="str">
        <f>VLOOKUP(A180,import!A:P,16,0)</f>
        <v>Geleneksel</v>
      </c>
      <c r="Q180" s="12" t="s">
        <v>84</v>
      </c>
      <c r="R180" s="12" t="b">
        <v>1</v>
      </c>
      <c r="S180" s="12" t="b">
        <v>0</v>
      </c>
      <c r="T180" s="13" t="s">
        <v>130</v>
      </c>
      <c r="U180" s="13" t="s">
        <v>87</v>
      </c>
      <c r="V180" s="13" t="s">
        <v>53</v>
      </c>
      <c r="W180" s="13" t="s">
        <v>1012</v>
      </c>
      <c r="X180" s="15">
        <v>44547.0</v>
      </c>
      <c r="Y180" s="15">
        <v>44550.0</v>
      </c>
      <c r="Z180" s="17" t="s">
        <v>616</v>
      </c>
      <c r="AA180" s="17" t="s">
        <v>56</v>
      </c>
      <c r="AB180" s="16">
        <v>44354.0</v>
      </c>
      <c r="AC180" s="17" t="s">
        <v>56</v>
      </c>
      <c r="AD180" s="16">
        <v>44406.0</v>
      </c>
      <c r="AE180" s="17" t="s">
        <v>86</v>
      </c>
      <c r="AF180" s="16">
        <v>44495.0</v>
      </c>
      <c r="AG180" s="17" t="s">
        <v>56</v>
      </c>
      <c r="AH180" s="16">
        <v>44547.0</v>
      </c>
      <c r="AI180" s="17" t="s">
        <v>86</v>
      </c>
      <c r="AJ180" s="16">
        <v>44557.0</v>
      </c>
      <c r="AK180" s="17" t="s">
        <v>123</v>
      </c>
      <c r="AL180" s="17" t="s">
        <v>1013</v>
      </c>
      <c r="AM180" s="17" t="s">
        <v>87</v>
      </c>
      <c r="AN180" s="17" t="s">
        <v>87</v>
      </c>
      <c r="AO180" s="17" t="s">
        <v>321</v>
      </c>
      <c r="AP180" s="18" t="s">
        <v>58</v>
      </c>
      <c r="AQ180" s="16"/>
    </row>
    <row r="181" ht="15.75" hidden="1" customHeight="1">
      <c r="A181" s="10" t="s">
        <v>1014</v>
      </c>
      <c r="B181" s="10" t="s">
        <v>1015</v>
      </c>
      <c r="C181" s="10" t="str">
        <f>VLOOKUP(A181,import!A:C,3,0)</f>
        <v>DOĞRU</v>
      </c>
      <c r="D181" s="10" t="s">
        <v>363</v>
      </c>
      <c r="E181" s="10">
        <f>VLOOKUP(A181,import!A:J,5,0)</f>
        <v>43</v>
      </c>
      <c r="F181" s="10">
        <f>VLOOKUP(A181,import!A:J,6,0)</f>
        <v>24</v>
      </c>
      <c r="G181" s="10">
        <f>VLOOKUP(A181,import!A:J,7,0)</f>
        <v>0</v>
      </c>
      <c r="H181" s="10">
        <f>VLOOKUP(A181,import!A:J,8,0)</f>
        <v>33</v>
      </c>
      <c r="I181" s="10">
        <f>VLOOKUP(A181,import!A:J,9,0)</f>
        <v>33</v>
      </c>
      <c r="J181" s="11">
        <f>VLOOKUP(A181,import!A:J,10,0)</f>
        <v>0</v>
      </c>
      <c r="K181" s="10" t="s">
        <v>1016</v>
      </c>
      <c r="L181" s="10">
        <v>5.057103078E9</v>
      </c>
      <c r="M181" s="10" t="s">
        <v>72</v>
      </c>
      <c r="N181" s="10" t="s">
        <v>82</v>
      </c>
      <c r="O181" s="10" t="s">
        <v>1017</v>
      </c>
      <c r="P181" s="10" t="str">
        <f>VLOOKUP(A181,import!A:P,16,0)</f>
        <v>Geleneksel</v>
      </c>
      <c r="Q181" s="12"/>
      <c r="R181" s="12" t="b">
        <v>1</v>
      </c>
      <c r="S181" s="12" t="b">
        <v>0</v>
      </c>
      <c r="T181" s="13" t="s">
        <v>51</v>
      </c>
      <c r="U181" s="13" t="s">
        <v>133</v>
      </c>
      <c r="V181" s="13" t="s">
        <v>66</v>
      </c>
      <c r="W181" s="20">
        <v>5.445867186E9</v>
      </c>
      <c r="X181" s="15">
        <v>44636.0</v>
      </c>
      <c r="Y181" s="15">
        <v>44638.0</v>
      </c>
      <c r="Z181" s="16"/>
      <c r="AA181" s="17" t="s">
        <v>56</v>
      </c>
      <c r="AB181" s="16">
        <v>44624.0</v>
      </c>
      <c r="AC181" s="17" t="s">
        <v>56</v>
      </c>
      <c r="AD181" s="16">
        <v>44627.0</v>
      </c>
      <c r="AE181" s="17" t="s">
        <v>56</v>
      </c>
      <c r="AF181" s="16">
        <v>44636.0</v>
      </c>
      <c r="AG181" s="17"/>
      <c r="AH181" s="16"/>
      <c r="AI181" s="16"/>
      <c r="AJ181" s="16"/>
      <c r="AK181" s="17" t="s">
        <v>52</v>
      </c>
      <c r="AL181" s="17" t="s">
        <v>52</v>
      </c>
      <c r="AM181" s="17" t="s">
        <v>133</v>
      </c>
      <c r="AN181" s="16"/>
      <c r="AO181" s="16"/>
      <c r="AP181" s="18"/>
      <c r="AQ181" s="16"/>
    </row>
    <row r="182" ht="15.75" hidden="1" customHeight="1">
      <c r="A182" s="10" t="s">
        <v>1018</v>
      </c>
      <c r="B182" s="10" t="s">
        <v>1019</v>
      </c>
      <c r="C182" s="10" t="str">
        <f>VLOOKUP(A182,import!A:C,3,0)</f>
        <v>YANLIŞ</v>
      </c>
      <c r="D182" s="10" t="s">
        <v>498</v>
      </c>
      <c r="E182" s="10">
        <f>VLOOKUP(A182,import!A:J,5,0)</f>
        <v>453</v>
      </c>
      <c r="F182" s="10" t="str">
        <f>VLOOKUP(A182,import!A:J,6,0)</f>
        <v/>
      </c>
      <c r="G182" s="10">
        <f>VLOOKUP(A182,import!A:J,7,0)</f>
        <v>0</v>
      </c>
      <c r="H182" s="10">
        <f>VLOOKUP(A182,import!A:J,8,0)</f>
        <v>58</v>
      </c>
      <c r="I182" s="10">
        <f>VLOOKUP(A182,import!A:J,9,0)</f>
        <v>58</v>
      </c>
      <c r="J182" s="11">
        <f>VLOOKUP(A182,import!A:J,10,0)</f>
        <v>0</v>
      </c>
      <c r="K182" s="10" t="s">
        <v>1020</v>
      </c>
      <c r="L182" s="10">
        <v>3.246226665E9</v>
      </c>
      <c r="M182" s="10" t="s">
        <v>156</v>
      </c>
      <c r="N182" s="10" t="s">
        <v>301</v>
      </c>
      <c r="O182" s="10" t="s">
        <v>1021</v>
      </c>
      <c r="P182" s="10" t="str">
        <f>VLOOKUP(A182,import!A:P,16,0)</f>
        <v>Geleneksel</v>
      </c>
      <c r="Q182" s="12"/>
      <c r="R182" s="12" t="b">
        <v>0</v>
      </c>
      <c r="S182" s="12" t="b">
        <v>0</v>
      </c>
      <c r="T182" s="13"/>
      <c r="U182" s="13"/>
      <c r="V182" s="13"/>
      <c r="W182" s="13"/>
      <c r="X182" s="15"/>
      <c r="Y182" s="15"/>
      <c r="Z182" s="16"/>
      <c r="AA182" s="16"/>
      <c r="AB182" s="16"/>
      <c r="AC182" s="16"/>
      <c r="AD182" s="16"/>
      <c r="AE182" s="17"/>
      <c r="AF182" s="16"/>
      <c r="AG182" s="17"/>
      <c r="AH182" s="16"/>
      <c r="AI182" s="16"/>
      <c r="AJ182" s="16"/>
      <c r="AK182" s="16"/>
      <c r="AL182" s="16"/>
      <c r="AM182" s="16"/>
      <c r="AN182" s="16"/>
      <c r="AO182" s="16"/>
      <c r="AP182" s="18" t="s">
        <v>58</v>
      </c>
      <c r="AQ182" s="16"/>
    </row>
    <row r="183" ht="15.75" hidden="1" customHeight="1">
      <c r="A183" s="10" t="s">
        <v>1022</v>
      </c>
      <c r="B183" s="10" t="s">
        <v>1023</v>
      </c>
      <c r="C183" s="10" t="str">
        <f>VLOOKUP(A183,import!A:C,3,0)</f>
        <v>DOĞRU</v>
      </c>
      <c r="D183" s="10" t="s">
        <v>70</v>
      </c>
      <c r="E183" s="33">
        <f>VLOOKUP(A183,import!A:J,5,0)</f>
        <v>314</v>
      </c>
      <c r="F183" s="10">
        <f>VLOOKUP(A183,import!A:J,6,0)</f>
        <v>195</v>
      </c>
      <c r="G183" s="10">
        <f>VLOOKUP(A183,import!A:J,7,0)</f>
        <v>0</v>
      </c>
      <c r="H183" s="10">
        <f>VLOOKUP(A183,import!A:J,8,0)</f>
        <v>22</v>
      </c>
      <c r="I183" s="10">
        <f>VLOOKUP(A183,import!A:J,9,0)</f>
        <v>22</v>
      </c>
      <c r="J183" s="11">
        <f>VLOOKUP(A183,import!A:J,10,0)</f>
        <v>0</v>
      </c>
      <c r="K183" s="10" t="s">
        <v>1024</v>
      </c>
      <c r="L183" s="10">
        <v>5.451952905E9</v>
      </c>
      <c r="M183" s="10" t="s">
        <v>72</v>
      </c>
      <c r="N183" s="10" t="s">
        <v>128</v>
      </c>
      <c r="O183" s="10" t="s">
        <v>1025</v>
      </c>
      <c r="P183" s="10" t="str">
        <f>VLOOKUP(A183,import!A:P,16,0)</f>
        <v>Geleneksel</v>
      </c>
      <c r="Q183" s="12"/>
      <c r="R183" s="12" t="b">
        <v>1</v>
      </c>
      <c r="S183" s="12" t="b">
        <v>0</v>
      </c>
      <c r="T183" s="13" t="s">
        <v>51</v>
      </c>
      <c r="U183" s="13" t="s">
        <v>133</v>
      </c>
      <c r="V183" s="17" t="s">
        <v>66</v>
      </c>
      <c r="W183" s="13"/>
      <c r="X183" s="15">
        <v>44648.0</v>
      </c>
      <c r="Y183" s="15">
        <v>44649.0</v>
      </c>
      <c r="Z183" s="16"/>
      <c r="AA183" s="17" t="s">
        <v>56</v>
      </c>
      <c r="AB183" s="16">
        <v>44648.0</v>
      </c>
      <c r="AC183" s="16"/>
      <c r="AD183" s="16"/>
      <c r="AE183" s="17"/>
      <c r="AF183" s="16"/>
      <c r="AG183" s="17"/>
      <c r="AH183" s="16"/>
      <c r="AI183" s="16"/>
      <c r="AJ183" s="16"/>
      <c r="AK183" s="17" t="s">
        <v>133</v>
      </c>
      <c r="AL183" s="16"/>
      <c r="AM183" s="16"/>
      <c r="AN183" s="16"/>
      <c r="AO183" s="16"/>
      <c r="AP183" s="18"/>
      <c r="AQ183" s="16"/>
    </row>
    <row r="184" ht="15.75" hidden="1" customHeight="1">
      <c r="A184" s="18" t="s">
        <v>1026</v>
      </c>
      <c r="B184" s="18" t="s">
        <v>1027</v>
      </c>
      <c r="C184" s="10" t="str">
        <f>VLOOKUP(A184,import!A:C,3,0)</f>
        <v>DOĞRU</v>
      </c>
      <c r="D184" s="18" t="s">
        <v>70</v>
      </c>
      <c r="E184" s="10">
        <f>VLOOKUP(A184,import!A:J,5,0)</f>
        <v>1</v>
      </c>
      <c r="F184" s="10">
        <f>VLOOKUP(A184,import!A:J,6,0)</f>
        <v>1</v>
      </c>
      <c r="G184" s="10">
        <f>VLOOKUP(A184,import!A:J,7,0)</f>
        <v>0</v>
      </c>
      <c r="H184" s="10">
        <f>VLOOKUP(A184,import!A:J,8,0)</f>
        <v>17</v>
      </c>
      <c r="I184" s="10">
        <f>VLOOKUP(A184,import!A:J,9,0)</f>
        <v>17</v>
      </c>
      <c r="J184" s="11">
        <f>VLOOKUP(A184,import!A:J,10,0)</f>
        <v>0</v>
      </c>
      <c r="K184" s="18" t="s">
        <v>1028</v>
      </c>
      <c r="L184" s="18">
        <v>3.245153262E9</v>
      </c>
      <c r="M184" s="18" t="s">
        <v>47</v>
      </c>
      <c r="N184" s="18" t="s">
        <v>48</v>
      </c>
      <c r="O184" s="18" t="s">
        <v>1029</v>
      </c>
      <c r="P184" s="10" t="str">
        <f>VLOOKUP(A184,import!A:P,16,0)</f>
        <v>Geleneksel</v>
      </c>
      <c r="Q184" s="12"/>
      <c r="R184" s="12" t="b">
        <v>1</v>
      </c>
      <c r="S184" s="12" t="b">
        <v>1</v>
      </c>
      <c r="T184" s="13"/>
      <c r="U184" s="13"/>
      <c r="V184" s="13"/>
      <c r="W184" s="13" t="s">
        <v>1030</v>
      </c>
      <c r="X184" s="15"/>
      <c r="Y184" s="15"/>
      <c r="Z184" s="16"/>
      <c r="AA184" s="17" t="s">
        <v>56</v>
      </c>
      <c r="AB184" s="16">
        <v>44694.0</v>
      </c>
      <c r="AC184" s="16"/>
      <c r="AD184" s="16"/>
      <c r="AE184" s="17"/>
      <c r="AF184" s="16"/>
      <c r="AG184" s="17"/>
      <c r="AH184" s="16"/>
      <c r="AI184" s="16"/>
      <c r="AJ184" s="16"/>
      <c r="AK184" s="17" t="s">
        <v>89</v>
      </c>
      <c r="AL184" s="16"/>
      <c r="AM184" s="16"/>
      <c r="AN184" s="16"/>
      <c r="AO184" s="16"/>
      <c r="AP184" s="18"/>
      <c r="AQ184" s="16"/>
    </row>
    <row r="185" ht="15.75" customHeight="1">
      <c r="A185" s="10" t="s">
        <v>1031</v>
      </c>
      <c r="B185" s="10" t="s">
        <v>1032</v>
      </c>
      <c r="C185" s="10" t="str">
        <f>VLOOKUP(A185,import!A:C,3,0)</f>
        <v>DOĞRU</v>
      </c>
      <c r="D185" s="10" t="s">
        <v>372</v>
      </c>
      <c r="E185" s="10">
        <f>VLOOKUP(A185,import!A:J,5,0)</f>
        <v>748</v>
      </c>
      <c r="F185" s="10">
        <f>VLOOKUP(A185,import!A:J,6,0)</f>
        <v>341</v>
      </c>
      <c r="G185" s="10">
        <f>VLOOKUP(A185,import!A:J,7,0)</f>
        <v>35</v>
      </c>
      <c r="H185" s="10">
        <f>VLOOKUP(A185,import!A:J,8,0)</f>
        <v>44</v>
      </c>
      <c r="I185" s="10">
        <f>VLOOKUP(A185,import!A:J,9,0)</f>
        <v>79</v>
      </c>
      <c r="J185" s="11">
        <f>VLOOKUP(A185,import!A:J,10,0)</f>
        <v>0.44</v>
      </c>
      <c r="K185" s="10" t="s">
        <v>1033</v>
      </c>
      <c r="L185" s="10">
        <v>5.356273633E9</v>
      </c>
      <c r="M185" s="10" t="s">
        <v>63</v>
      </c>
      <c r="N185" s="10" t="s">
        <v>318</v>
      </c>
      <c r="O185" s="10" t="s">
        <v>1034</v>
      </c>
      <c r="P185" s="10" t="str">
        <f>VLOOKUP(A185,import!A:P,16,0)</f>
        <v>Geleneksel</v>
      </c>
      <c r="Q185" s="12"/>
      <c r="R185" s="12" t="b">
        <v>1</v>
      </c>
      <c r="S185" s="12" t="b">
        <v>0</v>
      </c>
      <c r="T185" s="13" t="s">
        <v>51</v>
      </c>
      <c r="U185" s="13" t="s">
        <v>89</v>
      </c>
      <c r="V185" s="17" t="s">
        <v>131</v>
      </c>
      <c r="W185" s="13"/>
      <c r="X185" s="15">
        <v>44649.0</v>
      </c>
      <c r="Y185" s="15">
        <v>44650.0</v>
      </c>
      <c r="Z185" s="16"/>
      <c r="AA185" s="17" t="s">
        <v>56</v>
      </c>
      <c r="AB185" s="16">
        <v>44649.0</v>
      </c>
      <c r="AC185" s="16"/>
      <c r="AD185" s="16"/>
      <c r="AE185" s="17"/>
      <c r="AF185" s="16"/>
      <c r="AG185" s="17"/>
      <c r="AH185" s="16"/>
      <c r="AI185" s="16"/>
      <c r="AJ185" s="16"/>
      <c r="AK185" s="17" t="s">
        <v>89</v>
      </c>
      <c r="AL185" s="16"/>
      <c r="AM185" s="16"/>
      <c r="AN185" s="16"/>
      <c r="AO185" s="16"/>
      <c r="AP185" s="18"/>
      <c r="AQ185" s="16"/>
    </row>
    <row r="186" ht="15.75" hidden="1" customHeight="1">
      <c r="A186" s="10" t="s">
        <v>1035</v>
      </c>
      <c r="B186" s="10" t="s">
        <v>1036</v>
      </c>
      <c r="C186" s="10" t="str">
        <f>VLOOKUP(A186,import!A:C,3,0)</f>
        <v>DOĞRU</v>
      </c>
      <c r="D186" s="10" t="s">
        <v>45</v>
      </c>
      <c r="E186" s="10">
        <f>VLOOKUP(A186,import!A:J,5,0)</f>
        <v>10044</v>
      </c>
      <c r="F186" s="10">
        <f>VLOOKUP(A186,import!A:J,6,0)</f>
        <v>745</v>
      </c>
      <c r="G186" s="10">
        <f>VLOOKUP(A186,import!A:J,7,0)</f>
        <v>27</v>
      </c>
      <c r="H186" s="10">
        <f>VLOOKUP(A186,import!A:J,8,0)</f>
        <v>23</v>
      </c>
      <c r="I186" s="10">
        <f>VLOOKUP(A186,import!A:J,9,0)</f>
        <v>50</v>
      </c>
      <c r="J186" s="11">
        <f>VLOOKUP(A186,import!A:J,10,0)</f>
        <v>0.54</v>
      </c>
      <c r="K186" s="10" t="s">
        <v>1037</v>
      </c>
      <c r="L186" s="10">
        <v>5.368304467E9</v>
      </c>
      <c r="M186" s="10" t="s">
        <v>72</v>
      </c>
      <c r="N186" s="10" t="s">
        <v>73</v>
      </c>
      <c r="O186" s="10" t="s">
        <v>1038</v>
      </c>
      <c r="P186" s="10" t="str">
        <f>VLOOKUP(A186,import!A:P,16,0)</f>
        <v>Geleneksel</v>
      </c>
      <c r="Q186" s="12"/>
      <c r="R186" s="12" t="b">
        <v>0</v>
      </c>
      <c r="S186" s="12" t="b">
        <v>0</v>
      </c>
      <c r="T186" s="13" t="s">
        <v>248</v>
      </c>
      <c r="U186" s="13"/>
      <c r="V186" s="13"/>
      <c r="W186" s="13"/>
      <c r="X186" s="15"/>
      <c r="Y186" s="15"/>
      <c r="Z186" s="16"/>
      <c r="AA186" s="17"/>
      <c r="AB186" s="16"/>
      <c r="AC186" s="16"/>
      <c r="AD186" s="16"/>
      <c r="AE186" s="17"/>
      <c r="AF186" s="16"/>
      <c r="AG186" s="17"/>
      <c r="AH186" s="16"/>
      <c r="AI186" s="16"/>
      <c r="AJ186" s="16"/>
      <c r="AK186" s="17"/>
      <c r="AL186" s="16"/>
      <c r="AM186" s="16"/>
      <c r="AN186" s="16"/>
      <c r="AO186" s="16"/>
      <c r="AP186" s="18"/>
      <c r="AQ186" s="16"/>
    </row>
    <row r="187" ht="15.75" hidden="1" customHeight="1">
      <c r="A187" s="10" t="s">
        <v>1039</v>
      </c>
      <c r="B187" s="10" t="s">
        <v>1040</v>
      </c>
      <c r="C187" s="10" t="str">
        <f>VLOOKUP(A187,import!A:C,3,0)</f>
        <v>DOĞRU</v>
      </c>
      <c r="D187" s="10" t="s">
        <v>676</v>
      </c>
      <c r="E187" s="10">
        <f>VLOOKUP(A187,import!A:J,5,0)</f>
        <v>1670</v>
      </c>
      <c r="F187" s="10">
        <f>VLOOKUP(A187,import!A:J,6,0)</f>
        <v>22</v>
      </c>
      <c r="G187" s="10">
        <f>VLOOKUP(A187,import!A:J,7,0)</f>
        <v>13</v>
      </c>
      <c r="H187" s="10">
        <f>VLOOKUP(A187,import!A:J,8,0)</f>
        <v>35</v>
      </c>
      <c r="I187" s="10">
        <f>VLOOKUP(A187,import!A:J,9,0)</f>
        <v>48</v>
      </c>
      <c r="J187" s="11">
        <f>VLOOKUP(A187,import!A:J,10,0)</f>
        <v>0.27</v>
      </c>
      <c r="K187" s="10" t="s">
        <v>1041</v>
      </c>
      <c r="L187" s="10">
        <v>3.243290001E9</v>
      </c>
      <c r="M187" s="10" t="s">
        <v>72</v>
      </c>
      <c r="N187" s="10" t="s">
        <v>181</v>
      </c>
      <c r="O187" s="10" t="s">
        <v>1042</v>
      </c>
      <c r="P187" s="10" t="str">
        <f>VLOOKUP(A187,import!A:P,16,0)</f>
        <v>Geleneksel</v>
      </c>
      <c r="Q187" s="12" t="s">
        <v>84</v>
      </c>
      <c r="R187" s="12" t="b">
        <v>1</v>
      </c>
      <c r="S187" s="12" t="b">
        <v>0</v>
      </c>
      <c r="T187" s="13" t="s">
        <v>51</v>
      </c>
      <c r="U187" s="13" t="s">
        <v>1043</v>
      </c>
      <c r="V187" s="13" t="s">
        <v>278</v>
      </c>
      <c r="W187" s="13" t="s">
        <v>1044</v>
      </c>
      <c r="X187" s="15">
        <v>44271.0</v>
      </c>
      <c r="Y187" s="15">
        <v>44274.0</v>
      </c>
      <c r="Z187" s="16"/>
      <c r="AA187" s="17" t="s">
        <v>86</v>
      </c>
      <c r="AB187" s="16">
        <v>44475.0</v>
      </c>
      <c r="AC187" s="17" t="s">
        <v>86</v>
      </c>
      <c r="AD187" s="16">
        <v>44498.0</v>
      </c>
      <c r="AE187" s="17" t="s">
        <v>56</v>
      </c>
      <c r="AF187" s="16">
        <v>44551.0</v>
      </c>
      <c r="AG187" s="17"/>
      <c r="AH187" s="16"/>
      <c r="AI187" s="16"/>
      <c r="AJ187" s="16"/>
      <c r="AK187" s="17" t="s">
        <v>171</v>
      </c>
      <c r="AL187" s="17" t="s">
        <v>267</v>
      </c>
      <c r="AM187" s="17" t="s">
        <v>133</v>
      </c>
      <c r="AN187" s="16"/>
      <c r="AO187" s="16"/>
      <c r="AP187" s="18" t="s">
        <v>58</v>
      </c>
      <c r="AQ187" s="16"/>
    </row>
    <row r="188" ht="15.75" hidden="1" customHeight="1">
      <c r="A188" s="10" t="s">
        <v>1045</v>
      </c>
      <c r="B188" s="10" t="s">
        <v>1046</v>
      </c>
      <c r="C188" s="10" t="str">
        <f>VLOOKUP(A188,import!A:C,3,0)</f>
        <v>DOĞRU</v>
      </c>
      <c r="D188" s="10" t="s">
        <v>676</v>
      </c>
      <c r="E188" s="10">
        <f>VLOOKUP(A188,import!A:J,5,0)</f>
        <v>8</v>
      </c>
      <c r="F188" s="10" t="str">
        <f>VLOOKUP(A188,import!A:J,6,0)</f>
        <v/>
      </c>
      <c r="G188" s="10">
        <f>VLOOKUP(A188,import!A:J,7,0)</f>
        <v>4</v>
      </c>
      <c r="H188" s="10">
        <f>VLOOKUP(A188,import!A:J,8,0)</f>
        <v>18</v>
      </c>
      <c r="I188" s="10">
        <f>VLOOKUP(A188,import!A:J,9,0)</f>
        <v>22</v>
      </c>
      <c r="J188" s="11">
        <f>VLOOKUP(A188,import!A:J,10,0)</f>
        <v>0.18</v>
      </c>
      <c r="K188" s="10" t="s">
        <v>1047</v>
      </c>
      <c r="L188" s="10">
        <v>5.304411269E9</v>
      </c>
      <c r="M188" s="10" t="s">
        <v>72</v>
      </c>
      <c r="N188" s="10" t="s">
        <v>509</v>
      </c>
      <c r="O188" s="10" t="s">
        <v>1048</v>
      </c>
      <c r="P188" s="10" t="str">
        <f>VLOOKUP(A188,import!A:P,16,0)</f>
        <v>Geleneksel</v>
      </c>
      <c r="Q188" s="12"/>
      <c r="R188" s="12" t="b">
        <v>1</v>
      </c>
      <c r="S188" s="12" t="b">
        <v>1</v>
      </c>
      <c r="T188" s="13"/>
      <c r="U188" s="13"/>
      <c r="V188" s="13"/>
      <c r="W188" s="13" t="s">
        <v>1049</v>
      </c>
      <c r="X188" s="15"/>
      <c r="Y188" s="15"/>
      <c r="Z188" s="16"/>
      <c r="AA188" s="17" t="s">
        <v>56</v>
      </c>
      <c r="AB188" s="16">
        <v>44536.0</v>
      </c>
      <c r="AC188" s="16"/>
      <c r="AD188" s="16"/>
      <c r="AE188" s="17"/>
      <c r="AF188" s="16"/>
      <c r="AG188" s="17"/>
      <c r="AH188" s="16"/>
      <c r="AI188" s="16"/>
      <c r="AJ188" s="16"/>
      <c r="AK188" s="17" t="s">
        <v>89</v>
      </c>
      <c r="AL188" s="16"/>
      <c r="AM188" s="16"/>
      <c r="AN188" s="16"/>
      <c r="AO188" s="16"/>
      <c r="AP188" s="18" t="s">
        <v>58</v>
      </c>
      <c r="AQ188" s="16"/>
    </row>
    <row r="189" ht="15.75" hidden="1" customHeight="1">
      <c r="A189" s="10" t="s">
        <v>1050</v>
      </c>
      <c r="B189" s="10" t="s">
        <v>1051</v>
      </c>
      <c r="C189" s="10" t="str">
        <f>VLOOKUP(A189,import!A:C,3,0)</f>
        <v>DOĞRU</v>
      </c>
      <c r="D189" s="10" t="s">
        <v>80</v>
      </c>
      <c r="E189" s="10">
        <f>VLOOKUP(A189,import!A:J,5,0)</f>
        <v>44</v>
      </c>
      <c r="F189" s="10">
        <f>VLOOKUP(A189,import!A:J,6,0)</f>
        <v>7</v>
      </c>
      <c r="G189" s="10">
        <f>VLOOKUP(A189,import!A:J,7,0)</f>
        <v>0</v>
      </c>
      <c r="H189" s="10">
        <f>VLOOKUP(A189,import!A:J,8,0)</f>
        <v>8</v>
      </c>
      <c r="I189" s="10">
        <f>VLOOKUP(A189,import!A:J,9,0)</f>
        <v>8</v>
      </c>
      <c r="J189" s="11">
        <f>VLOOKUP(A189,import!A:J,10,0)</f>
        <v>0</v>
      </c>
      <c r="K189" s="10" t="s">
        <v>1052</v>
      </c>
      <c r="L189" s="10">
        <v>3.243219451E9</v>
      </c>
      <c r="M189" s="10" t="s">
        <v>215</v>
      </c>
      <c r="N189" s="10" t="s">
        <v>1053</v>
      </c>
      <c r="O189" s="10" t="s">
        <v>1054</v>
      </c>
      <c r="P189" s="10" t="str">
        <f>VLOOKUP(A189,import!A:P,16,0)</f>
        <v>Geleneksel</v>
      </c>
      <c r="Q189" s="12"/>
      <c r="R189" s="12" t="b">
        <v>1</v>
      </c>
      <c r="S189" s="12" t="b">
        <v>0</v>
      </c>
      <c r="T189" s="13" t="s">
        <v>130</v>
      </c>
      <c r="U189" s="13"/>
      <c r="V189" s="13"/>
      <c r="W189" s="13" t="s">
        <v>1055</v>
      </c>
      <c r="X189" s="15"/>
      <c r="Y189" s="15"/>
      <c r="Z189" s="16"/>
      <c r="AA189" s="17" t="s">
        <v>56</v>
      </c>
      <c r="AB189" s="16">
        <v>44548.0</v>
      </c>
      <c r="AC189" s="17" t="s">
        <v>230</v>
      </c>
      <c r="AD189" s="16">
        <v>44552.0</v>
      </c>
      <c r="AE189" s="17"/>
      <c r="AF189" s="16"/>
      <c r="AG189" s="17"/>
      <c r="AH189" s="16"/>
      <c r="AI189" s="16"/>
      <c r="AJ189" s="16"/>
      <c r="AK189" s="17" t="s">
        <v>89</v>
      </c>
      <c r="AL189" s="17" t="s">
        <v>314</v>
      </c>
      <c r="AM189" s="16"/>
      <c r="AN189" s="16"/>
      <c r="AO189" s="16"/>
      <c r="AP189" s="18" t="s">
        <v>58</v>
      </c>
      <c r="AQ189" s="16"/>
    </row>
    <row r="190" ht="15.75" hidden="1" customHeight="1">
      <c r="A190" s="10" t="s">
        <v>1056</v>
      </c>
      <c r="B190" s="10" t="s">
        <v>1057</v>
      </c>
      <c r="C190" s="10" t="str">
        <f>VLOOKUP(A190,import!A:C,3,0)</f>
        <v>DOĞRU</v>
      </c>
      <c r="D190" s="10" t="s">
        <v>80</v>
      </c>
      <c r="E190" s="10">
        <f>VLOOKUP(A190,import!A:J,5,0)</f>
        <v>1596</v>
      </c>
      <c r="F190" s="10">
        <f>VLOOKUP(A190,import!A:J,6,0)</f>
        <v>140</v>
      </c>
      <c r="G190" s="10">
        <f>VLOOKUP(A190,import!A:J,7,0)</f>
        <v>11</v>
      </c>
      <c r="H190" s="10">
        <f>VLOOKUP(A190,import!A:J,8,0)</f>
        <v>8</v>
      </c>
      <c r="I190" s="10">
        <f>VLOOKUP(A190,import!A:J,9,0)</f>
        <v>19</v>
      </c>
      <c r="J190" s="11">
        <f>VLOOKUP(A190,import!A:J,10,0)</f>
        <v>0.58</v>
      </c>
      <c r="K190" s="10" t="s">
        <v>1058</v>
      </c>
      <c r="L190" s="10">
        <v>5.347840563E9</v>
      </c>
      <c r="M190" s="10" t="s">
        <v>72</v>
      </c>
      <c r="N190" s="10" t="s">
        <v>73</v>
      </c>
      <c r="O190" s="10" t="s">
        <v>1059</v>
      </c>
      <c r="P190" s="10" t="str">
        <f>VLOOKUP(A190,import!A:P,16,0)</f>
        <v>Geleneksel</v>
      </c>
      <c r="Q190" s="12"/>
      <c r="R190" s="12" t="b">
        <v>1</v>
      </c>
      <c r="S190" s="12" t="b">
        <v>0</v>
      </c>
      <c r="T190" s="13" t="s">
        <v>51</v>
      </c>
      <c r="U190" s="13" t="s">
        <v>52</v>
      </c>
      <c r="V190" s="13" t="s">
        <v>53</v>
      </c>
      <c r="W190" s="13" t="s">
        <v>1060</v>
      </c>
      <c r="X190" s="15">
        <v>44523.0</v>
      </c>
      <c r="Y190" s="15">
        <v>44524.0</v>
      </c>
      <c r="Z190" s="16"/>
      <c r="AA190" s="17" t="s">
        <v>56</v>
      </c>
      <c r="AB190" s="16">
        <v>44523.0</v>
      </c>
      <c r="AC190" s="17" t="s">
        <v>56</v>
      </c>
      <c r="AD190" s="16">
        <v>44533.0</v>
      </c>
      <c r="AE190" s="17"/>
      <c r="AF190" s="16"/>
      <c r="AG190" s="17"/>
      <c r="AH190" s="16"/>
      <c r="AI190" s="16"/>
      <c r="AJ190" s="16"/>
      <c r="AK190" s="17" t="s">
        <v>52</v>
      </c>
      <c r="AL190" s="17" t="s">
        <v>108</v>
      </c>
      <c r="AM190" s="16"/>
      <c r="AN190" s="16"/>
      <c r="AO190" s="16"/>
      <c r="AP190" s="18" t="s">
        <v>58</v>
      </c>
      <c r="AQ190" s="16"/>
    </row>
    <row r="191" ht="15.75" hidden="1" customHeight="1">
      <c r="A191" s="10" t="s">
        <v>1061</v>
      </c>
      <c r="B191" s="10" t="s">
        <v>1062</v>
      </c>
      <c r="C191" s="10" t="str">
        <f>VLOOKUP(A191,import!A:C,3,0)</f>
        <v>DOĞRU</v>
      </c>
      <c r="D191" s="10" t="s">
        <v>1063</v>
      </c>
      <c r="E191" s="10">
        <f>VLOOKUP(A191,import!A:J,5,0)</f>
        <v>287</v>
      </c>
      <c r="F191" s="10">
        <f>VLOOKUP(A191,import!A:J,6,0)</f>
        <v>10</v>
      </c>
      <c r="G191" s="10">
        <f>VLOOKUP(A191,import!A:J,7,0)</f>
        <v>29</v>
      </c>
      <c r="H191" s="10">
        <f>VLOOKUP(A191,import!A:J,8,0)</f>
        <v>4</v>
      </c>
      <c r="I191" s="10">
        <f>VLOOKUP(A191,import!A:J,9,0)</f>
        <v>33</v>
      </c>
      <c r="J191" s="11">
        <f>VLOOKUP(A191,import!A:J,10,0)</f>
        <v>0.88</v>
      </c>
      <c r="K191" s="10" t="s">
        <v>1064</v>
      </c>
      <c r="L191" s="10">
        <v>5.325409405E9</v>
      </c>
      <c r="M191" s="10" t="s">
        <v>47</v>
      </c>
      <c r="N191" s="10" t="s">
        <v>756</v>
      </c>
      <c r="O191" s="10" t="s">
        <v>1065</v>
      </c>
      <c r="P191" s="10" t="str">
        <f>VLOOKUP(A191,import!A:P,16,0)</f>
        <v>Geleneksel</v>
      </c>
      <c r="Q191" s="12"/>
      <c r="R191" s="12" t="b">
        <v>1</v>
      </c>
      <c r="S191" s="12" t="b">
        <v>0</v>
      </c>
      <c r="T191" s="13" t="s">
        <v>51</v>
      </c>
      <c r="U191" s="13" t="s">
        <v>52</v>
      </c>
      <c r="V191" s="13" t="s">
        <v>66</v>
      </c>
      <c r="W191" s="13" t="s">
        <v>1066</v>
      </c>
      <c r="X191" s="15">
        <v>44531.0</v>
      </c>
      <c r="Y191" s="15">
        <v>44533.0</v>
      </c>
      <c r="Z191" s="16"/>
      <c r="AA191" s="17" t="s">
        <v>86</v>
      </c>
      <c r="AB191" s="16">
        <v>44504.0</v>
      </c>
      <c r="AC191" s="17" t="s">
        <v>56</v>
      </c>
      <c r="AD191" s="16">
        <v>44531.0</v>
      </c>
      <c r="AE191" s="17" t="s">
        <v>56</v>
      </c>
      <c r="AF191" s="16">
        <v>44576.0</v>
      </c>
      <c r="AG191" s="17"/>
      <c r="AH191" s="16"/>
      <c r="AI191" s="16"/>
      <c r="AJ191" s="16"/>
      <c r="AK191" s="17" t="s">
        <v>108</v>
      </c>
      <c r="AL191" s="17" t="s">
        <v>52</v>
      </c>
      <c r="AM191" s="17" t="s">
        <v>87</v>
      </c>
      <c r="AN191" s="16"/>
      <c r="AO191" s="16"/>
      <c r="AP191" s="18" t="s">
        <v>58</v>
      </c>
      <c r="AQ191" s="16"/>
    </row>
    <row r="192" ht="15.75" hidden="1" customHeight="1">
      <c r="A192" s="10" t="s">
        <v>1067</v>
      </c>
      <c r="B192" s="10" t="s">
        <v>1068</v>
      </c>
      <c r="C192" s="10" t="str">
        <f>VLOOKUP(A192,import!A:C,3,0)</f>
        <v>DOĞRU</v>
      </c>
      <c r="D192" s="10" t="s">
        <v>45</v>
      </c>
      <c r="E192" s="10">
        <f>VLOOKUP(A192,import!A:J,5,0)</f>
        <v>3012</v>
      </c>
      <c r="F192" s="10">
        <f>VLOOKUP(A192,import!A:J,6,0)</f>
        <v>159</v>
      </c>
      <c r="G192" s="10">
        <f>VLOOKUP(A192,import!A:J,7,0)</f>
        <v>0</v>
      </c>
      <c r="H192" s="10">
        <f>VLOOKUP(A192,import!A:J,8,0)</f>
        <v>44</v>
      </c>
      <c r="I192" s="10">
        <f>VLOOKUP(A192,import!A:J,9,0)</f>
        <v>44</v>
      </c>
      <c r="J192" s="11">
        <f>VLOOKUP(A192,import!A:J,10,0)</f>
        <v>0</v>
      </c>
      <c r="K192" s="10" t="s">
        <v>1069</v>
      </c>
      <c r="L192" s="10">
        <v>5.330211305E9</v>
      </c>
      <c r="M192" s="10" t="s">
        <v>72</v>
      </c>
      <c r="N192" s="10" t="s">
        <v>82</v>
      </c>
      <c r="O192" s="10" t="s">
        <v>1070</v>
      </c>
      <c r="P192" s="10" t="str">
        <f>VLOOKUP(A192,import!A:P,16,0)</f>
        <v>Geleneksel</v>
      </c>
      <c r="Q192" s="12" t="s">
        <v>84</v>
      </c>
      <c r="R192" s="12" t="b">
        <v>1</v>
      </c>
      <c r="S192" s="12" t="b">
        <v>1</v>
      </c>
      <c r="T192" s="14"/>
      <c r="U192" s="14" t="s">
        <v>108</v>
      </c>
      <c r="V192" s="14" t="s">
        <v>66</v>
      </c>
      <c r="W192" s="14" t="s">
        <v>1071</v>
      </c>
      <c r="X192" s="29">
        <v>44488.0</v>
      </c>
      <c r="Y192" s="29">
        <v>44489.0</v>
      </c>
      <c r="Z192" s="16"/>
      <c r="AA192" s="17" t="s">
        <v>230</v>
      </c>
      <c r="AB192" s="16">
        <v>44351.0</v>
      </c>
      <c r="AC192" s="17" t="s">
        <v>55</v>
      </c>
      <c r="AD192" s="16">
        <v>44354.0</v>
      </c>
      <c r="AE192" s="17" t="s">
        <v>86</v>
      </c>
      <c r="AF192" s="16">
        <v>44426.0</v>
      </c>
      <c r="AG192" s="17" t="s">
        <v>55</v>
      </c>
      <c r="AH192" s="16">
        <v>44483.0</v>
      </c>
      <c r="AI192" s="17" t="s">
        <v>56</v>
      </c>
      <c r="AJ192" s="16">
        <v>44489.0</v>
      </c>
      <c r="AK192" s="17" t="s">
        <v>360</v>
      </c>
      <c r="AL192" s="17" t="s">
        <v>123</v>
      </c>
      <c r="AM192" s="17" t="s">
        <v>57</v>
      </c>
      <c r="AN192" s="17" t="s">
        <v>103</v>
      </c>
      <c r="AO192" s="17" t="s">
        <v>108</v>
      </c>
      <c r="AP192" s="18" t="s">
        <v>58</v>
      </c>
      <c r="AQ192" s="17"/>
    </row>
    <row r="193" ht="15.75" hidden="1" customHeight="1">
      <c r="A193" s="10" t="s">
        <v>1072</v>
      </c>
      <c r="B193" s="10" t="s">
        <v>1073</v>
      </c>
      <c r="C193" s="10" t="str">
        <f>VLOOKUP(A193,import!A:C,3,0)</f>
        <v>DOĞRU</v>
      </c>
      <c r="D193" s="10" t="s">
        <v>363</v>
      </c>
      <c r="E193" s="10">
        <f>VLOOKUP(A193,import!A:J,5,0)</f>
        <v>3323</v>
      </c>
      <c r="F193" s="10">
        <f>VLOOKUP(A193,import!A:J,6,0)</f>
        <v>268</v>
      </c>
      <c r="G193" s="10">
        <f>VLOOKUP(A193,import!A:J,7,0)</f>
        <v>13</v>
      </c>
      <c r="H193" s="10">
        <f>VLOOKUP(A193,import!A:J,8,0)</f>
        <v>33</v>
      </c>
      <c r="I193" s="10">
        <f>VLOOKUP(A193,import!A:J,9,0)</f>
        <v>46</v>
      </c>
      <c r="J193" s="11">
        <f>VLOOKUP(A193,import!A:J,10,0)</f>
        <v>0.28</v>
      </c>
      <c r="K193" s="10" t="s">
        <v>1074</v>
      </c>
      <c r="L193" s="10">
        <v>5.442286333E9</v>
      </c>
      <c r="M193" s="10" t="s">
        <v>72</v>
      </c>
      <c r="N193" s="10" t="s">
        <v>113</v>
      </c>
      <c r="O193" s="10" t="s">
        <v>1075</v>
      </c>
      <c r="P193" s="10" t="str">
        <f>VLOOKUP(A193,import!A:P,16,0)</f>
        <v>Geleneksel</v>
      </c>
      <c r="Q193" s="12" t="s">
        <v>75</v>
      </c>
      <c r="R193" s="12" t="b">
        <v>1</v>
      </c>
      <c r="S193" s="12" t="b">
        <v>0</v>
      </c>
      <c r="T193" s="13" t="s">
        <v>51</v>
      </c>
      <c r="U193" s="13" t="s">
        <v>545</v>
      </c>
      <c r="V193" s="13" t="s">
        <v>66</v>
      </c>
      <c r="W193" s="23" t="s">
        <v>1076</v>
      </c>
      <c r="X193" s="15">
        <v>44286.0</v>
      </c>
      <c r="Y193" s="15">
        <v>44288.0</v>
      </c>
      <c r="Z193" s="16"/>
      <c r="AA193" s="16"/>
      <c r="AB193" s="16"/>
      <c r="AC193" s="16"/>
      <c r="AD193" s="16"/>
      <c r="AE193" s="17"/>
      <c r="AF193" s="16"/>
      <c r="AG193" s="17"/>
      <c r="AH193" s="16"/>
      <c r="AI193" s="16"/>
      <c r="AJ193" s="16"/>
      <c r="AK193" s="16"/>
      <c r="AL193" s="16"/>
      <c r="AM193" s="16"/>
      <c r="AN193" s="16"/>
      <c r="AO193" s="16"/>
      <c r="AP193" s="18" t="s">
        <v>58</v>
      </c>
      <c r="AQ193" s="16"/>
    </row>
    <row r="194" ht="15.75" hidden="1" customHeight="1">
      <c r="A194" s="10" t="s">
        <v>1077</v>
      </c>
      <c r="B194" s="10" t="s">
        <v>1078</v>
      </c>
      <c r="C194" s="10" t="str">
        <f>VLOOKUP(A194,import!A:C,3,0)</f>
        <v>DOĞRU</v>
      </c>
      <c r="D194" s="10" t="s">
        <v>80</v>
      </c>
      <c r="E194" s="10">
        <f>VLOOKUP(A194,import!A:J,5,0)</f>
        <v>4057</v>
      </c>
      <c r="F194" s="10">
        <f>VLOOKUP(A194,import!A:J,6,0)</f>
        <v>221</v>
      </c>
      <c r="G194" s="10">
        <f>VLOOKUP(A194,import!A:J,7,0)</f>
        <v>0</v>
      </c>
      <c r="H194" s="10">
        <f>VLOOKUP(A194,import!A:J,8,0)</f>
        <v>16</v>
      </c>
      <c r="I194" s="10">
        <f>VLOOKUP(A194,import!A:J,9,0)</f>
        <v>16</v>
      </c>
      <c r="J194" s="11">
        <f>VLOOKUP(A194,import!A:J,10,0)</f>
        <v>0</v>
      </c>
      <c r="K194" s="10" t="s">
        <v>1079</v>
      </c>
      <c r="L194" s="10">
        <v>5.417853999E9</v>
      </c>
      <c r="M194" s="10" t="s">
        <v>72</v>
      </c>
      <c r="N194" s="10" t="s">
        <v>82</v>
      </c>
      <c r="O194" s="10" t="s">
        <v>1080</v>
      </c>
      <c r="P194" s="10" t="str">
        <f>VLOOKUP(A194,import!A:P,16,0)</f>
        <v>Geleneksel</v>
      </c>
      <c r="Q194" s="12" t="s">
        <v>146</v>
      </c>
      <c r="R194" s="12" t="b">
        <v>1</v>
      </c>
      <c r="S194" s="12" t="b">
        <v>0</v>
      </c>
      <c r="T194" s="13" t="s">
        <v>199</v>
      </c>
      <c r="U194" s="13"/>
      <c r="V194" s="13"/>
      <c r="W194" s="13" t="s">
        <v>1081</v>
      </c>
      <c r="X194" s="15"/>
      <c r="Y194" s="15"/>
      <c r="Z194" s="16"/>
      <c r="AA194" s="17" t="s">
        <v>230</v>
      </c>
      <c r="AB194" s="16">
        <v>44517.0</v>
      </c>
      <c r="AC194" s="17" t="s">
        <v>55</v>
      </c>
      <c r="AD194" s="16">
        <v>44551.0</v>
      </c>
      <c r="AE194" s="17" t="s">
        <v>230</v>
      </c>
      <c r="AF194" s="16">
        <v>44565.0</v>
      </c>
      <c r="AG194" s="17" t="s">
        <v>230</v>
      </c>
      <c r="AH194" s="16">
        <v>44578.0</v>
      </c>
      <c r="AI194" s="16"/>
      <c r="AJ194" s="16"/>
      <c r="AK194" s="17" t="s">
        <v>314</v>
      </c>
      <c r="AL194" s="17" t="s">
        <v>314</v>
      </c>
      <c r="AM194" s="17" t="s">
        <v>89</v>
      </c>
      <c r="AN194" s="17" t="s">
        <v>89</v>
      </c>
      <c r="AO194" s="16"/>
      <c r="AP194" s="18" t="s">
        <v>58</v>
      </c>
      <c r="AQ194" s="16"/>
    </row>
    <row r="195" ht="15.75" customHeight="1">
      <c r="A195" s="10" t="s">
        <v>1082</v>
      </c>
      <c r="B195" s="10" t="s">
        <v>1083</v>
      </c>
      <c r="C195" s="10" t="str">
        <f>VLOOKUP(A195,import!A:C,3,0)</f>
        <v>DOĞRU</v>
      </c>
      <c r="D195" s="10" t="s">
        <v>80</v>
      </c>
      <c r="E195" s="10">
        <f>VLOOKUP(A195,import!A:J,5,0)</f>
        <v>567</v>
      </c>
      <c r="F195" s="10">
        <f>VLOOKUP(A195,import!A:J,6,0)</f>
        <v>30</v>
      </c>
      <c r="G195" s="10">
        <f>VLOOKUP(A195,import!A:J,7,0)</f>
        <v>0</v>
      </c>
      <c r="H195" s="10">
        <f>VLOOKUP(A195,import!A:J,8,0)</f>
        <v>4</v>
      </c>
      <c r="I195" s="10">
        <f>VLOOKUP(A195,import!A:J,9,0)</f>
        <v>4</v>
      </c>
      <c r="J195" s="11">
        <f>VLOOKUP(A195,import!A:J,10,0)</f>
        <v>0</v>
      </c>
      <c r="K195" s="10" t="s">
        <v>1084</v>
      </c>
      <c r="L195" s="10">
        <v>5.46665333E9</v>
      </c>
      <c r="M195" s="10" t="s">
        <v>137</v>
      </c>
      <c r="N195" s="10" t="s">
        <v>144</v>
      </c>
      <c r="O195" s="10" t="s">
        <v>1085</v>
      </c>
      <c r="P195" s="10" t="str">
        <f>VLOOKUP(A195,import!A:P,16,0)</f>
        <v>Geleneksel</v>
      </c>
      <c r="Q195" s="12"/>
      <c r="R195" s="12" t="b">
        <v>1</v>
      </c>
      <c r="S195" s="12" t="b">
        <v>0</v>
      </c>
      <c r="T195" s="13" t="s">
        <v>51</v>
      </c>
      <c r="U195" s="13" t="s">
        <v>367</v>
      </c>
      <c r="V195" s="13" t="s">
        <v>66</v>
      </c>
      <c r="W195" s="13" t="s">
        <v>1086</v>
      </c>
      <c r="X195" s="15">
        <v>44484.0</v>
      </c>
      <c r="Y195" s="15">
        <v>44487.0</v>
      </c>
      <c r="Z195" s="16"/>
      <c r="AA195" s="17" t="s">
        <v>55</v>
      </c>
      <c r="AB195" s="16">
        <v>44411.0</v>
      </c>
      <c r="AC195" s="17" t="s">
        <v>56</v>
      </c>
      <c r="AD195" s="16">
        <v>44411.0</v>
      </c>
      <c r="AE195" s="17" t="s">
        <v>56</v>
      </c>
      <c r="AF195" s="16">
        <v>44484.0</v>
      </c>
      <c r="AG195" s="17"/>
      <c r="AH195" s="16"/>
      <c r="AI195" s="16"/>
      <c r="AJ195" s="16"/>
      <c r="AK195" s="17" t="s">
        <v>95</v>
      </c>
      <c r="AL195" s="17" t="s">
        <v>57</v>
      </c>
      <c r="AM195" s="17" t="s">
        <v>367</v>
      </c>
      <c r="AN195" s="16"/>
      <c r="AO195" s="16"/>
      <c r="AP195" s="18" t="s">
        <v>58</v>
      </c>
      <c r="AQ195" s="16"/>
    </row>
    <row r="196" ht="15.75" hidden="1" customHeight="1">
      <c r="A196" s="10" t="s">
        <v>1087</v>
      </c>
      <c r="B196" s="10" t="s">
        <v>1088</v>
      </c>
      <c r="C196" s="10" t="str">
        <f>VLOOKUP(A196,import!A:C,3,0)</f>
        <v>DOĞRU</v>
      </c>
      <c r="D196" s="10" t="s">
        <v>61</v>
      </c>
      <c r="E196" s="10">
        <f>VLOOKUP(A196,import!A:J,5,0)</f>
        <v>2150</v>
      </c>
      <c r="F196" s="10">
        <f>VLOOKUP(A196,import!A:J,6,0)</f>
        <v>160</v>
      </c>
      <c r="G196" s="10">
        <f>VLOOKUP(A196,import!A:J,7,0)</f>
        <v>4</v>
      </c>
      <c r="H196" s="10">
        <f>VLOOKUP(A196,import!A:J,8,0)</f>
        <v>8</v>
      </c>
      <c r="I196" s="10">
        <f>VLOOKUP(A196,import!A:J,9,0)</f>
        <v>12</v>
      </c>
      <c r="J196" s="11">
        <f>VLOOKUP(A196,import!A:J,10,0)</f>
        <v>0.33</v>
      </c>
      <c r="K196" s="10" t="s">
        <v>1089</v>
      </c>
      <c r="L196" s="10">
        <v>5.368464576E9</v>
      </c>
      <c r="M196" s="10" t="s">
        <v>72</v>
      </c>
      <c r="N196" s="10" t="s">
        <v>1090</v>
      </c>
      <c r="O196" s="10" t="s">
        <v>1091</v>
      </c>
      <c r="P196" s="10" t="str">
        <f>VLOOKUP(A196,import!A:P,16,0)</f>
        <v>Geleneksel</v>
      </c>
      <c r="Q196" s="12"/>
      <c r="R196" s="12" t="b">
        <v>1</v>
      </c>
      <c r="S196" s="12" t="b">
        <v>0</v>
      </c>
      <c r="T196" s="13" t="s">
        <v>130</v>
      </c>
      <c r="U196" s="13" t="s">
        <v>133</v>
      </c>
      <c r="V196" s="17" t="s">
        <v>131</v>
      </c>
      <c r="W196" s="13" t="s">
        <v>1092</v>
      </c>
      <c r="X196" s="15">
        <v>44638.0</v>
      </c>
      <c r="Y196" s="15">
        <v>44641.0</v>
      </c>
      <c r="Z196" s="16"/>
      <c r="AA196" s="17" t="s">
        <v>56</v>
      </c>
      <c r="AB196" s="16">
        <v>44431.0</v>
      </c>
      <c r="AC196" s="17" t="s">
        <v>86</v>
      </c>
      <c r="AD196" s="16">
        <v>44551.0</v>
      </c>
      <c r="AE196" s="17" t="s">
        <v>56</v>
      </c>
      <c r="AF196" s="16">
        <v>44590.0</v>
      </c>
      <c r="AG196" s="17" t="s">
        <v>56</v>
      </c>
      <c r="AH196" s="16">
        <v>44638.0</v>
      </c>
      <c r="AI196" s="16"/>
      <c r="AJ196" s="16"/>
      <c r="AK196" s="17" t="s">
        <v>926</v>
      </c>
      <c r="AL196" s="17" t="s">
        <v>314</v>
      </c>
      <c r="AM196" s="17" t="s">
        <v>89</v>
      </c>
      <c r="AN196" s="17" t="s">
        <v>133</v>
      </c>
      <c r="AO196" s="16"/>
      <c r="AP196" s="18" t="s">
        <v>58</v>
      </c>
      <c r="AQ196" s="16"/>
    </row>
    <row r="197" ht="15.75" customHeight="1">
      <c r="A197" s="10" t="s">
        <v>1093</v>
      </c>
      <c r="B197" s="10" t="s">
        <v>1094</v>
      </c>
      <c r="C197" s="10" t="str">
        <f>VLOOKUP(A197,import!A:C,3,0)</f>
        <v>DOĞRU</v>
      </c>
      <c r="D197" s="10" t="s">
        <v>61</v>
      </c>
      <c r="E197" s="10">
        <f>VLOOKUP(A197,import!A:J,5,0)</f>
        <v>1742</v>
      </c>
      <c r="F197" s="10">
        <f>VLOOKUP(A197,import!A:J,6,0)</f>
        <v>80</v>
      </c>
      <c r="G197" s="10">
        <f>VLOOKUP(A197,import!A:J,7,0)</f>
        <v>5</v>
      </c>
      <c r="H197" s="10">
        <f>VLOOKUP(A197,import!A:J,8,0)</f>
        <v>6</v>
      </c>
      <c r="I197" s="10">
        <f>VLOOKUP(A197,import!A:J,9,0)</f>
        <v>11</v>
      </c>
      <c r="J197" s="11">
        <f>VLOOKUP(A197,import!A:J,10,0)</f>
        <v>0.45</v>
      </c>
      <c r="K197" s="10" t="s">
        <v>1095</v>
      </c>
      <c r="L197" s="10">
        <v>5.34653258E9</v>
      </c>
      <c r="M197" s="10" t="s">
        <v>137</v>
      </c>
      <c r="N197" s="10" t="s">
        <v>318</v>
      </c>
      <c r="O197" s="10" t="s">
        <v>1096</v>
      </c>
      <c r="P197" s="10" t="str">
        <f>VLOOKUP(A197,import!A:P,16,0)</f>
        <v>Geleneksel</v>
      </c>
      <c r="Q197" s="12" t="s">
        <v>50</v>
      </c>
      <c r="R197" s="12" t="b">
        <v>1</v>
      </c>
      <c r="S197" s="12" t="b">
        <v>0</v>
      </c>
      <c r="T197" s="13" t="s">
        <v>51</v>
      </c>
      <c r="U197" s="13" t="s">
        <v>103</v>
      </c>
      <c r="V197" s="13" t="s">
        <v>66</v>
      </c>
      <c r="W197" s="13" t="s">
        <v>1097</v>
      </c>
      <c r="X197" s="15">
        <v>44489.0</v>
      </c>
      <c r="Y197" s="15">
        <v>44490.0</v>
      </c>
      <c r="Z197" s="16"/>
      <c r="AA197" s="17" t="s">
        <v>56</v>
      </c>
      <c r="AB197" s="16">
        <v>44484.0</v>
      </c>
      <c r="AC197" s="17" t="s">
        <v>56</v>
      </c>
      <c r="AD197" s="16">
        <v>44489.0</v>
      </c>
      <c r="AE197" s="17" t="s">
        <v>56</v>
      </c>
      <c r="AF197" s="16">
        <v>44557.0</v>
      </c>
      <c r="AG197" s="17"/>
      <c r="AH197" s="16"/>
      <c r="AI197" s="16"/>
      <c r="AJ197" s="16"/>
      <c r="AK197" s="17" t="s">
        <v>367</v>
      </c>
      <c r="AL197" s="17" t="s">
        <v>103</v>
      </c>
      <c r="AM197" s="17" t="s">
        <v>321</v>
      </c>
      <c r="AN197" s="16"/>
      <c r="AO197" s="16"/>
      <c r="AP197" s="18" t="s">
        <v>58</v>
      </c>
      <c r="AQ197" s="16"/>
    </row>
    <row r="198" ht="15.75" hidden="1" customHeight="1">
      <c r="A198" s="18" t="s">
        <v>1098</v>
      </c>
      <c r="B198" s="18" t="s">
        <v>1099</v>
      </c>
      <c r="C198" s="10" t="str">
        <f>VLOOKUP(A198,import!A:C,3,0)</f>
        <v>DOĞRU</v>
      </c>
      <c r="D198" s="18" t="s">
        <v>61</v>
      </c>
      <c r="E198" s="10">
        <f>VLOOKUP(A198,import!A:J,5,0)</f>
        <v>125</v>
      </c>
      <c r="F198" s="10">
        <f>VLOOKUP(A198,import!A:J,6,0)</f>
        <v>125</v>
      </c>
      <c r="G198" s="10">
        <f>VLOOKUP(A198,import!A:J,7,0)</f>
        <v>0</v>
      </c>
      <c r="H198" s="10">
        <f>VLOOKUP(A198,import!A:J,8,0)</f>
        <v>15</v>
      </c>
      <c r="I198" s="10">
        <f>VLOOKUP(A198,import!A:J,9,0)</f>
        <v>15</v>
      </c>
      <c r="J198" s="11">
        <f>VLOOKUP(A198,import!A:J,10,0)</f>
        <v>0</v>
      </c>
      <c r="K198" s="18" t="s">
        <v>1100</v>
      </c>
      <c r="L198" s="18">
        <v>5.326845633E9</v>
      </c>
      <c r="M198" s="18" t="s">
        <v>215</v>
      </c>
      <c r="N198" s="18" t="s">
        <v>658</v>
      </c>
      <c r="O198" s="18" t="s">
        <v>1101</v>
      </c>
      <c r="P198" s="10" t="str">
        <f>VLOOKUP(A198,import!A:P,16,0)</f>
        <v>Geleneksel</v>
      </c>
      <c r="Q198" s="12"/>
      <c r="R198" s="12" t="b">
        <v>0</v>
      </c>
      <c r="S198" s="12" t="b">
        <v>0</v>
      </c>
      <c r="T198" s="13"/>
      <c r="U198" s="13"/>
      <c r="V198" s="13"/>
      <c r="W198" s="13"/>
      <c r="X198" s="15"/>
      <c r="Y198" s="15"/>
      <c r="Z198" s="16"/>
      <c r="AA198" s="17"/>
      <c r="AB198" s="16"/>
      <c r="AC198" s="16"/>
      <c r="AD198" s="16"/>
      <c r="AE198" s="17"/>
      <c r="AF198" s="16"/>
      <c r="AG198" s="17"/>
      <c r="AH198" s="16"/>
      <c r="AI198" s="16"/>
      <c r="AJ198" s="16"/>
      <c r="AK198" s="17"/>
      <c r="AL198" s="16"/>
      <c r="AM198" s="16"/>
      <c r="AN198" s="16"/>
      <c r="AO198" s="16"/>
      <c r="AP198" s="18"/>
      <c r="AQ198" s="16"/>
    </row>
    <row r="199" ht="15.75" customHeight="1">
      <c r="A199" s="10" t="s">
        <v>1102</v>
      </c>
      <c r="B199" s="10" t="s">
        <v>1103</v>
      </c>
      <c r="C199" s="10" t="str">
        <f>VLOOKUP(A199,import!A:C,3,0)</f>
        <v>DOĞRU</v>
      </c>
      <c r="D199" s="10" t="s">
        <v>80</v>
      </c>
      <c r="E199" s="10">
        <f>VLOOKUP(A199,import!A:J,5,0)</f>
        <v>499</v>
      </c>
      <c r="F199" s="10">
        <f>VLOOKUP(A199,import!A:J,6,0)</f>
        <v>40</v>
      </c>
      <c r="G199" s="10">
        <f>VLOOKUP(A199,import!A:J,7,0)</f>
        <v>13</v>
      </c>
      <c r="H199" s="10">
        <f>VLOOKUP(A199,import!A:J,8,0)</f>
        <v>10</v>
      </c>
      <c r="I199" s="10">
        <f>VLOOKUP(A199,import!A:J,9,0)</f>
        <v>23</v>
      </c>
      <c r="J199" s="11">
        <f>VLOOKUP(A199,import!A:J,10,0)</f>
        <v>0.57</v>
      </c>
      <c r="K199" s="10" t="s">
        <v>1104</v>
      </c>
      <c r="L199" s="10">
        <v>3.242342525E9</v>
      </c>
      <c r="M199" s="10" t="s">
        <v>137</v>
      </c>
      <c r="N199" s="10" t="s">
        <v>1105</v>
      </c>
      <c r="O199" s="10" t="s">
        <v>1106</v>
      </c>
      <c r="P199" s="10" t="str">
        <f>VLOOKUP(A199,import!A:P,16,0)</f>
        <v>Geleneksel</v>
      </c>
      <c r="Q199" s="12"/>
      <c r="R199" s="12" t="b">
        <v>1</v>
      </c>
      <c r="S199" s="12" t="b">
        <v>0</v>
      </c>
      <c r="T199" s="13" t="s">
        <v>272</v>
      </c>
      <c r="U199" s="13" t="s">
        <v>321</v>
      </c>
      <c r="V199" s="13" t="s">
        <v>53</v>
      </c>
      <c r="W199" s="13" t="s">
        <v>1107</v>
      </c>
      <c r="X199" s="15">
        <v>44557.0</v>
      </c>
      <c r="Y199" s="15">
        <v>44558.0</v>
      </c>
      <c r="Z199" s="16"/>
      <c r="AA199" s="17" t="s">
        <v>56</v>
      </c>
      <c r="AB199" s="16">
        <v>44515.0</v>
      </c>
      <c r="AC199" s="17" t="s">
        <v>56</v>
      </c>
      <c r="AD199" s="16">
        <v>44526.0</v>
      </c>
      <c r="AE199" s="17" t="s">
        <v>56</v>
      </c>
      <c r="AF199" s="16">
        <v>44529.0</v>
      </c>
      <c r="AG199" s="17" t="s">
        <v>56</v>
      </c>
      <c r="AH199" s="16">
        <v>44533.0</v>
      </c>
      <c r="AI199" s="17" t="s">
        <v>56</v>
      </c>
      <c r="AJ199" s="16">
        <v>44558.0</v>
      </c>
      <c r="AK199" s="17" t="s">
        <v>89</v>
      </c>
      <c r="AL199" s="17" t="s">
        <v>89</v>
      </c>
      <c r="AM199" s="17" t="s">
        <v>89</v>
      </c>
      <c r="AN199" s="17" t="s">
        <v>108</v>
      </c>
      <c r="AO199" s="17" t="s">
        <v>321</v>
      </c>
      <c r="AP199" s="18" t="s">
        <v>58</v>
      </c>
      <c r="AQ199" s="16"/>
    </row>
    <row r="200" ht="15.75" hidden="1" customHeight="1">
      <c r="A200" s="10" t="s">
        <v>1108</v>
      </c>
      <c r="B200" s="10" t="s">
        <v>1109</v>
      </c>
      <c r="C200" s="10" t="str">
        <f>VLOOKUP(A200,import!A:C,3,0)</f>
        <v>DOĞRU</v>
      </c>
      <c r="D200" s="10" t="s">
        <v>61</v>
      </c>
      <c r="E200" s="10">
        <f>VLOOKUP(A200,import!A:J,5,0)</f>
        <v>470</v>
      </c>
      <c r="F200" s="10">
        <f>VLOOKUP(A200,import!A:J,6,0)</f>
        <v>19</v>
      </c>
      <c r="G200" s="10">
        <f>VLOOKUP(A200,import!A:J,7,0)</f>
        <v>5</v>
      </c>
      <c r="H200" s="10">
        <f>VLOOKUP(A200,import!A:J,8,0)</f>
        <v>3</v>
      </c>
      <c r="I200" s="10">
        <f>VLOOKUP(A200,import!A:J,9,0)</f>
        <v>8</v>
      </c>
      <c r="J200" s="11">
        <f>VLOOKUP(A200,import!A:J,10,0)</f>
        <v>0.63</v>
      </c>
      <c r="K200" s="10" t="s">
        <v>1110</v>
      </c>
      <c r="L200" s="10">
        <v>3.2451552E9</v>
      </c>
      <c r="M200" s="10" t="s">
        <v>47</v>
      </c>
      <c r="N200" s="10" t="s">
        <v>515</v>
      </c>
      <c r="O200" s="10" t="s">
        <v>1111</v>
      </c>
      <c r="P200" s="10" t="str">
        <f>VLOOKUP(A200,import!A:P,16,0)</f>
        <v>Geleneksel</v>
      </c>
      <c r="Q200" s="12"/>
      <c r="R200" s="12" t="b">
        <v>1</v>
      </c>
      <c r="S200" s="12" t="b">
        <v>0</v>
      </c>
      <c r="T200" s="13" t="s">
        <v>51</v>
      </c>
      <c r="U200" s="13" t="s">
        <v>89</v>
      </c>
      <c r="V200" s="13" t="s">
        <v>53</v>
      </c>
      <c r="W200" s="13"/>
      <c r="X200" s="15">
        <v>44499.0</v>
      </c>
      <c r="Y200" s="15">
        <v>44504.0</v>
      </c>
      <c r="Z200" s="16"/>
      <c r="AA200" s="17" t="s">
        <v>56</v>
      </c>
      <c r="AB200" s="16">
        <v>44499.0</v>
      </c>
      <c r="AC200" s="16"/>
      <c r="AD200" s="16"/>
      <c r="AE200" s="17"/>
      <c r="AF200" s="16"/>
      <c r="AG200" s="17"/>
      <c r="AH200" s="16"/>
      <c r="AI200" s="16"/>
      <c r="AJ200" s="16"/>
      <c r="AK200" s="17" t="s">
        <v>89</v>
      </c>
      <c r="AL200" s="16"/>
      <c r="AM200" s="16"/>
      <c r="AN200" s="16"/>
      <c r="AO200" s="16"/>
      <c r="AP200" s="18" t="s">
        <v>58</v>
      </c>
      <c r="AQ200" s="16"/>
    </row>
    <row r="201" ht="15.75" hidden="1" customHeight="1">
      <c r="A201" s="10" t="s">
        <v>1112</v>
      </c>
      <c r="B201" s="10" t="s">
        <v>1113</v>
      </c>
      <c r="C201" s="10" t="str">
        <f>VLOOKUP(A201,import!A:C,3,0)</f>
        <v>DOĞRU</v>
      </c>
      <c r="D201" s="10" t="s">
        <v>106</v>
      </c>
      <c r="E201" s="10">
        <f>VLOOKUP(A201,import!A:J,5,0)</f>
        <v>334</v>
      </c>
      <c r="F201" s="10">
        <f>VLOOKUP(A201,import!A:J,6,0)</f>
        <v>83</v>
      </c>
      <c r="G201" s="10">
        <f>VLOOKUP(A201,import!A:J,7,0)</f>
        <v>0</v>
      </c>
      <c r="H201" s="10">
        <f>VLOOKUP(A201,import!A:J,8,0)</f>
        <v>42</v>
      </c>
      <c r="I201" s="10">
        <f>VLOOKUP(A201,import!A:J,9,0)</f>
        <v>42</v>
      </c>
      <c r="J201" s="11">
        <f>VLOOKUP(A201,import!A:J,10,0)</f>
        <v>0</v>
      </c>
      <c r="K201" s="10" t="s">
        <v>1114</v>
      </c>
      <c r="L201" s="10">
        <v>5.395490133E9</v>
      </c>
      <c r="M201" s="10" t="s">
        <v>156</v>
      </c>
      <c r="N201" s="10" t="s">
        <v>252</v>
      </c>
      <c r="O201" s="10" t="s">
        <v>1115</v>
      </c>
      <c r="P201" s="10" t="str">
        <f>VLOOKUP(A201,import!A:P,16,0)</f>
        <v>Geleneksel</v>
      </c>
      <c r="Q201" s="12"/>
      <c r="R201" s="12" t="b">
        <v>0</v>
      </c>
      <c r="S201" s="12" t="b">
        <v>0</v>
      </c>
      <c r="T201" s="13"/>
      <c r="U201" s="13"/>
      <c r="V201" s="13"/>
      <c r="W201" s="13"/>
      <c r="X201" s="15"/>
      <c r="Y201" s="15"/>
      <c r="Z201" s="16"/>
      <c r="AA201" s="17"/>
      <c r="AB201" s="16"/>
      <c r="AC201" s="16"/>
      <c r="AD201" s="16"/>
      <c r="AE201" s="17"/>
      <c r="AF201" s="16"/>
      <c r="AG201" s="17"/>
      <c r="AH201" s="16"/>
      <c r="AI201" s="16"/>
      <c r="AJ201" s="16"/>
      <c r="AK201" s="17"/>
      <c r="AL201" s="16"/>
      <c r="AM201" s="16"/>
      <c r="AN201" s="16"/>
      <c r="AO201" s="16"/>
      <c r="AP201" s="18"/>
      <c r="AQ201" s="16"/>
    </row>
    <row r="202" ht="15.75" hidden="1" customHeight="1">
      <c r="A202" s="10" t="s">
        <v>1116</v>
      </c>
      <c r="B202" s="10" t="s">
        <v>1117</v>
      </c>
      <c r="C202" s="10" t="str">
        <f>VLOOKUP(A202,import!A:C,3,0)</f>
        <v>DOĞRU</v>
      </c>
      <c r="D202" s="10" t="s">
        <v>118</v>
      </c>
      <c r="E202" s="10">
        <f>VLOOKUP(A202,import!A:J,5,0)</f>
        <v>1377</v>
      </c>
      <c r="F202" s="10">
        <f>VLOOKUP(A202,import!A:J,6,0)</f>
        <v>53</v>
      </c>
      <c r="G202" s="10">
        <f>VLOOKUP(A202,import!A:J,7,0)</f>
        <v>0</v>
      </c>
      <c r="H202" s="10">
        <f>VLOOKUP(A202,import!A:J,8,0)</f>
        <v>32</v>
      </c>
      <c r="I202" s="10">
        <f>VLOOKUP(A202,import!A:J,9,0)</f>
        <v>32</v>
      </c>
      <c r="J202" s="11">
        <f>VLOOKUP(A202,import!A:J,10,0)</f>
        <v>0</v>
      </c>
      <c r="K202" s="10" t="s">
        <v>1118</v>
      </c>
      <c r="L202" s="10">
        <v>5.31781433E9</v>
      </c>
      <c r="M202" s="10" t="s">
        <v>47</v>
      </c>
      <c r="N202" s="10" t="s">
        <v>365</v>
      </c>
      <c r="O202" s="10" t="s">
        <v>1119</v>
      </c>
      <c r="P202" s="10" t="str">
        <f>VLOOKUP(A202,import!A:P,16,0)</f>
        <v>Geleneksel</v>
      </c>
      <c r="Q202" s="12"/>
      <c r="R202" s="12" t="b">
        <v>1</v>
      </c>
      <c r="S202" s="12" t="b">
        <v>0</v>
      </c>
      <c r="T202" s="13" t="s">
        <v>130</v>
      </c>
      <c r="U202" s="13"/>
      <c r="V202" s="13"/>
      <c r="W202" s="13" t="s">
        <v>1120</v>
      </c>
      <c r="X202" s="15"/>
      <c r="Y202" s="15"/>
      <c r="Z202" s="16"/>
      <c r="AA202" s="16"/>
      <c r="AB202" s="16"/>
      <c r="AC202" s="16"/>
      <c r="AD202" s="16"/>
      <c r="AE202" s="17"/>
      <c r="AF202" s="16"/>
      <c r="AG202" s="17"/>
      <c r="AH202" s="16"/>
      <c r="AI202" s="16"/>
      <c r="AJ202" s="16"/>
      <c r="AK202" s="16"/>
      <c r="AL202" s="16"/>
      <c r="AM202" s="16"/>
      <c r="AN202" s="16"/>
      <c r="AO202" s="16"/>
      <c r="AP202" s="18" t="s">
        <v>58</v>
      </c>
      <c r="AQ202" s="16"/>
    </row>
    <row r="203" ht="15.75" hidden="1" customHeight="1">
      <c r="A203" s="10" t="s">
        <v>1121</v>
      </c>
      <c r="B203" s="10" t="s">
        <v>1122</v>
      </c>
      <c r="C203" s="10" t="str">
        <f>VLOOKUP(A203,import!A:C,3,0)</f>
        <v>DOĞRU</v>
      </c>
      <c r="D203" s="10" t="s">
        <v>80</v>
      </c>
      <c r="E203" s="10">
        <f>VLOOKUP(A203,import!A:J,5,0)</f>
        <v>123</v>
      </c>
      <c r="F203" s="10">
        <f>VLOOKUP(A203,import!A:J,6,0)</f>
        <v>36</v>
      </c>
      <c r="G203" s="10">
        <f>VLOOKUP(A203,import!A:J,7,0)</f>
        <v>10</v>
      </c>
      <c r="H203" s="10">
        <f>VLOOKUP(A203,import!A:J,8,0)</f>
        <v>2</v>
      </c>
      <c r="I203" s="10">
        <f>VLOOKUP(A203,import!A:J,9,0)</f>
        <v>12</v>
      </c>
      <c r="J203" s="11">
        <f>VLOOKUP(A203,import!A:J,10,0)</f>
        <v>0.83</v>
      </c>
      <c r="K203" s="10" t="s">
        <v>1123</v>
      </c>
      <c r="L203" s="10">
        <v>5.306781683E9</v>
      </c>
      <c r="M203" s="10" t="s">
        <v>72</v>
      </c>
      <c r="N203" s="10" t="s">
        <v>415</v>
      </c>
      <c r="O203" s="10" t="s">
        <v>1124</v>
      </c>
      <c r="P203" s="10" t="str">
        <f>VLOOKUP(A203,import!A:P,16,0)</f>
        <v>Geleneksel</v>
      </c>
      <c r="Q203" s="12" t="s">
        <v>50</v>
      </c>
      <c r="R203" s="12" t="b">
        <v>1</v>
      </c>
      <c r="S203" s="12" t="b">
        <v>0</v>
      </c>
      <c r="T203" s="13" t="s">
        <v>51</v>
      </c>
      <c r="U203" s="13" t="s">
        <v>545</v>
      </c>
      <c r="V203" s="19" t="s">
        <v>66</v>
      </c>
      <c r="W203" s="13"/>
      <c r="X203" s="15">
        <v>44295.0</v>
      </c>
      <c r="Y203" s="15">
        <v>44299.0</v>
      </c>
      <c r="Z203" s="16"/>
      <c r="AA203" s="16"/>
      <c r="AB203" s="16"/>
      <c r="AC203" s="16"/>
      <c r="AD203" s="16"/>
      <c r="AE203" s="17"/>
      <c r="AF203" s="16"/>
      <c r="AG203" s="17"/>
      <c r="AH203" s="16"/>
      <c r="AI203" s="16"/>
      <c r="AJ203" s="16"/>
      <c r="AK203" s="16"/>
      <c r="AL203" s="16"/>
      <c r="AM203" s="16"/>
      <c r="AN203" s="16"/>
      <c r="AO203" s="16"/>
      <c r="AP203" s="18" t="s">
        <v>58</v>
      </c>
      <c r="AQ203" s="16"/>
    </row>
    <row r="204" ht="15.75" hidden="1" customHeight="1">
      <c r="A204" s="10" t="s">
        <v>1125</v>
      </c>
      <c r="B204" s="10" t="s">
        <v>1126</v>
      </c>
      <c r="C204" s="10" t="str">
        <f>VLOOKUP(A204,import!A:C,3,0)</f>
        <v>DOĞRU</v>
      </c>
      <c r="D204" s="10" t="s">
        <v>45</v>
      </c>
      <c r="E204" s="10">
        <f>VLOOKUP(A204,import!A:J,5,0)</f>
        <v>3030</v>
      </c>
      <c r="F204" s="10">
        <f>VLOOKUP(A204,import!A:J,6,0)</f>
        <v>246</v>
      </c>
      <c r="G204" s="10">
        <f>VLOOKUP(A204,import!A:J,7,0)</f>
        <v>13</v>
      </c>
      <c r="H204" s="10">
        <f>VLOOKUP(A204,import!A:J,8,0)</f>
        <v>47</v>
      </c>
      <c r="I204" s="10">
        <f>VLOOKUP(A204,import!A:J,9,0)</f>
        <v>60</v>
      </c>
      <c r="J204" s="11">
        <f>VLOOKUP(A204,import!A:J,10,0)</f>
        <v>0.22</v>
      </c>
      <c r="K204" s="10" t="s">
        <v>1127</v>
      </c>
      <c r="L204" s="10">
        <v>5.523036633E9</v>
      </c>
      <c r="M204" s="10" t="s">
        <v>72</v>
      </c>
      <c r="N204" s="10" t="s">
        <v>73</v>
      </c>
      <c r="O204" s="10" t="s">
        <v>1128</v>
      </c>
      <c r="P204" s="10" t="str">
        <f>VLOOKUP(A204,import!A:P,16,0)</f>
        <v>Geleneksel</v>
      </c>
      <c r="Q204" s="12"/>
      <c r="R204" s="12" t="b">
        <v>1</v>
      </c>
      <c r="S204" s="12" t="b">
        <v>0</v>
      </c>
      <c r="T204" s="13" t="s">
        <v>272</v>
      </c>
      <c r="U204" s="13" t="s">
        <v>133</v>
      </c>
      <c r="V204" s="19" t="s">
        <v>66</v>
      </c>
      <c r="W204" s="13" t="s">
        <v>273</v>
      </c>
      <c r="X204" s="15">
        <v>44572.0</v>
      </c>
      <c r="Y204" s="15">
        <v>44574.0</v>
      </c>
      <c r="Z204" s="16"/>
      <c r="AA204" s="17" t="s">
        <v>55</v>
      </c>
      <c r="AB204" s="16">
        <v>44501.0</v>
      </c>
      <c r="AC204" s="17" t="s">
        <v>56</v>
      </c>
      <c r="AD204" s="16">
        <v>44501.0</v>
      </c>
      <c r="AE204" s="17" t="s">
        <v>56</v>
      </c>
      <c r="AF204" s="16">
        <v>44572.0</v>
      </c>
      <c r="AG204" s="17"/>
      <c r="AH204" s="16"/>
      <c r="AI204" s="16"/>
      <c r="AJ204" s="16"/>
      <c r="AK204" s="17" t="s">
        <v>52</v>
      </c>
      <c r="AL204" s="17" t="s">
        <v>52</v>
      </c>
      <c r="AM204" s="17" t="s">
        <v>133</v>
      </c>
      <c r="AN204" s="16"/>
      <c r="AO204" s="16"/>
      <c r="AP204" s="18" t="s">
        <v>58</v>
      </c>
      <c r="AQ204" s="16"/>
    </row>
    <row r="205" ht="15.75" hidden="1" customHeight="1">
      <c r="A205" s="10" t="s">
        <v>1129</v>
      </c>
      <c r="B205" s="10" t="s">
        <v>1130</v>
      </c>
      <c r="C205" s="10" t="str">
        <f>VLOOKUP(A205,import!A:C,3,0)</f>
        <v>DOĞRU</v>
      </c>
      <c r="D205" s="10" t="s">
        <v>913</v>
      </c>
      <c r="E205" s="10">
        <f>VLOOKUP(A205,import!A:J,5,0)</f>
        <v>1968</v>
      </c>
      <c r="F205" s="10">
        <f>VLOOKUP(A205,import!A:J,6,0)</f>
        <v>86</v>
      </c>
      <c r="G205" s="10">
        <f>VLOOKUP(A205,import!A:J,7,0)</f>
        <v>0</v>
      </c>
      <c r="H205" s="10">
        <f>VLOOKUP(A205,import!A:J,8,0)</f>
        <v>72</v>
      </c>
      <c r="I205" s="10">
        <f>VLOOKUP(A205,import!A:J,9,0)</f>
        <v>72</v>
      </c>
      <c r="J205" s="11">
        <f>VLOOKUP(A205,import!A:J,10,0)</f>
        <v>0</v>
      </c>
      <c r="K205" s="10" t="s">
        <v>1131</v>
      </c>
      <c r="L205" s="10">
        <v>3.24329292E9</v>
      </c>
      <c r="M205" s="10" t="s">
        <v>72</v>
      </c>
      <c r="N205" s="10" t="s">
        <v>73</v>
      </c>
      <c r="O205" s="10" t="s">
        <v>1132</v>
      </c>
      <c r="P205" s="10" t="str">
        <f>VLOOKUP(A205,import!A:P,16,0)</f>
        <v>Geleneksel</v>
      </c>
      <c r="Q205" s="12" t="s">
        <v>84</v>
      </c>
      <c r="R205" s="12" t="b">
        <v>1</v>
      </c>
      <c r="S205" s="12" t="b">
        <v>0</v>
      </c>
      <c r="T205" s="14" t="s">
        <v>51</v>
      </c>
      <c r="U205" s="14" t="s">
        <v>437</v>
      </c>
      <c r="V205" s="14" t="s">
        <v>53</v>
      </c>
      <c r="W205" s="14" t="s">
        <v>1133</v>
      </c>
      <c r="X205" s="29">
        <v>44305.0</v>
      </c>
      <c r="Y205" s="29">
        <v>44306.0</v>
      </c>
      <c r="Z205" s="16"/>
      <c r="AA205" s="17" t="s">
        <v>56</v>
      </c>
      <c r="AB205" s="16">
        <v>44533.0</v>
      </c>
      <c r="AC205" s="17" t="s">
        <v>56</v>
      </c>
      <c r="AD205" s="16">
        <v>44574.0</v>
      </c>
      <c r="AE205" s="17" t="s">
        <v>230</v>
      </c>
      <c r="AF205" s="16">
        <v>44211.0</v>
      </c>
      <c r="AG205" s="17" t="s">
        <v>56</v>
      </c>
      <c r="AH205" s="16">
        <v>44601.0</v>
      </c>
      <c r="AI205" s="17" t="s">
        <v>56</v>
      </c>
      <c r="AJ205" s="16">
        <v>44636.0</v>
      </c>
      <c r="AK205" s="17" t="s">
        <v>108</v>
      </c>
      <c r="AL205" s="17" t="s">
        <v>89</v>
      </c>
      <c r="AM205" s="17" t="s">
        <v>87</v>
      </c>
      <c r="AN205" s="17" t="s">
        <v>89</v>
      </c>
      <c r="AO205" s="17" t="s">
        <v>133</v>
      </c>
      <c r="AP205" s="18" t="s">
        <v>58</v>
      </c>
      <c r="AQ205" s="16"/>
    </row>
    <row r="206" ht="15.75" hidden="1" customHeight="1">
      <c r="A206" s="10" t="s">
        <v>1134</v>
      </c>
      <c r="B206" s="10" t="s">
        <v>1135</v>
      </c>
      <c r="C206" s="10" t="str">
        <f>VLOOKUP(A206,import!A:C,3,0)</f>
        <v>DOĞRU</v>
      </c>
      <c r="D206" s="10" t="s">
        <v>1136</v>
      </c>
      <c r="E206" s="10">
        <f>VLOOKUP(A206,import!A:J,5,0)</f>
        <v>113</v>
      </c>
      <c r="F206" s="10">
        <f>VLOOKUP(A206,import!A:J,6,0)</f>
        <v>18</v>
      </c>
      <c r="G206" s="10">
        <f>VLOOKUP(A206,import!A:J,7,0)</f>
        <v>0</v>
      </c>
      <c r="H206" s="10">
        <f>VLOOKUP(A206,import!A:J,8,0)</f>
        <v>101</v>
      </c>
      <c r="I206" s="10">
        <f>VLOOKUP(A206,import!A:J,9,0)</f>
        <v>101</v>
      </c>
      <c r="J206" s="11">
        <f>VLOOKUP(A206,import!A:J,10,0)</f>
        <v>0</v>
      </c>
      <c r="K206" s="10" t="s">
        <v>1137</v>
      </c>
      <c r="L206" s="10">
        <v>5.069133383E9</v>
      </c>
      <c r="M206" s="10" t="s">
        <v>72</v>
      </c>
      <c r="N206" s="10" t="s">
        <v>538</v>
      </c>
      <c r="O206" s="10" t="s">
        <v>1138</v>
      </c>
      <c r="P206" s="10" t="str">
        <f>VLOOKUP(A206,import!A:P,16,0)</f>
        <v>Geleneksel</v>
      </c>
      <c r="Q206" s="12"/>
      <c r="R206" s="12" t="b">
        <v>1</v>
      </c>
      <c r="S206" s="12" t="b">
        <v>0</v>
      </c>
      <c r="T206" s="13" t="s">
        <v>199</v>
      </c>
      <c r="U206" s="13"/>
      <c r="V206" s="13"/>
      <c r="W206" s="13" t="s">
        <v>1139</v>
      </c>
      <c r="X206" s="15"/>
      <c r="Y206" s="15"/>
      <c r="Z206" s="16"/>
      <c r="AA206" s="17" t="s">
        <v>265</v>
      </c>
      <c r="AB206" s="16">
        <v>44627.0</v>
      </c>
      <c r="AC206" s="17" t="s">
        <v>56</v>
      </c>
      <c r="AD206" s="16">
        <v>44629.0</v>
      </c>
      <c r="AE206" s="17"/>
      <c r="AF206" s="16"/>
      <c r="AG206" s="17"/>
      <c r="AH206" s="16"/>
      <c r="AI206" s="16"/>
      <c r="AJ206" s="16"/>
      <c r="AK206" s="17" t="s">
        <v>52</v>
      </c>
      <c r="AL206" s="17" t="s">
        <v>133</v>
      </c>
      <c r="AM206" s="16"/>
      <c r="AN206" s="16"/>
      <c r="AO206" s="16"/>
      <c r="AP206" s="18"/>
      <c r="AQ206" s="16"/>
    </row>
    <row r="207" ht="15.75" customHeight="1">
      <c r="A207" s="10" t="s">
        <v>1140</v>
      </c>
      <c r="B207" s="10" t="s">
        <v>1141</v>
      </c>
      <c r="C207" s="10" t="str">
        <f>VLOOKUP(A207,import!A:C,3,0)</f>
        <v>DOĞRU</v>
      </c>
      <c r="D207" s="10" t="s">
        <v>45</v>
      </c>
      <c r="E207" s="10">
        <f>VLOOKUP(A207,import!A:J,5,0)</f>
        <v>1351</v>
      </c>
      <c r="F207" s="10">
        <f>VLOOKUP(A207,import!A:J,6,0)</f>
        <v>164</v>
      </c>
      <c r="G207" s="10">
        <f>VLOOKUP(A207,import!A:J,7,0)</f>
        <v>42</v>
      </c>
      <c r="H207" s="10">
        <f>VLOOKUP(A207,import!A:J,8,0)</f>
        <v>18</v>
      </c>
      <c r="I207" s="10">
        <f>VLOOKUP(A207,import!A:J,9,0)</f>
        <v>60</v>
      </c>
      <c r="J207" s="11">
        <f>VLOOKUP(A207,import!A:J,10,0)</f>
        <v>0.7</v>
      </c>
      <c r="K207" s="10" t="s">
        <v>1142</v>
      </c>
      <c r="L207" s="10">
        <v>5.078744198E9</v>
      </c>
      <c r="M207" s="10" t="s">
        <v>63</v>
      </c>
      <c r="N207" s="10" t="s">
        <v>93</v>
      </c>
      <c r="O207" s="10" t="s">
        <v>1143</v>
      </c>
      <c r="P207" s="10" t="str">
        <f>VLOOKUP(A207,import!A:P,16,0)</f>
        <v>Geleneksel</v>
      </c>
      <c r="Q207" s="12"/>
      <c r="R207" s="12" t="b">
        <v>1</v>
      </c>
      <c r="S207" s="12" t="b">
        <v>0</v>
      </c>
      <c r="T207" s="13" t="s">
        <v>51</v>
      </c>
      <c r="U207" s="13" t="s">
        <v>89</v>
      </c>
      <c r="V207" s="13" t="s">
        <v>66</v>
      </c>
      <c r="W207" s="13" t="s">
        <v>1144</v>
      </c>
      <c r="X207" s="15">
        <v>44546.0</v>
      </c>
      <c r="Y207" s="15">
        <v>44551.0</v>
      </c>
      <c r="Z207" s="16"/>
      <c r="AA207" s="17" t="s">
        <v>56</v>
      </c>
      <c r="AB207" s="16">
        <v>44545.0</v>
      </c>
      <c r="AC207" s="17" t="s">
        <v>56</v>
      </c>
      <c r="AD207" s="16">
        <v>44548.0</v>
      </c>
      <c r="AE207" s="17"/>
      <c r="AF207" s="16"/>
      <c r="AG207" s="17"/>
      <c r="AH207" s="16"/>
      <c r="AI207" s="16"/>
      <c r="AJ207" s="16"/>
      <c r="AK207" s="17" t="s">
        <v>89</v>
      </c>
      <c r="AL207" s="17" t="s">
        <v>89</v>
      </c>
      <c r="AM207" s="16"/>
      <c r="AN207" s="16"/>
      <c r="AO207" s="16"/>
      <c r="AP207" s="18" t="s">
        <v>58</v>
      </c>
      <c r="AQ207" s="16"/>
    </row>
    <row r="208" ht="15.75" customHeight="1">
      <c r="A208" s="10" t="s">
        <v>1145</v>
      </c>
      <c r="B208" s="10" t="s">
        <v>1146</v>
      </c>
      <c r="C208" s="10" t="str">
        <f>VLOOKUP(A208,import!A:C,3,0)</f>
        <v>YANLIŞ</v>
      </c>
      <c r="D208" s="10" t="s">
        <v>564</v>
      </c>
      <c r="E208" s="10">
        <f>VLOOKUP(A208,import!A:J,5,0)</f>
        <v>67</v>
      </c>
      <c r="F208" s="10" t="str">
        <f>VLOOKUP(A208,import!A:J,6,0)</f>
        <v/>
      </c>
      <c r="G208" s="10">
        <f>VLOOKUP(A208,import!A:J,7,0)</f>
        <v>0</v>
      </c>
      <c r="H208" s="10">
        <f>VLOOKUP(A208,import!A:J,8,0)</f>
        <v>18</v>
      </c>
      <c r="I208" s="10">
        <f>VLOOKUP(A208,import!A:J,9,0)</f>
        <v>18</v>
      </c>
      <c r="J208" s="11">
        <f>VLOOKUP(A208,import!A:J,10,0)</f>
        <v>0</v>
      </c>
      <c r="K208" s="10" t="s">
        <v>1147</v>
      </c>
      <c r="L208" s="10">
        <v>5.525353167E9</v>
      </c>
      <c r="M208" s="10" t="s">
        <v>63</v>
      </c>
      <c r="N208" s="10" t="s">
        <v>1148</v>
      </c>
      <c r="O208" s="10" t="s">
        <v>1149</v>
      </c>
      <c r="P208" s="10" t="str">
        <f>VLOOKUP(A208,import!A:P,16,0)</f>
        <v>Geleneksel</v>
      </c>
      <c r="Q208" s="12"/>
      <c r="R208" s="12" t="b">
        <v>1</v>
      </c>
      <c r="S208" s="12" t="b">
        <v>0</v>
      </c>
      <c r="T208" s="13" t="s">
        <v>199</v>
      </c>
      <c r="U208" s="13"/>
      <c r="V208" s="13"/>
      <c r="W208" s="13" t="s">
        <v>1150</v>
      </c>
      <c r="X208" s="15"/>
      <c r="Y208" s="15"/>
      <c r="Z208" s="16"/>
      <c r="AA208" s="17" t="s">
        <v>86</v>
      </c>
      <c r="AB208" s="16">
        <v>44459.0</v>
      </c>
      <c r="AC208" s="17" t="s">
        <v>56</v>
      </c>
      <c r="AD208" s="16">
        <v>44487.0</v>
      </c>
      <c r="AE208" s="17" t="s">
        <v>56</v>
      </c>
      <c r="AF208" s="16">
        <v>44495.0</v>
      </c>
      <c r="AG208" s="17"/>
      <c r="AH208" s="16"/>
      <c r="AI208" s="16"/>
      <c r="AJ208" s="16"/>
      <c r="AK208" s="17" t="s">
        <v>267</v>
      </c>
      <c r="AL208" s="17" t="s">
        <v>103</v>
      </c>
      <c r="AM208" s="17" t="s">
        <v>89</v>
      </c>
      <c r="AN208" s="16"/>
      <c r="AO208" s="16"/>
      <c r="AP208" s="18" t="s">
        <v>58</v>
      </c>
      <c r="AQ208" s="16"/>
    </row>
    <row r="209" ht="15.75" hidden="1" customHeight="1">
      <c r="A209" s="10" t="s">
        <v>1151</v>
      </c>
      <c r="B209" s="10" t="s">
        <v>1152</v>
      </c>
      <c r="C209" s="10" t="str">
        <f>VLOOKUP(A209,import!A:C,3,0)</f>
        <v>DOĞRU</v>
      </c>
      <c r="D209" s="10" t="s">
        <v>70</v>
      </c>
      <c r="E209" s="10">
        <f>VLOOKUP(A209,import!A:J,5,0)</f>
        <v>1814</v>
      </c>
      <c r="F209" s="10">
        <f>VLOOKUP(A209,import!A:J,6,0)</f>
        <v>62</v>
      </c>
      <c r="G209" s="10">
        <f>VLOOKUP(A209,import!A:J,7,0)</f>
        <v>23</v>
      </c>
      <c r="H209" s="10">
        <f>VLOOKUP(A209,import!A:J,8,0)</f>
        <v>37</v>
      </c>
      <c r="I209" s="10">
        <f>VLOOKUP(A209,import!A:J,9,0)</f>
        <v>60</v>
      </c>
      <c r="J209" s="11">
        <f>VLOOKUP(A209,import!A:J,10,0)</f>
        <v>0.38</v>
      </c>
      <c r="K209" s="10" t="s">
        <v>1153</v>
      </c>
      <c r="L209" s="10">
        <v>5.382979608E9</v>
      </c>
      <c r="M209" s="10" t="s">
        <v>72</v>
      </c>
      <c r="N209" s="10" t="s">
        <v>716</v>
      </c>
      <c r="O209" s="10" t="s">
        <v>1154</v>
      </c>
      <c r="P209" s="10" t="str">
        <f>VLOOKUP(A209,import!A:P,16,0)</f>
        <v>Geleneksel</v>
      </c>
      <c r="Q209" s="12" t="s">
        <v>84</v>
      </c>
      <c r="R209" s="12" t="b">
        <v>1</v>
      </c>
      <c r="S209" s="12" t="b">
        <v>0</v>
      </c>
      <c r="T209" s="13" t="s">
        <v>51</v>
      </c>
      <c r="U209" s="13" t="s">
        <v>52</v>
      </c>
      <c r="V209" s="13" t="s">
        <v>53</v>
      </c>
      <c r="W209" s="13" t="s">
        <v>1155</v>
      </c>
      <c r="X209" s="15">
        <v>44274.0</v>
      </c>
      <c r="Y209" s="15">
        <v>44278.0</v>
      </c>
      <c r="Z209" s="16"/>
      <c r="AA209" s="17" t="s">
        <v>56</v>
      </c>
      <c r="AB209" s="16">
        <v>44496.0</v>
      </c>
      <c r="AC209" s="17"/>
      <c r="AD209" s="16"/>
      <c r="AE209" s="17"/>
      <c r="AF209" s="16"/>
      <c r="AG209" s="17"/>
      <c r="AH209" s="16"/>
      <c r="AI209" s="16"/>
      <c r="AJ209" s="16"/>
      <c r="AK209" s="17" t="s">
        <v>87</v>
      </c>
      <c r="AL209" s="17"/>
      <c r="AM209" s="16"/>
      <c r="AN209" s="16"/>
      <c r="AO209" s="16"/>
      <c r="AP209" s="18" t="s">
        <v>58</v>
      </c>
      <c r="AQ209" s="16"/>
    </row>
    <row r="210" ht="15.75" hidden="1" customHeight="1">
      <c r="A210" s="10" t="s">
        <v>1156</v>
      </c>
      <c r="B210" s="10" t="s">
        <v>1157</v>
      </c>
      <c r="C210" s="10" t="str">
        <f>VLOOKUP(A210,import!A:C,3,0)</f>
        <v>DOĞRU</v>
      </c>
      <c r="D210" s="10" t="s">
        <v>45</v>
      </c>
      <c r="E210" s="10">
        <f>VLOOKUP(A210,import!A:J,5,0)</f>
        <v>514</v>
      </c>
      <c r="F210" s="10" t="str">
        <f>VLOOKUP(A210,import!A:J,6,0)</f>
        <v/>
      </c>
      <c r="G210" s="10">
        <f>VLOOKUP(A210,import!A:J,7,0)</f>
        <v>0</v>
      </c>
      <c r="H210" s="10">
        <f>VLOOKUP(A210,import!A:J,8,0)</f>
        <v>33</v>
      </c>
      <c r="I210" s="10">
        <f>VLOOKUP(A210,import!A:J,9,0)</f>
        <v>33</v>
      </c>
      <c r="J210" s="11">
        <f>VLOOKUP(A210,import!A:J,10,0)</f>
        <v>0</v>
      </c>
      <c r="K210" s="10" t="s">
        <v>1158</v>
      </c>
      <c r="L210" s="10">
        <v>3.248165252E9</v>
      </c>
      <c r="M210" s="10" t="s">
        <v>902</v>
      </c>
      <c r="N210" s="10" t="s">
        <v>903</v>
      </c>
      <c r="O210" s="10" t="s">
        <v>1159</v>
      </c>
      <c r="P210" s="10" t="str">
        <f>VLOOKUP(A210,import!A:P,16,0)</f>
        <v>Geleneksel</v>
      </c>
      <c r="Q210" s="12"/>
      <c r="R210" s="12" t="b">
        <v>0</v>
      </c>
      <c r="S210" s="12" t="b">
        <v>0</v>
      </c>
      <c r="T210" s="13" t="s">
        <v>485</v>
      </c>
      <c r="U210" s="13"/>
      <c r="V210" s="13"/>
      <c r="W210" s="13"/>
      <c r="X210" s="15"/>
      <c r="Y210" s="15"/>
      <c r="Z210" s="16"/>
      <c r="AA210" s="16"/>
      <c r="AB210" s="16"/>
      <c r="AC210" s="16"/>
      <c r="AD210" s="16"/>
      <c r="AE210" s="17"/>
      <c r="AF210" s="16"/>
      <c r="AG210" s="17"/>
      <c r="AH210" s="16"/>
      <c r="AI210" s="16"/>
      <c r="AJ210" s="16"/>
      <c r="AK210" s="16"/>
      <c r="AL210" s="16"/>
      <c r="AM210" s="16"/>
      <c r="AN210" s="16"/>
      <c r="AO210" s="16"/>
      <c r="AP210" s="18" t="s">
        <v>58</v>
      </c>
      <c r="AQ210" s="16"/>
    </row>
    <row r="211" ht="15.75" hidden="1" customHeight="1">
      <c r="A211" s="10" t="s">
        <v>1160</v>
      </c>
      <c r="B211" s="10" t="s">
        <v>1161</v>
      </c>
      <c r="C211" s="10" t="str">
        <f>VLOOKUP(A211,import!A:C,3,0)</f>
        <v>DOĞRU</v>
      </c>
      <c r="D211" s="10" t="s">
        <v>106</v>
      </c>
      <c r="E211" s="10">
        <f>VLOOKUP(A211,import!A:J,5,0)</f>
        <v>346</v>
      </c>
      <c r="F211" s="10">
        <f>VLOOKUP(A211,import!A:J,6,0)</f>
        <v>96</v>
      </c>
      <c r="G211" s="10">
        <f>VLOOKUP(A211,import!A:J,7,0)</f>
        <v>0</v>
      </c>
      <c r="H211" s="10">
        <f>VLOOKUP(A211,import!A:J,8,0)</f>
        <v>42</v>
      </c>
      <c r="I211" s="10">
        <f>VLOOKUP(A211,import!A:J,9,0)</f>
        <v>42</v>
      </c>
      <c r="J211" s="11">
        <f>VLOOKUP(A211,import!A:J,10,0)</f>
        <v>0</v>
      </c>
      <c r="K211" s="10" t="s">
        <v>1162</v>
      </c>
      <c r="L211" s="10">
        <v>5.320650218E9</v>
      </c>
      <c r="M211" s="10" t="s">
        <v>47</v>
      </c>
      <c r="N211" s="10" t="s">
        <v>365</v>
      </c>
      <c r="O211" s="10" t="s">
        <v>1163</v>
      </c>
      <c r="P211" s="10" t="str">
        <f>VLOOKUP(A211,import!A:P,16,0)</f>
        <v>Geleneksel</v>
      </c>
      <c r="Q211" s="12"/>
      <c r="R211" s="12" t="b">
        <v>0</v>
      </c>
      <c r="S211" s="12" t="b">
        <v>0</v>
      </c>
      <c r="T211" s="13"/>
      <c r="U211" s="13"/>
      <c r="V211" s="13"/>
      <c r="W211" s="13"/>
      <c r="X211" s="15"/>
      <c r="Y211" s="15"/>
      <c r="Z211" s="16"/>
      <c r="AA211" s="17"/>
      <c r="AB211" s="16"/>
      <c r="AC211" s="16"/>
      <c r="AD211" s="16"/>
      <c r="AE211" s="17"/>
      <c r="AF211" s="16"/>
      <c r="AG211" s="17"/>
      <c r="AH211" s="16"/>
      <c r="AI211" s="16"/>
      <c r="AJ211" s="16"/>
      <c r="AK211" s="17"/>
      <c r="AL211" s="16"/>
      <c r="AM211" s="16"/>
      <c r="AN211" s="16"/>
      <c r="AO211" s="16"/>
      <c r="AP211" s="18"/>
      <c r="AQ211" s="16"/>
    </row>
    <row r="212" ht="15.75" hidden="1" customHeight="1">
      <c r="A212" s="10" t="s">
        <v>1164</v>
      </c>
      <c r="B212" s="10" t="s">
        <v>1165</v>
      </c>
      <c r="C212" s="10" t="str">
        <f>VLOOKUP(A212,import!A:C,3,0)</f>
        <v>DOĞRU</v>
      </c>
      <c r="D212" s="10" t="s">
        <v>70</v>
      </c>
      <c r="E212" s="10">
        <f>VLOOKUP(A212,import!A:J,5,0)</f>
        <v>2388</v>
      </c>
      <c r="F212" s="10">
        <f>VLOOKUP(A212,import!A:J,6,0)</f>
        <v>102</v>
      </c>
      <c r="G212" s="10">
        <f>VLOOKUP(A212,import!A:J,7,0)</f>
        <v>4</v>
      </c>
      <c r="H212" s="10">
        <f>VLOOKUP(A212,import!A:J,8,0)</f>
        <v>57</v>
      </c>
      <c r="I212" s="10">
        <f>VLOOKUP(A212,import!A:J,9,0)</f>
        <v>61</v>
      </c>
      <c r="J212" s="11">
        <f>VLOOKUP(A212,import!A:J,10,0)</f>
        <v>0.07</v>
      </c>
      <c r="K212" s="10" t="s">
        <v>1166</v>
      </c>
      <c r="L212" s="10">
        <v>3.246242424E9</v>
      </c>
      <c r="M212" s="10" t="s">
        <v>156</v>
      </c>
      <c r="N212" s="10" t="s">
        <v>596</v>
      </c>
      <c r="O212" s="10" t="s">
        <v>1167</v>
      </c>
      <c r="P212" s="10" t="str">
        <f>VLOOKUP(A212,import!A:P,16,0)</f>
        <v>Geleneksel</v>
      </c>
      <c r="Q212" s="12"/>
      <c r="R212" s="12" t="b">
        <v>1</v>
      </c>
      <c r="S212" s="12" t="b">
        <v>0</v>
      </c>
      <c r="T212" s="13" t="s">
        <v>51</v>
      </c>
      <c r="U212" s="13" t="s">
        <v>52</v>
      </c>
      <c r="V212" s="13" t="s">
        <v>66</v>
      </c>
      <c r="W212" s="13">
        <v>5.419410145E9</v>
      </c>
      <c r="X212" s="15">
        <v>44540.0</v>
      </c>
      <c r="Y212" s="15">
        <v>44543.0</v>
      </c>
      <c r="Z212" s="16"/>
      <c r="AA212" s="17" t="s">
        <v>56</v>
      </c>
      <c r="AB212" s="16">
        <v>44540.0</v>
      </c>
      <c r="AC212" s="16"/>
      <c r="AD212" s="16"/>
      <c r="AE212" s="17"/>
      <c r="AF212" s="16"/>
      <c r="AG212" s="17"/>
      <c r="AH212" s="16"/>
      <c r="AI212" s="16"/>
      <c r="AJ212" s="16"/>
      <c r="AK212" s="17" t="s">
        <v>52</v>
      </c>
      <c r="AL212" s="16"/>
      <c r="AM212" s="16"/>
      <c r="AN212" s="16"/>
      <c r="AO212" s="16"/>
      <c r="AP212" s="18" t="s">
        <v>58</v>
      </c>
      <c r="AQ212" s="16"/>
    </row>
    <row r="213" ht="15.75" customHeight="1">
      <c r="A213" s="10" t="s">
        <v>1168</v>
      </c>
      <c r="B213" s="10" t="s">
        <v>1169</v>
      </c>
      <c r="C213" s="10" t="str">
        <f>VLOOKUP(A213,import!A:C,3,0)</f>
        <v>DOĞRU</v>
      </c>
      <c r="D213" s="10" t="s">
        <v>363</v>
      </c>
      <c r="E213" s="10">
        <f>VLOOKUP(A213,import!A:J,5,0)</f>
        <v>69</v>
      </c>
      <c r="F213" s="10">
        <f>VLOOKUP(A213,import!A:J,6,0)</f>
        <v>3</v>
      </c>
      <c r="G213" s="10">
        <f>VLOOKUP(A213,import!A:J,7,0)</f>
        <v>7</v>
      </c>
      <c r="H213" s="10">
        <f>VLOOKUP(A213,import!A:J,8,0)</f>
        <v>42</v>
      </c>
      <c r="I213" s="10">
        <f>VLOOKUP(A213,import!A:J,9,0)</f>
        <v>49</v>
      </c>
      <c r="J213" s="11">
        <f>VLOOKUP(A213,import!A:J,10,0)</f>
        <v>0.14</v>
      </c>
      <c r="K213" s="10" t="s">
        <v>1170</v>
      </c>
      <c r="L213" s="10">
        <v>3.249991166E9</v>
      </c>
      <c r="M213" s="10" t="s">
        <v>137</v>
      </c>
      <c r="N213" s="10" t="s">
        <v>845</v>
      </c>
      <c r="O213" s="10" t="s">
        <v>1171</v>
      </c>
      <c r="P213" s="10" t="str">
        <f>VLOOKUP(A213,import!A:P,16,0)</f>
        <v>Geleneksel</v>
      </c>
      <c r="Q213" s="12"/>
      <c r="R213" s="12" t="b">
        <v>1</v>
      </c>
      <c r="S213" s="12" t="b">
        <v>1</v>
      </c>
      <c r="T213" s="13"/>
      <c r="U213" s="13"/>
      <c r="V213" s="13"/>
      <c r="W213" s="13" t="s">
        <v>1172</v>
      </c>
      <c r="X213" s="15"/>
      <c r="Y213" s="15"/>
      <c r="Z213" s="16"/>
      <c r="AA213" s="17" t="s">
        <v>56</v>
      </c>
      <c r="AB213" s="16">
        <v>44481.0</v>
      </c>
      <c r="AC213" s="17" t="s">
        <v>56</v>
      </c>
      <c r="AD213" s="16">
        <v>44550.0</v>
      </c>
      <c r="AE213" s="17"/>
      <c r="AF213" s="16"/>
      <c r="AG213" s="17"/>
      <c r="AH213" s="16"/>
      <c r="AI213" s="16"/>
      <c r="AJ213" s="16"/>
      <c r="AK213" s="17" t="s">
        <v>52</v>
      </c>
      <c r="AL213" s="17" t="s">
        <v>89</v>
      </c>
      <c r="AM213" s="16"/>
      <c r="AN213" s="16"/>
      <c r="AO213" s="16"/>
      <c r="AP213" s="18" t="s">
        <v>58</v>
      </c>
      <c r="AQ213" s="16"/>
    </row>
    <row r="214" ht="15.75" customHeight="1">
      <c r="A214" s="10" t="s">
        <v>1173</v>
      </c>
      <c r="B214" s="10" t="s">
        <v>1174</v>
      </c>
      <c r="C214" s="10" t="str">
        <f>VLOOKUP(A214,import!A:C,3,0)</f>
        <v>YANLIŞ</v>
      </c>
      <c r="D214" s="10" t="s">
        <v>70</v>
      </c>
      <c r="E214" s="10">
        <f>VLOOKUP(A214,import!A:J,5,0)</f>
        <v>2058</v>
      </c>
      <c r="F214" s="10" t="str">
        <f>VLOOKUP(A214,import!A:J,6,0)</f>
        <v/>
      </c>
      <c r="G214" s="10">
        <f>VLOOKUP(A214,import!A:J,7,0)</f>
        <v>16</v>
      </c>
      <c r="H214" s="10">
        <f>VLOOKUP(A214,import!A:J,8,0)</f>
        <v>11</v>
      </c>
      <c r="I214" s="10">
        <f>VLOOKUP(A214,import!A:J,9,0)</f>
        <v>27</v>
      </c>
      <c r="J214" s="11">
        <f>VLOOKUP(A214,import!A:J,10,0)</f>
        <v>0.59</v>
      </c>
      <c r="K214" s="10" t="s">
        <v>1175</v>
      </c>
      <c r="L214" s="10">
        <v>3.243581312E9</v>
      </c>
      <c r="M214" s="10" t="s">
        <v>63</v>
      </c>
      <c r="N214" s="10" t="s">
        <v>566</v>
      </c>
      <c r="O214" s="10" t="s">
        <v>1176</v>
      </c>
      <c r="P214" s="10" t="str">
        <f>VLOOKUP(A214,import!A:P,16,0)</f>
        <v>Geleneksel</v>
      </c>
      <c r="Q214" s="12" t="s">
        <v>75</v>
      </c>
      <c r="R214" s="12" t="b">
        <v>1</v>
      </c>
      <c r="S214" s="12" t="b">
        <v>0</v>
      </c>
      <c r="T214" s="14" t="s">
        <v>51</v>
      </c>
      <c r="U214" s="14" t="s">
        <v>258</v>
      </c>
      <c r="V214" s="14" t="s">
        <v>53</v>
      </c>
      <c r="W214" s="14" t="s">
        <v>1177</v>
      </c>
      <c r="X214" s="29">
        <v>44298.0</v>
      </c>
      <c r="Y214" s="29">
        <v>44299.0</v>
      </c>
      <c r="Z214" s="26"/>
      <c r="AA214" s="26"/>
      <c r="AB214" s="26"/>
      <c r="AC214" s="16"/>
      <c r="AD214" s="26"/>
      <c r="AE214" s="17"/>
      <c r="AF214" s="26"/>
      <c r="AG214" s="17"/>
      <c r="AH214" s="26"/>
      <c r="AI214" s="16"/>
      <c r="AJ214" s="26"/>
      <c r="AK214" s="26"/>
      <c r="AL214" s="26"/>
      <c r="AM214" s="26"/>
      <c r="AN214" s="26"/>
      <c r="AO214" s="26"/>
      <c r="AP214" s="18" t="s">
        <v>58</v>
      </c>
      <c r="AQ214" s="26"/>
    </row>
    <row r="215" ht="15.75" hidden="1" customHeight="1">
      <c r="A215" s="10" t="s">
        <v>1178</v>
      </c>
      <c r="B215" s="10" t="s">
        <v>1179</v>
      </c>
      <c r="C215" s="10" t="str">
        <f>VLOOKUP(A215,import!A:C,3,0)</f>
        <v>DOĞRU</v>
      </c>
      <c r="D215" s="10" t="s">
        <v>118</v>
      </c>
      <c r="E215" s="10">
        <f>VLOOKUP(A215,import!A:J,5,0)</f>
        <v>10158</v>
      </c>
      <c r="F215" s="10">
        <f>VLOOKUP(A215,import!A:J,6,0)</f>
        <v>396</v>
      </c>
      <c r="G215" s="10">
        <f>VLOOKUP(A215,import!A:J,7,0)</f>
        <v>14</v>
      </c>
      <c r="H215" s="10">
        <f>VLOOKUP(A215,import!A:J,8,0)</f>
        <v>20</v>
      </c>
      <c r="I215" s="10">
        <f>VLOOKUP(A215,import!A:J,9,0)</f>
        <v>34</v>
      </c>
      <c r="J215" s="11">
        <f>VLOOKUP(A215,import!A:J,10,0)</f>
        <v>0.41</v>
      </c>
      <c r="K215" s="10" t="s">
        <v>1180</v>
      </c>
      <c r="L215" s="10">
        <v>3.245033337E9</v>
      </c>
      <c r="M215" s="10" t="s">
        <v>72</v>
      </c>
      <c r="N215" s="10" t="s">
        <v>82</v>
      </c>
      <c r="O215" s="10" t="s">
        <v>1181</v>
      </c>
      <c r="P215" s="10" t="str">
        <f>VLOOKUP(A215,import!A:P,16,0)</f>
        <v>Geleneksel</v>
      </c>
      <c r="Q215" s="12" t="s">
        <v>146</v>
      </c>
      <c r="R215" s="12" t="b">
        <v>1</v>
      </c>
      <c r="S215" s="12" t="b">
        <v>0</v>
      </c>
      <c r="T215" s="13" t="s">
        <v>51</v>
      </c>
      <c r="U215" s="13" t="s">
        <v>76</v>
      </c>
      <c r="V215" s="13" t="s">
        <v>53</v>
      </c>
      <c r="W215" s="13" t="s">
        <v>1182</v>
      </c>
      <c r="X215" s="15">
        <v>44293.0</v>
      </c>
      <c r="Y215" s="15">
        <v>44295.0</v>
      </c>
      <c r="Z215" s="16"/>
      <c r="AA215" s="17" t="s">
        <v>56</v>
      </c>
      <c r="AB215" s="16">
        <v>44559.0</v>
      </c>
      <c r="AC215" s="16"/>
      <c r="AD215" s="16"/>
      <c r="AE215" s="17"/>
      <c r="AF215" s="16"/>
      <c r="AG215" s="17"/>
      <c r="AH215" s="16"/>
      <c r="AI215" s="16"/>
      <c r="AJ215" s="16"/>
      <c r="AK215" s="17" t="s">
        <v>133</v>
      </c>
      <c r="AL215" s="16"/>
      <c r="AM215" s="16"/>
      <c r="AN215" s="16"/>
      <c r="AO215" s="16"/>
      <c r="AP215" s="18" t="s">
        <v>58</v>
      </c>
      <c r="AQ215" s="16"/>
    </row>
    <row r="216" ht="15.75" hidden="1" customHeight="1">
      <c r="A216" s="10" t="s">
        <v>1183</v>
      </c>
      <c r="B216" s="10" t="s">
        <v>1184</v>
      </c>
      <c r="C216" s="10" t="str">
        <f>VLOOKUP(A216,import!A:C,3,0)</f>
        <v>DOĞRU</v>
      </c>
      <c r="D216" s="10" t="s">
        <v>80</v>
      </c>
      <c r="E216" s="10">
        <f>VLOOKUP(A216,import!A:J,5,0)</f>
        <v>174</v>
      </c>
      <c r="F216" s="10">
        <f>VLOOKUP(A216,import!A:J,6,0)</f>
        <v>24</v>
      </c>
      <c r="G216" s="10">
        <f>VLOOKUP(A216,import!A:J,7,0)</f>
        <v>9</v>
      </c>
      <c r="H216" s="10">
        <f>VLOOKUP(A216,import!A:J,8,0)</f>
        <v>0</v>
      </c>
      <c r="I216" s="10">
        <f>VLOOKUP(A216,import!A:J,9,0)</f>
        <v>9</v>
      </c>
      <c r="J216" s="11">
        <f>VLOOKUP(A216,import!A:J,10,0)</f>
        <v>1</v>
      </c>
      <c r="K216" s="10" t="s">
        <v>1185</v>
      </c>
      <c r="L216" s="10">
        <v>5.36683864E9</v>
      </c>
      <c r="M216" s="10" t="s">
        <v>215</v>
      </c>
      <c r="N216" s="10" t="s">
        <v>745</v>
      </c>
      <c r="O216" s="10" t="s">
        <v>1186</v>
      </c>
      <c r="P216" s="10" t="str">
        <f>VLOOKUP(A216,import!A:P,16,0)</f>
        <v>Geleneksel</v>
      </c>
      <c r="Q216" s="12"/>
      <c r="R216" s="12" t="b">
        <v>1</v>
      </c>
      <c r="S216" s="12" t="b">
        <v>0</v>
      </c>
      <c r="T216" s="13" t="s">
        <v>51</v>
      </c>
      <c r="U216" s="13" t="s">
        <v>52</v>
      </c>
      <c r="V216" s="13" t="s">
        <v>131</v>
      </c>
      <c r="W216" s="13">
        <v>5.362321544E9</v>
      </c>
      <c r="X216" s="15">
        <v>44628.0</v>
      </c>
      <c r="Y216" s="15">
        <v>44629.0</v>
      </c>
      <c r="Z216" s="16"/>
      <c r="AA216" s="17" t="s">
        <v>56</v>
      </c>
      <c r="AB216" s="16">
        <v>44628.0</v>
      </c>
      <c r="AC216" s="16"/>
      <c r="AD216" s="16"/>
      <c r="AE216" s="17"/>
      <c r="AF216" s="16"/>
      <c r="AG216" s="17"/>
      <c r="AH216" s="16"/>
      <c r="AI216" s="16"/>
      <c r="AJ216" s="16"/>
      <c r="AK216" s="17" t="s">
        <v>52</v>
      </c>
      <c r="AL216" s="16"/>
      <c r="AM216" s="16"/>
      <c r="AN216" s="16"/>
      <c r="AO216" s="16"/>
      <c r="AP216" s="18"/>
      <c r="AQ216" s="16"/>
    </row>
    <row r="217" ht="15.75" hidden="1" customHeight="1">
      <c r="A217" s="10" t="s">
        <v>1187</v>
      </c>
      <c r="B217" s="10" t="s">
        <v>1188</v>
      </c>
      <c r="C217" s="10" t="str">
        <f>VLOOKUP(A217,import!A:C,3,0)</f>
        <v>DOĞRU</v>
      </c>
      <c r="D217" s="10" t="s">
        <v>80</v>
      </c>
      <c r="E217" s="10">
        <f>VLOOKUP(A217,import!A:J,5,0)</f>
        <v>129</v>
      </c>
      <c r="F217" s="10" t="str">
        <f>VLOOKUP(A217,import!A:J,6,0)</f>
        <v/>
      </c>
      <c r="G217" s="10">
        <f>VLOOKUP(A217,import!A:J,7,0)</f>
        <v>0</v>
      </c>
      <c r="H217" s="10">
        <f>VLOOKUP(A217,import!A:J,8,0)</f>
        <v>6</v>
      </c>
      <c r="I217" s="10">
        <f>VLOOKUP(A217,import!A:J,9,0)</f>
        <v>6</v>
      </c>
      <c r="J217" s="11">
        <f>VLOOKUP(A217,import!A:J,10,0)</f>
        <v>0</v>
      </c>
      <c r="K217" s="10" t="s">
        <v>1189</v>
      </c>
      <c r="L217" s="10">
        <v>5.306373362E9</v>
      </c>
      <c r="M217" s="10" t="s">
        <v>215</v>
      </c>
      <c r="N217" s="10" t="s">
        <v>1190</v>
      </c>
      <c r="O217" s="10" t="s">
        <v>1191</v>
      </c>
      <c r="P217" s="10" t="str">
        <f>VLOOKUP(A217,import!A:P,16,0)</f>
        <v>Geleneksel</v>
      </c>
      <c r="Q217" s="12"/>
      <c r="R217" s="12" t="b">
        <v>1</v>
      </c>
      <c r="S217" s="12" t="b">
        <v>0</v>
      </c>
      <c r="T217" s="13" t="s">
        <v>272</v>
      </c>
      <c r="U217" s="13" t="s">
        <v>133</v>
      </c>
      <c r="V217" s="13" t="s">
        <v>53</v>
      </c>
      <c r="W217" s="13" t="s">
        <v>1192</v>
      </c>
      <c r="X217" s="15">
        <v>44559.0</v>
      </c>
      <c r="Y217" s="15">
        <v>44561.0</v>
      </c>
      <c r="Z217" s="16"/>
      <c r="AA217" s="17" t="s">
        <v>56</v>
      </c>
      <c r="AB217" s="16">
        <v>44559.0</v>
      </c>
      <c r="AC217" s="16"/>
      <c r="AD217" s="16"/>
      <c r="AE217" s="17"/>
      <c r="AF217" s="16"/>
      <c r="AG217" s="17"/>
      <c r="AH217" s="16"/>
      <c r="AI217" s="16"/>
      <c r="AJ217" s="16"/>
      <c r="AK217" s="17" t="s">
        <v>133</v>
      </c>
      <c r="AL217" s="16"/>
      <c r="AM217" s="16"/>
      <c r="AN217" s="16"/>
      <c r="AO217" s="16"/>
      <c r="AP217" s="18"/>
      <c r="AQ217" s="16"/>
    </row>
    <row r="218" ht="15.75" hidden="1" customHeight="1">
      <c r="A218" s="10" t="s">
        <v>1193</v>
      </c>
      <c r="B218" s="10" t="s">
        <v>1194</v>
      </c>
      <c r="C218" s="10" t="str">
        <f>VLOOKUP(A218,import!A:C,3,0)</f>
        <v>DOĞRU</v>
      </c>
      <c r="D218" s="10" t="s">
        <v>80</v>
      </c>
      <c r="E218" s="10">
        <f>VLOOKUP(A218,import!A:J,5,0)</f>
        <v>10</v>
      </c>
      <c r="F218" s="10">
        <f>VLOOKUP(A218,import!A:J,6,0)</f>
        <v>2</v>
      </c>
      <c r="G218" s="10">
        <f>VLOOKUP(A218,import!A:J,7,0)</f>
        <v>0</v>
      </c>
      <c r="H218" s="10">
        <f>VLOOKUP(A218,import!A:J,8,0)</f>
        <v>17</v>
      </c>
      <c r="I218" s="10">
        <f>VLOOKUP(A218,import!A:J,9,0)</f>
        <v>17</v>
      </c>
      <c r="J218" s="11">
        <f>VLOOKUP(A218,import!A:J,10,0)</f>
        <v>0</v>
      </c>
      <c r="K218" s="10" t="s">
        <v>1195</v>
      </c>
      <c r="L218" s="10">
        <v>5.39483401E9</v>
      </c>
      <c r="M218" s="10" t="s">
        <v>215</v>
      </c>
      <c r="N218" s="10" t="s">
        <v>504</v>
      </c>
      <c r="O218" s="10" t="s">
        <v>1196</v>
      </c>
      <c r="P218" s="10" t="str">
        <f>VLOOKUP(A218,import!A:P,16,0)</f>
        <v>Geleneksel</v>
      </c>
      <c r="Q218" s="12"/>
      <c r="R218" s="12" t="b">
        <v>0</v>
      </c>
      <c r="S218" s="12" t="b">
        <v>0</v>
      </c>
      <c r="T218" s="13"/>
      <c r="U218" s="13"/>
      <c r="V218" s="13"/>
      <c r="W218" s="13" t="s">
        <v>1197</v>
      </c>
      <c r="X218" s="15"/>
      <c r="Y218" s="15"/>
      <c r="Z218" s="16"/>
      <c r="AA218" s="17"/>
      <c r="AB218" s="16"/>
      <c r="AC218" s="16"/>
      <c r="AD218" s="16"/>
      <c r="AE218" s="17"/>
      <c r="AF218" s="16"/>
      <c r="AG218" s="17"/>
      <c r="AH218" s="16"/>
      <c r="AI218" s="16"/>
      <c r="AJ218" s="16"/>
      <c r="AK218" s="17"/>
      <c r="AL218" s="16"/>
      <c r="AM218" s="16"/>
      <c r="AN218" s="16"/>
      <c r="AO218" s="16"/>
      <c r="AP218" s="18"/>
      <c r="AQ218" s="16"/>
    </row>
    <row r="219" ht="15.75" customHeight="1">
      <c r="A219" s="10" t="s">
        <v>1198</v>
      </c>
      <c r="B219" s="10" t="s">
        <v>1199</v>
      </c>
      <c r="C219" s="10" t="str">
        <f>VLOOKUP(A219,import!A:C,3,0)</f>
        <v>DOĞRU</v>
      </c>
      <c r="D219" s="10" t="s">
        <v>80</v>
      </c>
      <c r="E219" s="10">
        <f>VLOOKUP(A219,import!A:J,5,0)</f>
        <v>198</v>
      </c>
      <c r="F219" s="10">
        <f>VLOOKUP(A219,import!A:J,6,0)</f>
        <v>35</v>
      </c>
      <c r="G219" s="10">
        <f>VLOOKUP(A219,import!A:J,7,0)</f>
        <v>0</v>
      </c>
      <c r="H219" s="10">
        <f>VLOOKUP(A219,import!A:J,8,0)</f>
        <v>36</v>
      </c>
      <c r="I219" s="10">
        <f>VLOOKUP(A219,import!A:J,9,0)</f>
        <v>36</v>
      </c>
      <c r="J219" s="11">
        <f>VLOOKUP(A219,import!A:J,10,0)</f>
        <v>0</v>
      </c>
      <c r="K219" s="10" t="s">
        <v>1200</v>
      </c>
      <c r="L219" s="10">
        <v>5.433944342E9</v>
      </c>
      <c r="M219" s="10" t="s">
        <v>63</v>
      </c>
      <c r="N219" s="10" t="s">
        <v>318</v>
      </c>
      <c r="O219" s="10" t="s">
        <v>1201</v>
      </c>
      <c r="P219" s="10" t="str">
        <f>VLOOKUP(A219,import!A:P,16,0)</f>
        <v>Geleneksel</v>
      </c>
      <c r="Q219" s="12"/>
      <c r="R219" s="12" t="b">
        <v>1</v>
      </c>
      <c r="S219" s="12" t="b">
        <v>1</v>
      </c>
      <c r="T219" s="13"/>
      <c r="U219" s="13"/>
      <c r="V219" s="13"/>
      <c r="W219" s="13" t="s">
        <v>1202</v>
      </c>
      <c r="X219" s="15"/>
      <c r="Y219" s="15"/>
      <c r="Z219" s="16"/>
      <c r="AA219" s="17" t="s">
        <v>86</v>
      </c>
      <c r="AB219" s="16">
        <v>44404.0</v>
      </c>
      <c r="AC219" s="17" t="s">
        <v>56</v>
      </c>
      <c r="AD219" s="16">
        <v>44450.0</v>
      </c>
      <c r="AE219" s="17" t="s">
        <v>55</v>
      </c>
      <c r="AF219" s="16">
        <v>44462.0</v>
      </c>
      <c r="AG219" s="17" t="s">
        <v>56</v>
      </c>
      <c r="AH219" s="16">
        <v>44495.0</v>
      </c>
      <c r="AI219" s="16"/>
      <c r="AJ219" s="16"/>
      <c r="AK219" s="17" t="s">
        <v>52</v>
      </c>
      <c r="AL219" s="17" t="s">
        <v>108</v>
      </c>
      <c r="AM219" s="17" t="s">
        <v>367</v>
      </c>
      <c r="AN219" s="17" t="s">
        <v>89</v>
      </c>
      <c r="AO219" s="16"/>
      <c r="AP219" s="18" t="s">
        <v>58</v>
      </c>
      <c r="AQ219" s="16"/>
    </row>
    <row r="220" ht="15.75" customHeight="1">
      <c r="A220" s="10" t="s">
        <v>1203</v>
      </c>
      <c r="B220" s="10" t="s">
        <v>1204</v>
      </c>
      <c r="C220" s="10" t="str">
        <f>VLOOKUP(A220,import!A:C,3,0)</f>
        <v>DOĞRU</v>
      </c>
      <c r="D220" s="10" t="s">
        <v>80</v>
      </c>
      <c r="E220" s="10">
        <f>VLOOKUP(A220,import!A:J,5,0)</f>
        <v>1839</v>
      </c>
      <c r="F220" s="10">
        <f>VLOOKUP(A220,import!A:J,6,0)</f>
        <v>75</v>
      </c>
      <c r="G220" s="10">
        <f>VLOOKUP(A220,import!A:J,7,0)</f>
        <v>11</v>
      </c>
      <c r="H220" s="10">
        <f>VLOOKUP(A220,import!A:J,8,0)</f>
        <v>8</v>
      </c>
      <c r="I220" s="10">
        <f>VLOOKUP(A220,import!A:J,9,0)</f>
        <v>19</v>
      </c>
      <c r="J220" s="11">
        <f>VLOOKUP(A220,import!A:J,10,0)</f>
        <v>0.58</v>
      </c>
      <c r="K220" s="10" t="s">
        <v>1205</v>
      </c>
      <c r="L220" s="10">
        <v>3.242375612E9</v>
      </c>
      <c r="M220" s="10" t="s">
        <v>137</v>
      </c>
      <c r="N220" s="10" t="s">
        <v>1206</v>
      </c>
      <c r="O220" s="10" t="s">
        <v>1207</v>
      </c>
      <c r="P220" s="10" t="str">
        <f>VLOOKUP(A220,import!A:P,16,0)</f>
        <v>Geleneksel</v>
      </c>
      <c r="Q220" s="12"/>
      <c r="R220" s="12" t="b">
        <v>1</v>
      </c>
      <c r="S220" s="12" t="b">
        <v>0</v>
      </c>
      <c r="T220" s="13" t="s">
        <v>51</v>
      </c>
      <c r="U220" s="13" t="s">
        <v>258</v>
      </c>
      <c r="V220" s="13" t="s">
        <v>278</v>
      </c>
      <c r="W220" s="13" t="s">
        <v>1208</v>
      </c>
      <c r="X220" s="15">
        <v>44298.0</v>
      </c>
      <c r="Y220" s="15">
        <v>44299.0</v>
      </c>
      <c r="Z220" s="16"/>
      <c r="AA220" s="16"/>
      <c r="AB220" s="16"/>
      <c r="AC220" s="16"/>
      <c r="AD220" s="16"/>
      <c r="AE220" s="17"/>
      <c r="AF220" s="16"/>
      <c r="AG220" s="17"/>
      <c r="AH220" s="16"/>
      <c r="AI220" s="16"/>
      <c r="AJ220" s="16"/>
      <c r="AK220" s="16"/>
      <c r="AL220" s="16"/>
      <c r="AM220" s="16"/>
      <c r="AN220" s="16"/>
      <c r="AO220" s="16"/>
      <c r="AP220" s="18" t="s">
        <v>58</v>
      </c>
      <c r="AQ220" s="16"/>
    </row>
    <row r="221" ht="15.75" hidden="1" customHeight="1">
      <c r="A221" s="10" t="s">
        <v>1209</v>
      </c>
      <c r="B221" s="10" t="s">
        <v>1210</v>
      </c>
      <c r="C221" s="10" t="str">
        <f>VLOOKUP(A221,import!A:C,3,0)</f>
        <v>DOĞRU</v>
      </c>
      <c r="D221" s="10" t="s">
        <v>80</v>
      </c>
      <c r="E221" s="10">
        <f>VLOOKUP(A221,import!A:J,5,0)</f>
        <v>1752</v>
      </c>
      <c r="F221" s="10">
        <f>VLOOKUP(A221,import!A:J,6,0)</f>
        <v>62</v>
      </c>
      <c r="G221" s="10">
        <f>VLOOKUP(A221,import!A:J,7,0)</f>
        <v>8</v>
      </c>
      <c r="H221" s="10">
        <f>VLOOKUP(A221,import!A:J,8,0)</f>
        <v>12</v>
      </c>
      <c r="I221" s="10">
        <f>VLOOKUP(A221,import!A:J,9,0)</f>
        <v>20</v>
      </c>
      <c r="J221" s="11">
        <f>VLOOKUP(A221,import!A:J,10,0)</f>
        <v>0.4</v>
      </c>
      <c r="K221" s="10" t="s">
        <v>1211</v>
      </c>
      <c r="L221" s="10">
        <v>3.243240303E9</v>
      </c>
      <c r="M221" s="10" t="s">
        <v>215</v>
      </c>
      <c r="N221" s="10" t="s">
        <v>1190</v>
      </c>
      <c r="O221" s="10" t="s">
        <v>1212</v>
      </c>
      <c r="P221" s="10" t="str">
        <f>VLOOKUP(A221,import!A:P,16,0)</f>
        <v>Geleneksel</v>
      </c>
      <c r="Q221" s="12"/>
      <c r="R221" s="12" t="b">
        <v>1</v>
      </c>
      <c r="S221" s="12" t="b">
        <v>0</v>
      </c>
      <c r="T221" s="13" t="s">
        <v>51</v>
      </c>
      <c r="U221" s="13" t="s">
        <v>52</v>
      </c>
      <c r="V221" s="13" t="s">
        <v>53</v>
      </c>
      <c r="W221" s="13" t="s">
        <v>1213</v>
      </c>
      <c r="X221" s="15">
        <v>44344.0</v>
      </c>
      <c r="Y221" s="15">
        <v>44349.0</v>
      </c>
      <c r="Z221" s="16"/>
      <c r="AA221" s="16"/>
      <c r="AB221" s="16"/>
      <c r="AC221" s="16"/>
      <c r="AD221" s="16"/>
      <c r="AE221" s="17"/>
      <c r="AF221" s="16"/>
      <c r="AG221" s="17"/>
      <c r="AH221" s="16"/>
      <c r="AI221" s="16"/>
      <c r="AJ221" s="16"/>
      <c r="AK221" s="16"/>
      <c r="AL221" s="16"/>
      <c r="AM221" s="16"/>
      <c r="AN221" s="16"/>
      <c r="AO221" s="16"/>
      <c r="AP221" s="18" t="s">
        <v>58</v>
      </c>
      <c r="AQ221" s="16"/>
    </row>
    <row r="222" ht="15.75" hidden="1" customHeight="1">
      <c r="A222" s="10" t="s">
        <v>1214</v>
      </c>
      <c r="B222" s="10" t="s">
        <v>1215</v>
      </c>
      <c r="C222" s="10" t="str">
        <f>VLOOKUP(A222,import!A:C,3,0)</f>
        <v>DOĞRU</v>
      </c>
      <c r="D222" s="10" t="s">
        <v>118</v>
      </c>
      <c r="E222" s="10">
        <f>VLOOKUP(A222,import!A:J,5,0)</f>
        <v>3053</v>
      </c>
      <c r="F222" s="10">
        <f>VLOOKUP(A222,import!A:J,6,0)</f>
        <v>122</v>
      </c>
      <c r="G222" s="10">
        <f>VLOOKUP(A222,import!A:J,7,0)</f>
        <v>9</v>
      </c>
      <c r="H222" s="10">
        <f>VLOOKUP(A222,import!A:J,8,0)</f>
        <v>1</v>
      </c>
      <c r="I222" s="10">
        <f>VLOOKUP(A222,import!A:J,9,0)</f>
        <v>10</v>
      </c>
      <c r="J222" s="11">
        <f>VLOOKUP(A222,import!A:J,10,0)</f>
        <v>0.9</v>
      </c>
      <c r="K222" s="10" t="s">
        <v>1216</v>
      </c>
      <c r="L222" s="10">
        <v>3.243227878E9</v>
      </c>
      <c r="M222" s="10" t="s">
        <v>215</v>
      </c>
      <c r="N222" s="10" t="s">
        <v>239</v>
      </c>
      <c r="O222" s="10" t="s">
        <v>1217</v>
      </c>
      <c r="P222" s="10" t="str">
        <f>VLOOKUP(A222,import!A:P,16,0)</f>
        <v>Geleneksel</v>
      </c>
      <c r="Q222" s="12"/>
      <c r="R222" s="12" t="b">
        <v>1</v>
      </c>
      <c r="S222" s="12" t="b">
        <v>0</v>
      </c>
      <c r="T222" s="13" t="s">
        <v>51</v>
      </c>
      <c r="U222" s="13" t="s">
        <v>1218</v>
      </c>
      <c r="V222" s="19" t="s">
        <v>278</v>
      </c>
      <c r="W222" s="23" t="s">
        <v>1219</v>
      </c>
      <c r="X222" s="15">
        <v>44284.0</v>
      </c>
      <c r="Y222" s="15">
        <v>44287.0</v>
      </c>
      <c r="Z222" s="16"/>
      <c r="AA222" s="16"/>
      <c r="AB222" s="16"/>
      <c r="AC222" s="16"/>
      <c r="AD222" s="16"/>
      <c r="AE222" s="17"/>
      <c r="AF222" s="16"/>
      <c r="AG222" s="17"/>
      <c r="AH222" s="16"/>
      <c r="AI222" s="16"/>
      <c r="AJ222" s="16"/>
      <c r="AK222" s="16"/>
      <c r="AL222" s="16"/>
      <c r="AM222" s="16"/>
      <c r="AN222" s="16"/>
      <c r="AO222" s="16"/>
      <c r="AP222" s="18" t="s">
        <v>58</v>
      </c>
      <c r="AQ222" s="16"/>
    </row>
    <row r="223" ht="15.75" hidden="1" customHeight="1">
      <c r="A223" s="10" t="s">
        <v>1220</v>
      </c>
      <c r="B223" s="10" t="s">
        <v>1221</v>
      </c>
      <c r="C223" s="10" t="str">
        <f>VLOOKUP(A223,import!A:C,3,0)</f>
        <v>DOĞRU</v>
      </c>
      <c r="D223" s="10" t="s">
        <v>80</v>
      </c>
      <c r="E223" s="10">
        <f>VLOOKUP(A223,import!A:J,5,0)</f>
        <v>79</v>
      </c>
      <c r="F223" s="10" t="str">
        <f>VLOOKUP(A223,import!A:J,6,0)</f>
        <v/>
      </c>
      <c r="G223" s="10">
        <f>VLOOKUP(A223,import!A:J,7,0)</f>
        <v>4</v>
      </c>
      <c r="H223" s="10">
        <f>VLOOKUP(A223,import!A:J,8,0)</f>
        <v>4</v>
      </c>
      <c r="I223" s="10">
        <f>VLOOKUP(A223,import!A:J,9,0)</f>
        <v>8</v>
      </c>
      <c r="J223" s="11">
        <f>VLOOKUP(A223,import!A:J,10,0)</f>
        <v>0.5</v>
      </c>
      <c r="K223" s="10" t="s">
        <v>1222</v>
      </c>
      <c r="L223" s="10">
        <v>5.32343533E9</v>
      </c>
      <c r="M223" s="10" t="s">
        <v>72</v>
      </c>
      <c r="N223" s="10" t="s">
        <v>538</v>
      </c>
      <c r="O223" s="10" t="s">
        <v>1223</v>
      </c>
      <c r="P223" s="10" t="str">
        <f>VLOOKUP(A223,import!A:P,16,0)</f>
        <v>Geleneksel</v>
      </c>
      <c r="Q223" s="12"/>
      <c r="R223" s="12" t="b">
        <v>1</v>
      </c>
      <c r="S223" s="12" t="b">
        <v>0</v>
      </c>
      <c r="T223" s="13" t="s">
        <v>51</v>
      </c>
      <c r="U223" s="13" t="s">
        <v>89</v>
      </c>
      <c r="V223" s="13" t="s">
        <v>66</v>
      </c>
      <c r="W223" s="13" t="s">
        <v>1224</v>
      </c>
      <c r="X223" s="15">
        <v>44515.0</v>
      </c>
      <c r="Y223" s="15">
        <v>44516.0</v>
      </c>
      <c r="Z223" s="16"/>
      <c r="AA223" s="17" t="s">
        <v>56</v>
      </c>
      <c r="AB223" s="16">
        <v>44515.0</v>
      </c>
      <c r="AC223" s="17" t="s">
        <v>55</v>
      </c>
      <c r="AD223" s="16">
        <v>44533.0</v>
      </c>
      <c r="AE223" s="17" t="s">
        <v>55</v>
      </c>
      <c r="AF223" s="16">
        <v>44572.0</v>
      </c>
      <c r="AG223" s="17"/>
      <c r="AH223" s="16"/>
      <c r="AI223" s="16"/>
      <c r="AJ223" s="16"/>
      <c r="AK223" s="17" t="s">
        <v>89</v>
      </c>
      <c r="AL223" s="17" t="s">
        <v>108</v>
      </c>
      <c r="AM223" s="17" t="s">
        <v>133</v>
      </c>
      <c r="AN223" s="16"/>
      <c r="AO223" s="16"/>
      <c r="AP223" s="18" t="s">
        <v>58</v>
      </c>
      <c r="AQ223" s="16"/>
    </row>
    <row r="224" ht="15.75" hidden="1" customHeight="1">
      <c r="A224" s="10" t="s">
        <v>1225</v>
      </c>
      <c r="B224" s="10" t="s">
        <v>1226</v>
      </c>
      <c r="C224" s="10" t="str">
        <f>VLOOKUP(A224,import!A:C,3,0)</f>
        <v>DOĞRU</v>
      </c>
      <c r="D224" s="10" t="s">
        <v>80</v>
      </c>
      <c r="E224" s="10">
        <f>VLOOKUP(A224,import!A:J,5,0)</f>
        <v>121</v>
      </c>
      <c r="F224" s="10">
        <f>VLOOKUP(A224,import!A:J,6,0)</f>
        <v>59</v>
      </c>
      <c r="G224" s="10">
        <f>VLOOKUP(A224,import!A:J,7,0)</f>
        <v>13</v>
      </c>
      <c r="H224" s="10">
        <f>VLOOKUP(A224,import!A:J,8,0)</f>
        <v>10</v>
      </c>
      <c r="I224" s="10">
        <f>VLOOKUP(A224,import!A:J,9,0)</f>
        <v>23</v>
      </c>
      <c r="J224" s="11">
        <f>VLOOKUP(A224,import!A:J,10,0)</f>
        <v>0.57</v>
      </c>
      <c r="K224" s="10" t="s">
        <v>1227</v>
      </c>
      <c r="L224" s="10">
        <v>3.243241816E9</v>
      </c>
      <c r="M224" s="10" t="s">
        <v>215</v>
      </c>
      <c r="N224" s="10" t="s">
        <v>1190</v>
      </c>
      <c r="O224" s="10" t="s">
        <v>1228</v>
      </c>
      <c r="P224" s="10" t="str">
        <f>VLOOKUP(A224,import!A:P,16,0)</f>
        <v>Geleneksel</v>
      </c>
      <c r="Q224" s="12"/>
      <c r="R224" s="12" t="b">
        <v>1</v>
      </c>
      <c r="S224" s="12" t="b">
        <v>0</v>
      </c>
      <c r="T224" s="13"/>
      <c r="U224" s="13" t="s">
        <v>89</v>
      </c>
      <c r="V224" s="13" t="s">
        <v>53</v>
      </c>
      <c r="W224" s="13" t="s">
        <v>1229</v>
      </c>
      <c r="X224" s="15">
        <v>44491.0</v>
      </c>
      <c r="Y224" s="15">
        <v>44494.0</v>
      </c>
      <c r="Z224" s="16"/>
      <c r="AA224" s="17" t="s">
        <v>86</v>
      </c>
      <c r="AB224" s="16">
        <v>44480.0</v>
      </c>
      <c r="AC224" s="17" t="s">
        <v>55</v>
      </c>
      <c r="AD224" s="16">
        <v>44491.0</v>
      </c>
      <c r="AE224" s="17" t="s">
        <v>56</v>
      </c>
      <c r="AF224" s="16">
        <v>44494.0</v>
      </c>
      <c r="AG224" s="17" t="s">
        <v>86</v>
      </c>
      <c r="AH224" s="16">
        <v>44495.0</v>
      </c>
      <c r="AI224" s="17" t="s">
        <v>56</v>
      </c>
      <c r="AJ224" s="16">
        <v>44508.0</v>
      </c>
      <c r="AK224" s="17" t="s">
        <v>87</v>
      </c>
      <c r="AL224" s="17" t="s">
        <v>89</v>
      </c>
      <c r="AM224" s="17" t="s">
        <v>89</v>
      </c>
      <c r="AN224" s="17" t="s">
        <v>87</v>
      </c>
      <c r="AO224" s="17" t="s">
        <v>133</v>
      </c>
      <c r="AP224" s="18" t="s">
        <v>58</v>
      </c>
      <c r="AQ224" s="17"/>
    </row>
    <row r="225" ht="15.75" hidden="1" customHeight="1">
      <c r="A225" s="10" t="s">
        <v>1230</v>
      </c>
      <c r="B225" s="10" t="s">
        <v>1231</v>
      </c>
      <c r="C225" s="10" t="str">
        <f>VLOOKUP(A225,import!A:C,3,0)</f>
        <v>DOĞRU</v>
      </c>
      <c r="D225" s="10" t="s">
        <v>80</v>
      </c>
      <c r="E225" s="10">
        <f>VLOOKUP(A225,import!A:J,5,0)</f>
        <v>358</v>
      </c>
      <c r="F225" s="10">
        <f>VLOOKUP(A225,import!A:J,6,0)</f>
        <v>11</v>
      </c>
      <c r="G225" s="10">
        <f>VLOOKUP(A225,import!A:J,7,0)</f>
        <v>0</v>
      </c>
      <c r="H225" s="10">
        <f>VLOOKUP(A225,import!A:J,8,0)</f>
        <v>8</v>
      </c>
      <c r="I225" s="10">
        <f>VLOOKUP(A225,import!A:J,9,0)</f>
        <v>8</v>
      </c>
      <c r="J225" s="11">
        <f>VLOOKUP(A225,import!A:J,10,0)</f>
        <v>0</v>
      </c>
      <c r="K225" s="10" t="s">
        <v>1232</v>
      </c>
      <c r="L225" s="10">
        <v>5.383586787E9</v>
      </c>
      <c r="M225" s="10" t="s">
        <v>215</v>
      </c>
      <c r="N225" s="10" t="s">
        <v>1233</v>
      </c>
      <c r="O225" s="10" t="s">
        <v>1234</v>
      </c>
      <c r="P225" s="10" t="str">
        <f>VLOOKUP(A225,import!A:P,16,0)</f>
        <v>Geleneksel</v>
      </c>
      <c r="Q225" s="12"/>
      <c r="R225" s="12" t="b">
        <v>1</v>
      </c>
      <c r="S225" s="12" t="b">
        <v>0</v>
      </c>
      <c r="T225" s="13" t="s">
        <v>55</v>
      </c>
      <c r="U225" s="13" t="s">
        <v>87</v>
      </c>
      <c r="V225" s="13" t="s">
        <v>53</v>
      </c>
      <c r="W225" s="13" t="s">
        <v>1235</v>
      </c>
      <c r="X225" s="15">
        <v>44480.0</v>
      </c>
      <c r="Y225" s="15">
        <v>44481.0</v>
      </c>
      <c r="Z225" s="16"/>
      <c r="AA225" s="17" t="s">
        <v>56</v>
      </c>
      <c r="AB225" s="16">
        <v>44480.0</v>
      </c>
      <c r="AC225" s="17" t="s">
        <v>230</v>
      </c>
      <c r="AD225" s="16">
        <v>44491.0</v>
      </c>
      <c r="AE225" s="17" t="s">
        <v>55</v>
      </c>
      <c r="AF225" s="16">
        <v>44499.0</v>
      </c>
      <c r="AG225" s="17" t="s">
        <v>56</v>
      </c>
      <c r="AH225" s="16">
        <v>44511.0</v>
      </c>
      <c r="AI225" s="17" t="s">
        <v>55</v>
      </c>
      <c r="AJ225" s="16">
        <v>44546.0</v>
      </c>
      <c r="AK225" s="17" t="s">
        <v>87</v>
      </c>
      <c r="AL225" s="17" t="s">
        <v>89</v>
      </c>
      <c r="AM225" s="17" t="s">
        <v>89</v>
      </c>
      <c r="AN225" s="17" t="s">
        <v>89</v>
      </c>
      <c r="AO225" s="17" t="s">
        <v>87</v>
      </c>
      <c r="AP225" s="18" t="s">
        <v>58</v>
      </c>
      <c r="AQ225" s="16"/>
    </row>
    <row r="226" ht="15.75" hidden="1" customHeight="1">
      <c r="A226" s="10" t="s">
        <v>1236</v>
      </c>
      <c r="B226" s="10" t="s">
        <v>1237</v>
      </c>
      <c r="C226" s="10" t="str">
        <f>VLOOKUP(A226,import!A:C,3,0)</f>
        <v>DOĞRU</v>
      </c>
      <c r="D226" s="10" t="s">
        <v>80</v>
      </c>
      <c r="E226" s="10">
        <f>VLOOKUP(A226,import!A:J,5,0)</f>
        <v>516</v>
      </c>
      <c r="F226" s="10">
        <f>VLOOKUP(A226,import!A:J,6,0)</f>
        <v>35</v>
      </c>
      <c r="G226" s="10">
        <f>VLOOKUP(A226,import!A:J,7,0)</f>
        <v>6</v>
      </c>
      <c r="H226" s="10">
        <f>VLOOKUP(A226,import!A:J,8,0)</f>
        <v>6</v>
      </c>
      <c r="I226" s="10">
        <f>VLOOKUP(A226,import!A:J,9,0)</f>
        <v>12</v>
      </c>
      <c r="J226" s="11">
        <f>VLOOKUP(A226,import!A:J,10,0)</f>
        <v>0.5</v>
      </c>
      <c r="K226" s="10" t="s">
        <v>1238</v>
      </c>
      <c r="L226" s="10">
        <v>3.243250033E9</v>
      </c>
      <c r="M226" s="10" t="s">
        <v>72</v>
      </c>
      <c r="N226" s="10" t="s">
        <v>1090</v>
      </c>
      <c r="O226" s="10" t="s">
        <v>1239</v>
      </c>
      <c r="P226" s="10" t="str">
        <f>VLOOKUP(A226,import!A:P,16,0)</f>
        <v>Geleneksel</v>
      </c>
      <c r="Q226" s="12" t="s">
        <v>50</v>
      </c>
      <c r="R226" s="12" t="b">
        <v>1</v>
      </c>
      <c r="S226" s="12" t="b">
        <v>0</v>
      </c>
      <c r="T226" s="13" t="s">
        <v>51</v>
      </c>
      <c r="U226" s="13" t="s">
        <v>89</v>
      </c>
      <c r="V226" s="19" t="s">
        <v>66</v>
      </c>
      <c r="W226" s="13" t="s">
        <v>1240</v>
      </c>
      <c r="X226" s="15">
        <v>44499.0</v>
      </c>
      <c r="Y226" s="15">
        <v>44501.0</v>
      </c>
      <c r="Z226" s="16"/>
      <c r="AA226" s="17" t="s">
        <v>56</v>
      </c>
      <c r="AB226" s="16">
        <v>44361.0</v>
      </c>
      <c r="AC226" s="17" t="s">
        <v>56</v>
      </c>
      <c r="AD226" s="16">
        <v>44499.0</v>
      </c>
      <c r="AE226" s="17" t="s">
        <v>56</v>
      </c>
      <c r="AF226" s="16">
        <v>44581.0</v>
      </c>
      <c r="AG226" s="17"/>
      <c r="AH226" s="16"/>
      <c r="AI226" s="16"/>
      <c r="AJ226" s="16"/>
      <c r="AK226" s="17" t="s">
        <v>88</v>
      </c>
      <c r="AL226" s="17" t="s">
        <v>89</v>
      </c>
      <c r="AM226" s="17" t="s">
        <v>89</v>
      </c>
      <c r="AN226" s="16"/>
      <c r="AO226" s="16"/>
      <c r="AP226" s="18" t="s">
        <v>58</v>
      </c>
      <c r="AQ226" s="16"/>
    </row>
    <row r="227" ht="15.75" customHeight="1">
      <c r="A227" s="10" t="s">
        <v>1241</v>
      </c>
      <c r="B227" s="10" t="s">
        <v>1242</v>
      </c>
      <c r="C227" s="10" t="str">
        <f>VLOOKUP(A227,import!A:C,3,0)</f>
        <v>DOĞRU</v>
      </c>
      <c r="D227" s="10" t="s">
        <v>80</v>
      </c>
      <c r="E227" s="10">
        <f>VLOOKUP(A227,import!A:J,5,0)</f>
        <v>686</v>
      </c>
      <c r="F227" s="10">
        <f>VLOOKUP(A227,import!A:J,6,0)</f>
        <v>26</v>
      </c>
      <c r="G227" s="10">
        <f>VLOOKUP(A227,import!A:J,7,0)</f>
        <v>10</v>
      </c>
      <c r="H227" s="10">
        <f>VLOOKUP(A227,import!A:J,8,0)</f>
        <v>4</v>
      </c>
      <c r="I227" s="10">
        <f>VLOOKUP(A227,import!A:J,9,0)</f>
        <v>14</v>
      </c>
      <c r="J227" s="11">
        <f>VLOOKUP(A227,import!A:J,10,0)</f>
        <v>0.71</v>
      </c>
      <c r="K227" s="10" t="s">
        <v>1243</v>
      </c>
      <c r="L227" s="10">
        <v>5.079928631E9</v>
      </c>
      <c r="M227" s="10" t="s">
        <v>137</v>
      </c>
      <c r="N227" s="10" t="s">
        <v>318</v>
      </c>
      <c r="O227" s="10" t="s">
        <v>1244</v>
      </c>
      <c r="P227" s="10" t="str">
        <f>VLOOKUP(A227,import!A:P,16,0)</f>
        <v>Geleneksel</v>
      </c>
      <c r="Q227" s="12"/>
      <c r="R227" s="12" t="b">
        <v>1</v>
      </c>
      <c r="S227" s="12" t="b">
        <v>0</v>
      </c>
      <c r="T227" s="13" t="s">
        <v>51</v>
      </c>
      <c r="U227" s="13" t="s">
        <v>52</v>
      </c>
      <c r="V227" s="19" t="s">
        <v>53</v>
      </c>
      <c r="W227" s="13" t="s">
        <v>1245</v>
      </c>
      <c r="X227" s="15">
        <v>44337.0</v>
      </c>
      <c r="Y227" s="15">
        <v>44341.0</v>
      </c>
      <c r="Z227" s="16"/>
      <c r="AA227" s="16"/>
      <c r="AB227" s="16"/>
      <c r="AC227" s="16"/>
      <c r="AD227" s="16"/>
      <c r="AE227" s="17"/>
      <c r="AF227" s="16"/>
      <c r="AG227" s="17"/>
      <c r="AH227" s="16"/>
      <c r="AI227" s="16"/>
      <c r="AJ227" s="16"/>
      <c r="AK227" s="16"/>
      <c r="AL227" s="16"/>
      <c r="AM227" s="16"/>
      <c r="AN227" s="16"/>
      <c r="AO227" s="16"/>
      <c r="AP227" s="18" t="s">
        <v>58</v>
      </c>
      <c r="AQ227" s="16"/>
    </row>
    <row r="228" ht="15.75" hidden="1" customHeight="1">
      <c r="A228" s="10" t="s">
        <v>1246</v>
      </c>
      <c r="B228" s="10" t="s">
        <v>1247</v>
      </c>
      <c r="C228" s="10" t="str">
        <f>VLOOKUP(A228,import!A:C,3,0)</f>
        <v>DOĞRU</v>
      </c>
      <c r="D228" s="10" t="s">
        <v>80</v>
      </c>
      <c r="E228" s="10">
        <f>VLOOKUP(A228,import!A:J,5,0)</f>
        <v>7645</v>
      </c>
      <c r="F228" s="10">
        <f>VLOOKUP(A228,import!A:J,6,0)</f>
        <v>181</v>
      </c>
      <c r="G228" s="10">
        <f>VLOOKUP(A228,import!A:J,7,0)</f>
        <v>0</v>
      </c>
      <c r="H228" s="10">
        <f>VLOOKUP(A228,import!A:J,8,0)</f>
        <v>13</v>
      </c>
      <c r="I228" s="10">
        <f>VLOOKUP(A228,import!A:J,9,0)</f>
        <v>13</v>
      </c>
      <c r="J228" s="11">
        <f>VLOOKUP(A228,import!A:J,10,0)</f>
        <v>0</v>
      </c>
      <c r="K228" s="10" t="s">
        <v>1248</v>
      </c>
      <c r="L228" s="10">
        <v>3.243583892E9</v>
      </c>
      <c r="M228" s="10" t="s">
        <v>72</v>
      </c>
      <c r="N228" s="10" t="s">
        <v>82</v>
      </c>
      <c r="O228" s="10" t="s">
        <v>1249</v>
      </c>
      <c r="P228" s="10" t="str">
        <f>VLOOKUP(A228,import!A:P,16,0)</f>
        <v>Geleneksel</v>
      </c>
      <c r="Q228" s="12"/>
      <c r="R228" s="12" t="b">
        <v>1</v>
      </c>
      <c r="S228" s="12" t="b">
        <v>0</v>
      </c>
      <c r="T228" s="13" t="s">
        <v>199</v>
      </c>
      <c r="U228" s="13" t="s">
        <v>1250</v>
      </c>
      <c r="V228" s="13" t="s">
        <v>53</v>
      </c>
      <c r="W228" s="28" t="s">
        <v>1251</v>
      </c>
      <c r="X228" s="15">
        <v>44434.0</v>
      </c>
      <c r="Y228" s="15">
        <v>44441.0</v>
      </c>
      <c r="Z228" s="16"/>
      <c r="AA228" s="17" t="s">
        <v>265</v>
      </c>
      <c r="AB228" s="16">
        <v>44417.0</v>
      </c>
      <c r="AC228" s="17" t="s">
        <v>56</v>
      </c>
      <c r="AD228" s="16">
        <v>44426.0</v>
      </c>
      <c r="AE228" s="17" t="s">
        <v>56</v>
      </c>
      <c r="AF228" s="16">
        <v>44434.0</v>
      </c>
      <c r="AG228" s="17" t="s">
        <v>56</v>
      </c>
      <c r="AH228" s="16">
        <v>44441.0</v>
      </c>
      <c r="AI228" s="16"/>
      <c r="AJ228" s="16"/>
      <c r="AK228" s="17" t="s">
        <v>1252</v>
      </c>
      <c r="AL228" s="17" t="s">
        <v>57</v>
      </c>
      <c r="AM228" s="17" t="s">
        <v>1250</v>
      </c>
      <c r="AN228" s="17" t="s">
        <v>52</v>
      </c>
      <c r="AO228" s="16"/>
      <c r="AP228" s="18" t="s">
        <v>58</v>
      </c>
      <c r="AQ228" s="16"/>
    </row>
    <row r="229" ht="15.75" customHeight="1">
      <c r="A229" s="10" t="s">
        <v>1253</v>
      </c>
      <c r="B229" s="10" t="s">
        <v>1254</v>
      </c>
      <c r="C229" s="10" t="str">
        <f>VLOOKUP(A229,import!A:C,3,0)</f>
        <v>DOĞRU</v>
      </c>
      <c r="D229" s="10" t="s">
        <v>118</v>
      </c>
      <c r="E229" s="10">
        <f>VLOOKUP(A229,import!A:J,5,0)</f>
        <v>970</v>
      </c>
      <c r="F229" s="10">
        <f>VLOOKUP(A229,import!A:J,6,0)</f>
        <v>123</v>
      </c>
      <c r="G229" s="10">
        <f>VLOOKUP(A229,import!A:J,7,0)</f>
        <v>1</v>
      </c>
      <c r="H229" s="10">
        <f>VLOOKUP(A229,import!A:J,8,0)</f>
        <v>10</v>
      </c>
      <c r="I229" s="10">
        <f>VLOOKUP(A229,import!A:J,9,0)</f>
        <v>11</v>
      </c>
      <c r="J229" s="11">
        <f>VLOOKUP(A229,import!A:J,10,0)</f>
        <v>0.09</v>
      </c>
      <c r="K229" s="10" t="s">
        <v>1255</v>
      </c>
      <c r="L229" s="10">
        <v>5.309789676E9</v>
      </c>
      <c r="M229" s="10" t="s">
        <v>63</v>
      </c>
      <c r="N229" s="10" t="s">
        <v>700</v>
      </c>
      <c r="O229" s="10" t="s">
        <v>1256</v>
      </c>
      <c r="P229" s="10" t="str">
        <f>VLOOKUP(A229,import!A:P,16,0)</f>
        <v>Geleneksel</v>
      </c>
      <c r="Q229" s="12" t="s">
        <v>50</v>
      </c>
      <c r="R229" s="12" t="b">
        <v>1</v>
      </c>
      <c r="S229" s="12" t="b">
        <v>0</v>
      </c>
      <c r="T229" s="13" t="s">
        <v>199</v>
      </c>
      <c r="U229" s="13" t="s">
        <v>267</v>
      </c>
      <c r="V229" s="13" t="s">
        <v>66</v>
      </c>
      <c r="W229" s="13" t="s">
        <v>1257</v>
      </c>
      <c r="X229" s="15">
        <v>44497.0</v>
      </c>
      <c r="Y229" s="15">
        <v>44498.0</v>
      </c>
      <c r="Z229" s="16"/>
      <c r="AA229" s="17" t="s">
        <v>56</v>
      </c>
      <c r="AB229" s="16">
        <v>44497.0</v>
      </c>
      <c r="AC229" s="17" t="s">
        <v>56</v>
      </c>
      <c r="AD229" s="16">
        <v>44504.0</v>
      </c>
      <c r="AE229" s="17" t="s">
        <v>56</v>
      </c>
      <c r="AF229" s="16">
        <v>44560.0</v>
      </c>
      <c r="AG229" s="17"/>
      <c r="AH229" s="16"/>
      <c r="AI229" s="16"/>
      <c r="AJ229" s="16"/>
      <c r="AK229" s="17" t="s">
        <v>267</v>
      </c>
      <c r="AL229" s="17" t="s">
        <v>133</v>
      </c>
      <c r="AM229" s="17" t="s">
        <v>89</v>
      </c>
      <c r="AN229" s="16"/>
      <c r="AO229" s="16"/>
      <c r="AP229" s="18" t="s">
        <v>58</v>
      </c>
      <c r="AQ229" s="16"/>
    </row>
    <row r="230" ht="15.75" customHeight="1">
      <c r="A230" s="10" t="s">
        <v>1258</v>
      </c>
      <c r="B230" s="10" t="s">
        <v>1259</v>
      </c>
      <c r="C230" s="10" t="str">
        <f>VLOOKUP(A230,import!A:C,3,0)</f>
        <v>DOĞRU</v>
      </c>
      <c r="D230" s="10" t="s">
        <v>118</v>
      </c>
      <c r="E230" s="10">
        <f>VLOOKUP(A230,import!A:J,5,0)</f>
        <v>209</v>
      </c>
      <c r="F230" s="10">
        <f>VLOOKUP(A230,import!A:J,6,0)</f>
        <v>37</v>
      </c>
      <c r="G230" s="10">
        <f>VLOOKUP(A230,import!A:J,7,0)</f>
        <v>0</v>
      </c>
      <c r="H230" s="10">
        <f>VLOOKUP(A230,import!A:J,8,0)</f>
        <v>10</v>
      </c>
      <c r="I230" s="10">
        <f>VLOOKUP(A230,import!A:J,9,0)</f>
        <v>10</v>
      </c>
      <c r="J230" s="11">
        <f>VLOOKUP(A230,import!A:J,10,0)</f>
        <v>0</v>
      </c>
      <c r="K230" s="10" t="s">
        <v>1260</v>
      </c>
      <c r="L230" s="10">
        <v>3.242340908E9</v>
      </c>
      <c r="M230" s="10" t="s">
        <v>137</v>
      </c>
      <c r="N230" s="10" t="s">
        <v>1261</v>
      </c>
      <c r="O230" s="10" t="s">
        <v>1262</v>
      </c>
      <c r="P230" s="10" t="str">
        <f>VLOOKUP(A230,import!A:P,16,0)</f>
        <v>Geleneksel</v>
      </c>
      <c r="Q230" s="12"/>
      <c r="R230" s="12" t="b">
        <v>1</v>
      </c>
      <c r="S230" s="12" t="b">
        <v>0</v>
      </c>
      <c r="T230" s="13" t="s">
        <v>130</v>
      </c>
      <c r="U230" s="13"/>
      <c r="V230" s="13"/>
      <c r="W230" s="13" t="s">
        <v>1263</v>
      </c>
      <c r="X230" s="15"/>
      <c r="Y230" s="15"/>
      <c r="Z230" s="16"/>
      <c r="AA230" s="17" t="s">
        <v>86</v>
      </c>
      <c r="AB230" s="16">
        <v>44579.0</v>
      </c>
      <c r="AC230" s="16"/>
      <c r="AD230" s="16"/>
      <c r="AE230" s="17"/>
      <c r="AF230" s="16"/>
      <c r="AG230" s="17"/>
      <c r="AH230" s="16"/>
      <c r="AI230" s="16"/>
      <c r="AJ230" s="16"/>
      <c r="AK230" s="17" t="s">
        <v>52</v>
      </c>
      <c r="AL230" s="16"/>
      <c r="AM230" s="16"/>
      <c r="AN230" s="16"/>
      <c r="AO230" s="16"/>
      <c r="AP230" s="18"/>
      <c r="AQ230" s="16"/>
    </row>
    <row r="231" ht="15.75" hidden="1" customHeight="1">
      <c r="A231" s="10" t="s">
        <v>1264</v>
      </c>
      <c r="B231" s="10" t="s">
        <v>1265</v>
      </c>
      <c r="C231" s="10" t="str">
        <f>VLOOKUP(A231,import!A:C,3,0)</f>
        <v>DOĞRU</v>
      </c>
      <c r="D231" s="10" t="s">
        <v>80</v>
      </c>
      <c r="E231" s="10">
        <f>VLOOKUP(A231,import!A:J,5,0)</f>
        <v>1491</v>
      </c>
      <c r="F231" s="10">
        <f>VLOOKUP(A231,import!A:J,6,0)</f>
        <v>76</v>
      </c>
      <c r="G231" s="10">
        <f>VLOOKUP(A231,import!A:J,7,0)</f>
        <v>11</v>
      </c>
      <c r="H231" s="10">
        <f>VLOOKUP(A231,import!A:J,8,0)</f>
        <v>7</v>
      </c>
      <c r="I231" s="10">
        <f>VLOOKUP(A231,import!A:J,9,0)</f>
        <v>18</v>
      </c>
      <c r="J231" s="11">
        <f>VLOOKUP(A231,import!A:J,10,0)</f>
        <v>0.61</v>
      </c>
      <c r="K231" s="10" t="s">
        <v>1266</v>
      </c>
      <c r="L231" s="10">
        <v>3.245153038E9</v>
      </c>
      <c r="M231" s="10" t="s">
        <v>47</v>
      </c>
      <c r="N231" s="10" t="s">
        <v>479</v>
      </c>
      <c r="O231" s="10" t="s">
        <v>1267</v>
      </c>
      <c r="P231" s="10" t="str">
        <f>VLOOKUP(A231,import!A:P,16,0)</f>
        <v>Geleneksel</v>
      </c>
      <c r="Q231" s="12" t="s">
        <v>146</v>
      </c>
      <c r="R231" s="12" t="b">
        <v>1</v>
      </c>
      <c r="S231" s="12" t="b">
        <v>0</v>
      </c>
      <c r="T231" s="13" t="s">
        <v>51</v>
      </c>
      <c r="U231" s="13" t="s">
        <v>89</v>
      </c>
      <c r="V231" s="13" t="s">
        <v>53</v>
      </c>
      <c r="W231" s="13" t="s">
        <v>1268</v>
      </c>
      <c r="X231" s="15">
        <v>44504.0</v>
      </c>
      <c r="Y231" s="15">
        <v>44508.0</v>
      </c>
      <c r="Z231" s="16"/>
      <c r="AA231" s="17" t="s">
        <v>56</v>
      </c>
      <c r="AB231" s="16">
        <v>44504.0</v>
      </c>
      <c r="AC231" s="16"/>
      <c r="AD231" s="16"/>
      <c r="AE231" s="17"/>
      <c r="AF231" s="16"/>
      <c r="AG231" s="17"/>
      <c r="AH231" s="16"/>
      <c r="AI231" s="16"/>
      <c r="AJ231" s="16"/>
      <c r="AK231" s="17" t="s">
        <v>89</v>
      </c>
      <c r="AL231" s="16"/>
      <c r="AM231" s="16"/>
      <c r="AN231" s="16"/>
      <c r="AO231" s="16"/>
      <c r="AP231" s="18" t="s">
        <v>58</v>
      </c>
      <c r="AQ231" s="16"/>
    </row>
    <row r="232" ht="15.75" hidden="1" customHeight="1">
      <c r="A232" s="10" t="s">
        <v>1269</v>
      </c>
      <c r="B232" s="10" t="s">
        <v>1270</v>
      </c>
      <c r="C232" s="10" t="str">
        <f>VLOOKUP(A232,import!A:C,3,0)</f>
        <v>DOĞRU</v>
      </c>
      <c r="D232" s="10" t="s">
        <v>80</v>
      </c>
      <c r="E232" s="33">
        <f>VLOOKUP(A232,import!A:J,5,0)</f>
        <v>153</v>
      </c>
      <c r="F232" s="10" t="str">
        <f>VLOOKUP(A232,import!A:J,6,0)</f>
        <v/>
      </c>
      <c r="G232" s="10">
        <f>VLOOKUP(A232,import!A:J,7,0)</f>
        <v>0</v>
      </c>
      <c r="H232" s="10">
        <f>VLOOKUP(A232,import!A:J,8,0)</f>
        <v>14</v>
      </c>
      <c r="I232" s="10">
        <f>VLOOKUP(A232,import!A:J,9,0)</f>
        <v>14</v>
      </c>
      <c r="J232" s="11">
        <f>VLOOKUP(A232,import!A:J,10,0)</f>
        <v>0</v>
      </c>
      <c r="K232" s="10" t="s">
        <v>1271</v>
      </c>
      <c r="L232" s="10">
        <v>3.243286004E9</v>
      </c>
      <c r="M232" s="10" t="s">
        <v>72</v>
      </c>
      <c r="N232" s="10" t="s">
        <v>915</v>
      </c>
      <c r="O232" s="10" t="s">
        <v>1272</v>
      </c>
      <c r="P232" s="10" t="str">
        <f>VLOOKUP(A232,import!A:P,16,0)</f>
        <v>Geleneksel</v>
      </c>
      <c r="Q232" s="12"/>
      <c r="R232" s="12" t="b">
        <v>1</v>
      </c>
      <c r="S232" s="12" t="b">
        <v>1</v>
      </c>
      <c r="T232" s="13"/>
      <c r="U232" s="13"/>
      <c r="V232" s="13"/>
      <c r="W232" s="13" t="s">
        <v>1273</v>
      </c>
      <c r="X232" s="15"/>
      <c r="Y232" s="15"/>
      <c r="Z232" s="16"/>
      <c r="AA232" s="17" t="s">
        <v>56</v>
      </c>
      <c r="AB232" s="16">
        <v>44508.0</v>
      </c>
      <c r="AC232" s="17" t="s">
        <v>56</v>
      </c>
      <c r="AD232" s="16">
        <v>44516.0</v>
      </c>
      <c r="AE232" s="17"/>
      <c r="AF232" s="16"/>
      <c r="AG232" s="17"/>
      <c r="AH232" s="16"/>
      <c r="AI232" s="16"/>
      <c r="AJ232" s="16"/>
      <c r="AK232" s="17" t="s">
        <v>133</v>
      </c>
      <c r="AL232" s="17" t="s">
        <v>108</v>
      </c>
      <c r="AM232" s="16"/>
      <c r="AN232" s="16"/>
      <c r="AO232" s="16"/>
      <c r="AP232" s="18" t="s">
        <v>58</v>
      </c>
      <c r="AQ232" s="16"/>
    </row>
    <row r="233" ht="15.75" hidden="1" customHeight="1">
      <c r="A233" s="10" t="s">
        <v>1274</v>
      </c>
      <c r="B233" s="10" t="s">
        <v>1275</v>
      </c>
      <c r="C233" s="10" t="str">
        <f>VLOOKUP(A233,import!A:C,3,0)</f>
        <v>DOĞRU</v>
      </c>
      <c r="D233" s="10" t="s">
        <v>80</v>
      </c>
      <c r="E233" s="10">
        <f>VLOOKUP(A233,import!A:J,5,0)</f>
        <v>805</v>
      </c>
      <c r="F233" s="10">
        <f>VLOOKUP(A233,import!A:J,6,0)</f>
        <v>33</v>
      </c>
      <c r="G233" s="10">
        <f>VLOOKUP(A233,import!A:J,7,0)</f>
        <v>0</v>
      </c>
      <c r="H233" s="10">
        <f>VLOOKUP(A233,import!A:J,8,0)</f>
        <v>12</v>
      </c>
      <c r="I233" s="10">
        <f>VLOOKUP(A233,import!A:J,9,0)</f>
        <v>12</v>
      </c>
      <c r="J233" s="11">
        <f>VLOOKUP(A233,import!A:J,10,0)</f>
        <v>0</v>
      </c>
      <c r="K233" s="10" t="s">
        <v>1276</v>
      </c>
      <c r="L233" s="10">
        <v>3.243289033E9</v>
      </c>
      <c r="M233" s="10" t="s">
        <v>72</v>
      </c>
      <c r="N233" s="10" t="s">
        <v>1277</v>
      </c>
      <c r="O233" s="10" t="s">
        <v>1278</v>
      </c>
      <c r="P233" s="10" t="str">
        <f>VLOOKUP(A233,import!A:P,16,0)</f>
        <v>Geleneksel</v>
      </c>
      <c r="Q233" s="12" t="s">
        <v>50</v>
      </c>
      <c r="R233" s="12" t="b">
        <v>1</v>
      </c>
      <c r="S233" s="12" t="b">
        <v>0</v>
      </c>
      <c r="T233" s="14" t="s">
        <v>199</v>
      </c>
      <c r="U233" s="14" t="s">
        <v>52</v>
      </c>
      <c r="V233" s="14" t="s">
        <v>278</v>
      </c>
      <c r="W233" s="14" t="s">
        <v>1279</v>
      </c>
      <c r="X233" s="29">
        <v>44267.0</v>
      </c>
      <c r="Y233" s="29">
        <v>44271.0</v>
      </c>
      <c r="Z233" s="16"/>
      <c r="AA233" s="17" t="s">
        <v>230</v>
      </c>
      <c r="AB233" s="16">
        <v>44496.0</v>
      </c>
      <c r="AC233" s="17" t="s">
        <v>230</v>
      </c>
      <c r="AD233" s="16">
        <v>44498.0</v>
      </c>
      <c r="AE233" s="17" t="s">
        <v>265</v>
      </c>
      <c r="AF233" s="16">
        <v>44499.0</v>
      </c>
      <c r="AG233" s="17" t="s">
        <v>56</v>
      </c>
      <c r="AH233" s="16">
        <v>44536.0</v>
      </c>
      <c r="AI233" s="17" t="s">
        <v>56</v>
      </c>
      <c r="AJ233" s="16">
        <v>44565.0</v>
      </c>
      <c r="AK233" s="17" t="s">
        <v>87</v>
      </c>
      <c r="AL233" s="17" t="s">
        <v>89</v>
      </c>
      <c r="AM233" s="17" t="s">
        <v>89</v>
      </c>
      <c r="AN233" s="17" t="s">
        <v>89</v>
      </c>
      <c r="AO233" s="17" t="s">
        <v>89</v>
      </c>
      <c r="AP233" s="18" t="s">
        <v>58</v>
      </c>
      <c r="AQ233" s="16"/>
    </row>
    <row r="234" ht="15.75" customHeight="1">
      <c r="A234" s="10" t="s">
        <v>1280</v>
      </c>
      <c r="B234" s="10" t="s">
        <v>1281</v>
      </c>
      <c r="C234" s="10" t="str">
        <f>VLOOKUP(A234,import!A:C,3,0)</f>
        <v>DOĞRU</v>
      </c>
      <c r="D234" s="10" t="s">
        <v>80</v>
      </c>
      <c r="E234" s="10">
        <f>VLOOKUP(A234,import!A:J,5,0)</f>
        <v>214</v>
      </c>
      <c r="F234" s="10">
        <f>VLOOKUP(A234,import!A:J,6,0)</f>
        <v>54</v>
      </c>
      <c r="G234" s="10">
        <f>VLOOKUP(A234,import!A:J,7,0)</f>
        <v>0</v>
      </c>
      <c r="H234" s="10">
        <f>VLOOKUP(A234,import!A:J,8,0)</f>
        <v>11</v>
      </c>
      <c r="I234" s="10">
        <f>VLOOKUP(A234,import!A:J,9,0)</f>
        <v>11</v>
      </c>
      <c r="J234" s="11">
        <f>VLOOKUP(A234,import!A:J,10,0)</f>
        <v>0</v>
      </c>
      <c r="K234" s="10" t="s">
        <v>1282</v>
      </c>
      <c r="L234" s="10">
        <v>5.337715696E9</v>
      </c>
      <c r="M234" s="10" t="s">
        <v>137</v>
      </c>
      <c r="N234" s="10" t="s">
        <v>1283</v>
      </c>
      <c r="O234" s="10" t="s">
        <v>1284</v>
      </c>
      <c r="P234" s="10" t="str">
        <f>VLOOKUP(A234,import!A:P,16,0)</f>
        <v>Geleneksel</v>
      </c>
      <c r="Q234" s="12"/>
      <c r="R234" s="12" t="b">
        <v>1</v>
      </c>
      <c r="S234" s="12" t="b">
        <v>0</v>
      </c>
      <c r="T234" s="13" t="s">
        <v>55</v>
      </c>
      <c r="U234" s="13" t="s">
        <v>267</v>
      </c>
      <c r="V234" s="17" t="s">
        <v>66</v>
      </c>
      <c r="W234" s="13"/>
      <c r="X234" s="15">
        <v>44649.0</v>
      </c>
      <c r="Y234" s="15">
        <v>44651.0</v>
      </c>
      <c r="Z234" s="16"/>
      <c r="AA234" s="17" t="s">
        <v>56</v>
      </c>
      <c r="AB234" s="16">
        <v>44643.0</v>
      </c>
      <c r="AC234" s="17" t="s">
        <v>56</v>
      </c>
      <c r="AD234" s="16">
        <v>44645.0</v>
      </c>
      <c r="AE234" s="17" t="s">
        <v>56</v>
      </c>
      <c r="AF234" s="16">
        <v>44649.0</v>
      </c>
      <c r="AG234" s="17"/>
      <c r="AH234" s="16"/>
      <c r="AI234" s="16"/>
      <c r="AJ234" s="16"/>
      <c r="AK234" s="17" t="s">
        <v>267</v>
      </c>
      <c r="AL234" s="17" t="s">
        <v>267</v>
      </c>
      <c r="AM234" s="17" t="s">
        <v>267</v>
      </c>
      <c r="AN234" s="16"/>
      <c r="AO234" s="16"/>
      <c r="AP234" s="18"/>
      <c r="AQ234" s="16"/>
    </row>
    <row r="235" ht="15.75" hidden="1" customHeight="1">
      <c r="A235" s="10" t="s">
        <v>1285</v>
      </c>
      <c r="B235" s="10" t="s">
        <v>1286</v>
      </c>
      <c r="C235" s="10" t="str">
        <f>VLOOKUP(A235,import!A:C,3,0)</f>
        <v>DOĞRU</v>
      </c>
      <c r="D235" s="10" t="s">
        <v>80</v>
      </c>
      <c r="E235" s="10">
        <f>VLOOKUP(A235,import!A:J,5,0)</f>
        <v>1604</v>
      </c>
      <c r="F235" s="10">
        <f>VLOOKUP(A235,import!A:J,6,0)</f>
        <v>112</v>
      </c>
      <c r="G235" s="10">
        <f>VLOOKUP(A235,import!A:J,7,0)</f>
        <v>0</v>
      </c>
      <c r="H235" s="10">
        <f>VLOOKUP(A235,import!A:J,8,0)</f>
        <v>19</v>
      </c>
      <c r="I235" s="10">
        <f>VLOOKUP(A235,import!A:J,9,0)</f>
        <v>19</v>
      </c>
      <c r="J235" s="11">
        <f>VLOOKUP(A235,import!A:J,10,0)</f>
        <v>0</v>
      </c>
      <c r="K235" s="10" t="s">
        <v>1287</v>
      </c>
      <c r="L235" s="10">
        <v>3.246261199E9</v>
      </c>
      <c r="M235" s="10" t="s">
        <v>156</v>
      </c>
      <c r="N235" s="10" t="s">
        <v>283</v>
      </c>
      <c r="O235" s="10" t="s">
        <v>1288</v>
      </c>
      <c r="P235" s="10" t="str">
        <f>VLOOKUP(A235,import!A:P,16,0)</f>
        <v>Geleneksel</v>
      </c>
      <c r="Q235" s="12" t="s">
        <v>146</v>
      </c>
      <c r="R235" s="12" t="b">
        <v>1</v>
      </c>
      <c r="S235" s="13" t="b">
        <v>0</v>
      </c>
      <c r="T235" s="13" t="s">
        <v>199</v>
      </c>
      <c r="U235" s="13" t="s">
        <v>437</v>
      </c>
      <c r="V235" s="13"/>
      <c r="W235" s="13" t="s">
        <v>1289</v>
      </c>
      <c r="X235" s="15"/>
      <c r="Y235" s="15"/>
      <c r="Z235" s="16"/>
      <c r="AA235" s="16"/>
      <c r="AB235" s="16"/>
      <c r="AC235" s="16"/>
      <c r="AD235" s="16"/>
      <c r="AE235" s="17"/>
      <c r="AF235" s="16"/>
      <c r="AG235" s="17"/>
      <c r="AH235" s="16"/>
      <c r="AI235" s="16"/>
      <c r="AJ235" s="16"/>
      <c r="AK235" s="16"/>
      <c r="AL235" s="16"/>
      <c r="AM235" s="16"/>
      <c r="AN235" s="16"/>
      <c r="AO235" s="16"/>
      <c r="AP235" s="18" t="s">
        <v>58</v>
      </c>
      <c r="AQ235" s="16"/>
    </row>
    <row r="236" ht="15.75" customHeight="1">
      <c r="A236" s="10" t="s">
        <v>1290</v>
      </c>
      <c r="B236" s="10" t="s">
        <v>1291</v>
      </c>
      <c r="C236" s="10" t="str">
        <f>VLOOKUP(A236,import!A:C,3,0)</f>
        <v>DOĞRU</v>
      </c>
      <c r="D236" s="10" t="s">
        <v>80</v>
      </c>
      <c r="E236" s="10">
        <f>VLOOKUP(A236,import!A:J,5,0)</f>
        <v>154</v>
      </c>
      <c r="F236" s="10">
        <f>VLOOKUP(A236,import!A:J,6,0)</f>
        <v>52</v>
      </c>
      <c r="G236" s="10">
        <f>VLOOKUP(A236,import!A:J,7,0)</f>
        <v>0</v>
      </c>
      <c r="H236" s="10">
        <f>VLOOKUP(A236,import!A:J,8,0)</f>
        <v>8</v>
      </c>
      <c r="I236" s="10">
        <f>VLOOKUP(A236,import!A:J,9,0)</f>
        <v>8</v>
      </c>
      <c r="J236" s="11">
        <f>VLOOKUP(A236,import!A:J,10,0)</f>
        <v>0</v>
      </c>
      <c r="K236" s="10" t="s">
        <v>1292</v>
      </c>
      <c r="L236" s="10">
        <v>5.061927475E9</v>
      </c>
      <c r="M236" s="10" t="s">
        <v>137</v>
      </c>
      <c r="N236" s="10" t="s">
        <v>209</v>
      </c>
      <c r="O236" s="10" t="s">
        <v>1293</v>
      </c>
      <c r="P236" s="10" t="str">
        <f>VLOOKUP(A236,import!A:P,16,0)</f>
        <v>Geleneksel</v>
      </c>
      <c r="Q236" s="12"/>
      <c r="R236" s="12" t="b">
        <v>1</v>
      </c>
      <c r="S236" s="12" t="b">
        <v>0</v>
      </c>
      <c r="T236" s="13"/>
      <c r="U236" s="13"/>
      <c r="V236" s="13"/>
      <c r="W236" s="13" t="s">
        <v>1294</v>
      </c>
      <c r="X236" s="15"/>
      <c r="Y236" s="15"/>
      <c r="Z236" s="16"/>
      <c r="AA236" s="17" t="s">
        <v>56</v>
      </c>
      <c r="AB236" s="16">
        <v>44648.0</v>
      </c>
      <c r="AC236" s="16"/>
      <c r="AD236" s="16"/>
      <c r="AE236" s="17"/>
      <c r="AF236" s="16"/>
      <c r="AG236" s="17"/>
      <c r="AH236" s="16"/>
      <c r="AI236" s="16"/>
      <c r="AJ236" s="16"/>
      <c r="AK236" s="17" t="s">
        <v>133</v>
      </c>
      <c r="AL236" s="16"/>
      <c r="AM236" s="16"/>
      <c r="AN236" s="16"/>
      <c r="AO236" s="16"/>
      <c r="AP236" s="18"/>
      <c r="AQ236" s="16"/>
    </row>
    <row r="237" ht="15.75" hidden="1" customHeight="1">
      <c r="A237" s="10" t="s">
        <v>1295</v>
      </c>
      <c r="B237" s="10" t="s">
        <v>1296</v>
      </c>
      <c r="C237" s="10" t="str">
        <f>VLOOKUP(A237,import!A:C,3,0)</f>
        <v>YANLIŞ</v>
      </c>
      <c r="D237" s="10" t="s">
        <v>118</v>
      </c>
      <c r="E237" s="10">
        <f>VLOOKUP(A237,import!A:J,5,0)</f>
        <v>969</v>
      </c>
      <c r="F237" s="10" t="str">
        <f>VLOOKUP(A237,import!A:J,6,0)</f>
        <v/>
      </c>
      <c r="G237" s="10">
        <f>VLOOKUP(A237,import!A:J,7,0)</f>
        <v>0</v>
      </c>
      <c r="H237" s="10">
        <f>VLOOKUP(A237,import!A:J,8,0)</f>
        <v>19</v>
      </c>
      <c r="I237" s="10">
        <f>VLOOKUP(A237,import!A:J,9,0)</f>
        <v>19</v>
      </c>
      <c r="J237" s="11">
        <f>VLOOKUP(A237,import!A:J,10,0)</f>
        <v>0</v>
      </c>
      <c r="K237" s="10" t="s">
        <v>1297</v>
      </c>
      <c r="L237" s="10">
        <v>3.243250029E9</v>
      </c>
      <c r="M237" s="10" t="s">
        <v>72</v>
      </c>
      <c r="N237" s="10" t="s">
        <v>1298</v>
      </c>
      <c r="O237" s="10" t="s">
        <v>1299</v>
      </c>
      <c r="P237" s="10" t="str">
        <f>VLOOKUP(A237,import!A:P,16,0)</f>
        <v>Geleneksel</v>
      </c>
      <c r="Q237" s="12" t="s">
        <v>146</v>
      </c>
      <c r="R237" s="12" t="b">
        <v>1</v>
      </c>
      <c r="S237" s="12" t="b">
        <v>0</v>
      </c>
      <c r="T237" s="14" t="s">
        <v>528</v>
      </c>
      <c r="U237" s="14"/>
      <c r="V237" s="14"/>
      <c r="W237" s="14" t="s">
        <v>1300</v>
      </c>
      <c r="X237" s="29"/>
      <c r="Y237" s="29"/>
      <c r="Z237" s="16"/>
      <c r="AA237" s="17" t="s">
        <v>230</v>
      </c>
      <c r="AB237" s="16">
        <v>44536.0</v>
      </c>
      <c r="AC237" s="17" t="s">
        <v>56</v>
      </c>
      <c r="AD237" s="16">
        <v>44540.0</v>
      </c>
      <c r="AE237" s="17"/>
      <c r="AF237" s="16"/>
      <c r="AG237" s="17"/>
      <c r="AH237" s="16"/>
      <c r="AI237" s="16"/>
      <c r="AJ237" s="16"/>
      <c r="AK237" s="17" t="s">
        <v>314</v>
      </c>
      <c r="AL237" s="17" t="s">
        <v>314</v>
      </c>
      <c r="AM237" s="16"/>
      <c r="AN237" s="16"/>
      <c r="AO237" s="16"/>
      <c r="AP237" s="18" t="s">
        <v>58</v>
      </c>
      <c r="AQ237" s="16"/>
    </row>
    <row r="238" ht="15.75" hidden="1" customHeight="1">
      <c r="A238" s="10" t="s">
        <v>1301</v>
      </c>
      <c r="B238" s="10" t="s">
        <v>1302</v>
      </c>
      <c r="C238" s="10" t="str">
        <f>VLOOKUP(A238,import!A:C,3,0)</f>
        <v>DOĞRU</v>
      </c>
      <c r="D238" s="10" t="s">
        <v>45</v>
      </c>
      <c r="E238" s="10">
        <f>VLOOKUP(A238,import!A:J,5,0)</f>
        <v>6</v>
      </c>
      <c r="F238" s="10">
        <f>VLOOKUP(A238,import!A:J,6,0)</f>
        <v>2</v>
      </c>
      <c r="G238" s="10">
        <f>VLOOKUP(A238,import!A:J,7,0)</f>
        <v>0</v>
      </c>
      <c r="H238" s="10">
        <f>VLOOKUP(A238,import!A:J,8,0)</f>
        <v>31</v>
      </c>
      <c r="I238" s="10">
        <f>VLOOKUP(A238,import!A:J,9,0)</f>
        <v>31</v>
      </c>
      <c r="J238" s="11">
        <f>VLOOKUP(A238,import!A:J,10,0)</f>
        <v>0</v>
      </c>
      <c r="K238" s="10" t="s">
        <v>1303</v>
      </c>
      <c r="L238" s="10">
        <v>3.243280016E9</v>
      </c>
      <c r="M238" s="10" t="s">
        <v>72</v>
      </c>
      <c r="N238" s="10" t="s">
        <v>120</v>
      </c>
      <c r="O238" s="10" t="s">
        <v>1304</v>
      </c>
      <c r="P238" s="10" t="str">
        <f>VLOOKUP(A238,import!A:P,16,0)</f>
        <v>Geleneksel</v>
      </c>
      <c r="Q238" s="12"/>
      <c r="R238" s="12" t="b">
        <v>1</v>
      </c>
      <c r="S238" s="12" t="b">
        <v>0</v>
      </c>
      <c r="T238" s="13" t="s">
        <v>199</v>
      </c>
      <c r="U238" s="13"/>
      <c r="V238" s="13"/>
      <c r="W238" s="13"/>
      <c r="X238" s="15"/>
      <c r="Y238" s="15"/>
      <c r="Z238" s="16"/>
      <c r="AA238" s="17" t="s">
        <v>56</v>
      </c>
      <c r="AB238" s="16">
        <v>44629.0</v>
      </c>
      <c r="AC238" s="17" t="s">
        <v>56</v>
      </c>
      <c r="AD238" s="16">
        <v>44636.0</v>
      </c>
      <c r="AE238" s="17" t="s">
        <v>56</v>
      </c>
      <c r="AF238" s="16">
        <v>44642.0</v>
      </c>
      <c r="AG238" s="17"/>
      <c r="AH238" s="16"/>
      <c r="AI238" s="16"/>
      <c r="AJ238" s="16"/>
      <c r="AK238" s="17" t="s">
        <v>133</v>
      </c>
      <c r="AL238" s="17" t="s">
        <v>133</v>
      </c>
      <c r="AM238" s="17" t="s">
        <v>133</v>
      </c>
      <c r="AN238" s="16"/>
      <c r="AO238" s="16"/>
      <c r="AP238" s="18"/>
      <c r="AQ238" s="16"/>
    </row>
    <row r="239" ht="15.75" hidden="1" customHeight="1">
      <c r="A239" s="10" t="s">
        <v>1305</v>
      </c>
      <c r="B239" s="10" t="s">
        <v>1306</v>
      </c>
      <c r="C239" s="10" t="str">
        <f>VLOOKUP(A239,import!A:C,3,0)</f>
        <v>DOĞRU</v>
      </c>
      <c r="D239" s="10" t="s">
        <v>372</v>
      </c>
      <c r="E239" s="10">
        <f>VLOOKUP(A239,import!A:J,5,0)</f>
        <v>410</v>
      </c>
      <c r="F239" s="10">
        <f>VLOOKUP(A239,import!A:J,6,0)</f>
        <v>21</v>
      </c>
      <c r="G239" s="10">
        <f>VLOOKUP(A239,import!A:J,7,0)</f>
        <v>11</v>
      </c>
      <c r="H239" s="10">
        <f>VLOOKUP(A239,import!A:J,8,0)</f>
        <v>85</v>
      </c>
      <c r="I239" s="10">
        <f>VLOOKUP(A239,import!A:J,9,0)</f>
        <v>96</v>
      </c>
      <c r="J239" s="11">
        <f>VLOOKUP(A239,import!A:J,10,0)</f>
        <v>0.11</v>
      </c>
      <c r="K239" s="10" t="s">
        <v>1307</v>
      </c>
      <c r="L239" s="10">
        <v>3.24515335E9</v>
      </c>
      <c r="M239" s="10" t="s">
        <v>47</v>
      </c>
      <c r="N239" s="10" t="s">
        <v>48</v>
      </c>
      <c r="O239" s="10" t="s">
        <v>1308</v>
      </c>
      <c r="P239" s="10" t="str">
        <f>VLOOKUP(A239,import!A:P,16,0)</f>
        <v>Geleneksel</v>
      </c>
      <c r="Q239" s="12"/>
      <c r="R239" s="12" t="b">
        <v>1</v>
      </c>
      <c r="S239" s="12" t="b">
        <v>0</v>
      </c>
      <c r="T239" s="13" t="s">
        <v>51</v>
      </c>
      <c r="U239" s="13" t="s">
        <v>108</v>
      </c>
      <c r="V239" s="13" t="s">
        <v>53</v>
      </c>
      <c r="W239" s="13" t="s">
        <v>1309</v>
      </c>
      <c r="X239" s="15">
        <v>44504.0</v>
      </c>
      <c r="Y239" s="15">
        <v>44508.0</v>
      </c>
      <c r="Z239" s="16"/>
      <c r="AA239" s="17" t="s">
        <v>56</v>
      </c>
      <c r="AB239" s="16">
        <v>44504.0</v>
      </c>
      <c r="AC239" s="16"/>
      <c r="AD239" s="16"/>
      <c r="AE239" s="17"/>
      <c r="AF239" s="16"/>
      <c r="AG239" s="17"/>
      <c r="AH239" s="16"/>
      <c r="AI239" s="16"/>
      <c r="AJ239" s="16"/>
      <c r="AK239" s="17" t="s">
        <v>108</v>
      </c>
      <c r="AL239" s="16"/>
      <c r="AM239" s="16"/>
      <c r="AN239" s="16"/>
      <c r="AO239" s="16"/>
      <c r="AP239" s="18" t="s">
        <v>58</v>
      </c>
      <c r="AQ239" s="16"/>
    </row>
    <row r="240" ht="15.75" hidden="1" customHeight="1">
      <c r="A240" s="10" t="s">
        <v>1310</v>
      </c>
      <c r="B240" s="10" t="s">
        <v>1311</v>
      </c>
      <c r="C240" s="10" t="str">
        <f>VLOOKUP(A240,import!A:C,3,0)</f>
        <v>YANLIŞ</v>
      </c>
      <c r="D240" s="10" t="s">
        <v>564</v>
      </c>
      <c r="E240" s="10">
        <f>VLOOKUP(A240,import!A:J,5,0)</f>
        <v>305</v>
      </c>
      <c r="F240" s="10" t="str">
        <f>VLOOKUP(A240,import!A:J,6,0)</f>
        <v/>
      </c>
      <c r="G240" s="10">
        <f>VLOOKUP(A240,import!A:J,7,0)</f>
        <v>0</v>
      </c>
      <c r="H240" s="10">
        <f>VLOOKUP(A240,import!A:J,8,0)</f>
        <v>104</v>
      </c>
      <c r="I240" s="10">
        <f>VLOOKUP(A240,import!A:J,9,0)</f>
        <v>104</v>
      </c>
      <c r="J240" s="11">
        <f>VLOOKUP(A240,import!A:J,10,0)</f>
        <v>0</v>
      </c>
      <c r="K240" s="10" t="s">
        <v>1312</v>
      </c>
      <c r="L240" s="10">
        <v>3.246130333E9</v>
      </c>
      <c r="M240" s="10" t="s">
        <v>156</v>
      </c>
      <c r="N240" s="10" t="s">
        <v>596</v>
      </c>
      <c r="O240" s="10" t="s">
        <v>1313</v>
      </c>
      <c r="P240" s="10" t="str">
        <f>VLOOKUP(A240,import!A:P,16,0)</f>
        <v>Geleneksel</v>
      </c>
      <c r="Q240" s="12"/>
      <c r="R240" s="12" t="b">
        <v>1</v>
      </c>
      <c r="S240" s="12" t="b">
        <v>0</v>
      </c>
      <c r="T240" s="13" t="s">
        <v>130</v>
      </c>
      <c r="U240" s="13"/>
      <c r="V240" s="13"/>
      <c r="W240" s="13" t="s">
        <v>1314</v>
      </c>
      <c r="X240" s="15"/>
      <c r="Y240" s="15"/>
      <c r="Z240" s="16"/>
      <c r="AA240" s="16"/>
      <c r="AB240" s="16"/>
      <c r="AC240" s="16"/>
      <c r="AD240" s="16"/>
      <c r="AE240" s="17"/>
      <c r="AF240" s="16"/>
      <c r="AG240" s="17"/>
      <c r="AH240" s="16"/>
      <c r="AI240" s="16"/>
      <c r="AJ240" s="16"/>
      <c r="AK240" s="16"/>
      <c r="AL240" s="16"/>
      <c r="AM240" s="16"/>
      <c r="AN240" s="16"/>
      <c r="AO240" s="16"/>
      <c r="AP240" s="18" t="s">
        <v>58</v>
      </c>
      <c r="AQ240" s="16"/>
    </row>
    <row r="241" ht="15.75" customHeight="1">
      <c r="A241" s="10" t="s">
        <v>1315</v>
      </c>
      <c r="B241" s="10" t="s">
        <v>1316</v>
      </c>
      <c r="C241" s="10" t="str">
        <f>VLOOKUP(A241,import!A:C,3,0)</f>
        <v>DOĞRU</v>
      </c>
      <c r="D241" s="10" t="s">
        <v>363</v>
      </c>
      <c r="E241" s="10">
        <f>VLOOKUP(A241,import!A:J,5,0)</f>
        <v>1619</v>
      </c>
      <c r="F241" s="10">
        <f>VLOOKUP(A241,import!A:J,6,0)</f>
        <v>70</v>
      </c>
      <c r="G241" s="10">
        <f>VLOOKUP(A241,import!A:J,7,0)</f>
        <v>7</v>
      </c>
      <c r="H241" s="10">
        <f>VLOOKUP(A241,import!A:J,8,0)</f>
        <v>3</v>
      </c>
      <c r="I241" s="10">
        <f>VLOOKUP(A241,import!A:J,9,0)</f>
        <v>10</v>
      </c>
      <c r="J241" s="11">
        <f>VLOOKUP(A241,import!A:J,10,0)</f>
        <v>0.7</v>
      </c>
      <c r="K241" s="10" t="s">
        <v>1317</v>
      </c>
      <c r="L241" s="10">
        <v>5.342261505E9</v>
      </c>
      <c r="M241" s="10" t="s">
        <v>63</v>
      </c>
      <c r="N241" s="10" t="s">
        <v>93</v>
      </c>
      <c r="O241" s="10" t="s">
        <v>1318</v>
      </c>
      <c r="P241" s="10" t="str">
        <f>VLOOKUP(A241,import!A:P,16,0)</f>
        <v>Geleneksel</v>
      </c>
      <c r="Q241" s="12"/>
      <c r="R241" s="12" t="b">
        <v>1</v>
      </c>
      <c r="S241" s="12" t="b">
        <v>0</v>
      </c>
      <c r="T241" s="27" t="s">
        <v>140</v>
      </c>
      <c r="U241" s="13"/>
      <c r="V241" s="13"/>
      <c r="W241" s="23" t="s">
        <v>1319</v>
      </c>
      <c r="X241" s="15"/>
      <c r="Y241" s="15"/>
      <c r="Z241" s="16"/>
      <c r="AA241" s="16"/>
      <c r="AB241" s="16"/>
      <c r="AC241" s="16"/>
      <c r="AD241" s="16"/>
      <c r="AE241" s="17"/>
      <c r="AF241" s="16"/>
      <c r="AG241" s="17"/>
      <c r="AH241" s="16"/>
      <c r="AI241" s="16"/>
      <c r="AJ241" s="16"/>
      <c r="AK241" s="16"/>
      <c r="AL241" s="16"/>
      <c r="AM241" s="16"/>
      <c r="AN241" s="16"/>
      <c r="AO241" s="16"/>
      <c r="AP241" s="18" t="s">
        <v>58</v>
      </c>
      <c r="AQ241" s="16"/>
    </row>
    <row r="242" ht="15.75" hidden="1" customHeight="1">
      <c r="A242" s="10" t="s">
        <v>1320</v>
      </c>
      <c r="B242" s="10" t="s">
        <v>1321</v>
      </c>
      <c r="C242" s="10" t="str">
        <f>VLOOKUP(A242,import!A:C,3,0)</f>
        <v>DOĞRU</v>
      </c>
      <c r="D242" s="10" t="s">
        <v>363</v>
      </c>
      <c r="E242" s="10">
        <f>VLOOKUP(A242,import!A:J,5,0)</f>
        <v>2773</v>
      </c>
      <c r="F242" s="10">
        <f>VLOOKUP(A242,import!A:J,6,0)</f>
        <v>76</v>
      </c>
      <c r="G242" s="10">
        <f>VLOOKUP(A242,import!A:J,7,0)</f>
        <v>7</v>
      </c>
      <c r="H242" s="10">
        <f>VLOOKUP(A242,import!A:J,8,0)</f>
        <v>3</v>
      </c>
      <c r="I242" s="10">
        <f>VLOOKUP(A242,import!A:J,9,0)</f>
        <v>10</v>
      </c>
      <c r="J242" s="11">
        <f>VLOOKUP(A242,import!A:J,10,0)</f>
        <v>0.7</v>
      </c>
      <c r="K242" s="10" t="s">
        <v>1317</v>
      </c>
      <c r="L242" s="10">
        <v>3.243265737E9</v>
      </c>
      <c r="M242" s="10" t="s">
        <v>72</v>
      </c>
      <c r="N242" s="10" t="s">
        <v>73</v>
      </c>
      <c r="O242" s="10" t="s">
        <v>1322</v>
      </c>
      <c r="P242" s="10" t="str">
        <f>VLOOKUP(A242,import!A:P,16,0)</f>
        <v>Geleneksel</v>
      </c>
      <c r="Q242" s="12" t="s">
        <v>50</v>
      </c>
      <c r="R242" s="12" t="b">
        <v>1</v>
      </c>
      <c r="S242" s="12" t="b">
        <v>0</v>
      </c>
      <c r="T242" s="14" t="s">
        <v>51</v>
      </c>
      <c r="U242" s="14" t="s">
        <v>654</v>
      </c>
      <c r="V242" s="14" t="s">
        <v>53</v>
      </c>
      <c r="W242" s="14" t="s">
        <v>470</v>
      </c>
      <c r="X242" s="29">
        <v>44294.0</v>
      </c>
      <c r="Y242" s="29">
        <v>44298.0</v>
      </c>
      <c r="Z242" s="16"/>
      <c r="AA242" s="16"/>
      <c r="AB242" s="16"/>
      <c r="AC242" s="16"/>
      <c r="AD242" s="16"/>
      <c r="AE242" s="17"/>
      <c r="AF242" s="16"/>
      <c r="AG242" s="17"/>
      <c r="AH242" s="16"/>
      <c r="AI242" s="16"/>
      <c r="AJ242" s="16"/>
      <c r="AK242" s="16"/>
      <c r="AL242" s="16"/>
      <c r="AM242" s="16"/>
      <c r="AN242" s="16"/>
      <c r="AO242" s="16"/>
      <c r="AP242" s="18" t="s">
        <v>58</v>
      </c>
      <c r="AQ242" s="16"/>
    </row>
    <row r="243" ht="15.75" hidden="1" customHeight="1">
      <c r="A243" s="10" t="s">
        <v>1323</v>
      </c>
      <c r="B243" s="10" t="s">
        <v>1324</v>
      </c>
      <c r="C243" s="10" t="str">
        <f>VLOOKUP(A243,import!A:C,3,0)</f>
        <v>DOĞRU</v>
      </c>
      <c r="D243" s="10" t="s">
        <v>372</v>
      </c>
      <c r="E243" s="10">
        <f>VLOOKUP(A243,import!A:J,5,0)</f>
        <v>2875</v>
      </c>
      <c r="F243" s="10">
        <f>VLOOKUP(A243,import!A:J,6,0)</f>
        <v>181</v>
      </c>
      <c r="G243" s="10">
        <f>VLOOKUP(A243,import!A:J,7,0)</f>
        <v>20</v>
      </c>
      <c r="H243" s="10">
        <f>VLOOKUP(A243,import!A:J,8,0)</f>
        <v>54</v>
      </c>
      <c r="I243" s="10">
        <f>VLOOKUP(A243,import!A:J,9,0)</f>
        <v>74</v>
      </c>
      <c r="J243" s="11">
        <f>VLOOKUP(A243,import!A:J,10,0)</f>
        <v>0.27</v>
      </c>
      <c r="K243" s="10" t="s">
        <v>1325</v>
      </c>
      <c r="L243" s="10">
        <v>5.319909736E9</v>
      </c>
      <c r="M243" s="10" t="s">
        <v>72</v>
      </c>
      <c r="N243" s="10" t="s">
        <v>82</v>
      </c>
      <c r="O243" s="10" t="s">
        <v>1326</v>
      </c>
      <c r="P243" s="10" t="str">
        <f>VLOOKUP(A243,import!A:P,16,0)</f>
        <v>Geleneksel</v>
      </c>
      <c r="Q243" s="12"/>
      <c r="R243" s="12" t="b">
        <v>1</v>
      </c>
      <c r="S243" s="12" t="b">
        <v>0</v>
      </c>
      <c r="T243" s="13" t="s">
        <v>51</v>
      </c>
      <c r="U243" s="13" t="s">
        <v>108</v>
      </c>
      <c r="V243" s="13" t="s">
        <v>66</v>
      </c>
      <c r="W243" s="13" t="s">
        <v>1229</v>
      </c>
      <c r="X243" s="15">
        <v>44516.0</v>
      </c>
      <c r="Y243" s="15">
        <v>44517.0</v>
      </c>
      <c r="Z243" s="16"/>
      <c r="AA243" s="17" t="s">
        <v>56</v>
      </c>
      <c r="AB243" s="16">
        <v>44516.0</v>
      </c>
      <c r="AC243" s="17" t="s">
        <v>56</v>
      </c>
      <c r="AD243" s="16">
        <v>44533.0</v>
      </c>
      <c r="AE243" s="17"/>
      <c r="AF243" s="16"/>
      <c r="AG243" s="17"/>
      <c r="AH243" s="16"/>
      <c r="AI243" s="16"/>
      <c r="AJ243" s="16"/>
      <c r="AK243" s="17" t="s">
        <v>108</v>
      </c>
      <c r="AL243" s="17" t="s">
        <v>108</v>
      </c>
      <c r="AM243" s="16"/>
      <c r="AN243" s="16"/>
      <c r="AO243" s="16"/>
      <c r="AP243" s="18" t="s">
        <v>58</v>
      </c>
      <c r="AQ243" s="16"/>
    </row>
    <row r="244" ht="15.75" hidden="1" customHeight="1">
      <c r="A244" s="10" t="s">
        <v>1327</v>
      </c>
      <c r="B244" s="10" t="s">
        <v>1328</v>
      </c>
      <c r="C244" s="10" t="str">
        <f>VLOOKUP(A244,import!A:C,3,0)</f>
        <v>DOĞRU</v>
      </c>
      <c r="D244" s="10" t="s">
        <v>372</v>
      </c>
      <c r="E244" s="10">
        <f>VLOOKUP(A244,import!A:J,5,0)</f>
        <v>245</v>
      </c>
      <c r="F244" s="10">
        <f>VLOOKUP(A244,import!A:J,6,0)</f>
        <v>49</v>
      </c>
      <c r="G244" s="10">
        <f>VLOOKUP(A244,import!A:J,7,0)</f>
        <v>19</v>
      </c>
      <c r="H244" s="10">
        <f>VLOOKUP(A244,import!A:J,8,0)</f>
        <v>56</v>
      </c>
      <c r="I244" s="10">
        <f>VLOOKUP(A244,import!A:J,9,0)</f>
        <v>75</v>
      </c>
      <c r="J244" s="11">
        <f>VLOOKUP(A244,import!A:J,10,0)</f>
        <v>0.25</v>
      </c>
      <c r="K244" s="10" t="s">
        <v>1325</v>
      </c>
      <c r="L244" s="10">
        <v>5.319909737E9</v>
      </c>
      <c r="M244" s="10" t="s">
        <v>72</v>
      </c>
      <c r="N244" s="10" t="s">
        <v>509</v>
      </c>
      <c r="O244" s="10" t="s">
        <v>1329</v>
      </c>
      <c r="P244" s="10" t="str">
        <f>VLOOKUP(A244,import!A:P,16,0)</f>
        <v>Geleneksel</v>
      </c>
      <c r="Q244" s="12"/>
      <c r="R244" s="12" t="b">
        <v>1</v>
      </c>
      <c r="S244" s="12" t="b">
        <v>0</v>
      </c>
      <c r="T244" s="13" t="s">
        <v>51</v>
      </c>
      <c r="U244" s="13" t="s">
        <v>133</v>
      </c>
      <c r="V244" s="13" t="s">
        <v>66</v>
      </c>
      <c r="W244" s="13"/>
      <c r="X244" s="15">
        <v>44629.0</v>
      </c>
      <c r="Y244" s="15">
        <v>44630.0</v>
      </c>
      <c r="Z244" s="16"/>
      <c r="AA244" s="17" t="s">
        <v>56</v>
      </c>
      <c r="AB244" s="16">
        <v>44629.0</v>
      </c>
      <c r="AC244" s="16"/>
      <c r="AD244" s="16"/>
      <c r="AE244" s="17"/>
      <c r="AF244" s="16"/>
      <c r="AG244" s="17"/>
      <c r="AH244" s="16"/>
      <c r="AI244" s="16"/>
      <c r="AJ244" s="16"/>
      <c r="AK244" s="17" t="s">
        <v>133</v>
      </c>
      <c r="AL244" s="16"/>
      <c r="AM244" s="16"/>
      <c r="AN244" s="16"/>
      <c r="AO244" s="16"/>
      <c r="AP244" s="18"/>
      <c r="AQ244" s="16"/>
    </row>
    <row r="245" ht="15.75" hidden="1" customHeight="1">
      <c r="A245" s="10" t="s">
        <v>1330</v>
      </c>
      <c r="B245" s="10" t="s">
        <v>1331</v>
      </c>
      <c r="C245" s="10" t="str">
        <f>VLOOKUP(A245,import!A:C,3,0)</f>
        <v>DOĞRU</v>
      </c>
      <c r="D245" s="10" t="s">
        <v>451</v>
      </c>
      <c r="E245" s="10">
        <f>VLOOKUP(A245,import!A:J,5,0)</f>
        <v>1608</v>
      </c>
      <c r="F245" s="10">
        <f>VLOOKUP(A245,import!A:J,6,0)</f>
        <v>203</v>
      </c>
      <c r="G245" s="10">
        <f>VLOOKUP(A245,import!A:J,7,0)</f>
        <v>9</v>
      </c>
      <c r="H245" s="10">
        <f>VLOOKUP(A245,import!A:J,8,0)</f>
        <v>1</v>
      </c>
      <c r="I245" s="10">
        <f>VLOOKUP(A245,import!A:J,9,0)</f>
        <v>10</v>
      </c>
      <c r="J245" s="11">
        <f>VLOOKUP(A245,import!A:J,10,0)</f>
        <v>0.9</v>
      </c>
      <c r="K245" s="10" t="s">
        <v>1332</v>
      </c>
      <c r="L245" s="10">
        <v>3.24327213E9</v>
      </c>
      <c r="M245" s="10" t="s">
        <v>72</v>
      </c>
      <c r="N245" s="10" t="s">
        <v>1298</v>
      </c>
      <c r="O245" s="10" t="s">
        <v>1333</v>
      </c>
      <c r="P245" s="10" t="str">
        <f>VLOOKUP(A245,import!A:P,16,0)</f>
        <v>Geleneksel</v>
      </c>
      <c r="Q245" s="12"/>
      <c r="R245" s="12" t="b">
        <v>1</v>
      </c>
      <c r="S245" s="12" t="b">
        <v>0</v>
      </c>
      <c r="T245" s="13" t="s">
        <v>51</v>
      </c>
      <c r="U245" s="13" t="s">
        <v>314</v>
      </c>
      <c r="V245" s="13" t="s">
        <v>66</v>
      </c>
      <c r="W245" s="13" t="s">
        <v>1334</v>
      </c>
      <c r="X245" s="15">
        <v>44552.0</v>
      </c>
      <c r="Y245" s="15">
        <v>44557.0</v>
      </c>
      <c r="Z245" s="16"/>
      <c r="AA245" s="17" t="s">
        <v>55</v>
      </c>
      <c r="AB245" s="16">
        <v>44551.0</v>
      </c>
      <c r="AC245" s="17" t="s">
        <v>56</v>
      </c>
      <c r="AD245" s="16">
        <v>44551.0</v>
      </c>
      <c r="AE245" s="17" t="s">
        <v>56</v>
      </c>
      <c r="AF245" s="16">
        <v>44552.0</v>
      </c>
      <c r="AG245" s="17" t="s">
        <v>56</v>
      </c>
      <c r="AH245" s="16">
        <v>44558.0</v>
      </c>
      <c r="AI245" s="16"/>
      <c r="AJ245" s="16"/>
      <c r="AK245" s="17" t="s">
        <v>314</v>
      </c>
      <c r="AL245" s="17" t="s">
        <v>314</v>
      </c>
      <c r="AM245" s="17" t="s">
        <v>314</v>
      </c>
      <c r="AN245" s="17" t="s">
        <v>314</v>
      </c>
      <c r="AO245" s="16"/>
      <c r="AP245" s="18"/>
      <c r="AQ245" s="16"/>
    </row>
    <row r="246" ht="15.75" customHeight="1">
      <c r="A246" s="18" t="s">
        <v>1335</v>
      </c>
      <c r="B246" s="18" t="s">
        <v>1336</v>
      </c>
      <c r="C246" s="10" t="str">
        <f>VLOOKUP(A246,import!A:C,3,0)</f>
        <v>DOĞRU</v>
      </c>
      <c r="D246" s="18" t="s">
        <v>363</v>
      </c>
      <c r="E246" s="10" t="str">
        <f>VLOOKUP(A246,import!A:J,5,0)</f>
        <v/>
      </c>
      <c r="F246" s="10" t="str">
        <f>VLOOKUP(A246,import!A:J,6,0)</f>
        <v/>
      </c>
      <c r="G246" s="10">
        <f>VLOOKUP(A246,import!A:J,7,0)</f>
        <v>0</v>
      </c>
      <c r="H246" s="10">
        <f>VLOOKUP(A246,import!A:J,8,0)</f>
        <v>8</v>
      </c>
      <c r="I246" s="10">
        <f>VLOOKUP(A246,import!A:J,9,0)</f>
        <v>8</v>
      </c>
      <c r="J246" s="11">
        <f>VLOOKUP(A246,import!A:J,10,0)</f>
        <v>0</v>
      </c>
      <c r="K246" s="18" t="s">
        <v>1337</v>
      </c>
      <c r="L246" s="18">
        <v>5.458617716E9</v>
      </c>
      <c r="M246" s="18" t="s">
        <v>63</v>
      </c>
      <c r="N246" s="18" t="s">
        <v>566</v>
      </c>
      <c r="O246" s="18" t="s">
        <v>1338</v>
      </c>
      <c r="P246" s="10" t="str">
        <f>VLOOKUP(A246,import!A:P,16,0)</f>
        <v>Geleneksel</v>
      </c>
      <c r="Q246" s="12"/>
      <c r="R246" s="12" t="b">
        <v>0</v>
      </c>
      <c r="S246" s="12" t="b">
        <v>0</v>
      </c>
      <c r="T246" s="13"/>
      <c r="U246" s="13"/>
      <c r="V246" s="13"/>
      <c r="W246" s="13"/>
      <c r="X246" s="15"/>
      <c r="Y246" s="15"/>
      <c r="Z246" s="16"/>
      <c r="AA246" s="17"/>
      <c r="AB246" s="16"/>
      <c r="AC246" s="16"/>
      <c r="AD246" s="16"/>
      <c r="AE246" s="17"/>
      <c r="AF246" s="16"/>
      <c r="AG246" s="17"/>
      <c r="AH246" s="16"/>
      <c r="AI246" s="16"/>
      <c r="AJ246" s="16"/>
      <c r="AK246" s="17"/>
      <c r="AL246" s="16"/>
      <c r="AM246" s="16"/>
      <c r="AN246" s="16"/>
      <c r="AO246" s="16"/>
      <c r="AP246" s="18"/>
      <c r="AQ246" s="16"/>
    </row>
    <row r="247" ht="15.75" hidden="1" customHeight="1">
      <c r="A247" s="10" t="s">
        <v>1339</v>
      </c>
      <c r="B247" s="10" t="s">
        <v>1340</v>
      </c>
      <c r="C247" s="10" t="str">
        <f>VLOOKUP(A247,import!A:C,3,0)</f>
        <v>DOĞRU</v>
      </c>
      <c r="D247" s="10" t="s">
        <v>498</v>
      </c>
      <c r="E247" s="10">
        <f>VLOOKUP(A247,import!A:J,5,0)</f>
        <v>51</v>
      </c>
      <c r="F247" s="10" t="str">
        <f>VLOOKUP(A247,import!A:J,6,0)</f>
        <v/>
      </c>
      <c r="G247" s="10">
        <f>VLOOKUP(A247,import!A:J,7,0)</f>
        <v>6</v>
      </c>
      <c r="H247" s="10">
        <f>VLOOKUP(A247,import!A:J,8,0)</f>
        <v>43</v>
      </c>
      <c r="I247" s="10">
        <f>VLOOKUP(A247,import!A:J,9,0)</f>
        <v>49</v>
      </c>
      <c r="J247" s="11">
        <f>VLOOKUP(A247,import!A:J,10,0)</f>
        <v>0.12</v>
      </c>
      <c r="K247" s="10" t="s">
        <v>1341</v>
      </c>
      <c r="L247" s="10">
        <v>5.350136578E9</v>
      </c>
      <c r="M247" s="10" t="s">
        <v>72</v>
      </c>
      <c r="N247" s="10" t="s">
        <v>128</v>
      </c>
      <c r="O247" s="10" t="s">
        <v>1342</v>
      </c>
      <c r="P247" s="10" t="str">
        <f>VLOOKUP(A247,import!A:P,16,0)</f>
        <v>Geleneksel</v>
      </c>
      <c r="Q247" s="12"/>
      <c r="R247" s="12" t="b">
        <v>1</v>
      </c>
      <c r="S247" s="12" t="b">
        <v>0</v>
      </c>
      <c r="T247" s="13" t="s">
        <v>51</v>
      </c>
      <c r="U247" s="13" t="s">
        <v>108</v>
      </c>
      <c r="V247" s="13" t="s">
        <v>66</v>
      </c>
      <c r="W247" s="13" t="s">
        <v>1343</v>
      </c>
      <c r="X247" s="15">
        <v>44488.0</v>
      </c>
      <c r="Y247" s="15">
        <v>44489.0</v>
      </c>
      <c r="Z247" s="16"/>
      <c r="AA247" s="17" t="s">
        <v>56</v>
      </c>
      <c r="AB247" s="16">
        <v>44476.0</v>
      </c>
      <c r="AC247" s="17" t="s">
        <v>56</v>
      </c>
      <c r="AD247" s="16">
        <v>44488.0</v>
      </c>
      <c r="AE247" s="17" t="s">
        <v>55</v>
      </c>
      <c r="AF247" s="16">
        <v>44551.0</v>
      </c>
      <c r="AG247" s="17" t="s">
        <v>55</v>
      </c>
      <c r="AH247" s="16">
        <v>44590.0</v>
      </c>
      <c r="AI247" s="16"/>
      <c r="AJ247" s="16"/>
      <c r="AK247" s="17" t="s">
        <v>171</v>
      </c>
      <c r="AL247" s="17" t="s">
        <v>108</v>
      </c>
      <c r="AM247" s="17" t="s">
        <v>314</v>
      </c>
      <c r="AN247" s="17" t="s">
        <v>89</v>
      </c>
      <c r="AO247" s="16"/>
      <c r="AP247" s="18" t="s">
        <v>58</v>
      </c>
      <c r="AQ247" s="16"/>
    </row>
    <row r="248" ht="15.75" hidden="1" customHeight="1">
      <c r="A248" s="10" t="s">
        <v>1344</v>
      </c>
      <c r="B248" s="10" t="s">
        <v>1345</v>
      </c>
      <c r="C248" s="10" t="str">
        <f>VLOOKUP(A248,import!A:C,3,0)</f>
        <v>DOĞRU</v>
      </c>
      <c r="D248" s="10" t="s">
        <v>356</v>
      </c>
      <c r="E248" s="10">
        <f>VLOOKUP(A248,import!A:J,5,0)</f>
        <v>64</v>
      </c>
      <c r="F248" s="10">
        <f>VLOOKUP(A248,import!A:J,6,0)</f>
        <v>1</v>
      </c>
      <c r="G248" s="10">
        <f>VLOOKUP(A248,import!A:J,7,0)</f>
        <v>6</v>
      </c>
      <c r="H248" s="10">
        <f>VLOOKUP(A248,import!A:J,8,0)</f>
        <v>0</v>
      </c>
      <c r="I248" s="10">
        <f>VLOOKUP(A248,import!A:J,9,0)</f>
        <v>6</v>
      </c>
      <c r="J248" s="11">
        <f>VLOOKUP(A248,import!A:J,10,0)</f>
        <v>1</v>
      </c>
      <c r="K248" s="10" t="s">
        <v>1346</v>
      </c>
      <c r="L248" s="10">
        <v>5.066458224E9</v>
      </c>
      <c r="M248" s="10" t="s">
        <v>72</v>
      </c>
      <c r="N248" s="10" t="s">
        <v>1277</v>
      </c>
      <c r="O248" s="10" t="s">
        <v>1347</v>
      </c>
      <c r="P248" s="10" t="str">
        <f>VLOOKUP(A248,import!A:P,16,0)</f>
        <v>Geleneksel</v>
      </c>
      <c r="Q248" s="12"/>
      <c r="R248" s="12" t="b">
        <v>1</v>
      </c>
      <c r="S248" s="12" t="b">
        <v>0</v>
      </c>
      <c r="T248" s="13" t="s">
        <v>51</v>
      </c>
      <c r="U248" s="13" t="s">
        <v>52</v>
      </c>
      <c r="V248" s="19" t="s">
        <v>66</v>
      </c>
      <c r="W248" s="13"/>
      <c r="X248" s="15">
        <v>44627.0</v>
      </c>
      <c r="Y248" s="15">
        <v>44628.0</v>
      </c>
      <c r="Z248" s="16"/>
      <c r="AA248" s="17" t="s">
        <v>56</v>
      </c>
      <c r="AB248" s="16">
        <v>44627.0</v>
      </c>
      <c r="AC248" s="16"/>
      <c r="AD248" s="16"/>
      <c r="AE248" s="17"/>
      <c r="AF248" s="16"/>
      <c r="AG248" s="17"/>
      <c r="AH248" s="16"/>
      <c r="AI248" s="16"/>
      <c r="AJ248" s="16"/>
      <c r="AK248" s="17" t="s">
        <v>52</v>
      </c>
      <c r="AL248" s="16"/>
      <c r="AM248" s="16"/>
      <c r="AN248" s="16"/>
      <c r="AO248" s="16"/>
      <c r="AP248" s="18"/>
      <c r="AQ248" s="16"/>
    </row>
    <row r="249" ht="15.75" hidden="1" customHeight="1">
      <c r="A249" s="10" t="s">
        <v>1348</v>
      </c>
      <c r="B249" s="10" t="s">
        <v>1349</v>
      </c>
      <c r="C249" s="10" t="str">
        <f>VLOOKUP(A249,import!A:C,3,0)</f>
        <v>DOĞRU</v>
      </c>
      <c r="D249" s="10" t="s">
        <v>80</v>
      </c>
      <c r="E249" s="10">
        <f>VLOOKUP(A249,import!A:J,5,0)</f>
        <v>1</v>
      </c>
      <c r="F249" s="10" t="str">
        <f>VLOOKUP(A249,import!A:J,6,0)</f>
        <v/>
      </c>
      <c r="G249" s="10">
        <f>VLOOKUP(A249,import!A:J,7,0)</f>
        <v>0</v>
      </c>
      <c r="H249" s="10">
        <f>VLOOKUP(A249,import!A:J,8,0)</f>
        <v>8</v>
      </c>
      <c r="I249" s="10">
        <f>VLOOKUP(A249,import!A:J,9,0)</f>
        <v>8</v>
      </c>
      <c r="J249" s="11">
        <f>VLOOKUP(A249,import!A:J,10,0)</f>
        <v>0</v>
      </c>
      <c r="K249" s="10" t="s">
        <v>1350</v>
      </c>
      <c r="L249" s="10">
        <v>5.357943678E9</v>
      </c>
      <c r="M249" s="10" t="s">
        <v>215</v>
      </c>
      <c r="N249" s="10" t="s">
        <v>779</v>
      </c>
      <c r="O249" s="10" t="s">
        <v>1351</v>
      </c>
      <c r="P249" s="10" t="str">
        <f>VLOOKUP(A249,import!A:P,16,0)</f>
        <v>Geleneksel</v>
      </c>
      <c r="Q249" s="12"/>
      <c r="R249" s="12" t="b">
        <v>1</v>
      </c>
      <c r="S249" s="12" t="b">
        <v>0</v>
      </c>
      <c r="T249" s="13" t="s">
        <v>55</v>
      </c>
      <c r="U249" s="13"/>
      <c r="V249" s="19"/>
      <c r="W249" s="13" t="s">
        <v>1352</v>
      </c>
      <c r="X249" s="15"/>
      <c r="Y249" s="15"/>
      <c r="Z249" s="16"/>
      <c r="AA249" s="17" t="s">
        <v>55</v>
      </c>
      <c r="AB249" s="16">
        <v>44657.0</v>
      </c>
      <c r="AC249" s="16"/>
      <c r="AD249" s="16"/>
      <c r="AE249" s="17"/>
      <c r="AF249" s="16"/>
      <c r="AG249" s="17"/>
      <c r="AH249" s="16"/>
      <c r="AI249" s="16"/>
      <c r="AJ249" s="16"/>
      <c r="AK249" s="17" t="s">
        <v>329</v>
      </c>
      <c r="AL249" s="16"/>
      <c r="AM249" s="16"/>
      <c r="AN249" s="16"/>
      <c r="AO249" s="16"/>
      <c r="AP249" s="18"/>
      <c r="AQ249" s="16"/>
    </row>
    <row r="250" ht="15.75" hidden="1" customHeight="1">
      <c r="A250" s="10" t="s">
        <v>1353</v>
      </c>
      <c r="B250" s="10" t="s">
        <v>1354</v>
      </c>
      <c r="C250" s="10" t="str">
        <f>VLOOKUP(A250,import!A:C,3,0)</f>
        <v>DOĞRU</v>
      </c>
      <c r="D250" s="10" t="s">
        <v>363</v>
      </c>
      <c r="E250" s="10">
        <f>VLOOKUP(A250,import!A:J,5,0)</f>
        <v>92</v>
      </c>
      <c r="F250" s="10" t="str">
        <f>VLOOKUP(A250,import!A:J,6,0)</f>
        <v/>
      </c>
      <c r="G250" s="10">
        <f>VLOOKUP(A250,import!A:J,7,0)</f>
        <v>0</v>
      </c>
      <c r="H250" s="10">
        <f>VLOOKUP(A250,import!A:J,8,0)</f>
        <v>26</v>
      </c>
      <c r="I250" s="10">
        <f>VLOOKUP(A250,import!A:J,9,0)</f>
        <v>26</v>
      </c>
      <c r="J250" s="11">
        <f>VLOOKUP(A250,import!A:J,10,0)</f>
        <v>0</v>
      </c>
      <c r="K250" s="10" t="s">
        <v>1355</v>
      </c>
      <c r="L250" s="10">
        <v>5.364004596E9</v>
      </c>
      <c r="M250" s="10" t="s">
        <v>187</v>
      </c>
      <c r="N250" s="10" t="s">
        <v>188</v>
      </c>
      <c r="O250" s="10" t="s">
        <v>1356</v>
      </c>
      <c r="P250" s="10" t="str">
        <f>VLOOKUP(A250,import!A:P,16,0)</f>
        <v>Geleneksel</v>
      </c>
      <c r="Q250" s="12"/>
      <c r="R250" s="12" t="b">
        <v>0</v>
      </c>
      <c r="S250" s="12" t="b">
        <v>0</v>
      </c>
      <c r="T250" s="13"/>
      <c r="U250" s="13"/>
      <c r="V250" s="13"/>
      <c r="W250" s="13"/>
      <c r="X250" s="15"/>
      <c r="Y250" s="15"/>
      <c r="Z250" s="16"/>
      <c r="AA250" s="17"/>
      <c r="AB250" s="16"/>
      <c r="AC250" s="16"/>
      <c r="AD250" s="16"/>
      <c r="AE250" s="17"/>
      <c r="AF250" s="16"/>
      <c r="AG250" s="17"/>
      <c r="AH250" s="16"/>
      <c r="AI250" s="16"/>
      <c r="AJ250" s="16"/>
      <c r="AK250" s="17"/>
      <c r="AL250" s="16"/>
      <c r="AM250" s="16"/>
      <c r="AN250" s="16"/>
      <c r="AO250" s="16"/>
      <c r="AP250" s="18"/>
      <c r="AQ250" s="16"/>
    </row>
    <row r="251" ht="15.75" hidden="1" customHeight="1">
      <c r="A251" s="10" t="s">
        <v>1357</v>
      </c>
      <c r="B251" s="10" t="s">
        <v>1358</v>
      </c>
      <c r="C251" s="10" t="str">
        <f>VLOOKUP(A251,import!A:C,3,0)</f>
        <v>DOĞRU</v>
      </c>
      <c r="D251" s="10" t="s">
        <v>80</v>
      </c>
      <c r="E251" s="10">
        <f>VLOOKUP(A251,import!A:J,5,0)</f>
        <v>4571</v>
      </c>
      <c r="F251" s="10">
        <f>VLOOKUP(A251,import!A:J,6,0)</f>
        <v>157</v>
      </c>
      <c r="G251" s="10">
        <f>VLOOKUP(A251,import!A:J,7,0)</f>
        <v>6</v>
      </c>
      <c r="H251" s="10">
        <f>VLOOKUP(A251,import!A:J,8,0)</f>
        <v>32</v>
      </c>
      <c r="I251" s="10">
        <f>VLOOKUP(A251,import!A:J,9,0)</f>
        <v>38</v>
      </c>
      <c r="J251" s="11">
        <f>VLOOKUP(A251,import!A:J,10,0)</f>
        <v>0.16</v>
      </c>
      <c r="K251" s="10" t="s">
        <v>1359</v>
      </c>
      <c r="L251" s="10">
        <v>5.539128499E9</v>
      </c>
      <c r="M251" s="10" t="s">
        <v>72</v>
      </c>
      <c r="N251" s="10" t="s">
        <v>82</v>
      </c>
      <c r="O251" s="10" t="s">
        <v>1360</v>
      </c>
      <c r="P251" s="10" t="str">
        <f>VLOOKUP(A251,import!A:P,16,0)</f>
        <v>Geleneksel</v>
      </c>
      <c r="Q251" s="12" t="s">
        <v>75</v>
      </c>
      <c r="R251" s="12" t="b">
        <v>1</v>
      </c>
      <c r="S251" s="12" t="b">
        <v>0</v>
      </c>
      <c r="T251" s="13" t="s">
        <v>51</v>
      </c>
      <c r="U251" s="13" t="s">
        <v>133</v>
      </c>
      <c r="V251" s="13" t="s">
        <v>53</v>
      </c>
      <c r="W251" s="13" t="s">
        <v>1361</v>
      </c>
      <c r="X251" s="15">
        <v>44266.0</v>
      </c>
      <c r="Y251" s="15">
        <v>44271.0</v>
      </c>
      <c r="Z251" s="16"/>
      <c r="AA251" s="16"/>
      <c r="AB251" s="16"/>
      <c r="AC251" s="16"/>
      <c r="AD251" s="16"/>
      <c r="AE251" s="17"/>
      <c r="AF251" s="16"/>
      <c r="AG251" s="17"/>
      <c r="AH251" s="16"/>
      <c r="AI251" s="16"/>
      <c r="AJ251" s="16"/>
      <c r="AK251" s="16"/>
      <c r="AL251" s="16"/>
      <c r="AM251" s="16"/>
      <c r="AN251" s="16"/>
      <c r="AO251" s="16"/>
      <c r="AP251" s="18" t="s">
        <v>58</v>
      </c>
      <c r="AQ251" s="16"/>
    </row>
    <row r="252" ht="15.75" hidden="1" customHeight="1">
      <c r="A252" s="10" t="s">
        <v>1362</v>
      </c>
      <c r="B252" s="10" t="s">
        <v>1363</v>
      </c>
      <c r="C252" s="10" t="str">
        <f>VLOOKUP(A252,import!A:C,3,0)</f>
        <v>DOĞRU</v>
      </c>
      <c r="D252" s="10" t="s">
        <v>45</v>
      </c>
      <c r="E252" s="10">
        <f>VLOOKUP(A252,import!A:J,5,0)</f>
        <v>129</v>
      </c>
      <c r="F252" s="10">
        <f>VLOOKUP(A252,import!A:J,6,0)</f>
        <v>37</v>
      </c>
      <c r="G252" s="10">
        <f>VLOOKUP(A252,import!A:J,7,0)</f>
        <v>0</v>
      </c>
      <c r="H252" s="10">
        <f>VLOOKUP(A252,import!A:J,8,0)</f>
        <v>8</v>
      </c>
      <c r="I252" s="10">
        <f>VLOOKUP(A252,import!A:J,9,0)</f>
        <v>8</v>
      </c>
      <c r="J252" s="11">
        <f>VLOOKUP(A252,import!A:J,10,0)</f>
        <v>0</v>
      </c>
      <c r="K252" s="10" t="s">
        <v>1364</v>
      </c>
      <c r="L252" s="10">
        <v>5.386754217E9</v>
      </c>
      <c r="M252" s="10" t="s">
        <v>156</v>
      </c>
      <c r="N252" s="10" t="s">
        <v>1365</v>
      </c>
      <c r="O252" s="10" t="s">
        <v>1366</v>
      </c>
      <c r="P252" s="10" t="str">
        <f>VLOOKUP(A252,import!A:P,16,0)</f>
        <v>Geleneksel</v>
      </c>
      <c r="Q252" s="12"/>
      <c r="R252" s="12" t="b">
        <v>0</v>
      </c>
      <c r="S252" s="12" t="b">
        <v>0</v>
      </c>
      <c r="T252" s="13"/>
      <c r="U252" s="13"/>
      <c r="V252" s="19"/>
      <c r="W252" s="13"/>
      <c r="X252" s="15"/>
      <c r="Y252" s="15"/>
      <c r="Z252" s="16"/>
      <c r="AA252" s="17"/>
      <c r="AB252" s="16"/>
      <c r="AC252" s="16"/>
      <c r="AD252" s="16"/>
      <c r="AE252" s="17"/>
      <c r="AF252" s="16"/>
      <c r="AG252" s="17"/>
      <c r="AH252" s="16"/>
      <c r="AI252" s="16"/>
      <c r="AJ252" s="16"/>
      <c r="AK252" s="17"/>
      <c r="AL252" s="16"/>
      <c r="AM252" s="16"/>
      <c r="AN252" s="16"/>
      <c r="AO252" s="16"/>
      <c r="AP252" s="18"/>
      <c r="AQ252" s="16"/>
    </row>
    <row r="253" ht="15.75" customHeight="1">
      <c r="A253" s="10" t="s">
        <v>1367</v>
      </c>
      <c r="B253" s="10" t="s">
        <v>1368</v>
      </c>
      <c r="C253" s="10" t="str">
        <f>VLOOKUP(A253,import!A:C,3,0)</f>
        <v>DOĞRU</v>
      </c>
      <c r="D253" s="10" t="s">
        <v>70</v>
      </c>
      <c r="E253" s="10">
        <f>VLOOKUP(A253,import!A:J,5,0)</f>
        <v>118</v>
      </c>
      <c r="F253" s="10">
        <f>VLOOKUP(A253,import!A:J,6,0)</f>
        <v>64</v>
      </c>
      <c r="G253" s="10">
        <f>VLOOKUP(A253,import!A:J,7,0)</f>
        <v>3</v>
      </c>
      <c r="H253" s="10">
        <f>VLOOKUP(A253,import!A:J,8,0)</f>
        <v>4</v>
      </c>
      <c r="I253" s="10">
        <f>VLOOKUP(A253,import!A:J,9,0)</f>
        <v>7</v>
      </c>
      <c r="J253" s="11">
        <f>VLOOKUP(A253,import!A:J,10,0)</f>
        <v>0.43</v>
      </c>
      <c r="K253" s="10" t="s">
        <v>1369</v>
      </c>
      <c r="L253" s="10">
        <v>3.24357577E9</v>
      </c>
      <c r="M253" s="10" t="s">
        <v>63</v>
      </c>
      <c r="N253" s="10" t="s">
        <v>700</v>
      </c>
      <c r="O253" s="10" t="s">
        <v>1370</v>
      </c>
      <c r="P253" s="10" t="str">
        <f>VLOOKUP(A253,import!A:P,16,0)</f>
        <v>Geleneksel</v>
      </c>
      <c r="Q253" s="12"/>
      <c r="R253" s="12" t="b">
        <v>1</v>
      </c>
      <c r="S253" s="12" t="b">
        <v>0</v>
      </c>
      <c r="T253" s="13" t="s">
        <v>51</v>
      </c>
      <c r="U253" s="13" t="s">
        <v>89</v>
      </c>
      <c r="V253" s="17" t="s">
        <v>66</v>
      </c>
      <c r="W253" s="13"/>
      <c r="X253" s="15">
        <v>44630.0</v>
      </c>
      <c r="Y253" s="15">
        <v>44631.0</v>
      </c>
      <c r="Z253" s="16"/>
      <c r="AA253" s="17" t="s">
        <v>56</v>
      </c>
      <c r="AB253" s="16">
        <v>44630.0</v>
      </c>
      <c r="AC253" s="16"/>
      <c r="AD253" s="16"/>
      <c r="AE253" s="17"/>
      <c r="AF253" s="16"/>
      <c r="AG253" s="17"/>
      <c r="AH253" s="16"/>
      <c r="AI253" s="16"/>
      <c r="AJ253" s="16"/>
      <c r="AK253" s="17" t="s">
        <v>89</v>
      </c>
      <c r="AL253" s="16"/>
      <c r="AM253" s="16"/>
      <c r="AN253" s="16"/>
      <c r="AO253" s="16"/>
      <c r="AP253" s="18"/>
      <c r="AQ253" s="16"/>
    </row>
    <row r="254" ht="15.75" hidden="1" customHeight="1">
      <c r="A254" s="10" t="s">
        <v>1371</v>
      </c>
      <c r="B254" s="10" t="s">
        <v>1372</v>
      </c>
      <c r="C254" s="10" t="str">
        <f>VLOOKUP(A254,import!A:C,3,0)</f>
        <v>DOĞRU</v>
      </c>
      <c r="D254" s="10" t="s">
        <v>45</v>
      </c>
      <c r="E254" s="10">
        <f>VLOOKUP(A254,import!A:J,5,0)</f>
        <v>1866</v>
      </c>
      <c r="F254" s="10">
        <f>VLOOKUP(A254,import!A:J,6,0)</f>
        <v>95</v>
      </c>
      <c r="G254" s="10">
        <f>VLOOKUP(A254,import!A:J,7,0)</f>
        <v>2</v>
      </c>
      <c r="H254" s="10">
        <f>VLOOKUP(A254,import!A:J,8,0)</f>
        <v>18</v>
      </c>
      <c r="I254" s="10">
        <f>VLOOKUP(A254,import!A:J,9,0)</f>
        <v>20</v>
      </c>
      <c r="J254" s="11">
        <f>VLOOKUP(A254,import!A:J,10,0)</f>
        <v>0.1</v>
      </c>
      <c r="K254" s="10" t="s">
        <v>1373</v>
      </c>
      <c r="L254" s="10">
        <v>3.243285808E9</v>
      </c>
      <c r="M254" s="10" t="s">
        <v>72</v>
      </c>
      <c r="N254" s="10" t="s">
        <v>73</v>
      </c>
      <c r="O254" s="10" t="s">
        <v>1374</v>
      </c>
      <c r="P254" s="10" t="str">
        <f>VLOOKUP(A254,import!A:P,16,0)</f>
        <v>Geleneksel</v>
      </c>
      <c r="Q254" s="12" t="s">
        <v>146</v>
      </c>
      <c r="R254" s="12" t="b">
        <v>1</v>
      </c>
      <c r="S254" s="12" t="b">
        <v>0</v>
      </c>
      <c r="T254" s="13" t="s">
        <v>51</v>
      </c>
      <c r="U254" s="13" t="s">
        <v>654</v>
      </c>
      <c r="V254" s="13" t="s">
        <v>278</v>
      </c>
      <c r="W254" s="13" t="s">
        <v>1375</v>
      </c>
      <c r="X254" s="15">
        <v>44270.0</v>
      </c>
      <c r="Y254" s="15">
        <v>44273.0</v>
      </c>
      <c r="Z254" s="16"/>
      <c r="AA254" s="17" t="s">
        <v>56</v>
      </c>
      <c r="AB254" s="16">
        <v>44573.0</v>
      </c>
      <c r="AC254" s="16"/>
      <c r="AD254" s="16"/>
      <c r="AE254" s="17"/>
      <c r="AF254" s="16"/>
      <c r="AG254" s="17"/>
      <c r="AH254" s="16"/>
      <c r="AI254" s="16"/>
      <c r="AJ254" s="16"/>
      <c r="AK254" s="17" t="s">
        <v>89</v>
      </c>
      <c r="AL254" s="16"/>
      <c r="AM254" s="16"/>
      <c r="AN254" s="16"/>
      <c r="AO254" s="16"/>
      <c r="AP254" s="18" t="s">
        <v>58</v>
      </c>
      <c r="AQ254" s="16"/>
    </row>
    <row r="255" ht="15.75" hidden="1" customHeight="1">
      <c r="A255" s="10" t="s">
        <v>1376</v>
      </c>
      <c r="B255" s="10" t="s">
        <v>1377</v>
      </c>
      <c r="C255" s="10" t="str">
        <f>VLOOKUP(A255,import!A:C,3,0)</f>
        <v>DOĞRU</v>
      </c>
      <c r="D255" s="10" t="s">
        <v>106</v>
      </c>
      <c r="E255" s="10">
        <f>VLOOKUP(A255,import!A:J,5,0)</f>
        <v>6993</v>
      </c>
      <c r="F255" s="10">
        <f>VLOOKUP(A255,import!A:J,6,0)</f>
        <v>485</v>
      </c>
      <c r="G255" s="10">
        <f>VLOOKUP(A255,import!A:J,7,0)</f>
        <v>15</v>
      </c>
      <c r="H255" s="10">
        <f>VLOOKUP(A255,import!A:J,8,0)</f>
        <v>23</v>
      </c>
      <c r="I255" s="10">
        <f>VLOOKUP(A255,import!A:J,9,0)</f>
        <v>38</v>
      </c>
      <c r="J255" s="11">
        <f>VLOOKUP(A255,import!A:J,10,0)</f>
        <v>0.39</v>
      </c>
      <c r="K255" s="10" t="s">
        <v>1378</v>
      </c>
      <c r="L255" s="10">
        <v>5.362426008E9</v>
      </c>
      <c r="M255" s="10" t="s">
        <v>72</v>
      </c>
      <c r="N255" s="10" t="s">
        <v>82</v>
      </c>
      <c r="O255" s="10" t="s">
        <v>1379</v>
      </c>
      <c r="P255" s="10" t="str">
        <f>VLOOKUP(A255,import!A:P,16,0)</f>
        <v>Geleneksel</v>
      </c>
      <c r="Q255" s="12" t="s">
        <v>84</v>
      </c>
      <c r="R255" s="12" t="b">
        <v>1</v>
      </c>
      <c r="S255" s="12" t="b">
        <v>0</v>
      </c>
      <c r="T255" s="13" t="s">
        <v>51</v>
      </c>
      <c r="U255" s="13" t="s">
        <v>1218</v>
      </c>
      <c r="V255" s="13" t="s">
        <v>278</v>
      </c>
      <c r="W255" s="13" t="s">
        <v>1380</v>
      </c>
      <c r="X255" s="15">
        <v>44284.0</v>
      </c>
      <c r="Y255" s="15">
        <v>44286.0</v>
      </c>
      <c r="Z255" s="16"/>
      <c r="AA255" s="17" t="s">
        <v>56</v>
      </c>
      <c r="AB255" s="16">
        <v>44519.0</v>
      </c>
      <c r="AC255" s="17" t="s">
        <v>56</v>
      </c>
      <c r="AD255" s="16">
        <v>44560.0</v>
      </c>
      <c r="AE255" s="17"/>
      <c r="AF255" s="16"/>
      <c r="AG255" s="17"/>
      <c r="AH255" s="16"/>
      <c r="AI255" s="16"/>
      <c r="AJ255" s="16"/>
      <c r="AK255" s="17" t="s">
        <v>87</v>
      </c>
      <c r="AL255" s="17" t="s">
        <v>87</v>
      </c>
      <c r="AM255" s="16"/>
      <c r="AN255" s="16"/>
      <c r="AO255" s="16"/>
      <c r="AP255" s="18" t="s">
        <v>58</v>
      </c>
      <c r="AQ255" s="16"/>
    </row>
    <row r="256" ht="15.75" hidden="1" customHeight="1">
      <c r="A256" s="10" t="s">
        <v>1381</v>
      </c>
      <c r="B256" s="10" t="s">
        <v>1382</v>
      </c>
      <c r="C256" s="10" t="str">
        <f>VLOOKUP(A256,import!A:C,3,0)</f>
        <v>DOĞRU</v>
      </c>
      <c r="D256" s="10" t="s">
        <v>70</v>
      </c>
      <c r="E256" s="10">
        <f>VLOOKUP(A256,import!A:J,5,0)</f>
        <v>77568</v>
      </c>
      <c r="F256" s="10">
        <f>VLOOKUP(A256,import!A:J,6,0)</f>
        <v>3946</v>
      </c>
      <c r="G256" s="10">
        <f>VLOOKUP(A256,import!A:J,7,0)</f>
        <v>8</v>
      </c>
      <c r="H256" s="10">
        <f>VLOOKUP(A256,import!A:J,8,0)</f>
        <v>38</v>
      </c>
      <c r="I256" s="10">
        <f>VLOOKUP(A256,import!A:J,9,0)</f>
        <v>46</v>
      </c>
      <c r="J256" s="11">
        <f>VLOOKUP(A256,import!A:J,10,0)</f>
        <v>0.17</v>
      </c>
      <c r="K256" s="10" t="s">
        <v>1383</v>
      </c>
      <c r="L256" s="10">
        <v>3.243260909E9</v>
      </c>
      <c r="M256" s="10" t="s">
        <v>72</v>
      </c>
      <c r="N256" s="10" t="s">
        <v>113</v>
      </c>
      <c r="O256" s="10" t="s">
        <v>1384</v>
      </c>
      <c r="P256" s="10" t="str">
        <f>VLOOKUP(A256,import!A:P,16,0)</f>
        <v>Geleneksel</v>
      </c>
      <c r="Q256" s="12" t="s">
        <v>84</v>
      </c>
      <c r="R256" s="12" t="b">
        <v>1</v>
      </c>
      <c r="S256" s="12" t="b">
        <v>0</v>
      </c>
      <c r="T256" s="13" t="s">
        <v>272</v>
      </c>
      <c r="U256" s="13" t="s">
        <v>133</v>
      </c>
      <c r="V256" s="13" t="s">
        <v>66</v>
      </c>
      <c r="W256" s="13" t="s">
        <v>1385</v>
      </c>
      <c r="X256" s="15">
        <v>44572.0</v>
      </c>
      <c r="Y256" s="15">
        <v>44574.0</v>
      </c>
      <c r="Z256" s="16"/>
      <c r="AA256" s="17" t="s">
        <v>230</v>
      </c>
      <c r="AB256" s="16">
        <v>44475.0</v>
      </c>
      <c r="AC256" s="17" t="s">
        <v>56</v>
      </c>
      <c r="AD256" s="16">
        <v>44539.0</v>
      </c>
      <c r="AE256" s="17" t="s">
        <v>230</v>
      </c>
      <c r="AF256" s="16">
        <v>44551.0</v>
      </c>
      <c r="AG256" s="17" t="s">
        <v>86</v>
      </c>
      <c r="AH256" s="16">
        <v>44560.0</v>
      </c>
      <c r="AI256" s="17" t="s">
        <v>56</v>
      </c>
      <c r="AJ256" s="16">
        <v>44572.0</v>
      </c>
      <c r="AK256" s="17" t="s">
        <v>171</v>
      </c>
      <c r="AL256" s="17" t="s">
        <v>52</v>
      </c>
      <c r="AM256" s="17" t="s">
        <v>314</v>
      </c>
      <c r="AN256" s="17" t="s">
        <v>87</v>
      </c>
      <c r="AO256" s="17" t="s">
        <v>133</v>
      </c>
      <c r="AP256" s="18" t="s">
        <v>58</v>
      </c>
      <c r="AQ256" s="16"/>
    </row>
    <row r="257" ht="15.75" hidden="1" customHeight="1">
      <c r="A257" s="10" t="s">
        <v>1386</v>
      </c>
      <c r="B257" s="10" t="s">
        <v>1387</v>
      </c>
      <c r="C257" s="10" t="str">
        <f>VLOOKUP(A257,import!A:C,3,0)</f>
        <v>DOĞRU</v>
      </c>
      <c r="D257" s="10" t="s">
        <v>80</v>
      </c>
      <c r="E257" s="10">
        <f>VLOOKUP(A257,import!A:J,5,0)</f>
        <v>107</v>
      </c>
      <c r="F257" s="10">
        <f>VLOOKUP(A257,import!A:J,6,0)</f>
        <v>20</v>
      </c>
      <c r="G257" s="10">
        <f>VLOOKUP(A257,import!A:J,7,0)</f>
        <v>4</v>
      </c>
      <c r="H257" s="10">
        <f>VLOOKUP(A257,import!A:J,8,0)</f>
        <v>0</v>
      </c>
      <c r="I257" s="10">
        <f>VLOOKUP(A257,import!A:J,9,0)</f>
        <v>4</v>
      </c>
      <c r="J257" s="11">
        <f>VLOOKUP(A257,import!A:J,10,0)</f>
        <v>1</v>
      </c>
      <c r="K257" s="10" t="s">
        <v>1388</v>
      </c>
      <c r="L257" s="10">
        <v>3.243260493E9</v>
      </c>
      <c r="M257" s="10" t="s">
        <v>72</v>
      </c>
      <c r="N257" s="10" t="s">
        <v>915</v>
      </c>
      <c r="O257" s="10" t="s">
        <v>1389</v>
      </c>
      <c r="P257" s="10" t="str">
        <f>VLOOKUP(A257,import!A:P,16,0)</f>
        <v>Geleneksel</v>
      </c>
      <c r="Q257" s="12"/>
      <c r="R257" s="12" t="b">
        <v>1</v>
      </c>
      <c r="S257" s="12" t="b">
        <v>0</v>
      </c>
      <c r="T257" s="13" t="s">
        <v>51</v>
      </c>
      <c r="U257" s="13" t="s">
        <v>89</v>
      </c>
      <c r="V257" s="13" t="s">
        <v>53</v>
      </c>
      <c r="W257" s="13" t="s">
        <v>211</v>
      </c>
      <c r="X257" s="15">
        <v>44523.0</v>
      </c>
      <c r="Y257" s="15">
        <v>44524.0</v>
      </c>
      <c r="Z257" s="16"/>
      <c r="AA257" s="17" t="s">
        <v>56</v>
      </c>
      <c r="AB257" s="16">
        <v>44523.0</v>
      </c>
      <c r="AC257" s="17" t="s">
        <v>56</v>
      </c>
      <c r="AD257" s="16">
        <v>44533.0</v>
      </c>
      <c r="AE257" s="17"/>
      <c r="AF257" s="16"/>
      <c r="AG257" s="17"/>
      <c r="AH257" s="16"/>
      <c r="AI257" s="16"/>
      <c r="AJ257" s="16"/>
      <c r="AK257" s="17" t="s">
        <v>89</v>
      </c>
      <c r="AL257" s="17" t="s">
        <v>108</v>
      </c>
      <c r="AM257" s="16"/>
      <c r="AN257" s="16"/>
      <c r="AO257" s="16"/>
      <c r="AP257" s="18" t="s">
        <v>58</v>
      </c>
      <c r="AQ257" s="16"/>
    </row>
    <row r="258" ht="15.75" hidden="1" customHeight="1">
      <c r="A258" s="10" t="s">
        <v>1390</v>
      </c>
      <c r="B258" s="10" t="s">
        <v>1391</v>
      </c>
      <c r="C258" s="10" t="str">
        <f>VLOOKUP(A258,import!A:C,3,0)</f>
        <v>YANLIŞ</v>
      </c>
      <c r="D258" s="10" t="s">
        <v>167</v>
      </c>
      <c r="E258" s="10">
        <f>VLOOKUP(A258,import!A:J,5,0)</f>
        <v>395</v>
      </c>
      <c r="F258" s="10" t="str">
        <f>VLOOKUP(A258,import!A:J,6,0)</f>
        <v/>
      </c>
      <c r="G258" s="10">
        <f>VLOOKUP(A258,import!A:J,7,0)</f>
        <v>6</v>
      </c>
      <c r="H258" s="10">
        <f>VLOOKUP(A258,import!A:J,8,0)</f>
        <v>0</v>
      </c>
      <c r="I258" s="10">
        <f>VLOOKUP(A258,import!A:J,9,0)</f>
        <v>6</v>
      </c>
      <c r="J258" s="11">
        <f>VLOOKUP(A258,import!A:J,10,0)</f>
        <v>1</v>
      </c>
      <c r="K258" s="10" t="s">
        <v>1392</v>
      </c>
      <c r="L258" s="10">
        <v>3.242343302E9</v>
      </c>
      <c r="M258" s="10" t="s">
        <v>215</v>
      </c>
      <c r="N258" s="10" t="s">
        <v>263</v>
      </c>
      <c r="O258" s="10" t="s">
        <v>1393</v>
      </c>
      <c r="P258" s="10" t="str">
        <f>VLOOKUP(A258,import!A:P,16,0)</f>
        <v>Geleneksel</v>
      </c>
      <c r="Q258" s="12"/>
      <c r="R258" s="12" t="b">
        <v>0</v>
      </c>
      <c r="S258" s="12" t="b">
        <v>0</v>
      </c>
      <c r="T258" s="13" t="s">
        <v>248</v>
      </c>
      <c r="U258" s="13"/>
      <c r="V258" s="19"/>
      <c r="W258" s="13"/>
      <c r="X258" s="15"/>
      <c r="Y258" s="15"/>
      <c r="Z258" s="16"/>
      <c r="AA258" s="16"/>
      <c r="AB258" s="16"/>
      <c r="AC258" s="16"/>
      <c r="AD258" s="16"/>
      <c r="AE258" s="17"/>
      <c r="AF258" s="16"/>
      <c r="AG258" s="17"/>
      <c r="AH258" s="16"/>
      <c r="AI258" s="16"/>
      <c r="AJ258" s="16"/>
      <c r="AK258" s="16"/>
      <c r="AL258" s="16"/>
      <c r="AM258" s="16"/>
      <c r="AN258" s="16"/>
      <c r="AO258" s="16"/>
      <c r="AP258" s="18" t="s">
        <v>58</v>
      </c>
      <c r="AQ258" s="16"/>
    </row>
    <row r="259" ht="15.75" hidden="1" customHeight="1">
      <c r="A259" s="10" t="s">
        <v>1394</v>
      </c>
      <c r="B259" s="10" t="s">
        <v>1391</v>
      </c>
      <c r="C259" s="10" t="str">
        <f>VLOOKUP(A259,import!A:C,3,0)</f>
        <v>DOĞRU</v>
      </c>
      <c r="D259" s="10" t="s">
        <v>167</v>
      </c>
      <c r="E259" s="10">
        <f>VLOOKUP(A259,import!A:J,5,0)</f>
        <v>49</v>
      </c>
      <c r="F259" s="10">
        <f>VLOOKUP(A259,import!A:J,6,0)</f>
        <v>9</v>
      </c>
      <c r="G259" s="10">
        <f>VLOOKUP(A259,import!A:J,7,0)</f>
        <v>4</v>
      </c>
      <c r="H259" s="10">
        <f>VLOOKUP(A259,import!A:J,8,0)</f>
        <v>3</v>
      </c>
      <c r="I259" s="10">
        <f>VLOOKUP(A259,import!A:J,9,0)</f>
        <v>7</v>
      </c>
      <c r="J259" s="11">
        <f>VLOOKUP(A259,import!A:J,10,0)</f>
        <v>0.57</v>
      </c>
      <c r="K259" s="10" t="s">
        <v>1395</v>
      </c>
      <c r="L259" s="10">
        <v>5.386183302E9</v>
      </c>
      <c r="M259" s="10" t="s">
        <v>215</v>
      </c>
      <c r="N259" s="10" t="s">
        <v>263</v>
      </c>
      <c r="O259" s="10" t="s">
        <v>1396</v>
      </c>
      <c r="P259" s="10" t="str">
        <f>VLOOKUP(A259,import!A:P,16,0)</f>
        <v>Geleneksel</v>
      </c>
      <c r="Q259" s="12"/>
      <c r="R259" s="12" t="b">
        <v>0</v>
      </c>
      <c r="S259" s="12" t="b">
        <v>0</v>
      </c>
      <c r="T259" s="13" t="s">
        <v>248</v>
      </c>
      <c r="U259" s="13"/>
      <c r="V259" s="13"/>
      <c r="W259" s="13"/>
      <c r="X259" s="15"/>
      <c r="Y259" s="15"/>
      <c r="Z259" s="16"/>
      <c r="AA259" s="17"/>
      <c r="AB259" s="16"/>
      <c r="AC259" s="16"/>
      <c r="AD259" s="16"/>
      <c r="AE259" s="17"/>
      <c r="AF259" s="16"/>
      <c r="AG259" s="17"/>
      <c r="AH259" s="16"/>
      <c r="AI259" s="16"/>
      <c r="AJ259" s="16"/>
      <c r="AK259" s="17"/>
      <c r="AL259" s="16"/>
      <c r="AM259" s="16"/>
      <c r="AN259" s="16"/>
      <c r="AO259" s="16"/>
      <c r="AP259" s="18"/>
      <c r="AQ259" s="16"/>
    </row>
    <row r="260" ht="15.75" hidden="1" customHeight="1">
      <c r="A260" s="10" t="s">
        <v>1397</v>
      </c>
      <c r="B260" s="10" t="s">
        <v>1398</v>
      </c>
      <c r="C260" s="10" t="str">
        <f>VLOOKUP(A260,import!A:C,3,0)</f>
        <v>DOĞRU</v>
      </c>
      <c r="D260" s="10" t="s">
        <v>167</v>
      </c>
      <c r="E260" s="10">
        <f>VLOOKUP(A260,import!A:J,5,0)</f>
        <v>516</v>
      </c>
      <c r="F260" s="10">
        <f>VLOOKUP(A260,import!A:J,6,0)</f>
        <v>8</v>
      </c>
      <c r="G260" s="10">
        <f>VLOOKUP(A260,import!A:J,7,0)</f>
        <v>8</v>
      </c>
      <c r="H260" s="10">
        <f>VLOOKUP(A260,import!A:J,8,0)</f>
        <v>19</v>
      </c>
      <c r="I260" s="10">
        <f>VLOOKUP(A260,import!A:J,9,0)</f>
        <v>27</v>
      </c>
      <c r="J260" s="11">
        <f>VLOOKUP(A260,import!A:J,10,0)</f>
        <v>0.3</v>
      </c>
      <c r="K260" s="10" t="s">
        <v>1399</v>
      </c>
      <c r="L260" s="10">
        <v>5.354850533E9</v>
      </c>
      <c r="M260" s="10" t="s">
        <v>47</v>
      </c>
      <c r="N260" s="10" t="s">
        <v>48</v>
      </c>
      <c r="O260" s="10" t="s">
        <v>1400</v>
      </c>
      <c r="P260" s="10" t="str">
        <f>VLOOKUP(A260,import!A:P,16,0)</f>
        <v>Geleneksel</v>
      </c>
      <c r="Q260" s="12"/>
      <c r="R260" s="12" t="b">
        <v>1</v>
      </c>
      <c r="S260" s="12" t="b">
        <v>0</v>
      </c>
      <c r="T260" s="13" t="s">
        <v>51</v>
      </c>
      <c r="U260" s="13" t="s">
        <v>103</v>
      </c>
      <c r="V260" s="19" t="s">
        <v>66</v>
      </c>
      <c r="W260" s="13" t="s">
        <v>1401</v>
      </c>
      <c r="X260" s="15">
        <v>44538.0</v>
      </c>
      <c r="Y260" s="15">
        <v>44540.0</v>
      </c>
      <c r="Z260" s="16"/>
      <c r="AA260" s="17" t="s">
        <v>56</v>
      </c>
      <c r="AB260" s="16">
        <v>44538.0</v>
      </c>
      <c r="AC260" s="16"/>
      <c r="AD260" s="16"/>
      <c r="AE260" s="17"/>
      <c r="AF260" s="16"/>
      <c r="AG260" s="17"/>
      <c r="AH260" s="16"/>
      <c r="AI260" s="16"/>
      <c r="AJ260" s="16"/>
      <c r="AK260" s="17" t="s">
        <v>103</v>
      </c>
      <c r="AL260" s="16"/>
      <c r="AM260" s="16"/>
      <c r="AN260" s="16"/>
      <c r="AO260" s="16"/>
      <c r="AP260" s="18" t="s">
        <v>58</v>
      </c>
      <c r="AQ260" s="16"/>
    </row>
    <row r="261" ht="15.75" hidden="1" customHeight="1">
      <c r="A261" s="10" t="s">
        <v>1402</v>
      </c>
      <c r="B261" s="10" t="s">
        <v>1403</v>
      </c>
      <c r="C261" s="10" t="str">
        <f>VLOOKUP(A261,import!A:C,3,0)</f>
        <v>DOĞRU</v>
      </c>
      <c r="D261" s="10" t="s">
        <v>167</v>
      </c>
      <c r="E261" s="10">
        <f>VLOOKUP(A261,import!A:J,5,0)</f>
        <v>352</v>
      </c>
      <c r="F261" s="10">
        <f>VLOOKUP(A261,import!A:J,6,0)</f>
        <v>8</v>
      </c>
      <c r="G261" s="10">
        <f>VLOOKUP(A261,import!A:J,7,0)</f>
        <v>7</v>
      </c>
      <c r="H261" s="10">
        <f>VLOOKUP(A261,import!A:J,8,0)</f>
        <v>5</v>
      </c>
      <c r="I261" s="10">
        <f>VLOOKUP(A261,import!A:J,9,0)</f>
        <v>12</v>
      </c>
      <c r="J261" s="11">
        <f>VLOOKUP(A261,import!A:J,10,0)</f>
        <v>0.58</v>
      </c>
      <c r="K261" s="10" t="s">
        <v>1404</v>
      </c>
      <c r="L261" s="10">
        <v>5.520700846E9</v>
      </c>
      <c r="M261" s="10" t="s">
        <v>215</v>
      </c>
      <c r="N261" s="10" t="s">
        <v>634</v>
      </c>
      <c r="O261" s="10" t="s">
        <v>1405</v>
      </c>
      <c r="P261" s="10" t="str">
        <f>VLOOKUP(A261,import!A:P,16,0)</f>
        <v>Geleneksel</v>
      </c>
      <c r="Q261" s="12"/>
      <c r="R261" s="12" t="b">
        <v>1</v>
      </c>
      <c r="S261" s="12" t="b">
        <v>0</v>
      </c>
      <c r="T261" s="13" t="s">
        <v>51</v>
      </c>
      <c r="U261" s="13" t="s">
        <v>133</v>
      </c>
      <c r="V261" s="13" t="s">
        <v>53</v>
      </c>
      <c r="W261" s="13"/>
      <c r="X261" s="15">
        <v>44508.0</v>
      </c>
      <c r="Y261" s="15">
        <v>44510.0</v>
      </c>
      <c r="Z261" s="16"/>
      <c r="AA261" s="17" t="s">
        <v>56</v>
      </c>
      <c r="AB261" s="16">
        <v>44508.0</v>
      </c>
      <c r="AC261" s="16"/>
      <c r="AD261" s="16"/>
      <c r="AE261" s="17"/>
      <c r="AF261" s="16"/>
      <c r="AG261" s="17"/>
      <c r="AH261" s="16"/>
      <c r="AI261" s="16"/>
      <c r="AJ261" s="16"/>
      <c r="AK261" s="17" t="s">
        <v>133</v>
      </c>
      <c r="AL261" s="16"/>
      <c r="AM261" s="16"/>
      <c r="AN261" s="16"/>
      <c r="AO261" s="16"/>
      <c r="AP261" s="18" t="s">
        <v>58</v>
      </c>
      <c r="AQ261" s="16"/>
    </row>
    <row r="262" ht="15.75" hidden="1" customHeight="1">
      <c r="A262" s="18" t="s">
        <v>1406</v>
      </c>
      <c r="B262" s="18" t="s">
        <v>1407</v>
      </c>
      <c r="C262" s="10" t="str">
        <f>VLOOKUP(A262,import!A:C,3,0)</f>
        <v>DOĞRU</v>
      </c>
      <c r="D262" s="18" t="s">
        <v>167</v>
      </c>
      <c r="E262" s="10">
        <f>VLOOKUP(A262,import!A:J,5,0)</f>
        <v>5</v>
      </c>
      <c r="F262" s="10">
        <f>VLOOKUP(A262,import!A:J,6,0)</f>
        <v>5</v>
      </c>
      <c r="G262" s="10">
        <f>VLOOKUP(A262,import!A:J,7,0)</f>
        <v>0</v>
      </c>
      <c r="H262" s="10">
        <f>VLOOKUP(A262,import!A:J,8,0)</f>
        <v>9</v>
      </c>
      <c r="I262" s="10">
        <f>VLOOKUP(A262,import!A:J,9,0)</f>
        <v>9</v>
      </c>
      <c r="J262" s="11">
        <f>VLOOKUP(A262,import!A:J,10,0)</f>
        <v>0</v>
      </c>
      <c r="K262" s="18" t="s">
        <v>1408</v>
      </c>
      <c r="L262" s="18">
        <v>5.375926631E9</v>
      </c>
      <c r="M262" s="18" t="s">
        <v>47</v>
      </c>
      <c r="N262" s="18" t="s">
        <v>365</v>
      </c>
      <c r="O262" s="18" t="s">
        <v>1409</v>
      </c>
      <c r="P262" s="10" t="str">
        <f>VLOOKUP(A262,import!A:P,16,0)</f>
        <v>Geleneksel</v>
      </c>
      <c r="Q262" s="12"/>
      <c r="R262" s="12" t="b">
        <v>0</v>
      </c>
      <c r="S262" s="12" t="b">
        <v>0</v>
      </c>
      <c r="T262" s="13"/>
      <c r="U262" s="13"/>
      <c r="V262" s="13"/>
      <c r="W262" s="13" t="s">
        <v>1410</v>
      </c>
      <c r="X262" s="15"/>
      <c r="Y262" s="15"/>
      <c r="Z262" s="16"/>
      <c r="AA262" s="17" t="s">
        <v>230</v>
      </c>
      <c r="AB262" s="16">
        <v>44694.0</v>
      </c>
      <c r="AC262" s="16"/>
      <c r="AD262" s="16"/>
      <c r="AE262" s="17"/>
      <c r="AF262" s="16"/>
      <c r="AG262" s="17"/>
      <c r="AH262" s="16"/>
      <c r="AI262" s="16"/>
      <c r="AJ262" s="16"/>
      <c r="AK262" s="17" t="s">
        <v>367</v>
      </c>
      <c r="AL262" s="16"/>
      <c r="AM262" s="16"/>
      <c r="AN262" s="16"/>
      <c r="AO262" s="16"/>
      <c r="AP262" s="18"/>
      <c r="AQ262" s="16"/>
    </row>
    <row r="263" ht="15.75" hidden="1" customHeight="1">
      <c r="A263" s="10" t="s">
        <v>1411</v>
      </c>
      <c r="B263" s="10" t="s">
        <v>1412</v>
      </c>
      <c r="C263" s="10" t="str">
        <f>VLOOKUP(A263,import!A:C,3,0)</f>
        <v>DOĞRU</v>
      </c>
      <c r="D263" s="10" t="s">
        <v>167</v>
      </c>
      <c r="E263" s="10">
        <f>VLOOKUP(A263,import!A:J,5,0)</f>
        <v>281</v>
      </c>
      <c r="F263" s="10">
        <f>VLOOKUP(A263,import!A:J,6,0)</f>
        <v>16</v>
      </c>
      <c r="G263" s="10">
        <f>VLOOKUP(A263,import!A:J,7,0)</f>
        <v>0</v>
      </c>
      <c r="H263" s="10">
        <f>VLOOKUP(A263,import!A:J,8,0)</f>
        <v>4</v>
      </c>
      <c r="I263" s="10">
        <f>VLOOKUP(A263,import!A:J,9,0)</f>
        <v>4</v>
      </c>
      <c r="J263" s="11">
        <f>VLOOKUP(A263,import!A:J,10,0)</f>
        <v>0</v>
      </c>
      <c r="K263" s="10" t="s">
        <v>1413</v>
      </c>
      <c r="L263" s="10">
        <v>5.528369039E9</v>
      </c>
      <c r="M263" s="10" t="s">
        <v>187</v>
      </c>
      <c r="N263" s="10" t="s">
        <v>188</v>
      </c>
      <c r="O263" s="10" t="s">
        <v>1414</v>
      </c>
      <c r="P263" s="10" t="str">
        <f>VLOOKUP(A263,import!A:P,16,0)</f>
        <v>Geleneksel</v>
      </c>
      <c r="Q263" s="12"/>
      <c r="R263" s="12" t="b">
        <v>0</v>
      </c>
      <c r="S263" s="12" t="b">
        <v>0</v>
      </c>
      <c r="T263" s="13"/>
      <c r="U263" s="13"/>
      <c r="V263" s="13"/>
      <c r="W263" s="23"/>
      <c r="X263" s="15"/>
      <c r="Y263" s="15"/>
      <c r="Z263" s="16"/>
      <c r="AA263" s="17"/>
      <c r="AB263" s="16"/>
      <c r="AC263" s="16"/>
      <c r="AD263" s="16"/>
      <c r="AE263" s="17"/>
      <c r="AF263" s="16"/>
      <c r="AG263" s="17"/>
      <c r="AH263" s="16"/>
      <c r="AI263" s="16"/>
      <c r="AJ263" s="16"/>
      <c r="AK263" s="17"/>
      <c r="AL263" s="16"/>
      <c r="AM263" s="16"/>
      <c r="AN263" s="16"/>
      <c r="AO263" s="16"/>
      <c r="AP263" s="18"/>
      <c r="AQ263" s="16"/>
    </row>
    <row r="264" ht="15.75" hidden="1" customHeight="1">
      <c r="A264" s="10" t="s">
        <v>1415</v>
      </c>
      <c r="B264" s="10" t="s">
        <v>1416</v>
      </c>
      <c r="C264" s="10" t="str">
        <f>VLOOKUP(A264,import!A:C,3,0)</f>
        <v>DOĞRU</v>
      </c>
      <c r="D264" s="10" t="s">
        <v>167</v>
      </c>
      <c r="E264" s="10">
        <f>VLOOKUP(A264,import!A:J,5,0)</f>
        <v>436</v>
      </c>
      <c r="F264" s="10">
        <f>VLOOKUP(A264,import!A:J,6,0)</f>
        <v>14</v>
      </c>
      <c r="G264" s="10">
        <f>VLOOKUP(A264,import!A:J,7,0)</f>
        <v>8</v>
      </c>
      <c r="H264" s="10">
        <f>VLOOKUP(A264,import!A:J,8,0)</f>
        <v>12</v>
      </c>
      <c r="I264" s="10">
        <f>VLOOKUP(A264,import!A:J,9,0)</f>
        <v>20</v>
      </c>
      <c r="J264" s="11">
        <f>VLOOKUP(A264,import!A:J,10,0)</f>
        <v>0.4</v>
      </c>
      <c r="K264" s="10" t="s">
        <v>1417</v>
      </c>
      <c r="L264" s="10">
        <v>5.558950496E9</v>
      </c>
      <c r="M264" s="10" t="s">
        <v>47</v>
      </c>
      <c r="N264" s="10" t="s">
        <v>48</v>
      </c>
      <c r="O264" s="10" t="s">
        <v>1418</v>
      </c>
      <c r="P264" s="10" t="str">
        <f>VLOOKUP(A264,import!A:P,16,0)</f>
        <v>Geleneksel</v>
      </c>
      <c r="Q264" s="12"/>
      <c r="R264" s="12" t="b">
        <v>1</v>
      </c>
      <c r="S264" s="12" t="b">
        <v>0</v>
      </c>
      <c r="T264" s="13" t="s">
        <v>51</v>
      </c>
      <c r="U264" s="13" t="s">
        <v>89</v>
      </c>
      <c r="V264" s="13" t="s">
        <v>53</v>
      </c>
      <c r="W264" s="13"/>
      <c r="X264" s="15">
        <v>44499.0</v>
      </c>
      <c r="Y264" s="15">
        <v>44504.0</v>
      </c>
      <c r="Z264" s="16"/>
      <c r="AA264" s="17" t="s">
        <v>56</v>
      </c>
      <c r="AB264" s="16">
        <v>44499.0</v>
      </c>
      <c r="AC264" s="16"/>
      <c r="AD264" s="16"/>
      <c r="AE264" s="17"/>
      <c r="AF264" s="16"/>
      <c r="AG264" s="17"/>
      <c r="AH264" s="16"/>
      <c r="AI264" s="16"/>
      <c r="AJ264" s="16"/>
      <c r="AK264" s="17" t="s">
        <v>89</v>
      </c>
      <c r="AL264" s="16"/>
      <c r="AM264" s="16"/>
      <c r="AN264" s="16"/>
      <c r="AO264" s="16"/>
      <c r="AP264" s="18" t="s">
        <v>58</v>
      </c>
      <c r="AQ264" s="16"/>
    </row>
    <row r="265" ht="15.75" hidden="1" customHeight="1">
      <c r="A265" s="10" t="s">
        <v>1419</v>
      </c>
      <c r="B265" s="10" t="s">
        <v>1420</v>
      </c>
      <c r="C265" s="10" t="str">
        <f>VLOOKUP(A265,import!A:C,3,0)</f>
        <v>DOĞRU</v>
      </c>
      <c r="D265" s="10" t="s">
        <v>167</v>
      </c>
      <c r="E265" s="10">
        <f>VLOOKUP(A265,import!A:J,5,0)</f>
        <v>908</v>
      </c>
      <c r="F265" s="10">
        <f>VLOOKUP(A265,import!A:J,6,0)</f>
        <v>58</v>
      </c>
      <c r="G265" s="10">
        <f>VLOOKUP(A265,import!A:J,7,0)</f>
        <v>12</v>
      </c>
      <c r="H265" s="10">
        <f>VLOOKUP(A265,import!A:J,8,0)</f>
        <v>0</v>
      </c>
      <c r="I265" s="10">
        <f>VLOOKUP(A265,import!A:J,9,0)</f>
        <v>12</v>
      </c>
      <c r="J265" s="11">
        <f>VLOOKUP(A265,import!A:J,10,0)</f>
        <v>1</v>
      </c>
      <c r="K265" s="10" t="s">
        <v>1421</v>
      </c>
      <c r="L265" s="10">
        <v>5.31625899E9</v>
      </c>
      <c r="M265" s="10" t="s">
        <v>47</v>
      </c>
      <c r="N265" s="10" t="s">
        <v>479</v>
      </c>
      <c r="O265" s="10" t="s">
        <v>1422</v>
      </c>
      <c r="P265" s="10" t="str">
        <f>VLOOKUP(A265,import!A:P,16,0)</f>
        <v>Geleneksel</v>
      </c>
      <c r="Q265" s="12"/>
      <c r="R265" s="12" t="b">
        <v>0</v>
      </c>
      <c r="S265" s="12" t="b">
        <v>0</v>
      </c>
      <c r="T265" s="13"/>
      <c r="U265" s="13"/>
      <c r="V265" s="13"/>
      <c r="W265" s="13"/>
      <c r="X265" s="15"/>
      <c r="Y265" s="15"/>
      <c r="Z265" s="16"/>
      <c r="AA265" s="17"/>
      <c r="AB265" s="16"/>
      <c r="AC265" s="16"/>
      <c r="AD265" s="16"/>
      <c r="AE265" s="17"/>
      <c r="AF265" s="16"/>
      <c r="AG265" s="17"/>
      <c r="AH265" s="16"/>
      <c r="AI265" s="16"/>
      <c r="AJ265" s="16"/>
      <c r="AK265" s="17"/>
      <c r="AL265" s="16"/>
      <c r="AM265" s="16"/>
      <c r="AN265" s="16"/>
      <c r="AO265" s="16"/>
      <c r="AP265" s="18"/>
      <c r="AQ265" s="16"/>
    </row>
    <row r="266" ht="15.75" hidden="1" customHeight="1">
      <c r="A266" s="10" t="s">
        <v>1423</v>
      </c>
      <c r="B266" s="10" t="s">
        <v>1424</v>
      </c>
      <c r="C266" s="10" t="str">
        <f>VLOOKUP(A266,import!A:C,3,0)</f>
        <v>DOĞRU</v>
      </c>
      <c r="D266" s="10" t="s">
        <v>167</v>
      </c>
      <c r="E266" s="10">
        <f>VLOOKUP(A266,import!A:J,5,0)</f>
        <v>894</v>
      </c>
      <c r="F266" s="10">
        <f>VLOOKUP(A266,import!A:J,6,0)</f>
        <v>38</v>
      </c>
      <c r="G266" s="10">
        <f>VLOOKUP(A266,import!A:J,7,0)</f>
        <v>4</v>
      </c>
      <c r="H266" s="10">
        <f>VLOOKUP(A266,import!A:J,8,0)</f>
        <v>16</v>
      </c>
      <c r="I266" s="10">
        <f>VLOOKUP(A266,import!A:J,9,0)</f>
        <v>20</v>
      </c>
      <c r="J266" s="11">
        <f>VLOOKUP(A266,import!A:J,10,0)</f>
        <v>0.2</v>
      </c>
      <c r="K266" s="10" t="s">
        <v>1425</v>
      </c>
      <c r="L266" s="10">
        <v>5.433797201E9</v>
      </c>
      <c r="M266" s="10" t="s">
        <v>72</v>
      </c>
      <c r="N266" s="10" t="s">
        <v>73</v>
      </c>
      <c r="O266" s="10" t="s">
        <v>1426</v>
      </c>
      <c r="P266" s="10" t="str">
        <f>VLOOKUP(A266,import!A:P,16,0)</f>
        <v>Geleneksel</v>
      </c>
      <c r="Q266" s="12" t="s">
        <v>146</v>
      </c>
      <c r="R266" s="12" t="b">
        <v>0</v>
      </c>
      <c r="S266" s="12" t="b">
        <v>0</v>
      </c>
      <c r="T266" s="13" t="s">
        <v>248</v>
      </c>
      <c r="U266" s="13"/>
      <c r="V266" s="13"/>
      <c r="W266" s="13"/>
      <c r="X266" s="15"/>
      <c r="Y266" s="15"/>
      <c r="Z266" s="16"/>
      <c r="AA266" s="16"/>
      <c r="AB266" s="16"/>
      <c r="AC266" s="16"/>
      <c r="AD266" s="16"/>
      <c r="AE266" s="17"/>
      <c r="AF266" s="16"/>
      <c r="AG266" s="17"/>
      <c r="AH266" s="16"/>
      <c r="AI266" s="16"/>
      <c r="AJ266" s="16"/>
      <c r="AK266" s="16"/>
      <c r="AL266" s="16"/>
      <c r="AM266" s="16"/>
      <c r="AN266" s="16"/>
      <c r="AO266" s="16"/>
      <c r="AP266" s="18" t="s">
        <v>58</v>
      </c>
      <c r="AQ266" s="16"/>
    </row>
    <row r="267" ht="15.75" customHeight="1">
      <c r="A267" s="10" t="s">
        <v>1427</v>
      </c>
      <c r="B267" s="10" t="s">
        <v>1428</v>
      </c>
      <c r="C267" s="10" t="str">
        <f>VLOOKUP(A267,import!A:C,3,0)</f>
        <v>DOĞRU</v>
      </c>
      <c r="D267" s="10" t="s">
        <v>167</v>
      </c>
      <c r="E267" s="10">
        <f>VLOOKUP(A267,import!A:J,5,0)</f>
        <v>296</v>
      </c>
      <c r="F267" s="10">
        <f>VLOOKUP(A267,import!A:J,6,0)</f>
        <v>50</v>
      </c>
      <c r="G267" s="10">
        <f>VLOOKUP(A267,import!A:J,7,0)</f>
        <v>0</v>
      </c>
      <c r="H267" s="10">
        <f>VLOOKUP(A267,import!A:J,8,0)</f>
        <v>16</v>
      </c>
      <c r="I267" s="10">
        <f>VLOOKUP(A267,import!A:J,9,0)</f>
        <v>16</v>
      </c>
      <c r="J267" s="11">
        <f>VLOOKUP(A267,import!A:J,10,0)</f>
        <v>0</v>
      </c>
      <c r="K267" s="10" t="s">
        <v>1429</v>
      </c>
      <c r="L267" s="10">
        <v>5.411474944E9</v>
      </c>
      <c r="M267" s="10" t="s">
        <v>63</v>
      </c>
      <c r="N267" s="10" t="s">
        <v>1148</v>
      </c>
      <c r="O267" s="10" t="s">
        <v>1430</v>
      </c>
      <c r="P267" s="10" t="str">
        <f>VLOOKUP(A267,import!A:P,16,0)</f>
        <v>Geleneksel</v>
      </c>
      <c r="Q267" s="12"/>
      <c r="R267" s="12" t="b">
        <v>0</v>
      </c>
      <c r="S267" s="12" t="b">
        <v>0</v>
      </c>
      <c r="T267" s="13" t="s">
        <v>248</v>
      </c>
      <c r="U267" s="13"/>
      <c r="V267" s="13"/>
      <c r="W267" s="13"/>
      <c r="X267" s="15"/>
      <c r="Y267" s="15"/>
      <c r="Z267" s="16"/>
      <c r="AA267" s="17"/>
      <c r="AB267" s="16"/>
      <c r="AC267" s="16"/>
      <c r="AD267" s="16"/>
      <c r="AE267" s="17"/>
      <c r="AF267" s="16"/>
      <c r="AG267" s="17"/>
      <c r="AH267" s="16"/>
      <c r="AI267" s="16"/>
      <c r="AJ267" s="16"/>
      <c r="AK267" s="17"/>
      <c r="AL267" s="16"/>
      <c r="AM267" s="16"/>
      <c r="AN267" s="16"/>
      <c r="AO267" s="16"/>
      <c r="AP267" s="18"/>
      <c r="AQ267" s="16"/>
    </row>
    <row r="268" ht="15.75" hidden="1" customHeight="1">
      <c r="A268" s="10" t="s">
        <v>1431</v>
      </c>
      <c r="B268" s="10" t="s">
        <v>1432</v>
      </c>
      <c r="C268" s="10" t="str">
        <f>VLOOKUP(A268,import!A:C,3,0)</f>
        <v>DOĞRU</v>
      </c>
      <c r="D268" s="10" t="s">
        <v>167</v>
      </c>
      <c r="E268" s="10">
        <f>VLOOKUP(A268,import!A:J,5,0)</f>
        <v>292</v>
      </c>
      <c r="F268" s="10">
        <f>VLOOKUP(A268,import!A:J,6,0)</f>
        <v>20</v>
      </c>
      <c r="G268" s="10">
        <f>VLOOKUP(A268,import!A:J,7,0)</f>
        <v>7</v>
      </c>
      <c r="H268" s="10">
        <f>VLOOKUP(A268,import!A:J,8,0)</f>
        <v>10</v>
      </c>
      <c r="I268" s="10">
        <f>VLOOKUP(A268,import!A:J,9,0)</f>
        <v>17</v>
      </c>
      <c r="J268" s="11">
        <f>VLOOKUP(A268,import!A:J,10,0)</f>
        <v>0.41</v>
      </c>
      <c r="K268" s="10" t="s">
        <v>1433</v>
      </c>
      <c r="L268" s="10">
        <v>5.535311033E9</v>
      </c>
      <c r="M268" s="10" t="s">
        <v>156</v>
      </c>
      <c r="N268" s="10" t="s">
        <v>338</v>
      </c>
      <c r="O268" s="10" t="s">
        <v>1434</v>
      </c>
      <c r="P268" s="10" t="str">
        <f>VLOOKUP(A268,import!A:P,16,0)</f>
        <v>Geleneksel</v>
      </c>
      <c r="Q268" s="12"/>
      <c r="R268" s="12" t="b">
        <v>0</v>
      </c>
      <c r="S268" s="12" t="b">
        <v>0</v>
      </c>
      <c r="T268" s="27" t="s">
        <v>248</v>
      </c>
      <c r="U268" s="13"/>
      <c r="V268" s="13"/>
      <c r="W268" s="13"/>
      <c r="X268" s="15"/>
      <c r="Y268" s="15"/>
      <c r="Z268" s="16"/>
      <c r="AA268" s="16"/>
      <c r="AB268" s="16"/>
      <c r="AC268" s="16"/>
      <c r="AD268" s="16"/>
      <c r="AE268" s="17"/>
      <c r="AF268" s="16"/>
      <c r="AG268" s="17"/>
      <c r="AH268" s="16"/>
      <c r="AI268" s="16"/>
      <c r="AJ268" s="16"/>
      <c r="AK268" s="16"/>
      <c r="AL268" s="16"/>
      <c r="AM268" s="16"/>
      <c r="AN268" s="16"/>
      <c r="AO268" s="16"/>
      <c r="AP268" s="18" t="s">
        <v>58</v>
      </c>
      <c r="AQ268" s="16"/>
    </row>
    <row r="269" ht="15.75" hidden="1" customHeight="1">
      <c r="A269" s="10" t="s">
        <v>1435</v>
      </c>
      <c r="B269" s="10" t="s">
        <v>1436</v>
      </c>
      <c r="C269" s="10" t="str">
        <f>VLOOKUP(A269,import!A:C,3,0)</f>
        <v>DOĞRU</v>
      </c>
      <c r="D269" s="10" t="s">
        <v>167</v>
      </c>
      <c r="E269" s="10">
        <f>VLOOKUP(A269,import!A:J,5,0)</f>
        <v>339</v>
      </c>
      <c r="F269" s="10">
        <f>VLOOKUP(A269,import!A:J,6,0)</f>
        <v>23</v>
      </c>
      <c r="G269" s="10">
        <f>VLOOKUP(A269,import!A:J,7,0)</f>
        <v>8</v>
      </c>
      <c r="H269" s="10">
        <f>VLOOKUP(A269,import!A:J,8,0)</f>
        <v>4</v>
      </c>
      <c r="I269" s="10">
        <f>VLOOKUP(A269,import!A:J,9,0)</f>
        <v>12</v>
      </c>
      <c r="J269" s="11">
        <f>VLOOKUP(A269,import!A:J,10,0)</f>
        <v>0.67</v>
      </c>
      <c r="K269" s="10" t="s">
        <v>1429</v>
      </c>
      <c r="L269" s="10">
        <v>5.444800987E9</v>
      </c>
      <c r="M269" s="10" t="s">
        <v>215</v>
      </c>
      <c r="N269" s="10" t="s">
        <v>613</v>
      </c>
      <c r="O269" s="10" t="s">
        <v>1437</v>
      </c>
      <c r="P269" s="10" t="str">
        <f>VLOOKUP(A269,import!A:P,16,0)</f>
        <v>Geleneksel</v>
      </c>
      <c r="Q269" s="12"/>
      <c r="R269" s="12" t="b">
        <v>1</v>
      </c>
      <c r="S269" s="12" t="b">
        <v>0</v>
      </c>
      <c r="T269" s="27" t="s">
        <v>248</v>
      </c>
      <c r="U269" s="13"/>
      <c r="V269" s="13"/>
      <c r="W269" s="13" t="s">
        <v>1438</v>
      </c>
      <c r="X269" s="15"/>
      <c r="Y269" s="15"/>
      <c r="Z269" s="16"/>
      <c r="AA269" s="17" t="s">
        <v>56</v>
      </c>
      <c r="AB269" s="16">
        <v>44523.0</v>
      </c>
      <c r="AC269" s="16"/>
      <c r="AD269" s="16"/>
      <c r="AE269" s="17"/>
      <c r="AF269" s="16"/>
      <c r="AG269" s="17"/>
      <c r="AH269" s="16"/>
      <c r="AI269" s="16"/>
      <c r="AJ269" s="16"/>
      <c r="AK269" s="17" t="s">
        <v>133</v>
      </c>
      <c r="AL269" s="16"/>
      <c r="AM269" s="16"/>
      <c r="AN269" s="16"/>
      <c r="AO269" s="16"/>
      <c r="AP269" s="18" t="s">
        <v>58</v>
      </c>
      <c r="AQ269" s="16"/>
    </row>
    <row r="270" ht="15.75" hidden="1" customHeight="1">
      <c r="A270" s="10" t="s">
        <v>1439</v>
      </c>
      <c r="B270" s="10" t="s">
        <v>1440</v>
      </c>
      <c r="C270" s="10" t="str">
        <f>VLOOKUP(A270,import!A:C,3,0)</f>
        <v>DOĞRU</v>
      </c>
      <c r="D270" s="10" t="s">
        <v>167</v>
      </c>
      <c r="E270" s="10">
        <f>VLOOKUP(A270,import!A:J,5,0)</f>
        <v>4784</v>
      </c>
      <c r="F270" s="10">
        <f>VLOOKUP(A270,import!A:J,6,0)</f>
        <v>203</v>
      </c>
      <c r="G270" s="10">
        <f>VLOOKUP(A270,import!A:J,7,0)</f>
        <v>0</v>
      </c>
      <c r="H270" s="10">
        <f>VLOOKUP(A270,import!A:J,8,0)</f>
        <v>22</v>
      </c>
      <c r="I270" s="10">
        <f>VLOOKUP(A270,import!A:J,9,0)</f>
        <v>22</v>
      </c>
      <c r="J270" s="11">
        <f>VLOOKUP(A270,import!A:J,10,0)</f>
        <v>0</v>
      </c>
      <c r="K270" s="10" t="s">
        <v>1441</v>
      </c>
      <c r="L270" s="10">
        <v>5.333726492E9</v>
      </c>
      <c r="M270" s="10" t="s">
        <v>72</v>
      </c>
      <c r="N270" s="10" t="s">
        <v>82</v>
      </c>
      <c r="O270" s="10" t="s">
        <v>1442</v>
      </c>
      <c r="P270" s="10" t="str">
        <f>VLOOKUP(A270,import!A:P,16,0)</f>
        <v>Geleneksel</v>
      </c>
      <c r="Q270" s="12" t="s">
        <v>146</v>
      </c>
      <c r="R270" s="12" t="b">
        <v>1</v>
      </c>
      <c r="S270" s="12" t="b">
        <v>1</v>
      </c>
      <c r="T270" s="13"/>
      <c r="U270" s="13"/>
      <c r="V270" s="13"/>
      <c r="W270" s="13" t="s">
        <v>1443</v>
      </c>
      <c r="X270" s="15"/>
      <c r="Y270" s="15"/>
      <c r="Z270" s="16"/>
      <c r="AA270" s="17" t="s">
        <v>56</v>
      </c>
      <c r="AB270" s="16">
        <v>44496.0</v>
      </c>
      <c r="AC270" s="16"/>
      <c r="AD270" s="16"/>
      <c r="AE270" s="17"/>
      <c r="AF270" s="16"/>
      <c r="AG270" s="17"/>
      <c r="AH270" s="16"/>
      <c r="AI270" s="16"/>
      <c r="AJ270" s="16"/>
      <c r="AK270" s="17" t="s">
        <v>87</v>
      </c>
      <c r="AL270" s="16"/>
      <c r="AM270" s="16"/>
      <c r="AN270" s="16"/>
      <c r="AO270" s="16"/>
      <c r="AP270" s="18" t="s">
        <v>58</v>
      </c>
      <c r="AQ270" s="16"/>
    </row>
    <row r="271" ht="15.75" customHeight="1">
      <c r="A271" s="10" t="s">
        <v>1444</v>
      </c>
      <c r="B271" s="10" t="s">
        <v>1445</v>
      </c>
      <c r="C271" s="10" t="str">
        <f>VLOOKUP(A271,import!A:C,3,0)</f>
        <v>DOĞRU</v>
      </c>
      <c r="D271" s="10" t="s">
        <v>167</v>
      </c>
      <c r="E271" s="10">
        <f>VLOOKUP(A271,import!A:J,5,0)</f>
        <v>449</v>
      </c>
      <c r="F271" s="10">
        <f>VLOOKUP(A271,import!A:J,6,0)</f>
        <v>39</v>
      </c>
      <c r="G271" s="10">
        <f>VLOOKUP(A271,import!A:J,7,0)</f>
        <v>44</v>
      </c>
      <c r="H271" s="10">
        <f>VLOOKUP(A271,import!A:J,8,0)</f>
        <v>5</v>
      </c>
      <c r="I271" s="10">
        <f>VLOOKUP(A271,import!A:J,9,0)</f>
        <v>49</v>
      </c>
      <c r="J271" s="11">
        <f>VLOOKUP(A271,import!A:J,10,0)</f>
        <v>0.9</v>
      </c>
      <c r="K271" s="10" t="s">
        <v>1446</v>
      </c>
      <c r="L271" s="10">
        <v>5.529353056E9</v>
      </c>
      <c r="M271" s="10" t="s">
        <v>63</v>
      </c>
      <c r="N271" s="10" t="s">
        <v>1447</v>
      </c>
      <c r="O271" s="10" t="s">
        <v>1448</v>
      </c>
      <c r="P271" s="10" t="str">
        <f>VLOOKUP(A271,import!A:P,16,0)</f>
        <v>Key</v>
      </c>
      <c r="Q271" s="12"/>
      <c r="R271" s="12" t="b">
        <v>1</v>
      </c>
      <c r="S271" s="12" t="b">
        <v>0</v>
      </c>
      <c r="T271" s="13" t="s">
        <v>51</v>
      </c>
      <c r="U271" s="13" t="s">
        <v>171</v>
      </c>
      <c r="V271" s="13" t="s">
        <v>53</v>
      </c>
      <c r="W271" s="13" t="s">
        <v>1449</v>
      </c>
      <c r="X271" s="15">
        <v>44456.0</v>
      </c>
      <c r="Y271" s="15">
        <v>44460.0</v>
      </c>
      <c r="Z271" s="16"/>
      <c r="AA271" s="17" t="s">
        <v>56</v>
      </c>
      <c r="AB271" s="16">
        <v>44456.0</v>
      </c>
      <c r="AC271" s="17" t="s">
        <v>56</v>
      </c>
      <c r="AD271" s="16">
        <v>44459.0</v>
      </c>
      <c r="AE271" s="17"/>
      <c r="AF271" s="16"/>
      <c r="AG271" s="17"/>
      <c r="AH271" s="16"/>
      <c r="AI271" s="16"/>
      <c r="AJ271" s="16"/>
      <c r="AK271" s="17" t="s">
        <v>171</v>
      </c>
      <c r="AL271" s="17" t="s">
        <v>52</v>
      </c>
      <c r="AM271" s="16"/>
      <c r="AN271" s="16"/>
      <c r="AO271" s="16"/>
      <c r="AP271" s="18" t="s">
        <v>1450</v>
      </c>
      <c r="AQ271" s="16"/>
    </row>
    <row r="272" ht="15.75" hidden="1" customHeight="1">
      <c r="A272" s="10" t="s">
        <v>1451</v>
      </c>
      <c r="B272" s="10" t="s">
        <v>1452</v>
      </c>
      <c r="C272" s="10" t="str">
        <f>VLOOKUP(A272,import!A:C,3,0)</f>
        <v>DOĞRU</v>
      </c>
      <c r="D272" s="10" t="s">
        <v>167</v>
      </c>
      <c r="E272" s="10">
        <f>VLOOKUP(A272,import!A:J,5,0)</f>
        <v>487</v>
      </c>
      <c r="F272" s="10">
        <f>VLOOKUP(A272,import!A:J,6,0)</f>
        <v>33</v>
      </c>
      <c r="G272" s="10">
        <f>VLOOKUP(A272,import!A:J,7,0)</f>
        <v>17</v>
      </c>
      <c r="H272" s="10">
        <f>VLOOKUP(A272,import!A:J,8,0)</f>
        <v>1</v>
      </c>
      <c r="I272" s="10">
        <f>VLOOKUP(A272,import!A:J,9,0)</f>
        <v>18</v>
      </c>
      <c r="J272" s="11">
        <f>VLOOKUP(A272,import!A:J,10,0)</f>
        <v>0.94</v>
      </c>
      <c r="K272" s="10" t="s">
        <v>1453</v>
      </c>
      <c r="L272" s="10">
        <v>3.24616171E9</v>
      </c>
      <c r="M272" s="10" t="s">
        <v>156</v>
      </c>
      <c r="N272" s="10" t="s">
        <v>596</v>
      </c>
      <c r="O272" s="10" t="s">
        <v>1454</v>
      </c>
      <c r="P272" s="10" t="str">
        <f>VLOOKUP(A272,import!A:P,16,0)</f>
        <v>Key</v>
      </c>
      <c r="Q272" s="12" t="s">
        <v>50</v>
      </c>
      <c r="R272" s="12" t="b">
        <v>0</v>
      </c>
      <c r="S272" s="12" t="b">
        <v>0</v>
      </c>
      <c r="T272" s="13"/>
      <c r="U272" s="13"/>
      <c r="V272" s="13"/>
      <c r="W272" s="13"/>
      <c r="X272" s="15"/>
      <c r="Y272" s="15"/>
      <c r="Z272" s="16"/>
      <c r="AA272" s="16"/>
      <c r="AB272" s="16"/>
      <c r="AC272" s="16"/>
      <c r="AD272" s="16"/>
      <c r="AE272" s="17"/>
      <c r="AF272" s="16"/>
      <c r="AG272" s="17"/>
      <c r="AH272" s="16"/>
      <c r="AI272" s="16"/>
      <c r="AJ272" s="16"/>
      <c r="AK272" s="16"/>
      <c r="AL272" s="16"/>
      <c r="AM272" s="16"/>
      <c r="AN272" s="16"/>
      <c r="AO272" s="16"/>
      <c r="AP272" s="18" t="s">
        <v>1450</v>
      </c>
      <c r="AQ272" s="16"/>
    </row>
    <row r="273" ht="15.75" hidden="1" customHeight="1">
      <c r="A273" s="10" t="s">
        <v>1455</v>
      </c>
      <c r="B273" s="10" t="s">
        <v>1456</v>
      </c>
      <c r="C273" s="10" t="str">
        <f>VLOOKUP(A273,import!A:C,3,0)</f>
        <v>DOĞRU</v>
      </c>
      <c r="D273" s="10" t="s">
        <v>167</v>
      </c>
      <c r="E273" s="10">
        <f>VLOOKUP(A273,import!A:J,5,0)</f>
        <v>14</v>
      </c>
      <c r="F273" s="10" t="str">
        <f>VLOOKUP(A273,import!A:J,6,0)</f>
        <v/>
      </c>
      <c r="G273" s="10">
        <f>VLOOKUP(A273,import!A:J,7,0)</f>
        <v>6</v>
      </c>
      <c r="H273" s="10">
        <f>VLOOKUP(A273,import!A:J,8,0)</f>
        <v>1</v>
      </c>
      <c r="I273" s="10">
        <f>VLOOKUP(A273,import!A:J,9,0)</f>
        <v>7</v>
      </c>
      <c r="J273" s="11">
        <f>VLOOKUP(A273,import!A:J,10,0)</f>
        <v>0.86</v>
      </c>
      <c r="K273" s="10" t="s">
        <v>1457</v>
      </c>
      <c r="L273" s="10">
        <v>3.246255255E9</v>
      </c>
      <c r="M273" s="10" t="s">
        <v>156</v>
      </c>
      <c r="N273" s="10" t="s">
        <v>222</v>
      </c>
      <c r="O273" s="10" t="s">
        <v>1458</v>
      </c>
      <c r="P273" s="10" t="str">
        <f>VLOOKUP(A273,import!A:P,16,0)</f>
        <v>Key</v>
      </c>
      <c r="Q273" s="12"/>
      <c r="R273" s="12" t="b">
        <v>1</v>
      </c>
      <c r="S273" s="12" t="b">
        <v>0</v>
      </c>
      <c r="T273" s="13" t="s">
        <v>51</v>
      </c>
      <c r="U273" s="13"/>
      <c r="V273" s="19"/>
      <c r="W273" s="13" t="s">
        <v>1459</v>
      </c>
      <c r="X273" s="15">
        <v>44302.0</v>
      </c>
      <c r="Y273" s="15">
        <v>44305.0</v>
      </c>
      <c r="Z273" s="16"/>
      <c r="AA273" s="16"/>
      <c r="AB273" s="16"/>
      <c r="AC273" s="16"/>
      <c r="AD273" s="16"/>
      <c r="AE273" s="17"/>
      <c r="AF273" s="16"/>
      <c r="AG273" s="17"/>
      <c r="AH273" s="16"/>
      <c r="AI273" s="16"/>
      <c r="AJ273" s="16"/>
      <c r="AK273" s="16"/>
      <c r="AL273" s="16"/>
      <c r="AM273" s="16"/>
      <c r="AN273" s="16"/>
      <c r="AO273" s="16"/>
      <c r="AP273" s="18" t="s">
        <v>1450</v>
      </c>
      <c r="AQ273" s="16"/>
    </row>
    <row r="274" ht="15.75" hidden="1" customHeight="1">
      <c r="A274" s="10" t="s">
        <v>1460</v>
      </c>
      <c r="B274" s="10" t="s">
        <v>1461</v>
      </c>
      <c r="C274" s="10" t="str">
        <f>VLOOKUP(A274,import!A:C,3,0)</f>
        <v>DOĞRU</v>
      </c>
      <c r="D274" s="10" t="s">
        <v>167</v>
      </c>
      <c r="E274" s="10">
        <f>VLOOKUP(A274,import!A:J,5,0)</f>
        <v>666</v>
      </c>
      <c r="F274" s="10">
        <f>VLOOKUP(A274,import!A:J,6,0)</f>
        <v>65</v>
      </c>
      <c r="G274" s="10">
        <f>VLOOKUP(A274,import!A:J,7,0)</f>
        <v>33</v>
      </c>
      <c r="H274" s="10">
        <f>VLOOKUP(A274,import!A:J,8,0)</f>
        <v>3</v>
      </c>
      <c r="I274" s="10">
        <f>VLOOKUP(A274,import!A:J,9,0)</f>
        <v>36</v>
      </c>
      <c r="J274" s="11">
        <f>VLOOKUP(A274,import!A:J,10,0)</f>
        <v>0.92</v>
      </c>
      <c r="K274" s="10" t="s">
        <v>1462</v>
      </c>
      <c r="L274" s="10">
        <v>5.078378085E9</v>
      </c>
      <c r="M274" s="10" t="s">
        <v>215</v>
      </c>
      <c r="N274" s="10" t="s">
        <v>745</v>
      </c>
      <c r="O274" s="10" t="s">
        <v>1463</v>
      </c>
      <c r="P274" s="10" t="str">
        <f>VLOOKUP(A274,import!A:P,16,0)</f>
        <v>Key</v>
      </c>
      <c r="Q274" s="12"/>
      <c r="R274" s="12" t="b">
        <v>1</v>
      </c>
      <c r="S274" s="12" t="b">
        <v>0</v>
      </c>
      <c r="T274" s="13" t="s">
        <v>51</v>
      </c>
      <c r="U274" s="13" t="s">
        <v>52</v>
      </c>
      <c r="V274" s="13"/>
      <c r="W274" s="13" t="s">
        <v>1464</v>
      </c>
      <c r="X274" s="15">
        <v>44363.0</v>
      </c>
      <c r="Y274" s="15">
        <v>44365.0</v>
      </c>
      <c r="Z274" s="16"/>
      <c r="AA274" s="17" t="s">
        <v>56</v>
      </c>
      <c r="AB274" s="16">
        <v>44347.0</v>
      </c>
      <c r="AC274" s="17" t="s">
        <v>56</v>
      </c>
      <c r="AD274" s="16">
        <v>44348.0</v>
      </c>
      <c r="AE274" s="17" t="s">
        <v>55</v>
      </c>
      <c r="AF274" s="16">
        <v>44363.0</v>
      </c>
      <c r="AG274" s="17"/>
      <c r="AH274" s="16"/>
      <c r="AI274" s="16"/>
      <c r="AJ274" s="16"/>
      <c r="AK274" s="16"/>
      <c r="AL274" s="17" t="s">
        <v>1465</v>
      </c>
      <c r="AM274" s="17" t="s">
        <v>52</v>
      </c>
      <c r="AN274" s="16"/>
      <c r="AO274" s="16"/>
      <c r="AP274" s="18" t="s">
        <v>1450</v>
      </c>
      <c r="AQ274" s="16"/>
    </row>
    <row r="275" ht="15.75" hidden="1" customHeight="1">
      <c r="A275" s="10" t="s">
        <v>1466</v>
      </c>
      <c r="B275" s="10" t="s">
        <v>1467</v>
      </c>
      <c r="C275" s="10" t="str">
        <f>VLOOKUP(A275,import!A:C,3,0)</f>
        <v>DOĞRU</v>
      </c>
      <c r="D275" s="10" t="s">
        <v>167</v>
      </c>
      <c r="E275" s="10">
        <f>VLOOKUP(A275,import!A:J,5,0)</f>
        <v>2185</v>
      </c>
      <c r="F275" s="10">
        <f>VLOOKUP(A275,import!A:J,6,0)</f>
        <v>126</v>
      </c>
      <c r="G275" s="10">
        <f>VLOOKUP(A275,import!A:J,7,0)</f>
        <v>44</v>
      </c>
      <c r="H275" s="10">
        <f>VLOOKUP(A275,import!A:J,8,0)</f>
        <v>4</v>
      </c>
      <c r="I275" s="10">
        <f>VLOOKUP(A275,import!A:J,9,0)</f>
        <v>48</v>
      </c>
      <c r="J275" s="11">
        <f>VLOOKUP(A275,import!A:J,10,0)</f>
        <v>0.92</v>
      </c>
      <c r="K275" s="10" t="s">
        <v>1468</v>
      </c>
      <c r="L275" s="10">
        <v>5.422540924E9</v>
      </c>
      <c r="M275" s="10" t="s">
        <v>72</v>
      </c>
      <c r="N275" s="10" t="s">
        <v>73</v>
      </c>
      <c r="O275" s="10" t="s">
        <v>1469</v>
      </c>
      <c r="P275" s="10" t="str">
        <f>VLOOKUP(A275,import!A:P,16,0)</f>
        <v>Key</v>
      </c>
      <c r="Q275" s="12"/>
      <c r="R275" s="12" t="b">
        <v>1</v>
      </c>
      <c r="S275" s="12" t="b">
        <v>0</v>
      </c>
      <c r="T275" s="13" t="s">
        <v>51</v>
      </c>
      <c r="U275" s="13" t="s">
        <v>1470</v>
      </c>
      <c r="V275" s="13" t="s">
        <v>66</v>
      </c>
      <c r="W275" s="13"/>
      <c r="X275" s="15">
        <v>44327.0</v>
      </c>
      <c r="Y275" s="15">
        <v>44333.0</v>
      </c>
      <c r="Z275" s="16"/>
      <c r="AA275" s="16"/>
      <c r="AB275" s="16"/>
      <c r="AC275" s="16"/>
      <c r="AD275" s="16"/>
      <c r="AE275" s="17"/>
      <c r="AF275" s="16"/>
      <c r="AG275" s="17"/>
      <c r="AH275" s="16"/>
      <c r="AI275" s="16"/>
      <c r="AJ275" s="16"/>
      <c r="AK275" s="16"/>
      <c r="AL275" s="16"/>
      <c r="AM275" s="16"/>
      <c r="AN275" s="16"/>
      <c r="AO275" s="16"/>
      <c r="AP275" s="18" t="s">
        <v>1450</v>
      </c>
      <c r="AQ275" s="16"/>
    </row>
    <row r="276" ht="15.75" hidden="1" customHeight="1">
      <c r="A276" s="10" t="s">
        <v>1471</v>
      </c>
      <c r="B276" s="10" t="s">
        <v>1472</v>
      </c>
      <c r="C276" s="10" t="str">
        <f>VLOOKUP(A276,import!A:C,3,0)</f>
        <v>YANLIŞ</v>
      </c>
      <c r="D276" s="10" t="s">
        <v>167</v>
      </c>
      <c r="E276" s="10">
        <f>VLOOKUP(A276,import!A:J,5,0)</f>
        <v>243</v>
      </c>
      <c r="F276" s="10" t="str">
        <f>VLOOKUP(A276,import!A:J,6,0)</f>
        <v/>
      </c>
      <c r="G276" s="10">
        <f>VLOOKUP(A276,import!A:J,7,0)</f>
        <v>50</v>
      </c>
      <c r="H276" s="10">
        <f>VLOOKUP(A276,import!A:J,8,0)</f>
        <v>15</v>
      </c>
      <c r="I276" s="10">
        <f>VLOOKUP(A276,import!A:J,9,0)</f>
        <v>65</v>
      </c>
      <c r="J276" s="11">
        <f>VLOOKUP(A276,import!A:J,10,0)</f>
        <v>0.77</v>
      </c>
      <c r="K276" s="10" t="s">
        <v>1473</v>
      </c>
      <c r="L276" s="10">
        <v>5.424319445E9</v>
      </c>
      <c r="M276" s="10" t="s">
        <v>72</v>
      </c>
      <c r="N276" s="10" t="s">
        <v>1277</v>
      </c>
      <c r="O276" s="10" t="s">
        <v>1474</v>
      </c>
      <c r="P276" s="10" t="str">
        <f>VLOOKUP(A276,import!A:P,16,0)</f>
        <v>Key</v>
      </c>
      <c r="Q276" s="12"/>
      <c r="R276" s="12" t="b">
        <v>1</v>
      </c>
      <c r="S276" s="12" t="b">
        <v>0</v>
      </c>
      <c r="T276" s="13" t="s">
        <v>248</v>
      </c>
      <c r="U276" s="13" t="s">
        <v>88</v>
      </c>
      <c r="V276" s="13" t="s">
        <v>53</v>
      </c>
      <c r="W276" s="13" t="s">
        <v>1475</v>
      </c>
      <c r="X276" s="15">
        <v>44364.0</v>
      </c>
      <c r="Y276" s="15">
        <v>44368.0</v>
      </c>
      <c r="Z276" s="16"/>
      <c r="AA276" s="17" t="s">
        <v>56</v>
      </c>
      <c r="AB276" s="16">
        <v>44361.0</v>
      </c>
      <c r="AC276" s="17" t="s">
        <v>55</v>
      </c>
      <c r="AD276" s="16">
        <v>44426.0</v>
      </c>
      <c r="AE276" s="17"/>
      <c r="AF276" s="16"/>
      <c r="AG276" s="17"/>
      <c r="AH276" s="16"/>
      <c r="AI276" s="16"/>
      <c r="AJ276" s="16"/>
      <c r="AK276" s="17" t="s">
        <v>88</v>
      </c>
      <c r="AL276" s="16"/>
      <c r="AM276" s="17" t="s">
        <v>57</v>
      </c>
      <c r="AN276" s="16"/>
      <c r="AO276" s="16"/>
      <c r="AP276" s="18" t="s">
        <v>1450</v>
      </c>
      <c r="AQ276" s="16"/>
    </row>
    <row r="277" ht="15.75" hidden="1" customHeight="1">
      <c r="A277" s="10" t="s">
        <v>1476</v>
      </c>
      <c r="B277" s="10" t="s">
        <v>1477</v>
      </c>
      <c r="C277" s="10" t="str">
        <f>VLOOKUP(A277,import!A:C,3,0)</f>
        <v>DOĞRU</v>
      </c>
      <c r="D277" s="10" t="s">
        <v>363</v>
      </c>
      <c r="E277" s="10">
        <f>VLOOKUP(A277,import!A:J,5,0)</f>
        <v>4</v>
      </c>
      <c r="F277" s="10">
        <f>VLOOKUP(A277,import!A:J,6,0)</f>
        <v>2</v>
      </c>
      <c r="G277" s="10">
        <f>VLOOKUP(A277,import!A:J,7,0)</f>
        <v>62</v>
      </c>
      <c r="H277" s="10">
        <f>VLOOKUP(A277,import!A:J,8,0)</f>
        <v>21</v>
      </c>
      <c r="I277" s="10">
        <f>VLOOKUP(A277,import!A:J,9,0)</f>
        <v>83</v>
      </c>
      <c r="J277" s="11">
        <f>VLOOKUP(A277,import!A:J,10,0)</f>
        <v>0.75</v>
      </c>
      <c r="K277" s="10" t="s">
        <v>1478</v>
      </c>
      <c r="L277" s="10">
        <v>3.243272797E9</v>
      </c>
      <c r="M277" s="10" t="s">
        <v>72</v>
      </c>
      <c r="N277" s="10" t="s">
        <v>128</v>
      </c>
      <c r="O277" s="10" t="s">
        <v>1479</v>
      </c>
      <c r="P277" s="10" t="str">
        <f>VLOOKUP(A277,import!A:P,16,0)</f>
        <v>Geleneksel</v>
      </c>
      <c r="Q277" s="12"/>
      <c r="R277" s="12" t="b">
        <v>1</v>
      </c>
      <c r="S277" s="12" t="b">
        <v>0</v>
      </c>
      <c r="T277" s="13" t="s">
        <v>51</v>
      </c>
      <c r="U277" s="13" t="s">
        <v>133</v>
      </c>
      <c r="V277" s="19" t="s">
        <v>66</v>
      </c>
      <c r="W277" s="13"/>
      <c r="X277" s="15">
        <v>44629.0</v>
      </c>
      <c r="Y277" s="15">
        <v>44630.0</v>
      </c>
      <c r="Z277" s="16"/>
      <c r="AA277" s="17" t="s">
        <v>56</v>
      </c>
      <c r="AB277" s="16">
        <v>44629.0</v>
      </c>
      <c r="AC277" s="16"/>
      <c r="AD277" s="16"/>
      <c r="AE277" s="17"/>
      <c r="AF277" s="16"/>
      <c r="AG277" s="17"/>
      <c r="AH277" s="16"/>
      <c r="AI277" s="16"/>
      <c r="AJ277" s="16"/>
      <c r="AK277" s="17" t="s">
        <v>133</v>
      </c>
      <c r="AL277" s="16"/>
      <c r="AM277" s="16"/>
      <c r="AN277" s="16"/>
      <c r="AO277" s="16"/>
      <c r="AP277" s="18"/>
      <c r="AQ277" s="16"/>
    </row>
    <row r="278" ht="15.75" hidden="1" customHeight="1">
      <c r="A278" s="10" t="s">
        <v>1480</v>
      </c>
      <c r="B278" s="10" t="s">
        <v>1481</v>
      </c>
      <c r="C278" s="10" t="str">
        <f>VLOOKUP(A278,import!A:C,3,0)</f>
        <v>DOĞRU</v>
      </c>
      <c r="D278" s="10" t="s">
        <v>363</v>
      </c>
      <c r="E278" s="10">
        <f>VLOOKUP(A278,import!A:J,5,0)</f>
        <v>226</v>
      </c>
      <c r="F278" s="10">
        <f>VLOOKUP(A278,import!A:J,6,0)</f>
        <v>26</v>
      </c>
      <c r="G278" s="10">
        <f>VLOOKUP(A278,import!A:J,7,0)</f>
        <v>0</v>
      </c>
      <c r="H278" s="10">
        <f>VLOOKUP(A278,import!A:J,8,0)</f>
        <v>8</v>
      </c>
      <c r="I278" s="10">
        <f>VLOOKUP(A278,import!A:J,9,0)</f>
        <v>8</v>
      </c>
      <c r="J278" s="11">
        <f>VLOOKUP(A278,import!A:J,10,0)</f>
        <v>0</v>
      </c>
      <c r="K278" s="10" t="s">
        <v>1482</v>
      </c>
      <c r="L278" s="10">
        <v>5.525259697E9</v>
      </c>
      <c r="M278" s="10" t="s">
        <v>902</v>
      </c>
      <c r="N278" s="10" t="s">
        <v>1483</v>
      </c>
      <c r="O278" s="10" t="s">
        <v>1484</v>
      </c>
      <c r="P278" s="10" t="str">
        <f>VLOOKUP(A278,import!A:P,16,0)</f>
        <v>Geleneksel</v>
      </c>
      <c r="Q278" s="12"/>
      <c r="R278" s="12" t="b">
        <v>0</v>
      </c>
      <c r="S278" s="12" t="b">
        <v>0</v>
      </c>
      <c r="T278" s="13"/>
      <c r="U278" s="13"/>
      <c r="V278" s="13"/>
      <c r="W278" s="13"/>
      <c r="X278" s="15"/>
      <c r="Y278" s="15"/>
      <c r="Z278" s="16"/>
      <c r="AA278" s="17"/>
      <c r="AB278" s="16"/>
      <c r="AC278" s="16"/>
      <c r="AD278" s="16"/>
      <c r="AE278" s="17"/>
      <c r="AF278" s="16"/>
      <c r="AG278" s="17"/>
      <c r="AH278" s="16"/>
      <c r="AI278" s="16"/>
      <c r="AJ278" s="16"/>
      <c r="AK278" s="17"/>
      <c r="AL278" s="16"/>
      <c r="AM278" s="16"/>
      <c r="AN278" s="16"/>
      <c r="AO278" s="16"/>
      <c r="AP278" s="18"/>
      <c r="AQ278" s="16"/>
    </row>
    <row r="279" ht="15.75" hidden="1" customHeight="1">
      <c r="A279" s="10" t="s">
        <v>1485</v>
      </c>
      <c r="B279" s="10" t="s">
        <v>1486</v>
      </c>
      <c r="C279" s="10" t="str">
        <f>VLOOKUP(A279,import!A:C,3,0)</f>
        <v>DOĞRU</v>
      </c>
      <c r="D279" s="10" t="s">
        <v>498</v>
      </c>
      <c r="E279" s="10">
        <f>VLOOKUP(A279,import!A:J,5,0)</f>
        <v>468</v>
      </c>
      <c r="F279" s="10">
        <f>VLOOKUP(A279,import!A:J,6,0)</f>
        <v>34</v>
      </c>
      <c r="G279" s="10">
        <f>VLOOKUP(A279,import!A:J,7,0)</f>
        <v>0</v>
      </c>
      <c r="H279" s="10">
        <f>VLOOKUP(A279,import!A:J,8,0)</f>
        <v>34</v>
      </c>
      <c r="I279" s="10">
        <f>VLOOKUP(A279,import!A:J,9,0)</f>
        <v>34</v>
      </c>
      <c r="J279" s="11">
        <f>VLOOKUP(A279,import!A:J,10,0)</f>
        <v>0</v>
      </c>
      <c r="K279" s="10" t="s">
        <v>1487</v>
      </c>
      <c r="L279" s="10">
        <v>5.452246445E9</v>
      </c>
      <c r="M279" s="10" t="s">
        <v>156</v>
      </c>
      <c r="N279" s="10" t="s">
        <v>301</v>
      </c>
      <c r="O279" s="10" t="s">
        <v>1488</v>
      </c>
      <c r="P279" s="10" t="str">
        <f>VLOOKUP(A279,import!A:P,16,0)</f>
        <v>Geleneksel</v>
      </c>
      <c r="Q279" s="12"/>
      <c r="R279" s="12" t="b">
        <v>1</v>
      </c>
      <c r="S279" s="12" t="b">
        <v>1</v>
      </c>
      <c r="T279" s="13" t="s">
        <v>130</v>
      </c>
      <c r="U279" s="13"/>
      <c r="V279" s="13"/>
      <c r="W279" s="13" t="s">
        <v>1489</v>
      </c>
      <c r="X279" s="15"/>
      <c r="Y279" s="15"/>
      <c r="Z279" s="16"/>
      <c r="AA279" s="16"/>
      <c r="AB279" s="16"/>
      <c r="AC279" s="16"/>
      <c r="AD279" s="16"/>
      <c r="AE279" s="17"/>
      <c r="AF279" s="16"/>
      <c r="AG279" s="17"/>
      <c r="AH279" s="16"/>
      <c r="AI279" s="16"/>
      <c r="AJ279" s="16"/>
      <c r="AK279" s="16"/>
      <c r="AL279" s="16"/>
      <c r="AM279" s="16"/>
      <c r="AN279" s="16"/>
      <c r="AO279" s="16"/>
      <c r="AP279" s="18" t="s">
        <v>58</v>
      </c>
      <c r="AQ279" s="16"/>
    </row>
    <row r="280" ht="15.75" hidden="1" customHeight="1">
      <c r="A280" s="10" t="s">
        <v>1490</v>
      </c>
      <c r="B280" s="10" t="s">
        <v>1491</v>
      </c>
      <c r="C280" s="10" t="str">
        <f>VLOOKUP(A280,import!A:C,3,0)</f>
        <v>DOĞRU</v>
      </c>
      <c r="D280" s="10" t="s">
        <v>70</v>
      </c>
      <c r="E280" s="10">
        <f>VLOOKUP(A280,import!A:J,5,0)</f>
        <v>5199</v>
      </c>
      <c r="F280" s="10">
        <f>VLOOKUP(A280,import!A:J,6,0)</f>
        <v>133</v>
      </c>
      <c r="G280" s="10">
        <f>VLOOKUP(A280,import!A:J,7,0)</f>
        <v>6</v>
      </c>
      <c r="H280" s="10">
        <f>VLOOKUP(A280,import!A:J,8,0)</f>
        <v>10</v>
      </c>
      <c r="I280" s="10">
        <f>VLOOKUP(A280,import!A:J,9,0)</f>
        <v>16</v>
      </c>
      <c r="J280" s="11">
        <f>VLOOKUP(A280,import!A:J,10,0)</f>
        <v>0.38</v>
      </c>
      <c r="K280" s="10" t="s">
        <v>1492</v>
      </c>
      <c r="L280" s="10">
        <v>5.541475031E9</v>
      </c>
      <c r="M280" s="10" t="s">
        <v>47</v>
      </c>
      <c r="N280" s="10" t="s">
        <v>48</v>
      </c>
      <c r="O280" s="10" t="s">
        <v>1493</v>
      </c>
      <c r="P280" s="10" t="str">
        <f>VLOOKUP(A280,import!A:P,16,0)</f>
        <v>Geleneksel</v>
      </c>
      <c r="Q280" s="12" t="s">
        <v>146</v>
      </c>
      <c r="R280" s="12" t="b">
        <v>1</v>
      </c>
      <c r="S280" s="12" t="b">
        <v>0</v>
      </c>
      <c r="T280" s="13" t="s">
        <v>130</v>
      </c>
      <c r="U280" s="13" t="s">
        <v>89</v>
      </c>
      <c r="V280" s="13" t="s">
        <v>53</v>
      </c>
      <c r="W280" s="13" t="s">
        <v>1494</v>
      </c>
      <c r="X280" s="15">
        <v>44499.0</v>
      </c>
      <c r="Y280" s="15">
        <v>44502.0</v>
      </c>
      <c r="Z280" s="16"/>
      <c r="AA280" s="17" t="s">
        <v>56</v>
      </c>
      <c r="AB280" s="16">
        <v>44499.0</v>
      </c>
      <c r="AC280" s="17" t="s">
        <v>55</v>
      </c>
      <c r="AD280" s="16">
        <v>44538.0</v>
      </c>
      <c r="AE280" s="17"/>
      <c r="AF280" s="16"/>
      <c r="AG280" s="17"/>
      <c r="AH280" s="16"/>
      <c r="AI280" s="16"/>
      <c r="AJ280" s="16"/>
      <c r="AK280" s="17" t="s">
        <v>89</v>
      </c>
      <c r="AL280" s="17" t="s">
        <v>103</v>
      </c>
      <c r="AM280" s="16"/>
      <c r="AN280" s="16"/>
      <c r="AO280" s="16"/>
      <c r="AP280" s="18" t="s">
        <v>58</v>
      </c>
      <c r="AQ280" s="16"/>
    </row>
    <row r="281" ht="15.75" hidden="1" customHeight="1">
      <c r="A281" s="10" t="s">
        <v>1495</v>
      </c>
      <c r="B281" s="10" t="s">
        <v>1496</v>
      </c>
      <c r="C281" s="10" t="str">
        <f>VLOOKUP(A281,import!A:C,3,0)</f>
        <v>DOĞRU</v>
      </c>
      <c r="D281" s="10" t="s">
        <v>80</v>
      </c>
      <c r="E281" s="10">
        <f>VLOOKUP(A281,import!A:J,5,0)</f>
        <v>2843</v>
      </c>
      <c r="F281" s="10">
        <f>VLOOKUP(A281,import!A:J,6,0)</f>
        <v>90</v>
      </c>
      <c r="G281" s="10">
        <f>VLOOKUP(A281,import!A:J,7,0)</f>
        <v>0</v>
      </c>
      <c r="H281" s="10">
        <f>VLOOKUP(A281,import!A:J,8,0)</f>
        <v>34</v>
      </c>
      <c r="I281" s="10">
        <f>VLOOKUP(A281,import!A:J,9,0)</f>
        <v>34</v>
      </c>
      <c r="J281" s="11">
        <f>VLOOKUP(A281,import!A:J,10,0)</f>
        <v>0</v>
      </c>
      <c r="K281" s="10" t="s">
        <v>1497</v>
      </c>
      <c r="L281" s="10">
        <v>5.315541881E9</v>
      </c>
      <c r="M281" s="10" t="s">
        <v>72</v>
      </c>
      <c r="N281" s="10" t="s">
        <v>82</v>
      </c>
      <c r="O281" s="10" t="s">
        <v>1498</v>
      </c>
      <c r="P281" s="10" t="str">
        <f>VLOOKUP(A281,import!A:P,16,0)</f>
        <v>Geleneksel</v>
      </c>
      <c r="Q281" s="12" t="s">
        <v>84</v>
      </c>
      <c r="R281" s="12" t="b">
        <v>1</v>
      </c>
      <c r="S281" s="12" t="b">
        <v>0</v>
      </c>
      <c r="T281" s="13" t="s">
        <v>199</v>
      </c>
      <c r="U281" s="13" t="s">
        <v>367</v>
      </c>
      <c r="V281" s="13" t="s">
        <v>53</v>
      </c>
      <c r="W281" s="13" t="s">
        <v>1499</v>
      </c>
      <c r="X281" s="15">
        <v>44431.0</v>
      </c>
      <c r="Y281" s="15">
        <v>44434.0</v>
      </c>
      <c r="Z281" s="16"/>
      <c r="AA281" s="17" t="s">
        <v>56</v>
      </c>
      <c r="AB281" s="16">
        <v>44431.0</v>
      </c>
      <c r="AC281" s="17" t="s">
        <v>56</v>
      </c>
      <c r="AD281" s="16">
        <v>44519.0</v>
      </c>
      <c r="AE281" s="17"/>
      <c r="AF281" s="16"/>
      <c r="AG281" s="17"/>
      <c r="AH281" s="16"/>
      <c r="AI281" s="16"/>
      <c r="AJ281" s="16"/>
      <c r="AK281" s="17" t="s">
        <v>57</v>
      </c>
      <c r="AL281" s="17" t="s">
        <v>87</v>
      </c>
      <c r="AM281" s="16"/>
      <c r="AN281" s="16"/>
      <c r="AO281" s="16"/>
      <c r="AP281" s="18" t="s">
        <v>58</v>
      </c>
      <c r="AQ281" s="16"/>
    </row>
    <row r="282" ht="15.75" customHeight="1">
      <c r="A282" s="10" t="s">
        <v>1500</v>
      </c>
      <c r="B282" s="10" t="s">
        <v>1501</v>
      </c>
      <c r="C282" s="10" t="str">
        <f>VLOOKUP(A282,import!A:C,3,0)</f>
        <v>DOĞRU</v>
      </c>
      <c r="D282" s="10" t="s">
        <v>118</v>
      </c>
      <c r="E282" s="10">
        <f>VLOOKUP(A282,import!A:J,5,0)</f>
        <v>37</v>
      </c>
      <c r="F282" s="10">
        <f>VLOOKUP(A282,import!A:J,6,0)</f>
        <v>10</v>
      </c>
      <c r="G282" s="10">
        <f>VLOOKUP(A282,import!A:J,7,0)</f>
        <v>14</v>
      </c>
      <c r="H282" s="10">
        <f>VLOOKUP(A282,import!A:J,8,0)</f>
        <v>2</v>
      </c>
      <c r="I282" s="10">
        <f>VLOOKUP(A282,import!A:J,9,0)</f>
        <v>16</v>
      </c>
      <c r="J282" s="11">
        <f>VLOOKUP(A282,import!A:J,10,0)</f>
        <v>0.88</v>
      </c>
      <c r="K282" s="10" t="s">
        <v>1502</v>
      </c>
      <c r="L282" s="10">
        <v>5.36469044E9</v>
      </c>
      <c r="M282" s="10" t="s">
        <v>137</v>
      </c>
      <c r="N282" s="10" t="s">
        <v>138</v>
      </c>
      <c r="O282" s="10" t="s">
        <v>1503</v>
      </c>
      <c r="P282" s="10" t="str">
        <f>VLOOKUP(A282,import!A:P,16,0)</f>
        <v>Geleneksel</v>
      </c>
      <c r="Q282" s="12"/>
      <c r="R282" s="12" t="b">
        <v>1</v>
      </c>
      <c r="S282" s="12" t="b">
        <v>0</v>
      </c>
      <c r="T282" s="13" t="s">
        <v>51</v>
      </c>
      <c r="U282" s="13" t="s">
        <v>133</v>
      </c>
      <c r="V282" s="17" t="s">
        <v>131</v>
      </c>
      <c r="W282" s="13"/>
      <c r="X282" s="15">
        <v>44648.0</v>
      </c>
      <c r="Y282" s="15">
        <v>44649.0</v>
      </c>
      <c r="Z282" s="16"/>
      <c r="AA282" s="17" t="s">
        <v>56</v>
      </c>
      <c r="AB282" s="16">
        <v>44648.0</v>
      </c>
      <c r="AC282" s="16"/>
      <c r="AD282" s="16"/>
      <c r="AE282" s="17"/>
      <c r="AF282" s="16"/>
      <c r="AG282" s="17"/>
      <c r="AH282" s="16"/>
      <c r="AI282" s="16"/>
      <c r="AJ282" s="16"/>
      <c r="AK282" s="17" t="s">
        <v>133</v>
      </c>
      <c r="AL282" s="16"/>
      <c r="AM282" s="16"/>
      <c r="AN282" s="16"/>
      <c r="AO282" s="16"/>
      <c r="AP282" s="18"/>
      <c r="AQ282" s="16"/>
    </row>
    <row r="283" ht="15.75" hidden="1" customHeight="1">
      <c r="A283" s="10" t="s">
        <v>1504</v>
      </c>
      <c r="B283" s="10" t="s">
        <v>1505</v>
      </c>
      <c r="C283" s="10" t="str">
        <f>VLOOKUP(A283,import!A:C,3,0)</f>
        <v>DOĞRU</v>
      </c>
      <c r="D283" s="10" t="s">
        <v>913</v>
      </c>
      <c r="E283" s="10">
        <f>VLOOKUP(A283,import!A:J,5,0)</f>
        <v>176</v>
      </c>
      <c r="F283" s="10" t="str">
        <f>VLOOKUP(A283,import!A:J,6,0)</f>
        <v/>
      </c>
      <c r="G283" s="10">
        <f>VLOOKUP(A283,import!A:J,7,0)</f>
        <v>0</v>
      </c>
      <c r="H283" s="10">
        <f>VLOOKUP(A283,import!A:J,8,0)</f>
        <v>9</v>
      </c>
      <c r="I283" s="10">
        <f>VLOOKUP(A283,import!A:J,9,0)</f>
        <v>9</v>
      </c>
      <c r="J283" s="11">
        <f>VLOOKUP(A283,import!A:J,10,0)</f>
        <v>0</v>
      </c>
      <c r="K283" s="10" t="s">
        <v>1506</v>
      </c>
      <c r="L283" s="10">
        <v>5.453922199E9</v>
      </c>
      <c r="M283" s="10" t="s">
        <v>47</v>
      </c>
      <c r="N283" s="10" t="s">
        <v>489</v>
      </c>
      <c r="O283" s="10" t="s">
        <v>1507</v>
      </c>
      <c r="P283" s="10" t="str">
        <f>VLOOKUP(A283,import!A:P,16,0)</f>
        <v>Geleneksel</v>
      </c>
      <c r="Q283" s="12"/>
      <c r="R283" s="12" t="b">
        <v>0</v>
      </c>
      <c r="S283" s="12" t="b">
        <v>0</v>
      </c>
      <c r="T283" s="13" t="s">
        <v>485</v>
      </c>
      <c r="U283" s="13"/>
      <c r="V283" s="13"/>
      <c r="W283" s="13"/>
      <c r="X283" s="15"/>
      <c r="Y283" s="15"/>
      <c r="Z283" s="16"/>
      <c r="AA283" s="16"/>
      <c r="AB283" s="16"/>
      <c r="AC283" s="16"/>
      <c r="AD283" s="16"/>
      <c r="AE283" s="17"/>
      <c r="AF283" s="16"/>
      <c r="AG283" s="17"/>
      <c r="AH283" s="16"/>
      <c r="AI283" s="16"/>
      <c r="AJ283" s="16"/>
      <c r="AK283" s="16"/>
      <c r="AL283" s="16"/>
      <c r="AM283" s="16"/>
      <c r="AN283" s="16"/>
      <c r="AO283" s="16"/>
      <c r="AP283" s="18"/>
      <c r="AQ283" s="16"/>
    </row>
    <row r="284" ht="15.75" hidden="1" customHeight="1">
      <c r="A284" s="10" t="s">
        <v>1508</v>
      </c>
      <c r="B284" s="10" t="s">
        <v>1509</v>
      </c>
      <c r="C284" s="10" t="str">
        <f>VLOOKUP(A284,import!A:C,3,0)</f>
        <v>DOĞRU</v>
      </c>
      <c r="D284" s="10" t="s">
        <v>70</v>
      </c>
      <c r="E284" s="10">
        <f>VLOOKUP(A284,import!A:J,5,0)</f>
        <v>1540</v>
      </c>
      <c r="F284" s="10">
        <f>VLOOKUP(A284,import!A:J,6,0)</f>
        <v>123</v>
      </c>
      <c r="G284" s="10">
        <f>VLOOKUP(A284,import!A:J,7,0)</f>
        <v>18</v>
      </c>
      <c r="H284" s="10">
        <f>VLOOKUP(A284,import!A:J,8,0)</f>
        <v>45</v>
      </c>
      <c r="I284" s="10">
        <f>VLOOKUP(A284,import!A:J,9,0)</f>
        <v>63</v>
      </c>
      <c r="J284" s="11">
        <f>VLOOKUP(A284,import!A:J,10,0)</f>
        <v>0.29</v>
      </c>
      <c r="K284" s="10" t="s">
        <v>1510</v>
      </c>
      <c r="L284" s="10">
        <v>3.243277473E9</v>
      </c>
      <c r="M284" s="10" t="s">
        <v>72</v>
      </c>
      <c r="N284" s="10" t="s">
        <v>128</v>
      </c>
      <c r="O284" s="10" t="s">
        <v>1511</v>
      </c>
      <c r="P284" s="10" t="str">
        <f>VLOOKUP(A284,import!A:P,16,0)</f>
        <v>Geleneksel</v>
      </c>
      <c r="Q284" s="12"/>
      <c r="R284" s="12" t="b">
        <v>1</v>
      </c>
      <c r="S284" s="12" t="b">
        <v>0</v>
      </c>
      <c r="T284" s="13" t="s">
        <v>199</v>
      </c>
      <c r="U284" s="13" t="s">
        <v>133</v>
      </c>
      <c r="V284" s="17" t="s">
        <v>131</v>
      </c>
      <c r="W284" s="13" t="s">
        <v>1512</v>
      </c>
      <c r="X284" s="15">
        <v>44638.0</v>
      </c>
      <c r="Y284" s="15">
        <v>44641.0</v>
      </c>
      <c r="Z284" s="16"/>
      <c r="AA284" s="17" t="s">
        <v>86</v>
      </c>
      <c r="AB284" s="16">
        <v>44488.0</v>
      </c>
      <c r="AC284" s="17" t="s">
        <v>56</v>
      </c>
      <c r="AD284" s="16">
        <v>44490.0</v>
      </c>
      <c r="AE284" s="17" t="s">
        <v>56</v>
      </c>
      <c r="AF284" s="16">
        <v>44559.0</v>
      </c>
      <c r="AG284" s="17" t="s">
        <v>56</v>
      </c>
      <c r="AH284" s="16">
        <v>44573.0</v>
      </c>
      <c r="AI284" s="17" t="s">
        <v>56</v>
      </c>
      <c r="AJ284" s="16">
        <v>44638.0</v>
      </c>
      <c r="AK284" s="17" t="s">
        <v>108</v>
      </c>
      <c r="AL284" s="17" t="s">
        <v>103</v>
      </c>
      <c r="AM284" s="17" t="s">
        <v>133</v>
      </c>
      <c r="AN284" s="17" t="s">
        <v>89</v>
      </c>
      <c r="AO284" s="17" t="s">
        <v>133</v>
      </c>
      <c r="AP284" s="18" t="s">
        <v>58</v>
      </c>
      <c r="AQ284" s="16"/>
    </row>
    <row r="285" ht="15.75" hidden="1" customHeight="1">
      <c r="A285" s="10" t="s">
        <v>1513</v>
      </c>
      <c r="B285" s="10" t="s">
        <v>1514</v>
      </c>
      <c r="C285" s="10" t="str">
        <f>VLOOKUP(A285,import!A:C,3,0)</f>
        <v>YANLIŞ</v>
      </c>
      <c r="D285" s="10" t="s">
        <v>118</v>
      </c>
      <c r="E285" s="10">
        <f>VLOOKUP(A285,import!A:J,5,0)</f>
        <v>32</v>
      </c>
      <c r="F285" s="10" t="str">
        <f>VLOOKUP(A285,import!A:J,6,0)</f>
        <v/>
      </c>
      <c r="G285" s="10">
        <f>VLOOKUP(A285,import!A:J,7,0)</f>
        <v>8</v>
      </c>
      <c r="H285" s="10">
        <f>VLOOKUP(A285,import!A:J,8,0)</f>
        <v>5</v>
      </c>
      <c r="I285" s="10">
        <f>VLOOKUP(A285,import!A:J,9,0)</f>
        <v>13</v>
      </c>
      <c r="J285" s="11">
        <f>VLOOKUP(A285,import!A:J,10,0)</f>
        <v>0.62</v>
      </c>
      <c r="K285" s="10" t="s">
        <v>1515</v>
      </c>
      <c r="L285" s="10">
        <v>5.324383331E9</v>
      </c>
      <c r="M285" s="10" t="s">
        <v>72</v>
      </c>
      <c r="N285" s="10" t="s">
        <v>113</v>
      </c>
      <c r="O285" s="10" t="s">
        <v>1516</v>
      </c>
      <c r="P285" s="10" t="str">
        <f>VLOOKUP(A285,import!A:P,16,0)</f>
        <v>Geleneksel</v>
      </c>
      <c r="Q285" s="12"/>
      <c r="R285" s="12" t="b">
        <v>1</v>
      </c>
      <c r="S285" s="12" t="b">
        <v>0</v>
      </c>
      <c r="T285" s="13" t="s">
        <v>51</v>
      </c>
      <c r="U285" s="13" t="s">
        <v>171</v>
      </c>
      <c r="V285" s="13" t="s">
        <v>53</v>
      </c>
      <c r="W285" s="13"/>
      <c r="X285" s="15">
        <v>44475.0</v>
      </c>
      <c r="Y285" s="15">
        <v>44476.0</v>
      </c>
      <c r="Z285" s="16"/>
      <c r="AA285" s="17" t="s">
        <v>56</v>
      </c>
      <c r="AB285" s="16">
        <v>44475.0</v>
      </c>
      <c r="AC285" s="16"/>
      <c r="AD285" s="16"/>
      <c r="AE285" s="17"/>
      <c r="AF285" s="16"/>
      <c r="AG285" s="17"/>
      <c r="AH285" s="16"/>
      <c r="AI285" s="16"/>
      <c r="AJ285" s="16"/>
      <c r="AK285" s="17" t="s">
        <v>171</v>
      </c>
      <c r="AL285" s="16"/>
      <c r="AM285" s="16"/>
      <c r="AN285" s="16"/>
      <c r="AO285" s="16"/>
      <c r="AP285" s="18" t="s">
        <v>58</v>
      </c>
      <c r="AQ285" s="16"/>
    </row>
    <row r="286" ht="15.75" hidden="1" customHeight="1">
      <c r="A286" s="10" t="s">
        <v>1517</v>
      </c>
      <c r="B286" s="10" t="s">
        <v>1518</v>
      </c>
      <c r="C286" s="10" t="str">
        <f>VLOOKUP(A286,import!A:C,3,0)</f>
        <v>YANLIŞ</v>
      </c>
      <c r="D286" s="10" t="s">
        <v>80</v>
      </c>
      <c r="E286" s="10">
        <f>VLOOKUP(A286,import!A:J,5,0)</f>
        <v>1063</v>
      </c>
      <c r="F286" s="10" t="str">
        <f>VLOOKUP(A286,import!A:J,6,0)</f>
        <v/>
      </c>
      <c r="G286" s="10">
        <f>VLOOKUP(A286,import!A:J,7,0)</f>
        <v>7</v>
      </c>
      <c r="H286" s="10">
        <f>VLOOKUP(A286,import!A:J,8,0)</f>
        <v>0</v>
      </c>
      <c r="I286" s="10">
        <f>VLOOKUP(A286,import!A:J,9,0)</f>
        <v>7</v>
      </c>
      <c r="J286" s="11">
        <f>VLOOKUP(A286,import!A:J,10,0)</f>
        <v>1</v>
      </c>
      <c r="K286" s="10" t="s">
        <v>1519</v>
      </c>
      <c r="L286" s="10">
        <v>3.245041127E9</v>
      </c>
      <c r="M286" s="10" t="s">
        <v>72</v>
      </c>
      <c r="N286" s="10" t="s">
        <v>82</v>
      </c>
      <c r="O286" s="10" t="s">
        <v>1520</v>
      </c>
      <c r="P286" s="10" t="str">
        <f>VLOOKUP(A286,import!A:P,16,0)</f>
        <v>Geleneksel</v>
      </c>
      <c r="Q286" s="12"/>
      <c r="R286" s="12" t="b">
        <v>1</v>
      </c>
      <c r="S286" s="12" t="b">
        <v>0</v>
      </c>
      <c r="T286" s="13" t="s">
        <v>51</v>
      </c>
      <c r="U286" s="13" t="s">
        <v>108</v>
      </c>
      <c r="V286" s="13" t="s">
        <v>66</v>
      </c>
      <c r="W286" s="13">
        <v>5.511711354E9</v>
      </c>
      <c r="X286" s="15">
        <v>44488.0</v>
      </c>
      <c r="Y286" s="15">
        <v>44489.0</v>
      </c>
      <c r="Z286" s="16"/>
      <c r="AA286" s="17" t="s">
        <v>56</v>
      </c>
      <c r="AB286" s="16">
        <v>44488.0</v>
      </c>
      <c r="AC286" s="17"/>
      <c r="AD286" s="16"/>
      <c r="AE286" s="17"/>
      <c r="AF286" s="16"/>
      <c r="AG286" s="17"/>
      <c r="AH286" s="16"/>
      <c r="AI286" s="16"/>
      <c r="AJ286" s="16"/>
      <c r="AK286" s="17" t="s">
        <v>108</v>
      </c>
      <c r="AL286" s="17"/>
      <c r="AM286" s="16"/>
      <c r="AN286" s="16"/>
      <c r="AO286" s="16"/>
      <c r="AP286" s="18" t="s">
        <v>58</v>
      </c>
      <c r="AQ286" s="16"/>
    </row>
    <row r="287" ht="15.75" customHeight="1">
      <c r="A287" s="10" t="s">
        <v>1521</v>
      </c>
      <c r="B287" s="10" t="s">
        <v>1522</v>
      </c>
      <c r="C287" s="10" t="str">
        <f>VLOOKUP(A287,import!A:C,3,0)</f>
        <v>DOĞRU</v>
      </c>
      <c r="D287" s="10" t="s">
        <v>363</v>
      </c>
      <c r="E287" s="10">
        <f>VLOOKUP(A287,import!A:J,5,0)</f>
        <v>1744</v>
      </c>
      <c r="F287" s="10">
        <f>VLOOKUP(A287,import!A:J,6,0)</f>
        <v>173</v>
      </c>
      <c r="G287" s="10">
        <f>VLOOKUP(A287,import!A:J,7,0)</f>
        <v>40</v>
      </c>
      <c r="H287" s="10">
        <f>VLOOKUP(A287,import!A:J,8,0)</f>
        <v>15</v>
      </c>
      <c r="I287" s="10">
        <f>VLOOKUP(A287,import!A:J,9,0)</f>
        <v>55</v>
      </c>
      <c r="J287" s="11">
        <f>VLOOKUP(A287,import!A:J,10,0)</f>
        <v>0.73</v>
      </c>
      <c r="K287" s="10" t="s">
        <v>1523</v>
      </c>
      <c r="L287" s="10">
        <v>3.242346992E9</v>
      </c>
      <c r="M287" s="10" t="s">
        <v>137</v>
      </c>
      <c r="N287" s="10" t="s">
        <v>1524</v>
      </c>
      <c r="O287" s="10" t="s">
        <v>1525</v>
      </c>
      <c r="P287" s="10" t="str">
        <f>VLOOKUP(A287,import!A:P,16,0)</f>
        <v>Geleneksel</v>
      </c>
      <c r="Q287" s="12"/>
      <c r="R287" s="12" t="b">
        <v>1</v>
      </c>
      <c r="S287" s="12" t="b">
        <v>0</v>
      </c>
      <c r="T287" s="13" t="s">
        <v>327</v>
      </c>
      <c r="U287" s="13"/>
      <c r="V287" s="19"/>
      <c r="W287" s="13" t="s">
        <v>1526</v>
      </c>
      <c r="X287" s="15"/>
      <c r="Y287" s="15"/>
      <c r="Z287" s="16"/>
      <c r="AA287" s="17" t="s">
        <v>55</v>
      </c>
      <c r="AB287" s="16">
        <v>44411.0</v>
      </c>
      <c r="AC287" s="17" t="s">
        <v>230</v>
      </c>
      <c r="AD287" s="16">
        <v>44484.0</v>
      </c>
      <c r="AE287" s="17" t="s">
        <v>230</v>
      </c>
      <c r="AF287" s="16">
        <v>44489.0</v>
      </c>
      <c r="AG287" s="17" t="s">
        <v>56</v>
      </c>
      <c r="AH287" s="16">
        <v>44494.0</v>
      </c>
      <c r="AI287" s="16"/>
      <c r="AJ287" s="16"/>
      <c r="AK287" s="17" t="s">
        <v>95</v>
      </c>
      <c r="AL287" s="17" t="s">
        <v>367</v>
      </c>
      <c r="AM287" s="17" t="s">
        <v>103</v>
      </c>
      <c r="AN287" s="17" t="s">
        <v>52</v>
      </c>
      <c r="AO287" s="16"/>
      <c r="AP287" s="18" t="s">
        <v>58</v>
      </c>
      <c r="AQ287" s="16"/>
    </row>
    <row r="288" ht="15.75" hidden="1" customHeight="1">
      <c r="A288" s="10" t="s">
        <v>1527</v>
      </c>
      <c r="B288" s="10" t="s">
        <v>1528</v>
      </c>
      <c r="C288" s="10" t="str">
        <f>VLOOKUP(A288,import!A:C,3,0)</f>
        <v>DOĞRU</v>
      </c>
      <c r="D288" s="10" t="s">
        <v>70</v>
      </c>
      <c r="E288" s="10">
        <f>VLOOKUP(A288,import!A:J,5,0)</f>
        <v>4451</v>
      </c>
      <c r="F288" s="10">
        <f>VLOOKUP(A288,import!A:J,6,0)</f>
        <v>434</v>
      </c>
      <c r="G288" s="10">
        <f>VLOOKUP(A288,import!A:J,7,0)</f>
        <v>0</v>
      </c>
      <c r="H288" s="10">
        <f>VLOOKUP(A288,import!A:J,8,0)</f>
        <v>5</v>
      </c>
      <c r="I288" s="10">
        <f>VLOOKUP(A288,import!A:J,9,0)</f>
        <v>5</v>
      </c>
      <c r="J288" s="11">
        <f>VLOOKUP(A288,import!A:J,10,0)</f>
        <v>0</v>
      </c>
      <c r="K288" s="10" t="s">
        <v>1529</v>
      </c>
      <c r="L288" s="10">
        <v>3.247143044E9</v>
      </c>
      <c r="M288" s="10" t="s">
        <v>187</v>
      </c>
      <c r="N288" s="10" t="s">
        <v>188</v>
      </c>
      <c r="O288" s="10" t="s">
        <v>1530</v>
      </c>
      <c r="P288" s="10" t="str">
        <f>VLOOKUP(A288,import!A:P,16,0)</f>
        <v>Geleneksel</v>
      </c>
      <c r="Q288" s="12"/>
      <c r="R288" s="12" t="b">
        <v>0</v>
      </c>
      <c r="S288" s="12" t="b">
        <v>0</v>
      </c>
      <c r="T288" s="13" t="s">
        <v>485</v>
      </c>
      <c r="U288" s="13"/>
      <c r="V288" s="13"/>
      <c r="W288" s="13"/>
      <c r="X288" s="15"/>
      <c r="Y288" s="15"/>
      <c r="Z288" s="16"/>
      <c r="AA288" s="16"/>
      <c r="AB288" s="16"/>
      <c r="AC288" s="16"/>
      <c r="AD288" s="16"/>
      <c r="AE288" s="17"/>
      <c r="AF288" s="16"/>
      <c r="AG288" s="17"/>
      <c r="AH288" s="16"/>
      <c r="AI288" s="16"/>
      <c r="AJ288" s="16"/>
      <c r="AK288" s="16"/>
      <c r="AL288" s="16"/>
      <c r="AM288" s="16"/>
      <c r="AN288" s="16"/>
      <c r="AO288" s="16"/>
      <c r="AP288" s="18" t="s">
        <v>58</v>
      </c>
      <c r="AQ288" s="16"/>
    </row>
    <row r="289" ht="15.75" hidden="1" customHeight="1">
      <c r="A289" s="10" t="s">
        <v>1531</v>
      </c>
      <c r="B289" s="10" t="s">
        <v>1532</v>
      </c>
      <c r="C289" s="10" t="str">
        <f>VLOOKUP(A289,import!A:C,3,0)</f>
        <v>DOĞRU</v>
      </c>
      <c r="D289" s="10" t="s">
        <v>70</v>
      </c>
      <c r="E289" s="10">
        <f>VLOOKUP(A289,import!A:J,5,0)</f>
        <v>706</v>
      </c>
      <c r="F289" s="10">
        <f>VLOOKUP(A289,import!A:J,6,0)</f>
        <v>51</v>
      </c>
      <c r="G289" s="10">
        <f>VLOOKUP(A289,import!A:J,7,0)</f>
        <v>1</v>
      </c>
      <c r="H289" s="10">
        <f>VLOOKUP(A289,import!A:J,8,0)</f>
        <v>11</v>
      </c>
      <c r="I289" s="10">
        <f>VLOOKUP(A289,import!A:J,9,0)</f>
        <v>12</v>
      </c>
      <c r="J289" s="11">
        <f>VLOOKUP(A289,import!A:J,10,0)</f>
        <v>0.08</v>
      </c>
      <c r="K289" s="10" t="s">
        <v>1529</v>
      </c>
      <c r="L289" s="10">
        <v>5.337140544E9</v>
      </c>
      <c r="M289" s="10" t="s">
        <v>187</v>
      </c>
      <c r="N289" s="10" t="s">
        <v>1533</v>
      </c>
      <c r="O289" s="10" t="s">
        <v>1534</v>
      </c>
      <c r="P289" s="10" t="str">
        <f>VLOOKUP(A289,import!A:P,16,0)</f>
        <v>Geleneksel</v>
      </c>
      <c r="Q289" s="12"/>
      <c r="R289" s="12" t="b">
        <v>0</v>
      </c>
      <c r="S289" s="12" t="b">
        <v>0</v>
      </c>
      <c r="T289" s="13" t="s">
        <v>485</v>
      </c>
      <c r="U289" s="13"/>
      <c r="V289" s="13"/>
      <c r="W289" s="13"/>
      <c r="X289" s="15"/>
      <c r="Y289" s="15"/>
      <c r="Z289" s="16"/>
      <c r="AA289" s="16"/>
      <c r="AB289" s="16"/>
      <c r="AC289" s="16"/>
      <c r="AD289" s="16"/>
      <c r="AE289" s="17"/>
      <c r="AF289" s="16"/>
      <c r="AG289" s="17"/>
      <c r="AH289" s="16"/>
      <c r="AI289" s="16"/>
      <c r="AJ289" s="16"/>
      <c r="AK289" s="16"/>
      <c r="AL289" s="16"/>
      <c r="AM289" s="16"/>
      <c r="AN289" s="16"/>
      <c r="AO289" s="16"/>
      <c r="AP289" s="18" t="s">
        <v>58</v>
      </c>
      <c r="AQ289" s="16"/>
    </row>
    <row r="290" ht="15.75" customHeight="1">
      <c r="A290" s="18" t="s">
        <v>1535</v>
      </c>
      <c r="B290" s="18" t="s">
        <v>1536</v>
      </c>
      <c r="C290" s="10" t="str">
        <f>VLOOKUP(A290,import!A:C,3,0)</f>
        <v>DOĞRU</v>
      </c>
      <c r="D290" s="18" t="s">
        <v>70</v>
      </c>
      <c r="E290" s="10">
        <f>VLOOKUP(A290,import!A:J,5,0)</f>
        <v>27</v>
      </c>
      <c r="F290" s="10">
        <f>VLOOKUP(A290,import!A:J,6,0)</f>
        <v>27</v>
      </c>
      <c r="G290" s="10">
        <f>VLOOKUP(A290,import!A:J,7,0)</f>
        <v>0</v>
      </c>
      <c r="H290" s="10">
        <f>VLOOKUP(A290,import!A:J,8,0)</f>
        <v>35</v>
      </c>
      <c r="I290" s="10">
        <f>VLOOKUP(A290,import!A:J,9,0)</f>
        <v>35</v>
      </c>
      <c r="J290" s="11">
        <f>VLOOKUP(A290,import!A:J,10,0)</f>
        <v>0</v>
      </c>
      <c r="K290" s="18" t="s">
        <v>1537</v>
      </c>
      <c r="L290" s="18">
        <v>5.528814933E9</v>
      </c>
      <c r="M290" s="18" t="s">
        <v>137</v>
      </c>
      <c r="N290" s="18" t="s">
        <v>175</v>
      </c>
      <c r="O290" s="18" t="s">
        <v>1538</v>
      </c>
      <c r="P290" s="10" t="str">
        <f>VLOOKUP(A290,import!A:P,16,0)</f>
        <v>Geleneksel</v>
      </c>
      <c r="Q290" s="12"/>
      <c r="R290" s="12" t="b">
        <v>0</v>
      </c>
      <c r="S290" s="12" t="b">
        <v>0</v>
      </c>
      <c r="T290" s="13"/>
      <c r="U290" s="13"/>
      <c r="V290" s="13"/>
      <c r="W290" s="13"/>
      <c r="X290" s="15"/>
      <c r="Y290" s="15"/>
      <c r="Z290" s="16"/>
      <c r="AA290" s="17"/>
      <c r="AB290" s="16"/>
      <c r="AC290" s="16"/>
      <c r="AD290" s="16"/>
      <c r="AE290" s="17"/>
      <c r="AF290" s="16"/>
      <c r="AG290" s="17"/>
      <c r="AH290" s="16"/>
      <c r="AI290" s="16"/>
      <c r="AJ290" s="16"/>
      <c r="AK290" s="17"/>
      <c r="AL290" s="16"/>
      <c r="AM290" s="16"/>
      <c r="AN290" s="16"/>
      <c r="AO290" s="16"/>
      <c r="AP290" s="18"/>
      <c r="AQ290" s="16"/>
    </row>
    <row r="291" ht="15.75" hidden="1" customHeight="1">
      <c r="A291" s="18" t="s">
        <v>1539</v>
      </c>
      <c r="B291" s="18" t="s">
        <v>1540</v>
      </c>
      <c r="C291" s="10" t="str">
        <f>VLOOKUP(A291,import!A:C,3,0)</f>
        <v>DOĞRU</v>
      </c>
      <c r="D291" s="18" t="s">
        <v>363</v>
      </c>
      <c r="E291" s="10">
        <f>VLOOKUP(A291,import!A:J,5,0)</f>
        <v>32</v>
      </c>
      <c r="F291" s="10">
        <f>VLOOKUP(A291,import!A:J,6,0)</f>
        <v>32</v>
      </c>
      <c r="G291" s="10">
        <f>VLOOKUP(A291,import!A:J,7,0)</f>
        <v>0</v>
      </c>
      <c r="H291" s="10">
        <f>VLOOKUP(A291,import!A:J,8,0)</f>
        <v>66</v>
      </c>
      <c r="I291" s="10">
        <f>VLOOKUP(A291,import!A:J,9,0)</f>
        <v>66</v>
      </c>
      <c r="J291" s="11">
        <f>VLOOKUP(A291,import!A:J,10,0)</f>
        <v>0</v>
      </c>
      <c r="K291" s="18" t="s">
        <v>1541</v>
      </c>
      <c r="L291" s="18">
        <v>5.346744169E9</v>
      </c>
      <c r="M291" s="18" t="s">
        <v>47</v>
      </c>
      <c r="N291" s="18" t="s">
        <v>489</v>
      </c>
      <c r="O291" s="18" t="s">
        <v>1542</v>
      </c>
      <c r="P291" s="10" t="str">
        <f>VLOOKUP(A291,import!A:P,16,0)</f>
        <v>Geleneksel</v>
      </c>
      <c r="Q291" s="12"/>
      <c r="R291" s="12" t="b">
        <v>0</v>
      </c>
      <c r="S291" s="12" t="b">
        <v>0</v>
      </c>
      <c r="T291" s="13"/>
      <c r="U291" s="13"/>
      <c r="V291" s="13"/>
      <c r="W291" s="13" t="s">
        <v>1543</v>
      </c>
      <c r="X291" s="15"/>
      <c r="Y291" s="15"/>
      <c r="Z291" s="16"/>
      <c r="AA291" s="17" t="s">
        <v>55</v>
      </c>
      <c r="AB291" s="15">
        <v>44694.0</v>
      </c>
      <c r="AC291" s="16"/>
      <c r="AD291" s="16"/>
      <c r="AE291" s="17"/>
      <c r="AF291" s="16"/>
      <c r="AG291" s="17"/>
      <c r="AH291" s="16"/>
      <c r="AI291" s="16"/>
      <c r="AJ291" s="16"/>
      <c r="AK291" s="17" t="s">
        <v>367</v>
      </c>
      <c r="AL291" s="16"/>
      <c r="AM291" s="16"/>
      <c r="AN291" s="16"/>
      <c r="AO291" s="16"/>
      <c r="AP291" s="18"/>
      <c r="AQ291" s="16"/>
    </row>
    <row r="292" ht="15.75" customHeight="1">
      <c r="A292" s="10" t="s">
        <v>1544</v>
      </c>
      <c r="B292" s="10" t="s">
        <v>1545</v>
      </c>
      <c r="C292" s="10" t="str">
        <f>VLOOKUP(A292,import!A:C,3,0)</f>
        <v>DOĞRU</v>
      </c>
      <c r="D292" s="10" t="s">
        <v>118</v>
      </c>
      <c r="E292" s="10">
        <f>VLOOKUP(A292,import!A:J,5,0)</f>
        <v>826</v>
      </c>
      <c r="F292" s="10">
        <f>VLOOKUP(A292,import!A:J,6,0)</f>
        <v>287</v>
      </c>
      <c r="G292" s="10">
        <f>VLOOKUP(A292,import!A:J,7,0)</f>
        <v>4</v>
      </c>
      <c r="H292" s="10">
        <f>VLOOKUP(A292,import!A:J,8,0)</f>
        <v>18</v>
      </c>
      <c r="I292" s="10">
        <f>VLOOKUP(A292,import!A:J,9,0)</f>
        <v>22</v>
      </c>
      <c r="J292" s="11">
        <f>VLOOKUP(A292,import!A:J,10,0)</f>
        <v>0.18</v>
      </c>
      <c r="K292" s="10" t="s">
        <v>1546</v>
      </c>
      <c r="L292" s="10">
        <v>3.242383803E9</v>
      </c>
      <c r="M292" s="10" t="s">
        <v>137</v>
      </c>
      <c r="N292" s="10" t="s">
        <v>138</v>
      </c>
      <c r="O292" s="10" t="s">
        <v>1547</v>
      </c>
      <c r="P292" s="10" t="str">
        <f>VLOOKUP(A292,import!A:P,16,0)</f>
        <v>Geleneksel</v>
      </c>
      <c r="Q292" s="12"/>
      <c r="R292" s="12" t="b">
        <v>1</v>
      </c>
      <c r="S292" s="12" t="b">
        <v>0</v>
      </c>
      <c r="T292" s="13" t="s">
        <v>51</v>
      </c>
      <c r="U292" s="13" t="s">
        <v>133</v>
      </c>
      <c r="V292" s="17" t="s">
        <v>131</v>
      </c>
      <c r="W292" s="13" t="s">
        <v>1548</v>
      </c>
      <c r="X292" s="15">
        <v>44648.0</v>
      </c>
      <c r="Y292" s="15">
        <v>44649.0</v>
      </c>
      <c r="Z292" s="16"/>
      <c r="AA292" s="17" t="s">
        <v>56</v>
      </c>
      <c r="AB292" s="16">
        <v>44648.0</v>
      </c>
      <c r="AC292" s="16"/>
      <c r="AD292" s="16"/>
      <c r="AE292" s="17"/>
      <c r="AF292" s="16"/>
      <c r="AG292" s="17"/>
      <c r="AH292" s="16"/>
      <c r="AI292" s="16"/>
      <c r="AJ292" s="16"/>
      <c r="AK292" s="17" t="s">
        <v>133</v>
      </c>
      <c r="AL292" s="16"/>
      <c r="AM292" s="16"/>
      <c r="AN292" s="16"/>
      <c r="AO292" s="16"/>
      <c r="AP292" s="18"/>
      <c r="AQ292" s="16"/>
    </row>
    <row r="293" ht="15.75" hidden="1" customHeight="1">
      <c r="A293" s="10" t="s">
        <v>1549</v>
      </c>
      <c r="B293" s="10" t="s">
        <v>1550</v>
      </c>
      <c r="C293" s="10" t="str">
        <f>VLOOKUP(A293,import!A:C,3,0)</f>
        <v>DOĞRU</v>
      </c>
      <c r="D293" s="10" t="s">
        <v>118</v>
      </c>
      <c r="E293" s="10">
        <f>VLOOKUP(A293,import!A:J,5,0)</f>
        <v>1436</v>
      </c>
      <c r="F293" s="10">
        <f>VLOOKUP(A293,import!A:J,6,0)</f>
        <v>4</v>
      </c>
      <c r="G293" s="10">
        <f>VLOOKUP(A293,import!A:J,7,0)</f>
        <v>0</v>
      </c>
      <c r="H293" s="10">
        <f>VLOOKUP(A293,import!A:J,8,0)</f>
        <v>26</v>
      </c>
      <c r="I293" s="10">
        <f>VLOOKUP(A293,import!A:J,9,0)</f>
        <v>26</v>
      </c>
      <c r="J293" s="11">
        <f>VLOOKUP(A293,import!A:J,10,0)</f>
        <v>0</v>
      </c>
      <c r="K293" s="10" t="s">
        <v>1551</v>
      </c>
      <c r="L293" s="10">
        <v>5.434853323E9</v>
      </c>
      <c r="M293" s="10" t="s">
        <v>72</v>
      </c>
      <c r="N293" s="10" t="s">
        <v>415</v>
      </c>
      <c r="O293" s="10" t="s">
        <v>1552</v>
      </c>
      <c r="P293" s="10" t="str">
        <f>VLOOKUP(A293,import!A:P,16,0)</f>
        <v>Geleneksel</v>
      </c>
      <c r="Q293" s="12" t="s">
        <v>146</v>
      </c>
      <c r="R293" s="12" t="b">
        <v>1</v>
      </c>
      <c r="S293" s="12" t="b">
        <v>0</v>
      </c>
      <c r="T293" s="13" t="s">
        <v>199</v>
      </c>
      <c r="U293" s="13"/>
      <c r="V293" s="13"/>
      <c r="W293" s="13" t="s">
        <v>1553</v>
      </c>
      <c r="X293" s="15"/>
      <c r="Y293" s="15"/>
      <c r="Z293" s="16"/>
      <c r="AA293" s="17" t="s">
        <v>56</v>
      </c>
      <c r="AB293" s="16">
        <v>44358.0</v>
      </c>
      <c r="AC293" s="17" t="s">
        <v>56</v>
      </c>
      <c r="AD293" s="16">
        <v>44544.0</v>
      </c>
      <c r="AE293" s="17"/>
      <c r="AF293" s="16"/>
      <c r="AG293" s="17"/>
      <c r="AH293" s="16"/>
      <c r="AI293" s="16"/>
      <c r="AJ293" s="16"/>
      <c r="AK293" s="17" t="s">
        <v>163</v>
      </c>
      <c r="AL293" s="17" t="s">
        <v>108</v>
      </c>
      <c r="AM293" s="16"/>
      <c r="AN293" s="16"/>
      <c r="AO293" s="16"/>
      <c r="AP293" s="18" t="s">
        <v>58</v>
      </c>
      <c r="AQ293" s="16"/>
    </row>
    <row r="294" ht="15.75" customHeight="1">
      <c r="A294" s="10" t="s">
        <v>1554</v>
      </c>
      <c r="B294" s="10" t="s">
        <v>1555</v>
      </c>
      <c r="C294" s="10" t="str">
        <f>VLOOKUP(A294,import!A:C,3,0)</f>
        <v>DOĞRU</v>
      </c>
      <c r="D294" s="10" t="s">
        <v>70</v>
      </c>
      <c r="E294" s="10">
        <f>VLOOKUP(A294,import!A:J,5,0)</f>
        <v>223</v>
      </c>
      <c r="F294" s="10">
        <f>VLOOKUP(A294,import!A:J,6,0)</f>
        <v>7</v>
      </c>
      <c r="G294" s="10">
        <f>VLOOKUP(A294,import!A:J,7,0)</f>
        <v>4</v>
      </c>
      <c r="H294" s="10">
        <f>VLOOKUP(A294,import!A:J,8,0)</f>
        <v>5</v>
      </c>
      <c r="I294" s="10">
        <f>VLOOKUP(A294,import!A:J,9,0)</f>
        <v>9</v>
      </c>
      <c r="J294" s="11">
        <f>VLOOKUP(A294,import!A:J,10,0)</f>
        <v>0.44</v>
      </c>
      <c r="K294" s="10" t="s">
        <v>1556</v>
      </c>
      <c r="L294" s="10">
        <v>5.07989028E9</v>
      </c>
      <c r="M294" s="10" t="s">
        <v>137</v>
      </c>
      <c r="N294" s="10" t="s">
        <v>526</v>
      </c>
      <c r="O294" s="10" t="s">
        <v>1557</v>
      </c>
      <c r="P294" s="10" t="str">
        <f>VLOOKUP(A294,import!A:P,16,0)</f>
        <v>Geleneksel</v>
      </c>
      <c r="Q294" s="12"/>
      <c r="R294" s="12" t="b">
        <v>1</v>
      </c>
      <c r="S294" s="12" t="b">
        <v>0</v>
      </c>
      <c r="T294" s="13" t="s">
        <v>51</v>
      </c>
      <c r="U294" s="13" t="s">
        <v>52</v>
      </c>
      <c r="V294" s="13" t="s">
        <v>53</v>
      </c>
      <c r="W294" s="13" t="s">
        <v>1558</v>
      </c>
      <c r="X294" s="15">
        <v>44337.0</v>
      </c>
      <c r="Y294" s="15">
        <v>44341.0</v>
      </c>
      <c r="Z294" s="16"/>
      <c r="AA294" s="17" t="s">
        <v>56</v>
      </c>
      <c r="AB294" s="16">
        <v>44349.0</v>
      </c>
      <c r="AC294" s="17" t="s">
        <v>55</v>
      </c>
      <c r="AD294" s="16">
        <v>44590.0</v>
      </c>
      <c r="AE294" s="17"/>
      <c r="AF294" s="16"/>
      <c r="AG294" s="17"/>
      <c r="AH294" s="16"/>
      <c r="AI294" s="16"/>
      <c r="AJ294" s="16"/>
      <c r="AK294" s="17" t="s">
        <v>124</v>
      </c>
      <c r="AL294" s="17" t="s">
        <v>89</v>
      </c>
      <c r="AM294" s="16"/>
      <c r="AN294" s="16"/>
      <c r="AO294" s="16"/>
      <c r="AP294" s="18" t="s">
        <v>58</v>
      </c>
      <c r="AQ294" s="16"/>
    </row>
    <row r="295" ht="15.75" customHeight="1">
      <c r="A295" s="10" t="s">
        <v>1559</v>
      </c>
      <c r="B295" s="10" t="s">
        <v>1560</v>
      </c>
      <c r="C295" s="10" t="str">
        <f>VLOOKUP(A295,import!A:C,3,0)</f>
        <v>DOĞRU</v>
      </c>
      <c r="D295" s="10" t="s">
        <v>356</v>
      </c>
      <c r="E295" s="10">
        <f>VLOOKUP(A295,import!A:J,5,0)</f>
        <v>180</v>
      </c>
      <c r="F295" s="10">
        <f>VLOOKUP(A295,import!A:J,6,0)</f>
        <v>11</v>
      </c>
      <c r="G295" s="10">
        <f>VLOOKUP(A295,import!A:J,7,0)</f>
        <v>5</v>
      </c>
      <c r="H295" s="10">
        <f>VLOOKUP(A295,import!A:J,8,0)</f>
        <v>31</v>
      </c>
      <c r="I295" s="10">
        <f>VLOOKUP(A295,import!A:J,9,0)</f>
        <v>36</v>
      </c>
      <c r="J295" s="11">
        <f>VLOOKUP(A295,import!A:J,10,0)</f>
        <v>0.14</v>
      </c>
      <c r="K295" s="10" t="s">
        <v>1561</v>
      </c>
      <c r="L295" s="10">
        <v>5.050745589E9</v>
      </c>
      <c r="M295" s="10" t="s">
        <v>63</v>
      </c>
      <c r="N295" s="10" t="s">
        <v>318</v>
      </c>
      <c r="O295" s="10" t="s">
        <v>1562</v>
      </c>
      <c r="P295" s="10" t="str">
        <f>VLOOKUP(A295,import!A:P,16,0)</f>
        <v>Geleneksel</v>
      </c>
      <c r="Q295" s="12"/>
      <c r="R295" s="12" t="b">
        <v>1</v>
      </c>
      <c r="S295" s="12" t="b">
        <v>1</v>
      </c>
      <c r="T295" s="13"/>
      <c r="U295" s="13"/>
      <c r="V295" s="13"/>
      <c r="W295" s="13" t="s">
        <v>1563</v>
      </c>
      <c r="X295" s="15"/>
      <c r="Y295" s="15"/>
      <c r="Z295" s="16"/>
      <c r="AA295" s="17" t="s">
        <v>56</v>
      </c>
      <c r="AB295" s="16">
        <v>44404.0</v>
      </c>
      <c r="AC295" s="17" t="s">
        <v>56</v>
      </c>
      <c r="AD295" s="16">
        <v>44489.0</v>
      </c>
      <c r="AE295" s="17" t="s">
        <v>56</v>
      </c>
      <c r="AF295" s="16">
        <v>44571.0</v>
      </c>
      <c r="AG295" s="17"/>
      <c r="AH295" s="16"/>
      <c r="AI295" s="16"/>
      <c r="AJ295" s="16"/>
      <c r="AK295" s="17" t="s">
        <v>367</v>
      </c>
      <c r="AL295" s="17" t="s">
        <v>89</v>
      </c>
      <c r="AM295" s="16"/>
      <c r="AN295" s="16"/>
      <c r="AO295" s="16"/>
      <c r="AP295" s="18" t="s">
        <v>58</v>
      </c>
      <c r="AQ295" s="16"/>
    </row>
    <row r="296" ht="15.75" customHeight="1">
      <c r="A296" s="10" t="s">
        <v>1564</v>
      </c>
      <c r="B296" s="10" t="s">
        <v>1565</v>
      </c>
      <c r="C296" s="10" t="str">
        <f>VLOOKUP(A296,import!A:C,3,0)</f>
        <v>DOĞRU</v>
      </c>
      <c r="D296" s="10" t="s">
        <v>363</v>
      </c>
      <c r="E296" s="10">
        <f>VLOOKUP(A296,import!A:J,5,0)</f>
        <v>1389</v>
      </c>
      <c r="F296" s="10">
        <f>VLOOKUP(A296,import!A:J,6,0)</f>
        <v>62</v>
      </c>
      <c r="G296" s="10">
        <f>VLOOKUP(A296,import!A:J,7,0)</f>
        <v>57</v>
      </c>
      <c r="H296" s="10">
        <f>VLOOKUP(A296,import!A:J,8,0)</f>
        <v>23</v>
      </c>
      <c r="I296" s="10">
        <f>VLOOKUP(A296,import!A:J,9,0)</f>
        <v>80</v>
      </c>
      <c r="J296" s="11">
        <f>VLOOKUP(A296,import!A:J,10,0)</f>
        <v>0.71</v>
      </c>
      <c r="K296" s="10" t="s">
        <v>1566</v>
      </c>
      <c r="L296" s="10">
        <v>3.242312315E9</v>
      </c>
      <c r="M296" s="10" t="s">
        <v>137</v>
      </c>
      <c r="N296" s="10" t="s">
        <v>209</v>
      </c>
      <c r="O296" s="10" t="s">
        <v>1567</v>
      </c>
      <c r="P296" s="10" t="str">
        <f>VLOOKUP(A296,import!A:P,16,0)</f>
        <v>Geleneksel</v>
      </c>
      <c r="Q296" s="12"/>
      <c r="R296" s="12" t="b">
        <v>1</v>
      </c>
      <c r="S296" s="12" t="b">
        <v>0</v>
      </c>
      <c r="T296" s="13" t="s">
        <v>51</v>
      </c>
      <c r="U296" s="13" t="s">
        <v>171</v>
      </c>
      <c r="V296" s="13" t="s">
        <v>53</v>
      </c>
      <c r="W296" s="13" t="s">
        <v>1568</v>
      </c>
      <c r="X296" s="15">
        <v>44411.0</v>
      </c>
      <c r="Y296" s="15">
        <v>44413.0</v>
      </c>
      <c r="Z296" s="16"/>
      <c r="AA296" s="17" t="s">
        <v>230</v>
      </c>
      <c r="AB296" s="16">
        <v>44348.0</v>
      </c>
      <c r="AC296" s="17" t="s">
        <v>56</v>
      </c>
      <c r="AD296" s="16">
        <v>44411.0</v>
      </c>
      <c r="AE296" s="17"/>
      <c r="AF296" s="16"/>
      <c r="AG296" s="17"/>
      <c r="AH296" s="16"/>
      <c r="AI296" s="16"/>
      <c r="AJ296" s="16"/>
      <c r="AK296" s="17" t="s">
        <v>171</v>
      </c>
      <c r="AL296" s="16"/>
      <c r="AM296" s="16"/>
      <c r="AN296" s="16"/>
      <c r="AO296" s="16"/>
      <c r="AP296" s="18" t="s">
        <v>58</v>
      </c>
      <c r="AQ296" s="16"/>
    </row>
    <row r="297" ht="15.75" customHeight="1">
      <c r="A297" s="10" t="s">
        <v>1569</v>
      </c>
      <c r="B297" s="10" t="s">
        <v>1570</v>
      </c>
      <c r="C297" s="10" t="str">
        <f>VLOOKUP(A297,import!A:C,3,0)</f>
        <v>YANLIŞ</v>
      </c>
      <c r="D297" s="10" t="s">
        <v>61</v>
      </c>
      <c r="E297" s="10">
        <f>VLOOKUP(A297,import!A:J,5,0)</f>
        <v>540</v>
      </c>
      <c r="F297" s="10" t="str">
        <f>VLOOKUP(A297,import!A:J,6,0)</f>
        <v/>
      </c>
      <c r="G297" s="10">
        <f>VLOOKUP(A297,import!A:J,7,0)</f>
        <v>8</v>
      </c>
      <c r="H297" s="10">
        <f>VLOOKUP(A297,import!A:J,8,0)</f>
        <v>1</v>
      </c>
      <c r="I297" s="10">
        <f>VLOOKUP(A297,import!A:J,9,0)</f>
        <v>9</v>
      </c>
      <c r="J297" s="11">
        <f>VLOOKUP(A297,import!A:J,10,0)</f>
        <v>0.89</v>
      </c>
      <c r="K297" s="10" t="s">
        <v>1571</v>
      </c>
      <c r="L297" s="10">
        <v>5.451230002E9</v>
      </c>
      <c r="M297" s="10" t="s">
        <v>63</v>
      </c>
      <c r="N297" s="10" t="s">
        <v>100</v>
      </c>
      <c r="O297" s="10" t="s">
        <v>1572</v>
      </c>
      <c r="P297" s="10" t="str">
        <f>VLOOKUP(A297,import!A:P,16,0)</f>
        <v>Geleneksel</v>
      </c>
      <c r="Q297" s="12"/>
      <c r="R297" s="12" t="b">
        <v>1</v>
      </c>
      <c r="S297" s="12" t="b">
        <v>0</v>
      </c>
      <c r="T297" s="13" t="s">
        <v>51</v>
      </c>
      <c r="U297" s="13" t="s">
        <v>87</v>
      </c>
      <c r="V297" s="13" t="s">
        <v>66</v>
      </c>
      <c r="W297" s="13"/>
      <c r="X297" s="15">
        <v>44481.0</v>
      </c>
      <c r="Y297" s="15">
        <v>44482.0</v>
      </c>
      <c r="Z297" s="16"/>
      <c r="AA297" s="17" t="s">
        <v>56</v>
      </c>
      <c r="AB297" s="16">
        <v>44481.0</v>
      </c>
      <c r="AC297" s="16"/>
      <c r="AD297" s="16"/>
      <c r="AE297" s="17"/>
      <c r="AF297" s="16"/>
      <c r="AG297" s="17"/>
      <c r="AH297" s="16"/>
      <c r="AI297" s="16"/>
      <c r="AJ297" s="16"/>
      <c r="AK297" s="17" t="s">
        <v>87</v>
      </c>
      <c r="AL297" s="16"/>
      <c r="AM297" s="16"/>
      <c r="AN297" s="16"/>
      <c r="AO297" s="16"/>
      <c r="AP297" s="18" t="s">
        <v>58</v>
      </c>
      <c r="AQ297" s="16"/>
    </row>
    <row r="298" ht="15.75" customHeight="1">
      <c r="A298" s="10" t="s">
        <v>1573</v>
      </c>
      <c r="B298" s="10" t="s">
        <v>1574</v>
      </c>
      <c r="C298" s="10" t="str">
        <f>VLOOKUP(A298,import!A:C,3,0)</f>
        <v>DOĞRU</v>
      </c>
      <c r="D298" s="10" t="s">
        <v>80</v>
      </c>
      <c r="E298" s="10">
        <f>VLOOKUP(A298,import!A:J,5,0)</f>
        <v>2997</v>
      </c>
      <c r="F298" s="10">
        <f>VLOOKUP(A298,import!A:J,6,0)</f>
        <v>229</v>
      </c>
      <c r="G298" s="10">
        <f>VLOOKUP(A298,import!A:J,7,0)</f>
        <v>4</v>
      </c>
      <c r="H298" s="10">
        <f>VLOOKUP(A298,import!A:J,8,0)</f>
        <v>14</v>
      </c>
      <c r="I298" s="10">
        <f>VLOOKUP(A298,import!A:J,9,0)</f>
        <v>18</v>
      </c>
      <c r="J298" s="11">
        <f>VLOOKUP(A298,import!A:J,10,0)</f>
        <v>0.22</v>
      </c>
      <c r="K298" s="10" t="s">
        <v>1575</v>
      </c>
      <c r="L298" s="10">
        <v>3.242371413E9</v>
      </c>
      <c r="M298" s="10" t="s">
        <v>137</v>
      </c>
      <c r="N298" s="10" t="s">
        <v>144</v>
      </c>
      <c r="O298" s="10" t="s">
        <v>1576</v>
      </c>
      <c r="P298" s="10" t="str">
        <f>VLOOKUP(A298,import!A:P,16,0)</f>
        <v>Geleneksel</v>
      </c>
      <c r="Q298" s="12"/>
      <c r="R298" s="12" t="b">
        <v>1</v>
      </c>
      <c r="S298" s="12" t="b">
        <v>0</v>
      </c>
      <c r="T298" s="13" t="s">
        <v>51</v>
      </c>
      <c r="U298" s="13" t="s">
        <v>52</v>
      </c>
      <c r="V298" s="13" t="s">
        <v>66</v>
      </c>
      <c r="W298" s="13" t="s">
        <v>1577</v>
      </c>
      <c r="X298" s="15">
        <v>44481.0</v>
      </c>
      <c r="Y298" s="15">
        <v>44483.0</v>
      </c>
      <c r="Z298" s="16"/>
      <c r="AA298" s="17" t="s">
        <v>56</v>
      </c>
      <c r="AB298" s="16">
        <v>44481.0</v>
      </c>
      <c r="AC298" s="16"/>
      <c r="AD298" s="16"/>
      <c r="AE298" s="17"/>
      <c r="AF298" s="16"/>
      <c r="AG298" s="17"/>
      <c r="AH298" s="16"/>
      <c r="AI298" s="16"/>
      <c r="AJ298" s="16"/>
      <c r="AK298" s="17" t="s">
        <v>52</v>
      </c>
      <c r="AL298" s="16"/>
      <c r="AM298" s="16"/>
      <c r="AN298" s="16"/>
      <c r="AO298" s="16"/>
      <c r="AP298" s="18" t="s">
        <v>58</v>
      </c>
      <c r="AQ298" s="16"/>
    </row>
    <row r="299" ht="15.75" customHeight="1">
      <c r="A299" s="10" t="s">
        <v>1578</v>
      </c>
      <c r="B299" s="10" t="s">
        <v>1579</v>
      </c>
      <c r="C299" s="10" t="str">
        <f>VLOOKUP(A299,import!A:C,3,0)</f>
        <v>DOĞRU</v>
      </c>
      <c r="D299" s="10" t="s">
        <v>80</v>
      </c>
      <c r="E299" s="10">
        <f>VLOOKUP(A299,import!A:J,5,0)</f>
        <v>89</v>
      </c>
      <c r="F299" s="10">
        <f>VLOOKUP(A299,import!A:J,6,0)</f>
        <v>17</v>
      </c>
      <c r="G299" s="10">
        <f>VLOOKUP(A299,import!A:J,7,0)</f>
        <v>12</v>
      </c>
      <c r="H299" s="10">
        <f>VLOOKUP(A299,import!A:J,8,0)</f>
        <v>39</v>
      </c>
      <c r="I299" s="10">
        <f>VLOOKUP(A299,import!A:J,9,0)</f>
        <v>51</v>
      </c>
      <c r="J299" s="11">
        <f>VLOOKUP(A299,import!A:J,10,0)</f>
        <v>0.24</v>
      </c>
      <c r="K299" s="10" t="s">
        <v>1580</v>
      </c>
      <c r="L299" s="10">
        <v>3.24358088E9</v>
      </c>
      <c r="M299" s="10" t="s">
        <v>63</v>
      </c>
      <c r="N299" s="10" t="s">
        <v>700</v>
      </c>
      <c r="O299" s="10" t="s">
        <v>1581</v>
      </c>
      <c r="P299" s="10" t="str">
        <f>VLOOKUP(A299,import!A:P,16,0)</f>
        <v>Geleneksel</v>
      </c>
      <c r="Q299" s="12"/>
      <c r="R299" s="12" t="b">
        <v>1</v>
      </c>
      <c r="S299" s="12" t="b">
        <v>0</v>
      </c>
      <c r="T299" s="13" t="s">
        <v>51</v>
      </c>
      <c r="U299" s="13" t="s">
        <v>89</v>
      </c>
      <c r="V299" s="17" t="s">
        <v>66</v>
      </c>
      <c r="W299" s="13"/>
      <c r="X299" s="15">
        <v>44630.0</v>
      </c>
      <c r="Y299" s="15">
        <v>44631.0</v>
      </c>
      <c r="Z299" s="16"/>
      <c r="AA299" s="17" t="s">
        <v>56</v>
      </c>
      <c r="AB299" s="16">
        <v>44630.0</v>
      </c>
      <c r="AC299" s="16"/>
      <c r="AD299" s="16"/>
      <c r="AE299" s="17"/>
      <c r="AF299" s="16"/>
      <c r="AG299" s="17"/>
      <c r="AH299" s="16"/>
      <c r="AI299" s="16"/>
      <c r="AJ299" s="16"/>
      <c r="AK299" s="17" t="s">
        <v>89</v>
      </c>
      <c r="AL299" s="16"/>
      <c r="AM299" s="16"/>
      <c r="AN299" s="16"/>
      <c r="AO299" s="16"/>
      <c r="AP299" s="18"/>
      <c r="AQ299" s="16"/>
    </row>
    <row r="300" ht="15.75" hidden="1" customHeight="1">
      <c r="A300" s="10" t="s">
        <v>1582</v>
      </c>
      <c r="B300" s="10" t="s">
        <v>1583</v>
      </c>
      <c r="C300" s="10" t="str">
        <f>VLOOKUP(A300,import!A:C,3,0)</f>
        <v>DOĞRU</v>
      </c>
      <c r="D300" s="10" t="s">
        <v>118</v>
      </c>
      <c r="E300" s="10">
        <f>VLOOKUP(A300,import!A:J,5,0)</f>
        <v>2313</v>
      </c>
      <c r="F300" s="10">
        <f>VLOOKUP(A300,import!A:J,6,0)</f>
        <v>133</v>
      </c>
      <c r="G300" s="10">
        <f>VLOOKUP(A300,import!A:J,7,0)</f>
        <v>11</v>
      </c>
      <c r="H300" s="10">
        <f>VLOOKUP(A300,import!A:J,8,0)</f>
        <v>5</v>
      </c>
      <c r="I300" s="10">
        <f>VLOOKUP(A300,import!A:J,9,0)</f>
        <v>16</v>
      </c>
      <c r="J300" s="11">
        <f>VLOOKUP(A300,import!A:J,10,0)</f>
        <v>0.69</v>
      </c>
      <c r="K300" s="10" t="s">
        <v>1584</v>
      </c>
      <c r="L300" s="10">
        <v>3.243610262E9</v>
      </c>
      <c r="M300" s="10" t="s">
        <v>72</v>
      </c>
      <c r="N300" s="10" t="s">
        <v>82</v>
      </c>
      <c r="O300" s="10" t="s">
        <v>1585</v>
      </c>
      <c r="P300" s="10" t="str">
        <f>VLOOKUP(A300,import!A:P,16,0)</f>
        <v>Geleneksel</v>
      </c>
      <c r="Q300" s="12"/>
      <c r="R300" s="12" t="b">
        <v>1</v>
      </c>
      <c r="S300" s="12" t="b">
        <v>0</v>
      </c>
      <c r="T300" s="13" t="s">
        <v>51</v>
      </c>
      <c r="U300" s="13" t="s">
        <v>133</v>
      </c>
      <c r="V300" s="13" t="s">
        <v>66</v>
      </c>
      <c r="W300" s="13" t="s">
        <v>273</v>
      </c>
      <c r="X300" s="15">
        <v>44572.0</v>
      </c>
      <c r="Y300" s="15">
        <v>44574.0</v>
      </c>
      <c r="Z300" s="16"/>
      <c r="AA300" s="17" t="s">
        <v>56</v>
      </c>
      <c r="AB300" s="16">
        <v>44572.0</v>
      </c>
      <c r="AC300" s="16"/>
      <c r="AD300" s="16"/>
      <c r="AE300" s="17"/>
      <c r="AF300" s="16"/>
      <c r="AG300" s="17"/>
      <c r="AH300" s="16"/>
      <c r="AI300" s="16"/>
      <c r="AJ300" s="16"/>
      <c r="AK300" s="17" t="s">
        <v>133</v>
      </c>
      <c r="AL300" s="16"/>
      <c r="AM300" s="16"/>
      <c r="AN300" s="16"/>
      <c r="AO300" s="16"/>
      <c r="AP300" s="18" t="s">
        <v>58</v>
      </c>
      <c r="AQ300" s="16"/>
    </row>
    <row r="301" ht="15.75" hidden="1" customHeight="1">
      <c r="A301" s="10" t="s">
        <v>1586</v>
      </c>
      <c r="B301" s="10" t="s">
        <v>1587</v>
      </c>
      <c r="C301" s="10" t="str">
        <f>VLOOKUP(A301,import!A:C,3,0)</f>
        <v>DOĞRU</v>
      </c>
      <c r="D301" s="10" t="s">
        <v>118</v>
      </c>
      <c r="E301" s="10">
        <f>VLOOKUP(A301,import!A:J,5,0)</f>
        <v>1812</v>
      </c>
      <c r="F301" s="10">
        <f>VLOOKUP(A301,import!A:J,6,0)</f>
        <v>95</v>
      </c>
      <c r="G301" s="10">
        <f>VLOOKUP(A301,import!A:J,7,0)</f>
        <v>0</v>
      </c>
      <c r="H301" s="10">
        <f>VLOOKUP(A301,import!A:J,8,0)</f>
        <v>15</v>
      </c>
      <c r="I301" s="10">
        <f>VLOOKUP(A301,import!A:J,9,0)</f>
        <v>15</v>
      </c>
      <c r="J301" s="11">
        <f>VLOOKUP(A301,import!A:J,10,0)</f>
        <v>0</v>
      </c>
      <c r="K301" s="10" t="s">
        <v>1588</v>
      </c>
      <c r="L301" s="10">
        <v>3.243413626E9</v>
      </c>
      <c r="M301" s="10" t="s">
        <v>72</v>
      </c>
      <c r="N301" s="10" t="s">
        <v>915</v>
      </c>
      <c r="O301" s="10" t="s">
        <v>1589</v>
      </c>
      <c r="P301" s="10" t="str">
        <f>VLOOKUP(A301,import!A:P,16,0)</f>
        <v>Geleneksel</v>
      </c>
      <c r="Q301" s="12" t="s">
        <v>50</v>
      </c>
      <c r="R301" s="12" t="b">
        <v>1</v>
      </c>
      <c r="S301" s="12" t="b">
        <v>1</v>
      </c>
      <c r="T301" s="13"/>
      <c r="U301" s="13"/>
      <c r="V301" s="13"/>
      <c r="W301" s="13" t="s">
        <v>1590</v>
      </c>
      <c r="X301" s="15"/>
      <c r="Y301" s="15"/>
      <c r="Z301" s="16"/>
      <c r="AA301" s="17" t="s">
        <v>56</v>
      </c>
      <c r="AB301" s="16">
        <v>44358.0</v>
      </c>
      <c r="AC301" s="17" t="s">
        <v>56</v>
      </c>
      <c r="AD301" s="16">
        <v>44404.0</v>
      </c>
      <c r="AE301" s="17" t="s">
        <v>56</v>
      </c>
      <c r="AF301" s="16">
        <v>44426.0</v>
      </c>
      <c r="AG301" s="17" t="s">
        <v>55</v>
      </c>
      <c r="AH301" s="16">
        <v>44477.0</v>
      </c>
      <c r="AI301" s="16"/>
      <c r="AJ301" s="16"/>
      <c r="AK301" s="17" t="s">
        <v>163</v>
      </c>
      <c r="AL301" s="17" t="s">
        <v>52</v>
      </c>
      <c r="AM301" s="17" t="s">
        <v>57</v>
      </c>
      <c r="AN301" s="17" t="s">
        <v>171</v>
      </c>
      <c r="AO301" s="16"/>
      <c r="AP301" s="18" t="s">
        <v>58</v>
      </c>
      <c r="AQ301" s="16"/>
    </row>
    <row r="302" ht="15.75" customHeight="1">
      <c r="A302" s="10" t="s">
        <v>1591</v>
      </c>
      <c r="B302" s="10" t="s">
        <v>1592</v>
      </c>
      <c r="C302" s="10" t="str">
        <f>VLOOKUP(A302,import!A:C,3,0)</f>
        <v>DOĞRU</v>
      </c>
      <c r="D302" s="10" t="s">
        <v>363</v>
      </c>
      <c r="E302" s="10">
        <f>VLOOKUP(A302,import!A:J,5,0)</f>
        <v>2121</v>
      </c>
      <c r="F302" s="10">
        <f>VLOOKUP(A302,import!A:J,6,0)</f>
        <v>70</v>
      </c>
      <c r="G302" s="10">
        <f>VLOOKUP(A302,import!A:J,7,0)</f>
        <v>0</v>
      </c>
      <c r="H302" s="10">
        <f>VLOOKUP(A302,import!A:J,8,0)</f>
        <v>61</v>
      </c>
      <c r="I302" s="10">
        <f>VLOOKUP(A302,import!A:J,9,0)</f>
        <v>61</v>
      </c>
      <c r="J302" s="11">
        <f>VLOOKUP(A302,import!A:J,10,0)</f>
        <v>0</v>
      </c>
      <c r="K302" s="10" t="s">
        <v>1593</v>
      </c>
      <c r="L302" s="10">
        <v>5.511531713E9</v>
      </c>
      <c r="M302" s="10" t="s">
        <v>63</v>
      </c>
      <c r="N302" s="10" t="s">
        <v>93</v>
      </c>
      <c r="O302" s="10" t="s">
        <v>1594</v>
      </c>
      <c r="P302" s="10" t="str">
        <f>VLOOKUP(A302,import!A:P,16,0)</f>
        <v>Geleneksel</v>
      </c>
      <c r="Q302" s="12" t="s">
        <v>146</v>
      </c>
      <c r="R302" s="12" t="b">
        <v>1</v>
      </c>
      <c r="S302" s="12" t="b">
        <v>0</v>
      </c>
      <c r="T302" s="13" t="s">
        <v>130</v>
      </c>
      <c r="U302" s="13" t="s">
        <v>89</v>
      </c>
      <c r="V302" s="13" t="s">
        <v>66</v>
      </c>
      <c r="W302" s="13" t="s">
        <v>1595</v>
      </c>
      <c r="X302" s="15">
        <v>44571.0</v>
      </c>
      <c r="Y302" s="15">
        <v>44573.0</v>
      </c>
      <c r="Z302" s="16"/>
      <c r="AA302" s="17" t="s">
        <v>55</v>
      </c>
      <c r="AB302" s="16">
        <v>44462.0</v>
      </c>
      <c r="AC302" s="17" t="s">
        <v>56</v>
      </c>
      <c r="AD302" s="16">
        <v>44571.0</v>
      </c>
      <c r="AE302" s="17" t="s">
        <v>56</v>
      </c>
      <c r="AF302" s="16">
        <v>44590.0</v>
      </c>
      <c r="AG302" s="17"/>
      <c r="AH302" s="16"/>
      <c r="AI302" s="16"/>
      <c r="AJ302" s="16"/>
      <c r="AK302" s="17" t="s">
        <v>367</v>
      </c>
      <c r="AL302" s="17" t="s">
        <v>89</v>
      </c>
      <c r="AM302" s="17" t="s">
        <v>89</v>
      </c>
      <c r="AN302" s="16"/>
      <c r="AO302" s="16"/>
      <c r="AP302" s="18" t="s">
        <v>58</v>
      </c>
      <c r="AQ302" s="16"/>
    </row>
    <row r="303" ht="15.75" hidden="1" customHeight="1">
      <c r="A303" s="10" t="s">
        <v>1596</v>
      </c>
      <c r="B303" s="10" t="s">
        <v>1597</v>
      </c>
      <c r="C303" s="10" t="str">
        <f>VLOOKUP(A303,import!A:C,3,0)</f>
        <v>DOĞRU</v>
      </c>
      <c r="D303" s="10" t="s">
        <v>363</v>
      </c>
      <c r="E303" s="10">
        <f>VLOOKUP(A303,import!A:J,5,0)</f>
        <v>619</v>
      </c>
      <c r="F303" s="10">
        <f>VLOOKUP(A303,import!A:J,6,0)</f>
        <v>98</v>
      </c>
      <c r="G303" s="10">
        <f>VLOOKUP(A303,import!A:J,7,0)</f>
        <v>9</v>
      </c>
      <c r="H303" s="10">
        <f>VLOOKUP(A303,import!A:J,8,0)</f>
        <v>11</v>
      </c>
      <c r="I303" s="10">
        <f>VLOOKUP(A303,import!A:J,9,0)</f>
        <v>20</v>
      </c>
      <c r="J303" s="11">
        <f>VLOOKUP(A303,import!A:J,10,0)</f>
        <v>0.45</v>
      </c>
      <c r="K303" s="10" t="s">
        <v>1598</v>
      </c>
      <c r="L303" s="10">
        <v>3.242332727E9</v>
      </c>
      <c r="M303" s="10" t="s">
        <v>72</v>
      </c>
      <c r="N303" s="10" t="s">
        <v>538</v>
      </c>
      <c r="O303" s="10" t="s">
        <v>1599</v>
      </c>
      <c r="P303" s="10" t="str">
        <f>VLOOKUP(A303,import!A:P,16,0)</f>
        <v>Geleneksel</v>
      </c>
      <c r="Q303" s="12" t="s">
        <v>84</v>
      </c>
      <c r="R303" s="12" t="b">
        <v>1</v>
      </c>
      <c r="S303" s="13" t="b">
        <v>0</v>
      </c>
      <c r="T303" s="13" t="s">
        <v>51</v>
      </c>
      <c r="U303" s="13" t="s">
        <v>89</v>
      </c>
      <c r="V303" s="13" t="s">
        <v>53</v>
      </c>
      <c r="W303" s="13">
        <v>5.327073327E9</v>
      </c>
      <c r="X303" s="15">
        <v>44520.0</v>
      </c>
      <c r="Y303" s="15">
        <v>44523.0</v>
      </c>
      <c r="Z303" s="16"/>
      <c r="AA303" s="17" t="s">
        <v>55</v>
      </c>
      <c r="AB303" s="16">
        <v>44483.0</v>
      </c>
      <c r="AC303" s="17" t="s">
        <v>55</v>
      </c>
      <c r="AD303" s="16">
        <v>44488.0</v>
      </c>
      <c r="AE303" s="17" t="s">
        <v>55</v>
      </c>
      <c r="AF303" s="16">
        <v>44516.0</v>
      </c>
      <c r="AG303" s="17" t="s">
        <v>56</v>
      </c>
      <c r="AH303" s="16">
        <v>44520.0</v>
      </c>
      <c r="AI303" s="16"/>
      <c r="AJ303" s="16"/>
      <c r="AK303" s="17" t="s">
        <v>103</v>
      </c>
      <c r="AL303" s="17" t="s">
        <v>108</v>
      </c>
      <c r="AM303" s="17" t="s">
        <v>108</v>
      </c>
      <c r="AN303" s="17" t="s">
        <v>89</v>
      </c>
      <c r="AO303" s="16"/>
      <c r="AP303" s="18" t="s">
        <v>58</v>
      </c>
      <c r="AQ303" s="16"/>
    </row>
    <row r="304" ht="15.75" hidden="1" customHeight="1">
      <c r="A304" s="10" t="s">
        <v>1600</v>
      </c>
      <c r="B304" s="10" t="s">
        <v>1601</v>
      </c>
      <c r="C304" s="10" t="str">
        <f>VLOOKUP(A304,import!A:C,3,0)</f>
        <v>YANLIŞ</v>
      </c>
      <c r="D304" s="10" t="s">
        <v>80</v>
      </c>
      <c r="E304" s="10">
        <f>VLOOKUP(A304,import!A:J,5,0)</f>
        <v>1727</v>
      </c>
      <c r="F304" s="10" t="str">
        <f>VLOOKUP(A304,import!A:J,6,0)</f>
        <v/>
      </c>
      <c r="G304" s="10">
        <f>VLOOKUP(A304,import!A:J,7,0)</f>
        <v>9</v>
      </c>
      <c r="H304" s="10">
        <f>VLOOKUP(A304,import!A:J,8,0)</f>
        <v>7</v>
      </c>
      <c r="I304" s="10">
        <f>VLOOKUP(A304,import!A:J,9,0)</f>
        <v>16</v>
      </c>
      <c r="J304" s="11">
        <f>VLOOKUP(A304,import!A:J,10,0)</f>
        <v>0.56</v>
      </c>
      <c r="K304" s="10" t="s">
        <v>1602</v>
      </c>
      <c r="L304" s="10">
        <v>3.243253355E9</v>
      </c>
      <c r="M304" s="10" t="s">
        <v>72</v>
      </c>
      <c r="N304" s="10" t="s">
        <v>1298</v>
      </c>
      <c r="O304" s="10" t="s">
        <v>1603</v>
      </c>
      <c r="P304" s="10" t="str">
        <f>VLOOKUP(A304,import!A:P,16,0)</f>
        <v>Geleneksel</v>
      </c>
      <c r="Q304" s="12" t="s">
        <v>146</v>
      </c>
      <c r="R304" s="12" t="b">
        <v>1</v>
      </c>
      <c r="S304" s="12" t="b">
        <v>0</v>
      </c>
      <c r="T304" s="13" t="s">
        <v>51</v>
      </c>
      <c r="U304" s="13" t="s">
        <v>133</v>
      </c>
      <c r="V304" s="13" t="s">
        <v>66</v>
      </c>
      <c r="W304" s="13" t="s">
        <v>1604</v>
      </c>
      <c r="X304" s="15">
        <v>44278.0</v>
      </c>
      <c r="Y304" s="15">
        <v>44279.0</v>
      </c>
      <c r="Z304" s="16"/>
      <c r="AA304" s="16"/>
      <c r="AB304" s="16"/>
      <c r="AC304" s="16"/>
      <c r="AD304" s="16"/>
      <c r="AE304" s="17"/>
      <c r="AF304" s="16"/>
      <c r="AG304" s="17"/>
      <c r="AH304" s="16"/>
      <c r="AI304" s="16"/>
      <c r="AJ304" s="16"/>
      <c r="AK304" s="16"/>
      <c r="AL304" s="16"/>
      <c r="AM304" s="16"/>
      <c r="AN304" s="16"/>
      <c r="AO304" s="16"/>
      <c r="AP304" s="18" t="s">
        <v>58</v>
      </c>
      <c r="AQ304" s="16"/>
    </row>
    <row r="305" ht="15.75" customHeight="1">
      <c r="A305" s="10" t="s">
        <v>1605</v>
      </c>
      <c r="B305" s="10" t="s">
        <v>1606</v>
      </c>
      <c r="C305" s="10" t="str">
        <f>VLOOKUP(A305,import!A:C,3,0)</f>
        <v>DOĞRU</v>
      </c>
      <c r="D305" s="10" t="s">
        <v>80</v>
      </c>
      <c r="E305" s="10">
        <f>VLOOKUP(A305,import!A:J,5,0)</f>
        <v>7017</v>
      </c>
      <c r="F305" s="10">
        <f>VLOOKUP(A305,import!A:J,6,0)</f>
        <v>362</v>
      </c>
      <c r="G305" s="10">
        <f>VLOOKUP(A305,import!A:J,7,0)</f>
        <v>16</v>
      </c>
      <c r="H305" s="10">
        <f>VLOOKUP(A305,import!A:J,8,0)</f>
        <v>7</v>
      </c>
      <c r="I305" s="10">
        <f>VLOOKUP(A305,import!A:J,9,0)</f>
        <v>23</v>
      </c>
      <c r="J305" s="11">
        <f>VLOOKUP(A305,import!A:J,10,0)</f>
        <v>0.7</v>
      </c>
      <c r="K305" s="10" t="s">
        <v>1607</v>
      </c>
      <c r="L305" s="10">
        <v>3.249990445E9</v>
      </c>
      <c r="M305" s="10" t="s">
        <v>63</v>
      </c>
      <c r="N305" s="10" t="s">
        <v>137</v>
      </c>
      <c r="O305" s="10" t="s">
        <v>1608</v>
      </c>
      <c r="P305" s="10" t="str">
        <f>VLOOKUP(A305,import!A:P,16,0)</f>
        <v>Geleneksel</v>
      </c>
      <c r="Q305" s="12"/>
      <c r="R305" s="12" t="b">
        <v>1</v>
      </c>
      <c r="S305" s="12" t="b">
        <v>0</v>
      </c>
      <c r="T305" s="13" t="s">
        <v>51</v>
      </c>
      <c r="U305" s="13" t="s">
        <v>314</v>
      </c>
      <c r="V305" s="13" t="s">
        <v>66</v>
      </c>
      <c r="W305" s="13" t="s">
        <v>1609</v>
      </c>
      <c r="X305" s="15">
        <v>44506.0</v>
      </c>
      <c r="Y305" s="15">
        <v>44509.0</v>
      </c>
      <c r="Z305" s="16"/>
      <c r="AA305" s="17" t="s">
        <v>56</v>
      </c>
      <c r="AB305" s="16">
        <v>44418.0</v>
      </c>
      <c r="AC305" s="17" t="s">
        <v>55</v>
      </c>
      <c r="AD305" s="16">
        <v>44462.0</v>
      </c>
      <c r="AE305" s="17" t="s">
        <v>56</v>
      </c>
      <c r="AF305" s="16">
        <v>44495.0</v>
      </c>
      <c r="AG305" s="17" t="s">
        <v>56</v>
      </c>
      <c r="AH305" s="16">
        <v>44506.0</v>
      </c>
      <c r="AI305" s="16"/>
      <c r="AJ305" s="16"/>
      <c r="AK305" s="17" t="s">
        <v>57</v>
      </c>
      <c r="AL305" s="17" t="s">
        <v>367</v>
      </c>
      <c r="AM305" s="17" t="s">
        <v>89</v>
      </c>
      <c r="AN305" s="17" t="s">
        <v>314</v>
      </c>
      <c r="AO305" s="16"/>
      <c r="AP305" s="18" t="s">
        <v>58</v>
      </c>
      <c r="AQ305" s="16"/>
    </row>
    <row r="306" ht="15.75" hidden="1" customHeight="1">
      <c r="A306" s="18" t="s">
        <v>1610</v>
      </c>
      <c r="B306" s="18" t="s">
        <v>1611</v>
      </c>
      <c r="C306" s="10" t="str">
        <f>VLOOKUP(A306,import!A:C,3,0)</f>
        <v>DOĞRU</v>
      </c>
      <c r="D306" s="18" t="s">
        <v>356</v>
      </c>
      <c r="E306" s="10">
        <f>VLOOKUP(A306,import!A:J,5,0)</f>
        <v>77</v>
      </c>
      <c r="F306" s="10">
        <f>VLOOKUP(A306,import!A:J,6,0)</f>
        <v>63</v>
      </c>
      <c r="G306" s="10">
        <f>VLOOKUP(A306,import!A:J,7,0)</f>
        <v>0</v>
      </c>
      <c r="H306" s="10">
        <f>VLOOKUP(A306,import!A:J,8,0)</f>
        <v>54</v>
      </c>
      <c r="I306" s="10">
        <f>VLOOKUP(A306,import!A:J,9,0)</f>
        <v>54</v>
      </c>
      <c r="J306" s="11">
        <f>VLOOKUP(A306,import!A:J,10,0)</f>
        <v>0</v>
      </c>
      <c r="K306" s="18" t="s">
        <v>1612</v>
      </c>
      <c r="L306" s="18">
        <v>5.366141033E9</v>
      </c>
      <c r="M306" s="18" t="s">
        <v>215</v>
      </c>
      <c r="N306" s="18" t="s">
        <v>1613</v>
      </c>
      <c r="O306" s="18" t="s">
        <v>1614</v>
      </c>
      <c r="P306" s="10" t="str">
        <f>VLOOKUP(A306,import!A:P,16,0)</f>
        <v>Geleneksel</v>
      </c>
      <c r="Q306" s="12"/>
      <c r="R306" s="12" t="b">
        <v>1</v>
      </c>
      <c r="S306" s="12" t="b">
        <v>0</v>
      </c>
      <c r="T306" s="13" t="s">
        <v>51</v>
      </c>
      <c r="U306" s="13" t="s">
        <v>87</v>
      </c>
      <c r="V306" s="13"/>
      <c r="W306" s="13"/>
      <c r="X306" s="15">
        <v>44671.0</v>
      </c>
      <c r="Y306" s="15">
        <v>44672.0</v>
      </c>
      <c r="Z306" s="16"/>
      <c r="AA306" s="17" t="s">
        <v>56</v>
      </c>
      <c r="AB306" s="16">
        <v>44671.0</v>
      </c>
      <c r="AC306" s="16"/>
      <c r="AD306" s="16"/>
      <c r="AE306" s="17"/>
      <c r="AF306" s="16"/>
      <c r="AG306" s="17"/>
      <c r="AH306" s="16"/>
      <c r="AI306" s="16"/>
      <c r="AJ306" s="16"/>
      <c r="AK306" s="17" t="s">
        <v>87</v>
      </c>
      <c r="AL306" s="16"/>
      <c r="AM306" s="16"/>
      <c r="AN306" s="16"/>
      <c r="AO306" s="16"/>
      <c r="AP306" s="18"/>
      <c r="AQ306" s="16"/>
    </row>
    <row r="307" ht="15.75" customHeight="1">
      <c r="A307" s="10" t="s">
        <v>1615</v>
      </c>
      <c r="B307" s="10" t="s">
        <v>1616</v>
      </c>
      <c r="C307" s="10" t="str">
        <f>VLOOKUP(A307,import!A:C,3,0)</f>
        <v>DOĞRU</v>
      </c>
      <c r="D307" s="10" t="s">
        <v>363</v>
      </c>
      <c r="E307" s="10">
        <f>VLOOKUP(A307,import!A:J,5,0)</f>
        <v>871</v>
      </c>
      <c r="F307" s="10">
        <f>VLOOKUP(A307,import!A:J,6,0)</f>
        <v>3</v>
      </c>
      <c r="G307" s="10">
        <f>VLOOKUP(A307,import!A:J,7,0)</f>
        <v>47</v>
      </c>
      <c r="H307" s="10">
        <f>VLOOKUP(A307,import!A:J,8,0)</f>
        <v>47</v>
      </c>
      <c r="I307" s="10">
        <f>VLOOKUP(A307,import!A:J,9,0)</f>
        <v>94</v>
      </c>
      <c r="J307" s="11">
        <f>VLOOKUP(A307,import!A:J,10,0)</f>
        <v>0.5</v>
      </c>
      <c r="K307" s="10" t="s">
        <v>1617</v>
      </c>
      <c r="L307" s="10">
        <v>3.24359046E9</v>
      </c>
      <c r="M307" s="10" t="s">
        <v>63</v>
      </c>
      <c r="N307" s="10" t="s">
        <v>64</v>
      </c>
      <c r="O307" s="10" t="s">
        <v>1618</v>
      </c>
      <c r="P307" s="10" t="str">
        <f>VLOOKUP(A307,import!A:P,16,0)</f>
        <v>Geleneksel</v>
      </c>
      <c r="Q307" s="12"/>
      <c r="R307" s="12" t="b">
        <v>1</v>
      </c>
      <c r="S307" s="12" t="b">
        <v>0</v>
      </c>
      <c r="T307" s="13" t="s">
        <v>51</v>
      </c>
      <c r="U307" s="13" t="s">
        <v>52</v>
      </c>
      <c r="V307" s="13" t="s">
        <v>53</v>
      </c>
      <c r="W307" s="13" t="s">
        <v>1577</v>
      </c>
      <c r="X307" s="15">
        <v>44419.0</v>
      </c>
      <c r="Y307" s="15">
        <v>44420.0</v>
      </c>
      <c r="Z307" s="17" t="s">
        <v>616</v>
      </c>
      <c r="AA307" s="17" t="s">
        <v>56</v>
      </c>
      <c r="AB307" s="16">
        <v>44404.0</v>
      </c>
      <c r="AC307" s="17" t="s">
        <v>56</v>
      </c>
      <c r="AD307" s="16">
        <v>44412.0</v>
      </c>
      <c r="AE307" s="17" t="s">
        <v>56</v>
      </c>
      <c r="AF307" s="16">
        <v>44419.0</v>
      </c>
      <c r="AG307" s="17" t="s">
        <v>56</v>
      </c>
      <c r="AH307" s="16">
        <v>44487.0</v>
      </c>
      <c r="AI307" s="16"/>
      <c r="AJ307" s="16"/>
      <c r="AK307" s="16"/>
      <c r="AL307" s="17" t="s">
        <v>52</v>
      </c>
      <c r="AM307" s="17" t="s">
        <v>52</v>
      </c>
      <c r="AN307" s="17" t="s">
        <v>133</v>
      </c>
      <c r="AO307" s="16"/>
      <c r="AP307" s="18" t="s">
        <v>58</v>
      </c>
      <c r="AQ307" s="16"/>
    </row>
    <row r="308" ht="15.75" customHeight="1">
      <c r="A308" s="10" t="s">
        <v>1619</v>
      </c>
      <c r="B308" s="10" t="s">
        <v>1620</v>
      </c>
      <c r="C308" s="10" t="str">
        <f>VLOOKUP(A308,import!A:C,3,0)</f>
        <v>DOĞRU</v>
      </c>
      <c r="D308" s="10" t="s">
        <v>118</v>
      </c>
      <c r="E308" s="10">
        <f>VLOOKUP(A308,import!A:J,5,0)</f>
        <v>1987</v>
      </c>
      <c r="F308" s="10">
        <f>VLOOKUP(A308,import!A:J,6,0)</f>
        <v>9</v>
      </c>
      <c r="G308" s="10">
        <f>VLOOKUP(A308,import!A:J,7,0)</f>
        <v>17</v>
      </c>
      <c r="H308" s="10">
        <f>VLOOKUP(A308,import!A:J,8,0)</f>
        <v>21</v>
      </c>
      <c r="I308" s="10">
        <f>VLOOKUP(A308,import!A:J,9,0)</f>
        <v>38</v>
      </c>
      <c r="J308" s="11">
        <f>VLOOKUP(A308,import!A:J,10,0)</f>
        <v>0.45</v>
      </c>
      <c r="K308" s="10" t="s">
        <v>1621</v>
      </c>
      <c r="L308" s="10">
        <v>5.394017344E9</v>
      </c>
      <c r="M308" s="10" t="s">
        <v>63</v>
      </c>
      <c r="N308" s="10" t="s">
        <v>93</v>
      </c>
      <c r="O308" s="10" t="s">
        <v>1622</v>
      </c>
      <c r="P308" s="10" t="str">
        <f>VLOOKUP(A308,import!A:P,16,0)</f>
        <v>Geleneksel</v>
      </c>
      <c r="Q308" s="12" t="s">
        <v>50</v>
      </c>
      <c r="R308" s="12" t="b">
        <v>1</v>
      </c>
      <c r="S308" s="12" t="b">
        <v>0</v>
      </c>
      <c r="T308" s="13" t="s">
        <v>51</v>
      </c>
      <c r="U308" s="13" t="s">
        <v>89</v>
      </c>
      <c r="V308" s="13" t="s">
        <v>66</v>
      </c>
      <c r="W308" s="13" t="s">
        <v>1623</v>
      </c>
      <c r="X308" s="15">
        <v>44504.0</v>
      </c>
      <c r="Y308" s="15">
        <v>44508.0</v>
      </c>
      <c r="Z308" s="16"/>
      <c r="AA308" s="17" t="s">
        <v>55</v>
      </c>
      <c r="AB308" s="16">
        <v>44461.0</v>
      </c>
      <c r="AC308" s="17" t="s">
        <v>55</v>
      </c>
      <c r="AD308" s="16">
        <v>44495.0</v>
      </c>
      <c r="AE308" s="17" t="s">
        <v>55</v>
      </c>
      <c r="AF308" s="16">
        <v>44497.0</v>
      </c>
      <c r="AG308" s="17" t="s">
        <v>56</v>
      </c>
      <c r="AH308" s="16">
        <v>44504.0</v>
      </c>
      <c r="AI308" s="16"/>
      <c r="AJ308" s="16"/>
      <c r="AK308" s="17" t="s">
        <v>367</v>
      </c>
      <c r="AL308" s="17" t="s">
        <v>89</v>
      </c>
      <c r="AM308" s="17" t="s">
        <v>267</v>
      </c>
      <c r="AN308" s="17" t="s">
        <v>89</v>
      </c>
      <c r="AO308" s="16"/>
      <c r="AP308" s="18" t="s">
        <v>58</v>
      </c>
      <c r="AQ308" s="16"/>
    </row>
    <row r="309" ht="15.75" hidden="1" customHeight="1">
      <c r="A309" s="10" t="s">
        <v>1624</v>
      </c>
      <c r="B309" s="10" t="s">
        <v>1625</v>
      </c>
      <c r="C309" s="10" t="str">
        <f>VLOOKUP(A309,import!A:C,3,0)</f>
        <v>DOĞRU</v>
      </c>
      <c r="D309" s="10" t="s">
        <v>363</v>
      </c>
      <c r="E309" s="10">
        <f>VLOOKUP(A309,import!A:J,5,0)</f>
        <v>892</v>
      </c>
      <c r="F309" s="10">
        <f>VLOOKUP(A309,import!A:J,6,0)</f>
        <v>33</v>
      </c>
      <c r="G309" s="10">
        <f>VLOOKUP(A309,import!A:J,7,0)</f>
        <v>5</v>
      </c>
      <c r="H309" s="10">
        <f>VLOOKUP(A309,import!A:J,8,0)</f>
        <v>2</v>
      </c>
      <c r="I309" s="10">
        <f>VLOOKUP(A309,import!A:J,9,0)</f>
        <v>7</v>
      </c>
      <c r="J309" s="11">
        <f>VLOOKUP(A309,import!A:J,10,0)</f>
        <v>0.71</v>
      </c>
      <c r="K309" s="10" t="s">
        <v>1626</v>
      </c>
      <c r="L309" s="10">
        <v>3.242320702E9</v>
      </c>
      <c r="M309" s="10" t="s">
        <v>72</v>
      </c>
      <c r="N309" s="10" t="s">
        <v>1298</v>
      </c>
      <c r="O309" s="10" t="s">
        <v>1627</v>
      </c>
      <c r="P309" s="10" t="str">
        <f>VLOOKUP(A309,import!A:P,16,0)</f>
        <v>Geleneksel</v>
      </c>
      <c r="Q309" s="12"/>
      <c r="R309" s="12" t="b">
        <v>1</v>
      </c>
      <c r="S309" s="12" t="b">
        <v>0</v>
      </c>
      <c r="T309" s="13" t="s">
        <v>51</v>
      </c>
      <c r="U309" s="13" t="s">
        <v>171</v>
      </c>
      <c r="V309" s="13" t="s">
        <v>53</v>
      </c>
      <c r="W309" s="13" t="s">
        <v>1628</v>
      </c>
      <c r="X309" s="15">
        <v>44441.0</v>
      </c>
      <c r="Y309" s="15">
        <v>44445.0</v>
      </c>
      <c r="Z309" s="16"/>
      <c r="AA309" s="17" t="s">
        <v>56</v>
      </c>
      <c r="AB309" s="16">
        <v>44414.0</v>
      </c>
      <c r="AC309" s="17" t="s">
        <v>56</v>
      </c>
      <c r="AD309" s="16">
        <v>44426.0</v>
      </c>
      <c r="AE309" s="17" t="s">
        <v>56</v>
      </c>
      <c r="AF309" s="16">
        <v>44440.0</v>
      </c>
      <c r="AG309" s="17" t="s">
        <v>56</v>
      </c>
      <c r="AH309" s="16">
        <v>44441.0</v>
      </c>
      <c r="AI309" s="16"/>
      <c r="AJ309" s="16"/>
      <c r="AK309" s="17" t="s">
        <v>1629</v>
      </c>
      <c r="AL309" s="17" t="s">
        <v>1250</v>
      </c>
      <c r="AM309" s="17" t="s">
        <v>52</v>
      </c>
      <c r="AN309" s="17" t="s">
        <v>171</v>
      </c>
      <c r="AO309" s="16"/>
      <c r="AP309" s="18" t="s">
        <v>58</v>
      </c>
      <c r="AQ309" s="16"/>
    </row>
    <row r="310" ht="15.75" hidden="1" customHeight="1">
      <c r="A310" s="10" t="s">
        <v>1630</v>
      </c>
      <c r="B310" s="10" t="s">
        <v>1631</v>
      </c>
      <c r="C310" s="10" t="str">
        <f>VLOOKUP(A310,import!A:C,3,0)</f>
        <v>DOĞRU</v>
      </c>
      <c r="D310" s="10" t="s">
        <v>80</v>
      </c>
      <c r="E310" s="10">
        <f>VLOOKUP(A310,import!A:J,5,0)</f>
        <v>135</v>
      </c>
      <c r="F310" s="10">
        <f>VLOOKUP(A310,import!A:J,6,0)</f>
        <v>17</v>
      </c>
      <c r="G310" s="10">
        <f>VLOOKUP(A310,import!A:J,7,0)</f>
        <v>0</v>
      </c>
      <c r="H310" s="10">
        <f>VLOOKUP(A310,import!A:J,8,0)</f>
        <v>13</v>
      </c>
      <c r="I310" s="10">
        <f>VLOOKUP(A310,import!A:J,9,0)</f>
        <v>13</v>
      </c>
      <c r="J310" s="11">
        <f>VLOOKUP(A310,import!A:J,10,0)</f>
        <v>0</v>
      </c>
      <c r="K310" s="10" t="s">
        <v>1632</v>
      </c>
      <c r="L310" s="10">
        <v>5.466963372E9</v>
      </c>
      <c r="M310" s="10" t="s">
        <v>215</v>
      </c>
      <c r="N310" s="10" t="s">
        <v>442</v>
      </c>
      <c r="O310" s="10" t="s">
        <v>1633</v>
      </c>
      <c r="P310" s="10" t="str">
        <f>VLOOKUP(A310,import!A:P,16,0)</f>
        <v>Geleneksel</v>
      </c>
      <c r="Q310" s="12"/>
      <c r="R310" s="12" t="b">
        <v>1</v>
      </c>
      <c r="S310" s="12" t="b">
        <v>0</v>
      </c>
      <c r="T310" s="13" t="s">
        <v>51</v>
      </c>
      <c r="U310" s="13" t="s">
        <v>52</v>
      </c>
      <c r="V310" s="17" t="s">
        <v>131</v>
      </c>
      <c r="W310" s="13" t="s">
        <v>1634</v>
      </c>
      <c r="X310" s="15">
        <v>44670.0</v>
      </c>
      <c r="Y310" s="15">
        <v>44672.0</v>
      </c>
      <c r="Z310" s="16"/>
      <c r="AA310" s="17" t="s">
        <v>56</v>
      </c>
      <c r="AB310" s="16">
        <v>44540.0</v>
      </c>
      <c r="AC310" s="17" t="s">
        <v>56</v>
      </c>
      <c r="AD310" s="16">
        <v>44657.0</v>
      </c>
      <c r="AE310" s="17" t="s">
        <v>56</v>
      </c>
      <c r="AF310" s="16">
        <v>44659.0</v>
      </c>
      <c r="AG310" s="17" t="s">
        <v>56</v>
      </c>
      <c r="AH310" s="16">
        <v>44670.0</v>
      </c>
      <c r="AI310" s="16"/>
      <c r="AJ310" s="16"/>
      <c r="AK310" s="17" t="s">
        <v>89</v>
      </c>
      <c r="AL310" s="17" t="s">
        <v>329</v>
      </c>
      <c r="AM310" s="17" t="s">
        <v>329</v>
      </c>
      <c r="AN310" s="17" t="s">
        <v>52</v>
      </c>
      <c r="AO310" s="16"/>
      <c r="AP310" s="18" t="s">
        <v>58</v>
      </c>
      <c r="AQ310" s="16"/>
    </row>
    <row r="311" ht="15.75" customHeight="1">
      <c r="A311" s="18" t="s">
        <v>1635</v>
      </c>
      <c r="B311" s="18" t="s">
        <v>1636</v>
      </c>
      <c r="C311" s="10" t="str">
        <f>VLOOKUP(A311,import!A:C,3,0)</f>
        <v>DOĞRU</v>
      </c>
      <c r="D311" s="18" t="s">
        <v>167</v>
      </c>
      <c r="E311" s="10">
        <f>VLOOKUP(A311,import!A:J,5,0)</f>
        <v>2</v>
      </c>
      <c r="F311" s="10">
        <f>VLOOKUP(A311,import!A:J,6,0)</f>
        <v>2</v>
      </c>
      <c r="G311" s="10">
        <f>VLOOKUP(A311,import!A:J,7,0)</f>
        <v>0</v>
      </c>
      <c r="H311" s="10">
        <f>VLOOKUP(A311,import!A:J,8,0)</f>
        <v>11</v>
      </c>
      <c r="I311" s="10">
        <f>VLOOKUP(A311,import!A:J,9,0)</f>
        <v>11</v>
      </c>
      <c r="J311" s="11">
        <f>VLOOKUP(A311,import!A:J,10,0)</f>
        <v>0</v>
      </c>
      <c r="K311" s="18" t="s">
        <v>1637</v>
      </c>
      <c r="L311" s="18">
        <v>5.386498267E9</v>
      </c>
      <c r="M311" s="18" t="s">
        <v>137</v>
      </c>
      <c r="N311" s="18" t="s">
        <v>311</v>
      </c>
      <c r="O311" s="18" t="s">
        <v>1638</v>
      </c>
      <c r="P311" s="10" t="str">
        <f>VLOOKUP(A311,import!A:P,16,0)</f>
        <v>Geleneksel</v>
      </c>
      <c r="Q311" s="12"/>
      <c r="R311" s="12" t="b">
        <v>0</v>
      </c>
      <c r="S311" s="12" t="b">
        <v>0</v>
      </c>
      <c r="T311" s="13"/>
      <c r="U311" s="13"/>
      <c r="V311" s="13"/>
      <c r="W311" s="13"/>
      <c r="X311" s="15"/>
      <c r="Y311" s="15"/>
      <c r="Z311" s="16"/>
      <c r="AA311" s="17"/>
      <c r="AB311" s="16"/>
      <c r="AC311" s="16"/>
      <c r="AD311" s="16"/>
      <c r="AE311" s="17"/>
      <c r="AF311" s="16"/>
      <c r="AG311" s="17"/>
      <c r="AH311" s="16"/>
      <c r="AI311" s="16"/>
      <c r="AJ311" s="16"/>
      <c r="AK311" s="17"/>
      <c r="AL311" s="16"/>
      <c r="AM311" s="16"/>
      <c r="AN311" s="16"/>
      <c r="AO311" s="16"/>
      <c r="AP311" s="18"/>
      <c r="AQ311" s="16"/>
    </row>
    <row r="312" ht="15.75" hidden="1" customHeight="1">
      <c r="A312" s="10" t="s">
        <v>1639</v>
      </c>
      <c r="B312" s="10" t="s">
        <v>1640</v>
      </c>
      <c r="C312" s="10" t="str">
        <f>VLOOKUP(A312,import!A:C,3,0)</f>
        <v>DOĞRU</v>
      </c>
      <c r="D312" s="10" t="s">
        <v>70</v>
      </c>
      <c r="E312" s="10">
        <f>VLOOKUP(A312,import!A:J,5,0)</f>
        <v>4457</v>
      </c>
      <c r="F312" s="10">
        <f>VLOOKUP(A312,import!A:J,6,0)</f>
        <v>1292</v>
      </c>
      <c r="G312" s="10">
        <f>VLOOKUP(A312,import!A:J,7,0)</f>
        <v>14</v>
      </c>
      <c r="H312" s="10">
        <f>VLOOKUP(A312,import!A:J,8,0)</f>
        <v>5</v>
      </c>
      <c r="I312" s="10">
        <f>VLOOKUP(A312,import!A:J,9,0)</f>
        <v>19</v>
      </c>
      <c r="J312" s="11">
        <f>VLOOKUP(A312,import!A:J,10,0)</f>
        <v>0.74</v>
      </c>
      <c r="K312" s="10" t="s">
        <v>1641</v>
      </c>
      <c r="L312" s="10">
        <v>3.24325501E9</v>
      </c>
      <c r="M312" s="10" t="s">
        <v>72</v>
      </c>
      <c r="N312" s="10" t="s">
        <v>128</v>
      </c>
      <c r="O312" s="10" t="s">
        <v>1642</v>
      </c>
      <c r="P312" s="10" t="str">
        <f>VLOOKUP(A312,import!A:P,16,0)</f>
        <v>Geleneksel</v>
      </c>
      <c r="Q312" s="12"/>
      <c r="R312" s="12" t="b">
        <v>1</v>
      </c>
      <c r="S312" s="12" t="b">
        <v>0</v>
      </c>
      <c r="T312" s="13" t="s">
        <v>51</v>
      </c>
      <c r="U312" s="13" t="s">
        <v>87</v>
      </c>
      <c r="V312" s="13"/>
      <c r="W312" s="13">
        <v>5.432509074E9</v>
      </c>
      <c r="X312" s="15">
        <v>44632.0</v>
      </c>
      <c r="Y312" s="15">
        <v>44634.0</v>
      </c>
      <c r="Z312" s="16"/>
      <c r="AA312" s="17" t="s">
        <v>56</v>
      </c>
      <c r="AB312" s="16">
        <v>44632.0</v>
      </c>
      <c r="AC312" s="16"/>
      <c r="AD312" s="16"/>
      <c r="AE312" s="17"/>
      <c r="AF312" s="16"/>
      <c r="AG312" s="17"/>
      <c r="AH312" s="16"/>
      <c r="AI312" s="16"/>
      <c r="AJ312" s="16"/>
      <c r="AK312" s="17" t="s">
        <v>87</v>
      </c>
      <c r="AL312" s="16"/>
      <c r="AM312" s="16"/>
      <c r="AN312" s="16"/>
      <c r="AO312" s="16"/>
      <c r="AP312" s="18"/>
      <c r="AQ312" s="16"/>
    </row>
    <row r="313" ht="15.75" customHeight="1">
      <c r="A313" s="10" t="s">
        <v>1643</v>
      </c>
      <c r="B313" s="10" t="s">
        <v>1644</v>
      </c>
      <c r="C313" s="10" t="str">
        <f>VLOOKUP(A313,import!A:C,3,0)</f>
        <v>DOĞRU</v>
      </c>
      <c r="D313" s="10" t="s">
        <v>363</v>
      </c>
      <c r="E313" s="10">
        <f>VLOOKUP(A313,import!A:J,5,0)</f>
        <v>1631</v>
      </c>
      <c r="F313" s="10">
        <f>VLOOKUP(A313,import!A:J,6,0)</f>
        <v>160</v>
      </c>
      <c r="G313" s="10">
        <f>VLOOKUP(A313,import!A:J,7,0)</f>
        <v>22</v>
      </c>
      <c r="H313" s="10">
        <f>VLOOKUP(A313,import!A:J,8,0)</f>
        <v>11</v>
      </c>
      <c r="I313" s="10">
        <f>VLOOKUP(A313,import!A:J,9,0)</f>
        <v>33</v>
      </c>
      <c r="J313" s="11">
        <f>VLOOKUP(A313,import!A:J,10,0)</f>
        <v>0.67</v>
      </c>
      <c r="K313" s="10" t="s">
        <v>667</v>
      </c>
      <c r="L313" s="10">
        <v>5.526172747E9</v>
      </c>
      <c r="M313" s="10" t="s">
        <v>63</v>
      </c>
      <c r="N313" s="10" t="s">
        <v>93</v>
      </c>
      <c r="O313" s="10" t="s">
        <v>1645</v>
      </c>
      <c r="P313" s="10" t="str">
        <f>VLOOKUP(A313,import!A:P,16,0)</f>
        <v>Geleneksel</v>
      </c>
      <c r="Q313" s="12"/>
      <c r="R313" s="12" t="b">
        <v>1</v>
      </c>
      <c r="S313" s="12" t="b">
        <v>0</v>
      </c>
      <c r="T313" s="13" t="s">
        <v>51</v>
      </c>
      <c r="U313" s="13" t="s">
        <v>87</v>
      </c>
      <c r="V313" s="19" t="s">
        <v>66</v>
      </c>
      <c r="W313" s="13">
        <v>5.523397446E9</v>
      </c>
      <c r="X313" s="15">
        <v>44487.0</v>
      </c>
      <c r="Y313" s="15">
        <v>44488.0</v>
      </c>
      <c r="Z313" s="16"/>
      <c r="AA313" s="17" t="s">
        <v>56</v>
      </c>
      <c r="AB313" s="16">
        <v>44487.0</v>
      </c>
      <c r="AC313" s="16"/>
      <c r="AD313" s="16"/>
      <c r="AE313" s="17"/>
      <c r="AF313" s="16"/>
      <c r="AG313" s="17"/>
      <c r="AH313" s="16"/>
      <c r="AI313" s="16"/>
      <c r="AJ313" s="16"/>
      <c r="AK313" s="17" t="s">
        <v>87</v>
      </c>
      <c r="AL313" s="16"/>
      <c r="AM313" s="16"/>
      <c r="AN313" s="16"/>
      <c r="AO313" s="16"/>
      <c r="AP313" s="18" t="s">
        <v>58</v>
      </c>
      <c r="AQ313" s="16"/>
    </row>
    <row r="314" ht="15.75" hidden="1" customHeight="1">
      <c r="A314" s="10" t="s">
        <v>1646</v>
      </c>
      <c r="B314" s="10" t="s">
        <v>1647</v>
      </c>
      <c r="C314" s="10" t="str">
        <f>VLOOKUP(A314,import!A:C,3,0)</f>
        <v>DOĞRU</v>
      </c>
      <c r="D314" s="10" t="s">
        <v>363</v>
      </c>
      <c r="E314" s="10">
        <f>VLOOKUP(A314,import!A:J,5,0)</f>
        <v>1666</v>
      </c>
      <c r="F314" s="10">
        <f>VLOOKUP(A314,import!A:J,6,0)</f>
        <v>149</v>
      </c>
      <c r="G314" s="10">
        <f>VLOOKUP(A314,import!A:J,7,0)</f>
        <v>30</v>
      </c>
      <c r="H314" s="10">
        <f>VLOOKUP(A314,import!A:J,8,0)</f>
        <v>4</v>
      </c>
      <c r="I314" s="10">
        <f>VLOOKUP(A314,import!A:J,9,0)</f>
        <v>34</v>
      </c>
      <c r="J314" s="11">
        <f>VLOOKUP(A314,import!A:J,10,0)</f>
        <v>0.88</v>
      </c>
      <c r="K314" s="10" t="s">
        <v>1648</v>
      </c>
      <c r="L314" s="10">
        <v>3.243282747E9</v>
      </c>
      <c r="M314" s="10" t="s">
        <v>72</v>
      </c>
      <c r="N314" s="10" t="s">
        <v>716</v>
      </c>
      <c r="O314" s="10" t="s">
        <v>1649</v>
      </c>
      <c r="P314" s="10" t="str">
        <f>VLOOKUP(A314,import!A:P,16,0)</f>
        <v>Geleneksel</v>
      </c>
      <c r="Q314" s="12"/>
      <c r="R314" s="12" t="b">
        <v>1</v>
      </c>
      <c r="S314" s="12" t="b">
        <v>0</v>
      </c>
      <c r="T314" s="13" t="s">
        <v>51</v>
      </c>
      <c r="U314" s="13" t="s">
        <v>108</v>
      </c>
      <c r="V314" s="13" t="s">
        <v>66</v>
      </c>
      <c r="W314" s="13">
        <v>5.551645257E9</v>
      </c>
      <c r="X314" s="15">
        <v>44488.0</v>
      </c>
      <c r="Y314" s="15">
        <v>44489.0</v>
      </c>
      <c r="Z314" s="16"/>
      <c r="AA314" s="17" t="s">
        <v>56</v>
      </c>
      <c r="AB314" s="16">
        <v>44488.0</v>
      </c>
      <c r="AC314" s="16"/>
      <c r="AD314" s="16"/>
      <c r="AE314" s="17"/>
      <c r="AF314" s="16"/>
      <c r="AG314" s="17"/>
      <c r="AH314" s="16"/>
      <c r="AI314" s="16"/>
      <c r="AJ314" s="16"/>
      <c r="AK314" s="17" t="s">
        <v>108</v>
      </c>
      <c r="AL314" s="16"/>
      <c r="AM314" s="16"/>
      <c r="AN314" s="16"/>
      <c r="AO314" s="16"/>
      <c r="AP314" s="18" t="s">
        <v>58</v>
      </c>
      <c r="AQ314" s="16"/>
    </row>
    <row r="315" ht="15.75" hidden="1" customHeight="1">
      <c r="A315" s="10" t="s">
        <v>1650</v>
      </c>
      <c r="B315" s="10" t="s">
        <v>1651</v>
      </c>
      <c r="C315" s="10" t="str">
        <f>VLOOKUP(A315,import!A:C,3,0)</f>
        <v>DOĞRU</v>
      </c>
      <c r="D315" s="10" t="s">
        <v>70</v>
      </c>
      <c r="E315" s="10">
        <f>VLOOKUP(A315,import!A:J,5,0)</f>
        <v>104</v>
      </c>
      <c r="F315" s="10">
        <f>VLOOKUP(A315,import!A:J,6,0)</f>
        <v>70</v>
      </c>
      <c r="G315" s="10">
        <f>VLOOKUP(A315,import!A:J,7,0)</f>
        <v>0</v>
      </c>
      <c r="H315" s="10">
        <f>VLOOKUP(A315,import!A:J,8,0)</f>
        <v>9</v>
      </c>
      <c r="I315" s="10">
        <f>VLOOKUP(A315,import!A:J,9,0)</f>
        <v>9</v>
      </c>
      <c r="J315" s="11">
        <f>VLOOKUP(A315,import!A:J,10,0)</f>
        <v>0</v>
      </c>
      <c r="K315" s="10" t="s">
        <v>1652</v>
      </c>
      <c r="L315" s="10">
        <v>5.36231516E9</v>
      </c>
      <c r="M315" s="10" t="s">
        <v>47</v>
      </c>
      <c r="N315" s="10" t="s">
        <v>48</v>
      </c>
      <c r="O315" s="10" t="s">
        <v>1653</v>
      </c>
      <c r="P315" s="10" t="str">
        <f>VLOOKUP(A315,import!A:P,16,0)</f>
        <v>Geleneksel</v>
      </c>
      <c r="Q315" s="12"/>
      <c r="R315" s="12" t="b">
        <v>1</v>
      </c>
      <c r="S315" s="12" t="b">
        <v>0</v>
      </c>
      <c r="T315" s="13" t="s">
        <v>51</v>
      </c>
      <c r="U315" s="13" t="s">
        <v>367</v>
      </c>
      <c r="V315" s="34" t="s">
        <v>368</v>
      </c>
      <c r="W315" s="13"/>
      <c r="X315" s="15">
        <v>44694.0</v>
      </c>
      <c r="Y315" s="15">
        <v>44695.0</v>
      </c>
      <c r="Z315" s="16"/>
      <c r="AA315" s="17" t="s">
        <v>56</v>
      </c>
      <c r="AB315" s="15">
        <v>44694.0</v>
      </c>
      <c r="AC315" s="16"/>
      <c r="AD315" s="16"/>
      <c r="AE315" s="17"/>
      <c r="AF315" s="16"/>
      <c r="AG315" s="17"/>
      <c r="AH315" s="16"/>
      <c r="AI315" s="16"/>
      <c r="AJ315" s="16"/>
      <c r="AK315" s="17" t="s">
        <v>367</v>
      </c>
      <c r="AL315" s="16"/>
      <c r="AM315" s="16"/>
      <c r="AN315" s="16"/>
      <c r="AO315" s="16"/>
      <c r="AP315" s="18"/>
      <c r="AQ315" s="16"/>
    </row>
    <row r="316" ht="15.75" customHeight="1">
      <c r="A316" s="10" t="s">
        <v>1654</v>
      </c>
      <c r="B316" s="10" t="s">
        <v>1655</v>
      </c>
      <c r="C316" s="10" t="str">
        <f>VLOOKUP(A316,import!A:C,3,0)</f>
        <v>DOĞRU</v>
      </c>
      <c r="D316" s="10" t="s">
        <v>70</v>
      </c>
      <c r="E316" s="10">
        <f>VLOOKUP(A316,import!A:J,5,0)</f>
        <v>2922</v>
      </c>
      <c r="F316" s="10">
        <f>VLOOKUP(A316,import!A:J,6,0)</f>
        <v>383</v>
      </c>
      <c r="G316" s="10">
        <f>VLOOKUP(A316,import!A:J,7,0)</f>
        <v>8</v>
      </c>
      <c r="H316" s="10">
        <f>VLOOKUP(A316,import!A:J,8,0)</f>
        <v>19</v>
      </c>
      <c r="I316" s="10">
        <f>VLOOKUP(A316,import!A:J,9,0)</f>
        <v>27</v>
      </c>
      <c r="J316" s="11">
        <f>VLOOKUP(A316,import!A:J,10,0)</f>
        <v>0.3</v>
      </c>
      <c r="K316" s="10" t="s">
        <v>1656</v>
      </c>
      <c r="L316" s="10">
        <v>3.242370018E9</v>
      </c>
      <c r="M316" s="10" t="s">
        <v>137</v>
      </c>
      <c r="N316" s="10" t="s">
        <v>209</v>
      </c>
      <c r="O316" s="10" t="s">
        <v>1657</v>
      </c>
      <c r="P316" s="10" t="str">
        <f>VLOOKUP(A316,import!A:P,16,0)</f>
        <v>Geleneksel</v>
      </c>
      <c r="Q316" s="12"/>
      <c r="R316" s="12" t="b">
        <v>1</v>
      </c>
      <c r="S316" s="12" t="b">
        <v>0</v>
      </c>
      <c r="T316" s="13" t="s">
        <v>51</v>
      </c>
      <c r="U316" s="13" t="s">
        <v>52</v>
      </c>
      <c r="V316" s="13" t="s">
        <v>66</v>
      </c>
      <c r="W316" s="13" t="s">
        <v>1658</v>
      </c>
      <c r="X316" s="15">
        <v>44481.0</v>
      </c>
      <c r="Y316" s="15">
        <v>44483.0</v>
      </c>
      <c r="Z316" s="16"/>
      <c r="AA316" s="17" t="s">
        <v>56</v>
      </c>
      <c r="AB316" s="16">
        <v>44483.0</v>
      </c>
      <c r="AC316" s="16"/>
      <c r="AD316" s="16"/>
      <c r="AE316" s="17"/>
      <c r="AF316" s="16"/>
      <c r="AG316" s="17"/>
      <c r="AH316" s="16"/>
      <c r="AI316" s="16"/>
      <c r="AJ316" s="16"/>
      <c r="AK316" s="17" t="s">
        <v>52</v>
      </c>
      <c r="AL316" s="16"/>
      <c r="AM316" s="16"/>
      <c r="AN316" s="16"/>
      <c r="AO316" s="16"/>
      <c r="AP316" s="18" t="s">
        <v>58</v>
      </c>
      <c r="AQ316" s="16"/>
    </row>
    <row r="317" ht="15.75" hidden="1" customHeight="1">
      <c r="A317" s="10" t="s">
        <v>1659</v>
      </c>
      <c r="B317" s="10" t="s">
        <v>1660</v>
      </c>
      <c r="C317" s="10" t="str">
        <f>VLOOKUP(A317,import!A:C,3,0)</f>
        <v>DOĞRU</v>
      </c>
      <c r="D317" s="10" t="s">
        <v>70</v>
      </c>
      <c r="E317" s="10">
        <f>VLOOKUP(A317,import!A:J,5,0)</f>
        <v>1042</v>
      </c>
      <c r="F317" s="10">
        <f>VLOOKUP(A317,import!A:J,6,0)</f>
        <v>52</v>
      </c>
      <c r="G317" s="10">
        <f>VLOOKUP(A317,import!A:J,7,0)</f>
        <v>0</v>
      </c>
      <c r="H317" s="10">
        <f>VLOOKUP(A317,import!A:J,8,0)</f>
        <v>17</v>
      </c>
      <c r="I317" s="10">
        <f>VLOOKUP(A317,import!A:J,9,0)</f>
        <v>17</v>
      </c>
      <c r="J317" s="11">
        <f>VLOOKUP(A317,import!A:J,10,0)</f>
        <v>0</v>
      </c>
      <c r="K317" s="10" t="s">
        <v>1661</v>
      </c>
      <c r="L317" s="10">
        <v>3.24515906E9</v>
      </c>
      <c r="M317" s="10" t="s">
        <v>47</v>
      </c>
      <c r="N317" s="10" t="s">
        <v>479</v>
      </c>
      <c r="O317" s="10" t="s">
        <v>1662</v>
      </c>
      <c r="P317" s="10" t="str">
        <f>VLOOKUP(A317,import!A:P,16,0)</f>
        <v>Geleneksel</v>
      </c>
      <c r="Q317" s="12"/>
      <c r="R317" s="12" t="b">
        <v>1</v>
      </c>
      <c r="S317" s="12" t="b">
        <v>0</v>
      </c>
      <c r="T317" s="13"/>
      <c r="U317" s="13"/>
      <c r="V317" s="13"/>
      <c r="W317" s="13" t="s">
        <v>1663</v>
      </c>
      <c r="X317" s="15"/>
      <c r="Y317" s="15"/>
      <c r="Z317" s="16"/>
      <c r="AA317" s="17" t="s">
        <v>230</v>
      </c>
      <c r="AB317" s="16">
        <v>44504.0</v>
      </c>
      <c r="AC317" s="16"/>
      <c r="AD317" s="16"/>
      <c r="AE317" s="17"/>
      <c r="AF317" s="16"/>
      <c r="AG317" s="17"/>
      <c r="AH317" s="16"/>
      <c r="AI317" s="16"/>
      <c r="AJ317" s="16"/>
      <c r="AK317" s="17" t="s">
        <v>108</v>
      </c>
      <c r="AL317" s="16"/>
      <c r="AM317" s="16"/>
      <c r="AN317" s="16"/>
      <c r="AO317" s="16"/>
      <c r="AP317" s="18" t="s">
        <v>58</v>
      </c>
      <c r="AQ317" s="16"/>
    </row>
    <row r="318" ht="15.75" hidden="1" customHeight="1">
      <c r="A318" s="10" t="s">
        <v>1664</v>
      </c>
      <c r="B318" s="10" t="s">
        <v>1665</v>
      </c>
      <c r="C318" s="10" t="str">
        <f>VLOOKUP(A318,import!A:C,3,0)</f>
        <v>DOĞRU</v>
      </c>
      <c r="D318" s="10" t="s">
        <v>70</v>
      </c>
      <c r="E318" s="10">
        <f>VLOOKUP(A318,import!A:J,5,0)</f>
        <v>1557</v>
      </c>
      <c r="F318" s="10">
        <f>VLOOKUP(A318,import!A:J,6,0)</f>
        <v>82</v>
      </c>
      <c r="G318" s="10">
        <f>VLOOKUP(A318,import!A:J,7,0)</f>
        <v>1</v>
      </c>
      <c r="H318" s="10">
        <f>VLOOKUP(A318,import!A:J,8,0)</f>
        <v>18</v>
      </c>
      <c r="I318" s="10">
        <f>VLOOKUP(A318,import!A:J,9,0)</f>
        <v>19</v>
      </c>
      <c r="J318" s="11">
        <f>VLOOKUP(A318,import!A:J,10,0)</f>
        <v>0.05</v>
      </c>
      <c r="K318" s="10" t="s">
        <v>1666</v>
      </c>
      <c r="L318" s="10">
        <v>5.317259875E9</v>
      </c>
      <c r="M318" s="10" t="s">
        <v>902</v>
      </c>
      <c r="N318" s="10" t="s">
        <v>1667</v>
      </c>
      <c r="O318" s="10" t="s">
        <v>1668</v>
      </c>
      <c r="P318" s="10" t="str">
        <f>VLOOKUP(A318,import!A:P,16,0)</f>
        <v>Geleneksel</v>
      </c>
      <c r="Q318" s="12"/>
      <c r="R318" s="12" t="b">
        <v>0</v>
      </c>
      <c r="S318" s="12" t="b">
        <v>0</v>
      </c>
      <c r="T318" s="13" t="s">
        <v>485</v>
      </c>
      <c r="U318" s="13"/>
      <c r="V318" s="13"/>
      <c r="W318" s="13"/>
      <c r="X318" s="15"/>
      <c r="Y318" s="15"/>
      <c r="Z318" s="16"/>
      <c r="AA318" s="16"/>
      <c r="AB318" s="16"/>
      <c r="AC318" s="16"/>
      <c r="AD318" s="16"/>
      <c r="AE318" s="17"/>
      <c r="AF318" s="16"/>
      <c r="AG318" s="17"/>
      <c r="AH318" s="16"/>
      <c r="AI318" s="16"/>
      <c r="AJ318" s="16"/>
      <c r="AK318" s="16"/>
      <c r="AL318" s="16"/>
      <c r="AM318" s="16"/>
      <c r="AN318" s="16"/>
      <c r="AO318" s="16"/>
      <c r="AP318" s="18" t="s">
        <v>58</v>
      </c>
      <c r="AQ318" s="16"/>
    </row>
    <row r="319" ht="15.75" customHeight="1">
      <c r="A319" s="10" t="s">
        <v>1669</v>
      </c>
      <c r="B319" s="10" t="s">
        <v>1670</v>
      </c>
      <c r="C319" s="10" t="str">
        <f>VLOOKUP(A319,import!A:C,3,0)</f>
        <v>DOĞRU</v>
      </c>
      <c r="D319" s="10" t="s">
        <v>70</v>
      </c>
      <c r="E319" s="33">
        <f>VLOOKUP(A319,import!A:J,5,0)</f>
        <v>3627</v>
      </c>
      <c r="F319" s="10">
        <f>VLOOKUP(A319,import!A:J,6,0)</f>
        <v>190</v>
      </c>
      <c r="G319" s="10">
        <f>VLOOKUP(A319,import!A:J,7,0)</f>
        <v>7</v>
      </c>
      <c r="H319" s="10">
        <f>VLOOKUP(A319,import!A:J,8,0)</f>
        <v>30</v>
      </c>
      <c r="I319" s="10">
        <f>VLOOKUP(A319,import!A:J,9,0)</f>
        <v>37</v>
      </c>
      <c r="J319" s="11">
        <f>VLOOKUP(A319,import!A:J,10,0)</f>
        <v>0.19</v>
      </c>
      <c r="K319" s="10" t="s">
        <v>1671</v>
      </c>
      <c r="L319" s="10">
        <v>3.249994411E9</v>
      </c>
      <c r="M319" s="10" t="s">
        <v>63</v>
      </c>
      <c r="N319" s="10" t="s">
        <v>137</v>
      </c>
      <c r="O319" s="10" t="s">
        <v>1672</v>
      </c>
      <c r="P319" s="10" t="str">
        <f>VLOOKUP(A319,import!A:P,16,0)</f>
        <v>Geleneksel</v>
      </c>
      <c r="Q319" s="12" t="s">
        <v>146</v>
      </c>
      <c r="R319" s="12" t="b">
        <v>1</v>
      </c>
      <c r="S319" s="12" t="b">
        <v>0</v>
      </c>
      <c r="T319" s="13" t="s">
        <v>51</v>
      </c>
      <c r="U319" s="13" t="s">
        <v>108</v>
      </c>
      <c r="V319" s="13" t="s">
        <v>66</v>
      </c>
      <c r="W319" s="13" t="s">
        <v>1673</v>
      </c>
      <c r="X319" s="15">
        <v>44267.0</v>
      </c>
      <c r="Y319" s="15">
        <v>44272.0</v>
      </c>
      <c r="Z319" s="16"/>
      <c r="AA319" s="16"/>
      <c r="AB319" s="16"/>
      <c r="AC319" s="16"/>
      <c r="AD319" s="16"/>
      <c r="AE319" s="17"/>
      <c r="AF319" s="16"/>
      <c r="AG319" s="17"/>
      <c r="AH319" s="16"/>
      <c r="AI319" s="16"/>
      <c r="AJ319" s="16"/>
      <c r="AK319" s="16"/>
      <c r="AL319" s="16"/>
      <c r="AM319" s="16"/>
      <c r="AN319" s="16"/>
      <c r="AO319" s="16"/>
      <c r="AP319" s="18" t="s">
        <v>58</v>
      </c>
      <c r="AQ319" s="16"/>
    </row>
    <row r="320" ht="15.75" hidden="1" customHeight="1">
      <c r="A320" s="18" t="s">
        <v>1674</v>
      </c>
      <c r="B320" s="18" t="s">
        <v>1675</v>
      </c>
      <c r="C320" s="10" t="str">
        <f>VLOOKUP(A320,import!A:C,3,0)</f>
        <v>DOĞRU</v>
      </c>
      <c r="D320" s="18" t="s">
        <v>167</v>
      </c>
      <c r="E320" s="10" t="str">
        <f>VLOOKUP(A320,import!A:J,5,0)</f>
        <v/>
      </c>
      <c r="F320" s="10" t="str">
        <f>VLOOKUP(A320,import!A:J,6,0)</f>
        <v/>
      </c>
      <c r="G320" s="10">
        <f>VLOOKUP(A320,import!A:J,7,0)</f>
        <v>0</v>
      </c>
      <c r="H320" s="10">
        <f>VLOOKUP(A320,import!A:J,8,0)</f>
        <v>4</v>
      </c>
      <c r="I320" s="10">
        <f>VLOOKUP(A320,import!A:J,9,0)</f>
        <v>4</v>
      </c>
      <c r="J320" s="11">
        <f>VLOOKUP(A320,import!A:J,10,0)</f>
        <v>0</v>
      </c>
      <c r="K320" s="18" t="s">
        <v>1676</v>
      </c>
      <c r="L320" s="18">
        <v>5.385202373E9</v>
      </c>
      <c r="M320" s="18" t="s">
        <v>215</v>
      </c>
      <c r="N320" s="18" t="s">
        <v>263</v>
      </c>
      <c r="O320" s="18" t="s">
        <v>1677</v>
      </c>
      <c r="P320" s="10" t="str">
        <f>VLOOKUP(A320,import!A:P,16,0)</f>
        <v>Geleneksel</v>
      </c>
      <c r="Q320" s="12"/>
      <c r="R320" s="12" t="b">
        <v>0</v>
      </c>
      <c r="S320" s="12" t="b">
        <v>0</v>
      </c>
      <c r="T320" s="13"/>
      <c r="U320" s="13"/>
      <c r="V320" s="13"/>
      <c r="W320" s="13"/>
      <c r="X320" s="15"/>
      <c r="Y320" s="15"/>
      <c r="Z320" s="16"/>
      <c r="AA320" s="17"/>
      <c r="AB320" s="16"/>
      <c r="AC320" s="16"/>
      <c r="AD320" s="16"/>
      <c r="AE320" s="17"/>
      <c r="AF320" s="16"/>
      <c r="AG320" s="17"/>
      <c r="AH320" s="16"/>
      <c r="AI320" s="16"/>
      <c r="AJ320" s="16"/>
      <c r="AK320" s="17"/>
      <c r="AL320" s="16"/>
      <c r="AM320" s="16"/>
      <c r="AN320" s="16"/>
      <c r="AO320" s="16"/>
      <c r="AP320" s="18"/>
      <c r="AQ320" s="16"/>
    </row>
    <row r="321" ht="15.75" customHeight="1">
      <c r="A321" s="10" t="s">
        <v>1678</v>
      </c>
      <c r="B321" s="10" t="s">
        <v>1679</v>
      </c>
      <c r="C321" s="10" t="str">
        <f>VLOOKUP(A321,import!A:C,3,0)</f>
        <v>DOĞRU</v>
      </c>
      <c r="D321" s="10" t="s">
        <v>45</v>
      </c>
      <c r="E321" s="10">
        <f>VLOOKUP(A321,import!A:J,5,0)</f>
        <v>339</v>
      </c>
      <c r="F321" s="10">
        <f>VLOOKUP(A321,import!A:J,6,0)</f>
        <v>1</v>
      </c>
      <c r="G321" s="10">
        <f>VLOOKUP(A321,import!A:J,7,0)</f>
        <v>0</v>
      </c>
      <c r="H321" s="10">
        <f>VLOOKUP(A321,import!A:J,8,0)</f>
        <v>21</v>
      </c>
      <c r="I321" s="10">
        <f>VLOOKUP(A321,import!A:J,9,0)</f>
        <v>21</v>
      </c>
      <c r="J321" s="11">
        <f>VLOOKUP(A321,import!A:J,10,0)</f>
        <v>0</v>
      </c>
      <c r="K321" s="10" t="s">
        <v>1680</v>
      </c>
      <c r="L321" s="10">
        <v>5.335293549E9</v>
      </c>
      <c r="M321" s="10" t="s">
        <v>63</v>
      </c>
      <c r="N321" s="10" t="s">
        <v>64</v>
      </c>
      <c r="O321" s="10" t="s">
        <v>1681</v>
      </c>
      <c r="P321" s="10" t="str">
        <f>VLOOKUP(A321,import!A:P,16,0)</f>
        <v>Geleneksel</v>
      </c>
      <c r="Q321" s="12"/>
      <c r="R321" s="12" t="b">
        <v>1</v>
      </c>
      <c r="S321" s="12" t="b">
        <v>0</v>
      </c>
      <c r="T321" s="13" t="s">
        <v>199</v>
      </c>
      <c r="U321" s="13" t="s">
        <v>367</v>
      </c>
      <c r="V321" s="13" t="s">
        <v>53</v>
      </c>
      <c r="W321" s="13" t="s">
        <v>1682</v>
      </c>
      <c r="X321" s="10" t="s">
        <v>1683</v>
      </c>
      <c r="Y321" s="15">
        <v>44448.0</v>
      </c>
      <c r="Z321" s="16"/>
      <c r="AA321" s="17" t="s">
        <v>56</v>
      </c>
      <c r="AB321" s="16">
        <v>44446.0</v>
      </c>
      <c r="AC321" s="17" t="s">
        <v>56</v>
      </c>
      <c r="AD321" s="16">
        <v>44460.0</v>
      </c>
      <c r="AE321" s="17" t="s">
        <v>55</v>
      </c>
      <c r="AF321" s="16">
        <v>44495.0</v>
      </c>
      <c r="AG321" s="17" t="s">
        <v>55</v>
      </c>
      <c r="AH321" s="16">
        <v>44552.0</v>
      </c>
      <c r="AI321" s="17" t="s">
        <v>56</v>
      </c>
      <c r="AJ321" s="16">
        <v>44571.0</v>
      </c>
      <c r="AK321" s="17" t="s">
        <v>367</v>
      </c>
      <c r="AL321" s="17" t="s">
        <v>87</v>
      </c>
      <c r="AM321" s="17" t="s">
        <v>89</v>
      </c>
      <c r="AN321" s="17" t="s">
        <v>314</v>
      </c>
      <c r="AO321" s="17" t="s">
        <v>89</v>
      </c>
      <c r="AP321" s="18" t="s">
        <v>58</v>
      </c>
      <c r="AQ321" s="16"/>
    </row>
    <row r="322" ht="15.75" hidden="1" customHeight="1">
      <c r="A322" s="10" t="s">
        <v>1684</v>
      </c>
      <c r="B322" s="10" t="s">
        <v>1685</v>
      </c>
      <c r="C322" s="10" t="str">
        <f>VLOOKUP(A322,import!A:C,3,0)</f>
        <v>DOĞRU</v>
      </c>
      <c r="D322" s="10" t="s">
        <v>363</v>
      </c>
      <c r="E322" s="10">
        <f>VLOOKUP(A322,import!A:J,5,0)</f>
        <v>776</v>
      </c>
      <c r="F322" s="10">
        <f>VLOOKUP(A322,import!A:J,6,0)</f>
        <v>60</v>
      </c>
      <c r="G322" s="10">
        <f>VLOOKUP(A322,import!A:J,7,0)</f>
        <v>23</v>
      </c>
      <c r="H322" s="10">
        <f>VLOOKUP(A322,import!A:J,8,0)</f>
        <v>66</v>
      </c>
      <c r="I322" s="10">
        <f>VLOOKUP(A322,import!A:J,9,0)</f>
        <v>89</v>
      </c>
      <c r="J322" s="11">
        <f>VLOOKUP(A322,import!A:J,10,0)</f>
        <v>0.26</v>
      </c>
      <c r="K322" s="10" t="s">
        <v>1686</v>
      </c>
      <c r="L322" s="10">
        <v>3.243288383E9</v>
      </c>
      <c r="M322" s="10" t="s">
        <v>72</v>
      </c>
      <c r="N322" s="10" t="s">
        <v>128</v>
      </c>
      <c r="O322" s="10" t="s">
        <v>1687</v>
      </c>
      <c r="P322" s="10" t="str">
        <f>VLOOKUP(A322,import!A:P,16,0)</f>
        <v>Geleneksel</v>
      </c>
      <c r="Q322" s="12" t="s">
        <v>84</v>
      </c>
      <c r="R322" s="12" t="b">
        <v>1</v>
      </c>
      <c r="S322" s="12" t="b">
        <v>1</v>
      </c>
      <c r="T322" s="13"/>
      <c r="U322" s="13"/>
      <c r="V322" s="13"/>
      <c r="W322" s="13" t="s">
        <v>1688</v>
      </c>
      <c r="X322" s="15"/>
      <c r="Y322" s="15"/>
      <c r="Z322" s="16"/>
      <c r="AA322" s="17" t="s">
        <v>56</v>
      </c>
      <c r="AB322" s="16">
        <v>44476.0</v>
      </c>
      <c r="AC322" s="17" t="s">
        <v>86</v>
      </c>
      <c r="AD322" s="16">
        <v>44551.0</v>
      </c>
      <c r="AE322" s="17"/>
      <c r="AF322" s="16"/>
      <c r="AG322" s="17"/>
      <c r="AH322" s="16"/>
      <c r="AI322" s="16"/>
      <c r="AJ322" s="16"/>
      <c r="AK322" s="17" t="s">
        <v>171</v>
      </c>
      <c r="AL322" s="17" t="s">
        <v>314</v>
      </c>
      <c r="AM322" s="16"/>
      <c r="AN322" s="16"/>
      <c r="AO322" s="16"/>
      <c r="AP322" s="18" t="s">
        <v>58</v>
      </c>
      <c r="AQ322" s="16"/>
    </row>
    <row r="323" ht="15.75" customHeight="1">
      <c r="A323" s="10" t="s">
        <v>1689</v>
      </c>
      <c r="B323" s="10" t="s">
        <v>1690</v>
      </c>
      <c r="C323" s="10" t="str">
        <f>VLOOKUP(A323,import!A:C,3,0)</f>
        <v>DOĞRU</v>
      </c>
      <c r="D323" s="10" t="s">
        <v>363</v>
      </c>
      <c r="E323" s="10">
        <f>VLOOKUP(A323,import!A:J,5,0)</f>
        <v>3185</v>
      </c>
      <c r="F323" s="10">
        <f>VLOOKUP(A323,import!A:J,6,0)</f>
        <v>135</v>
      </c>
      <c r="G323" s="10">
        <f>VLOOKUP(A323,import!A:J,7,0)</f>
        <v>49</v>
      </c>
      <c r="H323" s="10">
        <f>VLOOKUP(A323,import!A:J,8,0)</f>
        <v>47</v>
      </c>
      <c r="I323" s="10">
        <f>VLOOKUP(A323,import!A:J,9,0)</f>
        <v>96</v>
      </c>
      <c r="J323" s="11">
        <f>VLOOKUP(A323,import!A:J,10,0)</f>
        <v>0.51</v>
      </c>
      <c r="K323" s="10" t="s">
        <v>1691</v>
      </c>
      <c r="L323" s="10">
        <v>3.243288585E9</v>
      </c>
      <c r="M323" s="10" t="s">
        <v>63</v>
      </c>
      <c r="N323" s="10" t="s">
        <v>100</v>
      </c>
      <c r="O323" s="10" t="s">
        <v>1692</v>
      </c>
      <c r="P323" s="10" t="str">
        <f>VLOOKUP(A323,import!A:P,16,0)</f>
        <v>Geleneksel</v>
      </c>
      <c r="Q323" s="12" t="s">
        <v>84</v>
      </c>
      <c r="R323" s="12" t="b">
        <v>1</v>
      </c>
      <c r="S323" s="12" t="b">
        <v>1</v>
      </c>
      <c r="T323" s="13"/>
      <c r="U323" s="13"/>
      <c r="V323" s="13"/>
      <c r="W323" s="13" t="s">
        <v>1693</v>
      </c>
      <c r="X323" s="15"/>
      <c r="Y323" s="15"/>
      <c r="Z323" s="16"/>
      <c r="AA323" s="17" t="s">
        <v>56</v>
      </c>
      <c r="AB323" s="16">
        <v>44476.0</v>
      </c>
      <c r="AC323" s="16"/>
      <c r="AD323" s="16"/>
      <c r="AE323" s="17"/>
      <c r="AF323" s="16"/>
      <c r="AG323" s="17"/>
      <c r="AH323" s="16"/>
      <c r="AI323" s="16"/>
      <c r="AJ323" s="16"/>
      <c r="AK323" s="17" t="s">
        <v>171</v>
      </c>
      <c r="AL323" s="16"/>
      <c r="AM323" s="16"/>
      <c r="AN323" s="16"/>
      <c r="AO323" s="16"/>
      <c r="AP323" s="18" t="s">
        <v>58</v>
      </c>
      <c r="AQ323" s="16"/>
    </row>
    <row r="324" ht="15.75" hidden="1" customHeight="1">
      <c r="A324" s="10" t="s">
        <v>1694</v>
      </c>
      <c r="B324" s="10" t="s">
        <v>1695</v>
      </c>
      <c r="C324" s="10" t="str">
        <f>VLOOKUP(A324,import!A:C,3,0)</f>
        <v>YANLIŞ</v>
      </c>
      <c r="D324" s="10" t="s">
        <v>80</v>
      </c>
      <c r="E324" s="10">
        <f>VLOOKUP(A324,import!A:J,5,0)</f>
        <v>1354</v>
      </c>
      <c r="F324" s="10">
        <f>VLOOKUP(A324,import!A:J,6,0)</f>
        <v>1</v>
      </c>
      <c r="G324" s="10">
        <f>VLOOKUP(A324,import!A:J,7,0)</f>
        <v>7</v>
      </c>
      <c r="H324" s="10">
        <f>VLOOKUP(A324,import!A:J,8,0)</f>
        <v>15</v>
      </c>
      <c r="I324" s="10">
        <f>VLOOKUP(A324,import!A:J,9,0)</f>
        <v>22</v>
      </c>
      <c r="J324" s="11">
        <f>VLOOKUP(A324,import!A:J,10,0)</f>
        <v>0.32</v>
      </c>
      <c r="K324" s="10" t="s">
        <v>1696</v>
      </c>
      <c r="L324" s="10">
        <v>3.243610121E9</v>
      </c>
      <c r="M324" s="10" t="s">
        <v>72</v>
      </c>
      <c r="N324" s="10" t="s">
        <v>82</v>
      </c>
      <c r="O324" s="10" t="s">
        <v>1697</v>
      </c>
      <c r="P324" s="10" t="str">
        <f>VLOOKUP(A324,import!A:P,16,0)</f>
        <v>Geleneksel</v>
      </c>
      <c r="Q324" s="12"/>
      <c r="R324" s="12" t="b">
        <v>1</v>
      </c>
      <c r="S324" s="12" t="b">
        <v>0</v>
      </c>
      <c r="T324" s="13" t="s">
        <v>51</v>
      </c>
      <c r="U324" s="13" t="s">
        <v>1698</v>
      </c>
      <c r="V324" s="13" t="s">
        <v>53</v>
      </c>
      <c r="W324" s="13"/>
      <c r="X324" s="15">
        <v>44393.0</v>
      </c>
      <c r="Y324" s="15">
        <v>44403.0</v>
      </c>
      <c r="Z324" s="17" t="s">
        <v>616</v>
      </c>
      <c r="AA324" s="17" t="s">
        <v>56</v>
      </c>
      <c r="AB324" s="16">
        <v>44384.0</v>
      </c>
      <c r="AC324" s="17" t="s">
        <v>56</v>
      </c>
      <c r="AD324" s="16">
        <v>44393.0</v>
      </c>
      <c r="AE324" s="17"/>
      <c r="AF324" s="16"/>
      <c r="AG324" s="17"/>
      <c r="AH324" s="16"/>
      <c r="AI324" s="16"/>
      <c r="AJ324" s="16"/>
      <c r="AK324" s="17" t="s">
        <v>1698</v>
      </c>
      <c r="AL324" s="17" t="s">
        <v>1698</v>
      </c>
      <c r="AM324" s="16"/>
      <c r="AN324" s="16"/>
      <c r="AO324" s="16"/>
      <c r="AP324" s="18" t="s">
        <v>58</v>
      </c>
      <c r="AQ324" s="16"/>
    </row>
    <row r="325" ht="15.75" hidden="1" customHeight="1">
      <c r="A325" s="18" t="s">
        <v>1699</v>
      </c>
      <c r="B325" s="18" t="s">
        <v>1695</v>
      </c>
      <c r="C325" s="10" t="str">
        <f>VLOOKUP(A325,import!A:C,3,0)</f>
        <v>DOĞRU</v>
      </c>
      <c r="D325" s="18" t="s">
        <v>70</v>
      </c>
      <c r="E325" s="10">
        <f>VLOOKUP(A325,import!A:J,5,0)</f>
        <v>123</v>
      </c>
      <c r="F325" s="10">
        <f>VLOOKUP(A325,import!A:J,6,0)</f>
        <v>123</v>
      </c>
      <c r="G325" s="10">
        <f>VLOOKUP(A325,import!A:J,7,0)</f>
        <v>0</v>
      </c>
      <c r="H325" s="10">
        <f>VLOOKUP(A325,import!A:J,8,0)</f>
        <v>28</v>
      </c>
      <c r="I325" s="10">
        <f>VLOOKUP(A325,import!A:J,9,0)</f>
        <v>28</v>
      </c>
      <c r="J325" s="11">
        <f>VLOOKUP(A325,import!A:J,10,0)</f>
        <v>0</v>
      </c>
      <c r="K325" s="18" t="s">
        <v>1700</v>
      </c>
      <c r="L325" s="18">
        <v>3.243610121E9</v>
      </c>
      <c r="M325" s="18" t="s">
        <v>72</v>
      </c>
      <c r="N325" s="18" t="s">
        <v>82</v>
      </c>
      <c r="O325" s="18" t="s">
        <v>1701</v>
      </c>
      <c r="P325" s="10" t="str">
        <f>VLOOKUP(A325,import!A:P,16,0)</f>
        <v>Geleneksel</v>
      </c>
      <c r="Q325" s="12"/>
      <c r="R325" s="12" t="b">
        <v>0</v>
      </c>
      <c r="S325" s="12" t="b">
        <v>0</v>
      </c>
      <c r="T325" s="13"/>
      <c r="U325" s="13"/>
      <c r="V325" s="13"/>
      <c r="W325" s="13"/>
      <c r="X325" s="15"/>
      <c r="Y325" s="15"/>
      <c r="Z325" s="16"/>
      <c r="AA325" s="17"/>
      <c r="AB325" s="16"/>
      <c r="AC325" s="16"/>
      <c r="AD325" s="16"/>
      <c r="AE325" s="17"/>
      <c r="AF325" s="16"/>
      <c r="AG325" s="17"/>
      <c r="AH325" s="16"/>
      <c r="AI325" s="16"/>
      <c r="AJ325" s="16"/>
      <c r="AK325" s="17"/>
      <c r="AL325" s="16"/>
      <c r="AM325" s="16"/>
      <c r="AN325" s="16"/>
      <c r="AO325" s="16"/>
      <c r="AP325" s="18"/>
      <c r="AQ325" s="16"/>
    </row>
    <row r="326" ht="15.75" hidden="1" customHeight="1">
      <c r="A326" s="10" t="s">
        <v>1702</v>
      </c>
      <c r="B326" s="10" t="s">
        <v>1703</v>
      </c>
      <c r="C326" s="10" t="str">
        <f>VLOOKUP(A326,import!A:C,3,0)</f>
        <v>DOĞRU</v>
      </c>
      <c r="D326" s="10" t="s">
        <v>106</v>
      </c>
      <c r="E326" s="10">
        <f>VLOOKUP(A326,import!A:J,5,0)</f>
        <v>437</v>
      </c>
      <c r="F326" s="10">
        <f>VLOOKUP(A326,import!A:J,6,0)</f>
        <v>44</v>
      </c>
      <c r="G326" s="10">
        <f>VLOOKUP(A326,import!A:J,7,0)</f>
        <v>0</v>
      </c>
      <c r="H326" s="10">
        <f>VLOOKUP(A326,import!A:J,8,0)</f>
        <v>18</v>
      </c>
      <c r="I326" s="10">
        <f>VLOOKUP(A326,import!A:J,9,0)</f>
        <v>18</v>
      </c>
      <c r="J326" s="11">
        <f>VLOOKUP(A326,import!A:J,10,0)</f>
        <v>0</v>
      </c>
      <c r="K326" s="10" t="s">
        <v>1704</v>
      </c>
      <c r="L326" s="10">
        <v>5.305154733E9</v>
      </c>
      <c r="M326" s="10" t="s">
        <v>215</v>
      </c>
      <c r="N326" s="10" t="s">
        <v>671</v>
      </c>
      <c r="O326" s="10" t="s">
        <v>1705</v>
      </c>
      <c r="P326" s="10" t="str">
        <f>VLOOKUP(A326,import!A:P,16,0)</f>
        <v>Geleneksel</v>
      </c>
      <c r="Q326" s="12"/>
      <c r="R326" s="12" t="b">
        <v>1</v>
      </c>
      <c r="S326" s="12" t="b">
        <v>0</v>
      </c>
      <c r="T326" s="13" t="s">
        <v>51</v>
      </c>
      <c r="U326" s="13" t="s">
        <v>133</v>
      </c>
      <c r="V326" s="13" t="s">
        <v>53</v>
      </c>
      <c r="W326" s="13"/>
      <c r="X326" s="15">
        <v>44559.0</v>
      </c>
      <c r="Y326" s="15">
        <v>44561.0</v>
      </c>
      <c r="Z326" s="16"/>
      <c r="AA326" s="17" t="s">
        <v>56</v>
      </c>
      <c r="AB326" s="16">
        <v>44559.0</v>
      </c>
      <c r="AC326" s="16"/>
      <c r="AD326" s="16"/>
      <c r="AE326" s="17"/>
      <c r="AF326" s="16"/>
      <c r="AG326" s="17"/>
      <c r="AH326" s="16"/>
      <c r="AI326" s="16"/>
      <c r="AJ326" s="16"/>
      <c r="AK326" s="17" t="s">
        <v>133</v>
      </c>
      <c r="AL326" s="16"/>
      <c r="AM326" s="16"/>
      <c r="AN326" s="16"/>
      <c r="AO326" s="16"/>
      <c r="AP326" s="18"/>
      <c r="AQ326" s="16"/>
    </row>
    <row r="327" ht="15.75" hidden="1" customHeight="1">
      <c r="A327" s="10" t="s">
        <v>1706</v>
      </c>
      <c r="B327" s="10" t="s">
        <v>1707</v>
      </c>
      <c r="C327" s="10" t="str">
        <f>VLOOKUP(A327,import!A:C,3,0)</f>
        <v>DOĞRU</v>
      </c>
      <c r="D327" s="10" t="s">
        <v>356</v>
      </c>
      <c r="E327" s="10">
        <f>VLOOKUP(A327,import!A:J,5,0)</f>
        <v>72</v>
      </c>
      <c r="F327" s="10">
        <f>VLOOKUP(A327,import!A:J,6,0)</f>
        <v>2</v>
      </c>
      <c r="G327" s="10">
        <f>VLOOKUP(A327,import!A:J,7,0)</f>
        <v>6</v>
      </c>
      <c r="H327" s="10">
        <f>VLOOKUP(A327,import!A:J,8,0)</f>
        <v>2</v>
      </c>
      <c r="I327" s="10">
        <f>VLOOKUP(A327,import!A:J,9,0)</f>
        <v>8</v>
      </c>
      <c r="J327" s="11">
        <f>VLOOKUP(A327,import!A:J,10,0)</f>
        <v>0.75</v>
      </c>
      <c r="K327" s="10" t="s">
        <v>1708</v>
      </c>
      <c r="L327" s="10">
        <v>5.077043854E9</v>
      </c>
      <c r="M327" s="10" t="s">
        <v>72</v>
      </c>
      <c r="N327" s="10" t="s">
        <v>915</v>
      </c>
      <c r="O327" s="10" t="s">
        <v>1709</v>
      </c>
      <c r="P327" s="10" t="str">
        <f>VLOOKUP(A327,import!A:P,16,0)</f>
        <v>Geleneksel</v>
      </c>
      <c r="Q327" s="12"/>
      <c r="R327" s="12" t="b">
        <v>1</v>
      </c>
      <c r="S327" s="12" t="b">
        <v>0</v>
      </c>
      <c r="T327" s="13" t="s">
        <v>51</v>
      </c>
      <c r="U327" s="13" t="s">
        <v>57</v>
      </c>
      <c r="V327" s="13" t="s">
        <v>53</v>
      </c>
      <c r="W327" s="13"/>
      <c r="X327" s="15">
        <v>44420.0</v>
      </c>
      <c r="Y327" s="15">
        <v>44427.0</v>
      </c>
      <c r="Z327" s="16"/>
      <c r="AA327" s="17" t="s">
        <v>56</v>
      </c>
      <c r="AB327" s="16">
        <v>44414.0</v>
      </c>
      <c r="AC327" s="17" t="s">
        <v>56</v>
      </c>
      <c r="AD327" s="16">
        <v>44420.0</v>
      </c>
      <c r="AE327" s="17"/>
      <c r="AF327" s="16"/>
      <c r="AG327" s="17"/>
      <c r="AH327" s="16"/>
      <c r="AI327" s="16"/>
      <c r="AJ327" s="16"/>
      <c r="AK327" s="17" t="s">
        <v>1629</v>
      </c>
      <c r="AL327" s="17" t="s">
        <v>57</v>
      </c>
      <c r="AM327" s="16"/>
      <c r="AN327" s="16"/>
      <c r="AO327" s="16"/>
      <c r="AP327" s="18" t="s">
        <v>58</v>
      </c>
      <c r="AQ327" s="16"/>
    </row>
    <row r="328" ht="15.75" hidden="1" customHeight="1">
      <c r="A328" s="10" t="s">
        <v>1710</v>
      </c>
      <c r="B328" s="10" t="s">
        <v>1711</v>
      </c>
      <c r="C328" s="10" t="str">
        <f>VLOOKUP(A328,import!A:C,3,0)</f>
        <v>DOĞRU</v>
      </c>
      <c r="D328" s="10" t="s">
        <v>80</v>
      </c>
      <c r="E328" s="10">
        <f>VLOOKUP(A328,import!A:J,5,0)</f>
        <v>462</v>
      </c>
      <c r="F328" s="10">
        <f>VLOOKUP(A328,import!A:J,6,0)</f>
        <v>26</v>
      </c>
      <c r="G328" s="10">
        <f>VLOOKUP(A328,import!A:J,7,0)</f>
        <v>0</v>
      </c>
      <c r="H328" s="10">
        <f>VLOOKUP(A328,import!A:J,8,0)</f>
        <v>18</v>
      </c>
      <c r="I328" s="10">
        <f>VLOOKUP(A328,import!A:J,9,0)</f>
        <v>18</v>
      </c>
      <c r="J328" s="11">
        <f>VLOOKUP(A328,import!A:J,10,0)</f>
        <v>0</v>
      </c>
      <c r="K328" s="10" t="s">
        <v>794</v>
      </c>
      <c r="L328" s="10">
        <v>5.380249486E9</v>
      </c>
      <c r="M328" s="10" t="s">
        <v>156</v>
      </c>
      <c r="N328" s="10" t="s">
        <v>283</v>
      </c>
      <c r="O328" s="10" t="s">
        <v>1712</v>
      </c>
      <c r="P328" s="10" t="str">
        <f>VLOOKUP(A328,import!A:P,16,0)</f>
        <v>Geleneksel</v>
      </c>
      <c r="Q328" s="12"/>
      <c r="R328" s="12" t="b">
        <v>0</v>
      </c>
      <c r="S328" s="12" t="b">
        <v>0</v>
      </c>
      <c r="T328" s="13"/>
      <c r="U328" s="13"/>
      <c r="V328" s="13"/>
      <c r="W328" s="13"/>
      <c r="X328" s="15"/>
      <c r="Y328" s="15"/>
      <c r="Z328" s="16"/>
      <c r="AA328" s="16"/>
      <c r="AB328" s="16"/>
      <c r="AC328" s="16"/>
      <c r="AD328" s="16"/>
      <c r="AE328" s="17"/>
      <c r="AF328" s="16"/>
      <c r="AG328" s="17"/>
      <c r="AH328" s="16"/>
      <c r="AI328" s="16"/>
      <c r="AJ328" s="16"/>
      <c r="AK328" s="16"/>
      <c r="AL328" s="16"/>
      <c r="AM328" s="16"/>
      <c r="AN328" s="16"/>
      <c r="AO328" s="16"/>
      <c r="AP328" s="18" t="s">
        <v>58</v>
      </c>
      <c r="AQ328" s="16"/>
    </row>
    <row r="329" ht="15.75" hidden="1" customHeight="1">
      <c r="A329" s="10" t="s">
        <v>1713</v>
      </c>
      <c r="B329" s="10" t="s">
        <v>1714</v>
      </c>
      <c r="C329" s="10" t="str">
        <f>VLOOKUP(A329,import!A:C,3,0)</f>
        <v>DOĞRU</v>
      </c>
      <c r="D329" s="10" t="s">
        <v>70</v>
      </c>
      <c r="E329" s="10">
        <f>VLOOKUP(A329,import!A:J,5,0)</f>
        <v>190</v>
      </c>
      <c r="F329" s="10">
        <f>VLOOKUP(A329,import!A:J,6,0)</f>
        <v>23</v>
      </c>
      <c r="G329" s="10">
        <f>VLOOKUP(A329,import!A:J,7,0)</f>
        <v>0</v>
      </c>
      <c r="H329" s="10">
        <f>VLOOKUP(A329,import!A:J,8,0)</f>
        <v>3</v>
      </c>
      <c r="I329" s="10">
        <f>VLOOKUP(A329,import!A:J,9,0)</f>
        <v>3</v>
      </c>
      <c r="J329" s="11">
        <f>VLOOKUP(A329,import!A:J,10,0)</f>
        <v>0</v>
      </c>
      <c r="K329" s="10" t="s">
        <v>1715</v>
      </c>
      <c r="L329" s="10">
        <v>5.356970227E9</v>
      </c>
      <c r="M329" s="10" t="s">
        <v>156</v>
      </c>
      <c r="N329" s="10" t="s">
        <v>338</v>
      </c>
      <c r="O329" s="10" t="s">
        <v>1716</v>
      </c>
      <c r="P329" s="10" t="str">
        <f>VLOOKUP(A329,import!A:P,16,0)</f>
        <v>Geleneksel</v>
      </c>
      <c r="Q329" s="12"/>
      <c r="R329" s="12" t="b">
        <v>0</v>
      </c>
      <c r="S329" s="12" t="b">
        <v>0</v>
      </c>
      <c r="T329" s="13"/>
      <c r="U329" s="13"/>
      <c r="V329" s="13"/>
      <c r="W329" s="13"/>
      <c r="X329" s="15"/>
      <c r="Y329" s="15"/>
      <c r="Z329" s="16"/>
      <c r="AA329" s="17"/>
      <c r="AB329" s="16"/>
      <c r="AC329" s="16"/>
      <c r="AD329" s="16"/>
      <c r="AE329" s="17"/>
      <c r="AF329" s="16"/>
      <c r="AG329" s="17"/>
      <c r="AH329" s="16"/>
      <c r="AI329" s="16"/>
      <c r="AJ329" s="16"/>
      <c r="AK329" s="17"/>
      <c r="AL329" s="16"/>
      <c r="AM329" s="16"/>
      <c r="AN329" s="16"/>
      <c r="AO329" s="16"/>
      <c r="AP329" s="18"/>
      <c r="AQ329" s="16"/>
    </row>
    <row r="330" ht="15.75" hidden="1" customHeight="1">
      <c r="A330" s="10" t="s">
        <v>1717</v>
      </c>
      <c r="B330" s="10" t="s">
        <v>1718</v>
      </c>
      <c r="C330" s="10" t="str">
        <f>VLOOKUP(A330,import!A:C,3,0)</f>
        <v>DOĞRU</v>
      </c>
      <c r="D330" s="10" t="s">
        <v>70</v>
      </c>
      <c r="E330" s="10">
        <f>VLOOKUP(A330,import!A:J,5,0)</f>
        <v>4002</v>
      </c>
      <c r="F330" s="10">
        <f>VLOOKUP(A330,import!A:J,6,0)</f>
        <v>32</v>
      </c>
      <c r="G330" s="10">
        <f>VLOOKUP(A330,import!A:J,7,0)</f>
        <v>5</v>
      </c>
      <c r="H330" s="10">
        <f>VLOOKUP(A330,import!A:J,8,0)</f>
        <v>4</v>
      </c>
      <c r="I330" s="10">
        <f>VLOOKUP(A330,import!A:J,9,0)</f>
        <v>9</v>
      </c>
      <c r="J330" s="11">
        <f>VLOOKUP(A330,import!A:J,10,0)</f>
        <v>0.56</v>
      </c>
      <c r="K330" s="10" t="s">
        <v>1719</v>
      </c>
      <c r="L330" s="10">
        <v>3.243256242E9</v>
      </c>
      <c r="M330" s="10" t="s">
        <v>72</v>
      </c>
      <c r="N330" s="10" t="s">
        <v>150</v>
      </c>
      <c r="O330" s="10" t="s">
        <v>1720</v>
      </c>
      <c r="P330" s="10" t="str">
        <f>VLOOKUP(A330,import!A:P,16,0)</f>
        <v>Geleneksel</v>
      </c>
      <c r="Q330" s="12"/>
      <c r="R330" s="12" t="b">
        <v>1</v>
      </c>
      <c r="S330" s="12" t="b">
        <v>0</v>
      </c>
      <c r="T330" s="13" t="s">
        <v>51</v>
      </c>
      <c r="U330" s="13" t="s">
        <v>87</v>
      </c>
      <c r="V330" s="13" t="s">
        <v>66</v>
      </c>
      <c r="W330" s="13" t="s">
        <v>1721</v>
      </c>
      <c r="X330" s="15">
        <v>44560.0</v>
      </c>
      <c r="Y330" s="15">
        <v>44565.0</v>
      </c>
      <c r="Z330" s="16"/>
      <c r="AA330" s="17" t="s">
        <v>56</v>
      </c>
      <c r="AB330" s="16">
        <v>44560.0</v>
      </c>
      <c r="AC330" s="16"/>
      <c r="AD330" s="16"/>
      <c r="AE330" s="17"/>
      <c r="AF330" s="16"/>
      <c r="AG330" s="17"/>
      <c r="AH330" s="16"/>
      <c r="AI330" s="16"/>
      <c r="AJ330" s="16"/>
      <c r="AK330" s="17" t="s">
        <v>87</v>
      </c>
      <c r="AL330" s="16"/>
      <c r="AM330" s="16"/>
      <c r="AN330" s="16"/>
      <c r="AO330" s="16"/>
      <c r="AP330" s="18" t="s">
        <v>58</v>
      </c>
      <c r="AQ330" s="16"/>
    </row>
    <row r="331" ht="15.75" hidden="1" customHeight="1">
      <c r="A331" s="10" t="s">
        <v>1722</v>
      </c>
      <c r="B331" s="10" t="s">
        <v>1723</v>
      </c>
      <c r="C331" s="10" t="str">
        <f>VLOOKUP(A331,import!A:C,3,0)</f>
        <v>DOĞRU</v>
      </c>
      <c r="D331" s="10" t="s">
        <v>363</v>
      </c>
      <c r="E331" s="10">
        <f>VLOOKUP(A331,import!A:J,5,0)</f>
        <v>79</v>
      </c>
      <c r="F331" s="10">
        <f>VLOOKUP(A331,import!A:J,6,0)</f>
        <v>68</v>
      </c>
      <c r="G331" s="10">
        <f>VLOOKUP(A331,import!A:J,7,0)</f>
        <v>0</v>
      </c>
      <c r="H331" s="10">
        <f>VLOOKUP(A331,import!A:J,8,0)</f>
        <v>36</v>
      </c>
      <c r="I331" s="10">
        <f>VLOOKUP(A331,import!A:J,9,0)</f>
        <v>36</v>
      </c>
      <c r="J331" s="11">
        <f>VLOOKUP(A331,import!A:J,10,0)</f>
        <v>0</v>
      </c>
      <c r="K331" s="10" t="s">
        <v>1724</v>
      </c>
      <c r="L331" s="10">
        <v>5.336804832E9</v>
      </c>
      <c r="M331" s="10" t="s">
        <v>47</v>
      </c>
      <c r="N331" s="10" t="s">
        <v>1725</v>
      </c>
      <c r="O331" s="10" t="s">
        <v>1726</v>
      </c>
      <c r="P331" s="10" t="str">
        <f>VLOOKUP(A331,import!A:P,16,0)</f>
        <v>Geleneksel</v>
      </c>
      <c r="Q331" s="12"/>
      <c r="R331" s="12" t="b">
        <v>0</v>
      </c>
      <c r="S331" s="12" t="b">
        <v>0</v>
      </c>
      <c r="T331" s="13"/>
      <c r="U331" s="13"/>
      <c r="V331" s="13"/>
      <c r="W331" s="13"/>
      <c r="X331" s="15"/>
      <c r="Y331" s="15"/>
      <c r="Z331" s="16"/>
      <c r="AA331" s="17"/>
      <c r="AB331" s="16"/>
      <c r="AC331" s="16"/>
      <c r="AD331" s="16"/>
      <c r="AE331" s="17"/>
      <c r="AF331" s="16"/>
      <c r="AG331" s="17"/>
      <c r="AH331" s="16"/>
      <c r="AI331" s="16"/>
      <c r="AJ331" s="16"/>
      <c r="AK331" s="17"/>
      <c r="AL331" s="16"/>
      <c r="AM331" s="16"/>
      <c r="AN331" s="16"/>
      <c r="AO331" s="16"/>
      <c r="AP331" s="18"/>
      <c r="AQ331" s="16"/>
    </row>
    <row r="332" ht="15.75" customHeight="1">
      <c r="A332" s="10" t="s">
        <v>1727</v>
      </c>
      <c r="B332" s="10" t="s">
        <v>1728</v>
      </c>
      <c r="C332" s="10" t="str">
        <f>VLOOKUP(A332,import!A:C,3,0)</f>
        <v>DOĞRU</v>
      </c>
      <c r="D332" s="10" t="s">
        <v>118</v>
      </c>
      <c r="E332" s="10">
        <f>VLOOKUP(A332,import!A:J,5,0)</f>
        <v>5237</v>
      </c>
      <c r="F332" s="10">
        <f>VLOOKUP(A332,import!A:J,6,0)</f>
        <v>85</v>
      </c>
      <c r="G332" s="10">
        <f>VLOOKUP(A332,import!A:J,7,0)</f>
        <v>8</v>
      </c>
      <c r="H332" s="10">
        <f>VLOOKUP(A332,import!A:J,8,0)</f>
        <v>1</v>
      </c>
      <c r="I332" s="10">
        <f>VLOOKUP(A332,import!A:J,9,0)</f>
        <v>9</v>
      </c>
      <c r="J332" s="11">
        <f>VLOOKUP(A332,import!A:J,10,0)</f>
        <v>0.89</v>
      </c>
      <c r="K332" s="10" t="s">
        <v>1729</v>
      </c>
      <c r="L332" s="10">
        <v>3.243588794E9</v>
      </c>
      <c r="M332" s="10" t="s">
        <v>63</v>
      </c>
      <c r="N332" s="10" t="s">
        <v>100</v>
      </c>
      <c r="O332" s="10" t="s">
        <v>1730</v>
      </c>
      <c r="P332" s="10" t="str">
        <f>VLOOKUP(A332,import!A:P,16,0)</f>
        <v>Geleneksel</v>
      </c>
      <c r="Q332" s="12" t="s">
        <v>50</v>
      </c>
      <c r="R332" s="12" t="b">
        <v>1</v>
      </c>
      <c r="S332" s="12" t="b">
        <v>0</v>
      </c>
      <c r="T332" s="13" t="s">
        <v>51</v>
      </c>
      <c r="U332" s="13" t="s">
        <v>108</v>
      </c>
      <c r="V332" s="13" t="s">
        <v>66</v>
      </c>
      <c r="W332" s="13"/>
      <c r="X332" s="15">
        <v>44266.0</v>
      </c>
      <c r="Y332" s="15">
        <v>44272.0</v>
      </c>
      <c r="Z332" s="16"/>
      <c r="AA332" s="16"/>
      <c r="AB332" s="16"/>
      <c r="AC332" s="16"/>
      <c r="AD332" s="16"/>
      <c r="AE332" s="17"/>
      <c r="AF332" s="16"/>
      <c r="AG332" s="17"/>
      <c r="AH332" s="16"/>
      <c r="AI332" s="16"/>
      <c r="AJ332" s="16"/>
      <c r="AK332" s="16"/>
      <c r="AL332" s="16"/>
      <c r="AM332" s="16"/>
      <c r="AN332" s="16"/>
      <c r="AO332" s="16"/>
      <c r="AP332" s="18" t="s">
        <v>58</v>
      </c>
      <c r="AQ332" s="16"/>
    </row>
    <row r="333" ht="15.75" hidden="1" customHeight="1">
      <c r="A333" s="18" t="s">
        <v>1731</v>
      </c>
      <c r="B333" s="18" t="s">
        <v>1732</v>
      </c>
      <c r="C333" s="10" t="str">
        <f>VLOOKUP(A333,import!A:C,3,0)</f>
        <v>DOĞRU</v>
      </c>
      <c r="D333" s="18" t="s">
        <v>948</v>
      </c>
      <c r="E333" s="10">
        <f>VLOOKUP(A333,import!A:J,5,0)</f>
        <v>9</v>
      </c>
      <c r="F333" s="10">
        <f>VLOOKUP(A333,import!A:J,6,0)</f>
        <v>1</v>
      </c>
      <c r="G333" s="10">
        <f>VLOOKUP(A333,import!A:J,7,0)</f>
        <v>0</v>
      </c>
      <c r="H333" s="10">
        <f>VLOOKUP(A333,import!A:J,8,0)</f>
        <v>10</v>
      </c>
      <c r="I333" s="10">
        <f>VLOOKUP(A333,import!A:J,9,0)</f>
        <v>10</v>
      </c>
      <c r="J333" s="11">
        <f>VLOOKUP(A333,import!A:J,10,0)</f>
        <v>0</v>
      </c>
      <c r="K333" s="18" t="s">
        <v>1733</v>
      </c>
      <c r="L333" s="18">
        <v>5.307111499E9</v>
      </c>
      <c r="M333" s="18" t="s">
        <v>156</v>
      </c>
      <c r="N333" s="18" t="s">
        <v>306</v>
      </c>
      <c r="O333" s="18" t="s">
        <v>1734</v>
      </c>
      <c r="P333" s="10" t="str">
        <f>VLOOKUP(A333,import!A:P,16,0)</f>
        <v>Geleneksel</v>
      </c>
      <c r="Q333" s="12"/>
      <c r="R333" s="12" t="b">
        <v>0</v>
      </c>
      <c r="S333" s="12" t="b">
        <v>0</v>
      </c>
      <c r="T333" s="13"/>
      <c r="U333" s="13"/>
      <c r="V333" s="13"/>
      <c r="W333" s="13"/>
      <c r="X333" s="15"/>
      <c r="Y333" s="15"/>
      <c r="Z333" s="16"/>
      <c r="AA333" s="17"/>
      <c r="AB333" s="16"/>
      <c r="AC333" s="16"/>
      <c r="AD333" s="16"/>
      <c r="AE333" s="17"/>
      <c r="AF333" s="16"/>
      <c r="AG333" s="17"/>
      <c r="AH333" s="16"/>
      <c r="AI333" s="16"/>
      <c r="AJ333" s="16"/>
      <c r="AK333" s="17"/>
      <c r="AL333" s="16"/>
      <c r="AM333" s="16"/>
      <c r="AN333" s="16"/>
      <c r="AO333" s="16"/>
      <c r="AP333" s="18"/>
      <c r="AQ333" s="16"/>
    </row>
    <row r="334" ht="15.75" hidden="1" customHeight="1">
      <c r="A334" s="10" t="s">
        <v>1735</v>
      </c>
      <c r="B334" s="10" t="s">
        <v>1736</v>
      </c>
      <c r="C334" s="10" t="str">
        <f>VLOOKUP(A334,import!A:C,3,0)</f>
        <v>DOĞRU</v>
      </c>
      <c r="D334" s="10" t="s">
        <v>70</v>
      </c>
      <c r="E334" s="10">
        <f>VLOOKUP(A334,import!A:J,5,0)</f>
        <v>1661</v>
      </c>
      <c r="F334" s="10" t="str">
        <f>VLOOKUP(A334,import!A:J,6,0)</f>
        <v/>
      </c>
      <c r="G334" s="10">
        <f>VLOOKUP(A334,import!A:J,7,0)</f>
        <v>0</v>
      </c>
      <c r="H334" s="10">
        <f>VLOOKUP(A334,import!A:J,8,0)</f>
        <v>13</v>
      </c>
      <c r="I334" s="10">
        <f>VLOOKUP(A334,import!A:J,9,0)</f>
        <v>13</v>
      </c>
      <c r="J334" s="11">
        <f>VLOOKUP(A334,import!A:J,10,0)</f>
        <v>0</v>
      </c>
      <c r="K334" s="10" t="s">
        <v>1737</v>
      </c>
      <c r="L334" s="10">
        <v>3.245154407E9</v>
      </c>
      <c r="M334" s="10" t="s">
        <v>47</v>
      </c>
      <c r="N334" s="10" t="s">
        <v>48</v>
      </c>
      <c r="O334" s="10" t="s">
        <v>1738</v>
      </c>
      <c r="P334" s="10" t="str">
        <f>VLOOKUP(A334,import!A:P,16,0)</f>
        <v>Geleneksel</v>
      </c>
      <c r="Q334" s="12"/>
      <c r="R334" s="12" t="b">
        <v>0</v>
      </c>
      <c r="S334" s="12" t="b">
        <v>0</v>
      </c>
      <c r="T334" s="13" t="s">
        <v>485</v>
      </c>
      <c r="U334" s="13"/>
      <c r="V334" s="13"/>
      <c r="W334" s="13" t="s">
        <v>1739</v>
      </c>
      <c r="X334" s="15"/>
      <c r="Y334" s="15"/>
      <c r="Z334" s="16"/>
      <c r="AA334" s="17" t="s">
        <v>86</v>
      </c>
      <c r="AB334" s="16">
        <v>44538.0</v>
      </c>
      <c r="AC334" s="16"/>
      <c r="AD334" s="16"/>
      <c r="AE334" s="17"/>
      <c r="AF334" s="16"/>
      <c r="AG334" s="17"/>
      <c r="AH334" s="16"/>
      <c r="AI334" s="16"/>
      <c r="AJ334" s="16"/>
      <c r="AK334" s="17" t="s">
        <v>103</v>
      </c>
      <c r="AL334" s="16"/>
      <c r="AM334" s="16"/>
      <c r="AN334" s="16"/>
      <c r="AO334" s="16"/>
      <c r="AP334" s="18" t="s">
        <v>58</v>
      </c>
      <c r="AQ334" s="16"/>
    </row>
    <row r="335" ht="15.75" customHeight="1">
      <c r="A335" s="10" t="s">
        <v>1740</v>
      </c>
      <c r="B335" s="10" t="s">
        <v>1741</v>
      </c>
      <c r="C335" s="10" t="str">
        <f>VLOOKUP(A335,import!A:C,3,0)</f>
        <v>DOĞRU</v>
      </c>
      <c r="D335" s="10" t="s">
        <v>363</v>
      </c>
      <c r="E335" s="10">
        <f>VLOOKUP(A335,import!A:J,5,0)</f>
        <v>105</v>
      </c>
      <c r="F335" s="10">
        <f>VLOOKUP(A335,import!A:J,6,0)</f>
        <v>37</v>
      </c>
      <c r="G335" s="10">
        <f>VLOOKUP(A335,import!A:J,7,0)</f>
        <v>0</v>
      </c>
      <c r="H335" s="10">
        <f>VLOOKUP(A335,import!A:J,8,0)</f>
        <v>31</v>
      </c>
      <c r="I335" s="10">
        <f>VLOOKUP(A335,import!A:J,9,0)</f>
        <v>31</v>
      </c>
      <c r="J335" s="11">
        <f>VLOOKUP(A335,import!A:J,10,0)</f>
        <v>0</v>
      </c>
      <c r="K335" s="10" t="s">
        <v>1742</v>
      </c>
      <c r="L335" s="10">
        <v>3.242373332E9</v>
      </c>
      <c r="M335" s="10" t="s">
        <v>137</v>
      </c>
      <c r="N335" s="10" t="s">
        <v>1743</v>
      </c>
      <c r="O335" s="10" t="s">
        <v>1744</v>
      </c>
      <c r="P335" s="10" t="str">
        <f>VLOOKUP(A335,import!A:P,16,0)</f>
        <v>Geleneksel</v>
      </c>
      <c r="Q335" s="12"/>
      <c r="R335" s="12" t="b">
        <v>1</v>
      </c>
      <c r="S335" s="12" t="b">
        <v>0</v>
      </c>
      <c r="T335" s="13"/>
      <c r="U335" s="13"/>
      <c r="V335" s="13"/>
      <c r="W335" s="13" t="s">
        <v>1745</v>
      </c>
      <c r="X335" s="15"/>
      <c r="Y335" s="15"/>
      <c r="Z335" s="16"/>
      <c r="AA335" s="17" t="s">
        <v>265</v>
      </c>
      <c r="AB335" s="16">
        <v>44643.0</v>
      </c>
      <c r="AC335" s="16"/>
      <c r="AD335" s="16"/>
      <c r="AE335" s="17"/>
      <c r="AF335" s="16"/>
      <c r="AG335" s="17"/>
      <c r="AH335" s="16"/>
      <c r="AI335" s="16"/>
      <c r="AJ335" s="16"/>
      <c r="AK335" s="17" t="s">
        <v>267</v>
      </c>
      <c r="AL335" s="16"/>
      <c r="AM335" s="16"/>
      <c r="AN335" s="16"/>
      <c r="AO335" s="16"/>
      <c r="AP335" s="18"/>
      <c r="AQ335" s="16"/>
    </row>
    <row r="336" ht="15.75" customHeight="1">
      <c r="A336" s="10" t="s">
        <v>1746</v>
      </c>
      <c r="B336" s="10" t="s">
        <v>1747</v>
      </c>
      <c r="C336" s="10" t="str">
        <f>VLOOKUP(A336,import!A:C,3,0)</f>
        <v>DOĞRU</v>
      </c>
      <c r="D336" s="10" t="s">
        <v>80</v>
      </c>
      <c r="E336" s="10">
        <f>VLOOKUP(A336,import!A:J,5,0)</f>
        <v>193</v>
      </c>
      <c r="F336" s="10">
        <f>VLOOKUP(A336,import!A:J,6,0)</f>
        <v>7</v>
      </c>
      <c r="G336" s="10">
        <f>VLOOKUP(A336,import!A:J,7,0)</f>
        <v>21</v>
      </c>
      <c r="H336" s="10">
        <f>VLOOKUP(A336,import!A:J,8,0)</f>
        <v>13</v>
      </c>
      <c r="I336" s="10">
        <f>VLOOKUP(A336,import!A:J,9,0)</f>
        <v>34</v>
      </c>
      <c r="J336" s="11">
        <f>VLOOKUP(A336,import!A:J,10,0)</f>
        <v>0.62</v>
      </c>
      <c r="K336" s="10" t="s">
        <v>1748</v>
      </c>
      <c r="L336" s="10">
        <v>3.24237373E9</v>
      </c>
      <c r="M336" s="10" t="s">
        <v>137</v>
      </c>
      <c r="N336" s="10" t="s">
        <v>209</v>
      </c>
      <c r="O336" s="10" t="s">
        <v>1749</v>
      </c>
      <c r="P336" s="10" t="str">
        <f>VLOOKUP(A336,import!A:P,16,0)</f>
        <v>Geleneksel</v>
      </c>
      <c r="Q336" s="12"/>
      <c r="R336" s="12" t="b">
        <v>1</v>
      </c>
      <c r="S336" s="12" t="b">
        <v>0</v>
      </c>
      <c r="T336" s="13" t="s">
        <v>51</v>
      </c>
      <c r="U336" s="13" t="s">
        <v>108</v>
      </c>
      <c r="V336" s="13" t="s">
        <v>66</v>
      </c>
      <c r="W336" s="13" t="s">
        <v>1750</v>
      </c>
      <c r="X336" s="15">
        <v>44529.0</v>
      </c>
      <c r="Y336" s="15">
        <v>44530.0</v>
      </c>
      <c r="Z336" s="16"/>
      <c r="AA336" s="17" t="s">
        <v>56</v>
      </c>
      <c r="AB336" s="16">
        <v>44529.0</v>
      </c>
      <c r="AC336" s="17" t="s">
        <v>56</v>
      </c>
      <c r="AD336" s="16">
        <v>44533.0</v>
      </c>
      <c r="AE336" s="17"/>
      <c r="AF336" s="16"/>
      <c r="AG336" s="17"/>
      <c r="AH336" s="16"/>
      <c r="AI336" s="16"/>
      <c r="AJ336" s="16"/>
      <c r="AK336" s="17" t="s">
        <v>108</v>
      </c>
      <c r="AL336" s="17" t="s">
        <v>108</v>
      </c>
      <c r="AM336" s="16"/>
      <c r="AN336" s="16"/>
      <c r="AO336" s="16"/>
      <c r="AP336" s="18" t="s">
        <v>58</v>
      </c>
      <c r="AQ336" s="16"/>
    </row>
    <row r="337" ht="15.75" customHeight="1">
      <c r="A337" s="10" t="s">
        <v>1751</v>
      </c>
      <c r="B337" s="10" t="s">
        <v>1752</v>
      </c>
      <c r="C337" s="10" t="str">
        <f>VLOOKUP(A337,import!A:C,3,0)</f>
        <v>DOĞRU</v>
      </c>
      <c r="D337" s="10" t="s">
        <v>363</v>
      </c>
      <c r="E337" s="10">
        <f>VLOOKUP(A337,import!A:J,5,0)</f>
        <v>114</v>
      </c>
      <c r="F337" s="10">
        <f>VLOOKUP(A337,import!A:J,6,0)</f>
        <v>34</v>
      </c>
      <c r="G337" s="10">
        <f>VLOOKUP(A337,import!A:J,7,0)</f>
        <v>11</v>
      </c>
      <c r="H337" s="10">
        <f>VLOOKUP(A337,import!A:J,8,0)</f>
        <v>42</v>
      </c>
      <c r="I337" s="10">
        <f>VLOOKUP(A337,import!A:J,9,0)</f>
        <v>53</v>
      </c>
      <c r="J337" s="11">
        <f>VLOOKUP(A337,import!A:J,10,0)</f>
        <v>0.21</v>
      </c>
      <c r="K337" s="10" t="s">
        <v>1753</v>
      </c>
      <c r="L337" s="10">
        <v>5.332206327E9</v>
      </c>
      <c r="M337" s="10" t="s">
        <v>63</v>
      </c>
      <c r="N337" s="10" t="s">
        <v>1148</v>
      </c>
      <c r="O337" s="10" t="s">
        <v>1754</v>
      </c>
      <c r="P337" s="10" t="str">
        <f>VLOOKUP(A337,import!A:P,16,0)</f>
        <v>Geleneksel</v>
      </c>
      <c r="Q337" s="12"/>
      <c r="R337" s="12" t="b">
        <v>1</v>
      </c>
      <c r="S337" s="12" t="b">
        <v>0</v>
      </c>
      <c r="T337" s="13" t="s">
        <v>51</v>
      </c>
      <c r="U337" s="13" t="s">
        <v>89</v>
      </c>
      <c r="V337" s="17" t="s">
        <v>131</v>
      </c>
      <c r="W337" s="13"/>
      <c r="X337" s="15">
        <v>44649.0</v>
      </c>
      <c r="Y337" s="15">
        <v>44650.0</v>
      </c>
      <c r="Z337" s="16"/>
      <c r="AA337" s="17" t="s">
        <v>56</v>
      </c>
      <c r="AB337" s="16">
        <v>44649.0</v>
      </c>
      <c r="AC337" s="16"/>
      <c r="AD337" s="16"/>
      <c r="AE337" s="17"/>
      <c r="AF337" s="16"/>
      <c r="AG337" s="17"/>
      <c r="AH337" s="16"/>
      <c r="AI337" s="16"/>
      <c r="AJ337" s="16"/>
      <c r="AK337" s="17" t="s">
        <v>89</v>
      </c>
      <c r="AL337" s="16"/>
      <c r="AM337" s="16"/>
      <c r="AN337" s="16"/>
      <c r="AO337" s="16"/>
      <c r="AP337" s="18"/>
      <c r="AQ337" s="16"/>
    </row>
    <row r="338" ht="15.75" hidden="1" customHeight="1">
      <c r="A338" s="10" t="s">
        <v>1755</v>
      </c>
      <c r="B338" s="10" t="s">
        <v>1756</v>
      </c>
      <c r="C338" s="10" t="str">
        <f>VLOOKUP(A338,import!A:C,3,0)</f>
        <v>DOĞRU</v>
      </c>
      <c r="D338" s="10" t="s">
        <v>363</v>
      </c>
      <c r="E338" s="10">
        <f>VLOOKUP(A338,import!A:J,5,0)</f>
        <v>298</v>
      </c>
      <c r="F338" s="10">
        <f>VLOOKUP(A338,import!A:J,6,0)</f>
        <v>28</v>
      </c>
      <c r="G338" s="10">
        <f>VLOOKUP(A338,import!A:J,7,0)</f>
        <v>0</v>
      </c>
      <c r="H338" s="10">
        <f>VLOOKUP(A338,import!A:J,8,0)</f>
        <v>53</v>
      </c>
      <c r="I338" s="10">
        <f>VLOOKUP(A338,import!A:J,9,0)</f>
        <v>53</v>
      </c>
      <c r="J338" s="11">
        <f>VLOOKUP(A338,import!A:J,10,0)</f>
        <v>0</v>
      </c>
      <c r="K338" s="10" t="s">
        <v>1753</v>
      </c>
      <c r="L338" s="10">
        <v>3.246258142E9</v>
      </c>
      <c r="M338" s="10" t="s">
        <v>156</v>
      </c>
      <c r="N338" s="10" t="s">
        <v>204</v>
      </c>
      <c r="O338" s="10" t="s">
        <v>1757</v>
      </c>
      <c r="P338" s="10" t="str">
        <f>VLOOKUP(A338,import!A:P,16,0)</f>
        <v>Geleneksel</v>
      </c>
      <c r="Q338" s="12"/>
      <c r="R338" s="12" t="b">
        <v>1</v>
      </c>
      <c r="S338" s="12" t="b">
        <v>0</v>
      </c>
      <c r="T338" s="13" t="s">
        <v>55</v>
      </c>
      <c r="U338" s="13"/>
      <c r="V338" s="13"/>
      <c r="W338" s="13" t="s">
        <v>1002</v>
      </c>
      <c r="X338" s="15"/>
      <c r="Y338" s="15"/>
      <c r="Z338" s="16"/>
      <c r="AA338" s="17" t="s">
        <v>55</v>
      </c>
      <c r="AB338" s="16">
        <v>44540.0</v>
      </c>
      <c r="AC338" s="16"/>
      <c r="AD338" s="16"/>
      <c r="AE338" s="17"/>
      <c r="AF338" s="16"/>
      <c r="AG338" s="17"/>
      <c r="AH338" s="16"/>
      <c r="AI338" s="16"/>
      <c r="AJ338" s="16"/>
      <c r="AK338" s="17" t="s">
        <v>52</v>
      </c>
      <c r="AL338" s="16"/>
      <c r="AM338" s="16"/>
      <c r="AN338" s="16"/>
      <c r="AO338" s="16"/>
      <c r="AP338" s="18" t="s">
        <v>58</v>
      </c>
      <c r="AQ338" s="16"/>
    </row>
    <row r="339" ht="15.75" customHeight="1">
      <c r="A339" s="10" t="s">
        <v>1758</v>
      </c>
      <c r="B339" s="10" t="s">
        <v>1759</v>
      </c>
      <c r="C339" s="10" t="str">
        <f>VLOOKUP(A339,import!A:C,3,0)</f>
        <v>DOĞRU</v>
      </c>
      <c r="D339" s="10" t="s">
        <v>363</v>
      </c>
      <c r="E339" s="10">
        <f>VLOOKUP(A339,import!A:J,5,0)</f>
        <v>2014</v>
      </c>
      <c r="F339" s="10">
        <f>VLOOKUP(A339,import!A:J,6,0)</f>
        <v>123</v>
      </c>
      <c r="G339" s="10">
        <f>VLOOKUP(A339,import!A:J,7,0)</f>
        <v>32</v>
      </c>
      <c r="H339" s="10">
        <f>VLOOKUP(A339,import!A:J,8,0)</f>
        <v>5</v>
      </c>
      <c r="I339" s="10">
        <f>VLOOKUP(A339,import!A:J,9,0)</f>
        <v>37</v>
      </c>
      <c r="J339" s="11">
        <f>VLOOKUP(A339,import!A:J,10,0)</f>
        <v>0.86</v>
      </c>
      <c r="K339" s="10" t="s">
        <v>1760</v>
      </c>
      <c r="L339" s="10">
        <v>3.242385251E9</v>
      </c>
      <c r="M339" s="10" t="s">
        <v>137</v>
      </c>
      <c r="N339" s="10" t="s">
        <v>845</v>
      </c>
      <c r="O339" s="10" t="s">
        <v>1761</v>
      </c>
      <c r="P339" s="10" t="str">
        <f>VLOOKUP(A339,import!A:P,16,0)</f>
        <v>Geleneksel</v>
      </c>
      <c r="Q339" s="12"/>
      <c r="R339" s="12" t="b">
        <v>1</v>
      </c>
      <c r="S339" s="12" t="b">
        <v>0</v>
      </c>
      <c r="T339" s="13" t="s">
        <v>51</v>
      </c>
      <c r="U339" s="13" t="s">
        <v>95</v>
      </c>
      <c r="V339" s="13" t="s">
        <v>53</v>
      </c>
      <c r="W339" s="13" t="s">
        <v>1762</v>
      </c>
      <c r="X339" s="15">
        <v>44411.0</v>
      </c>
      <c r="Y339" s="15">
        <v>44413.0</v>
      </c>
      <c r="Z339" s="16"/>
      <c r="AA339" s="17" t="s">
        <v>55</v>
      </c>
      <c r="AB339" s="16">
        <v>44406.0</v>
      </c>
      <c r="AC339" s="17" t="s">
        <v>56</v>
      </c>
      <c r="AD339" s="16">
        <v>44411.0</v>
      </c>
      <c r="AE339" s="17"/>
      <c r="AF339" s="16"/>
      <c r="AG339" s="17"/>
      <c r="AH339" s="16"/>
      <c r="AI339" s="16"/>
      <c r="AJ339" s="16"/>
      <c r="AK339" s="17" t="s">
        <v>1013</v>
      </c>
      <c r="AL339" s="17" t="s">
        <v>95</v>
      </c>
      <c r="AM339" s="16"/>
      <c r="AN339" s="16"/>
      <c r="AO339" s="16"/>
      <c r="AP339" s="18" t="s">
        <v>58</v>
      </c>
      <c r="AQ339" s="16"/>
    </row>
    <row r="340" ht="15.75" hidden="1" customHeight="1">
      <c r="A340" s="10" t="s">
        <v>1763</v>
      </c>
      <c r="B340" s="10" t="s">
        <v>1764</v>
      </c>
      <c r="C340" s="10" t="str">
        <f>VLOOKUP(A340,import!A:C,3,0)</f>
        <v>DOĞRU</v>
      </c>
      <c r="D340" s="10" t="s">
        <v>80</v>
      </c>
      <c r="E340" s="10">
        <f>VLOOKUP(A340,import!A:J,5,0)</f>
        <v>580</v>
      </c>
      <c r="F340" s="10">
        <f>VLOOKUP(A340,import!A:J,6,0)</f>
        <v>39</v>
      </c>
      <c r="G340" s="10">
        <f>VLOOKUP(A340,import!A:J,7,0)</f>
        <v>1</v>
      </c>
      <c r="H340" s="10">
        <f>VLOOKUP(A340,import!A:J,8,0)</f>
        <v>10</v>
      </c>
      <c r="I340" s="10">
        <f>VLOOKUP(A340,import!A:J,9,0)</f>
        <v>11</v>
      </c>
      <c r="J340" s="11">
        <f>VLOOKUP(A340,import!A:J,10,0)</f>
        <v>0.09</v>
      </c>
      <c r="K340" s="10" t="s">
        <v>1765</v>
      </c>
      <c r="L340" s="10">
        <v>3.247414013E9</v>
      </c>
      <c r="M340" s="10" t="s">
        <v>187</v>
      </c>
      <c r="N340" s="10" t="s">
        <v>1533</v>
      </c>
      <c r="O340" s="10" t="s">
        <v>1766</v>
      </c>
      <c r="P340" s="10" t="str">
        <f>VLOOKUP(A340,import!A:P,16,0)</f>
        <v>Geleneksel</v>
      </c>
      <c r="Q340" s="12"/>
      <c r="R340" s="12" t="b">
        <v>0</v>
      </c>
      <c r="S340" s="12" t="b">
        <v>0</v>
      </c>
      <c r="T340" s="13" t="s">
        <v>485</v>
      </c>
      <c r="U340" s="13"/>
      <c r="V340" s="13"/>
      <c r="W340" s="13"/>
      <c r="X340" s="15"/>
      <c r="Y340" s="15"/>
      <c r="Z340" s="16"/>
      <c r="AA340" s="16"/>
      <c r="AB340" s="16"/>
      <c r="AC340" s="16"/>
      <c r="AD340" s="16"/>
      <c r="AE340" s="17"/>
      <c r="AF340" s="16"/>
      <c r="AG340" s="17"/>
      <c r="AH340" s="16"/>
      <c r="AI340" s="16"/>
      <c r="AJ340" s="16"/>
      <c r="AK340" s="16"/>
      <c r="AL340" s="16"/>
      <c r="AM340" s="16"/>
      <c r="AN340" s="16"/>
      <c r="AO340" s="16"/>
      <c r="AP340" s="18" t="s">
        <v>58</v>
      </c>
      <c r="AQ340" s="16"/>
    </row>
    <row r="341" ht="15.75" customHeight="1">
      <c r="A341" s="10" t="s">
        <v>1767</v>
      </c>
      <c r="B341" s="10" t="s">
        <v>1768</v>
      </c>
      <c r="C341" s="10" t="str">
        <f>VLOOKUP(A341,import!A:C,3,0)</f>
        <v>DOĞRU</v>
      </c>
      <c r="D341" s="10" t="s">
        <v>70</v>
      </c>
      <c r="E341" s="10">
        <f>VLOOKUP(A341,import!A:J,5,0)</f>
        <v>1065</v>
      </c>
      <c r="F341" s="10" t="str">
        <f>VLOOKUP(A341,import!A:J,6,0)</f>
        <v/>
      </c>
      <c r="G341" s="10">
        <f>VLOOKUP(A341,import!A:J,7,0)</f>
        <v>15</v>
      </c>
      <c r="H341" s="10">
        <f>VLOOKUP(A341,import!A:J,8,0)</f>
        <v>12</v>
      </c>
      <c r="I341" s="10">
        <f>VLOOKUP(A341,import!A:J,9,0)</f>
        <v>27</v>
      </c>
      <c r="J341" s="11">
        <f>VLOOKUP(A341,import!A:J,10,0)</f>
        <v>0.56</v>
      </c>
      <c r="K341" s="10" t="s">
        <v>1769</v>
      </c>
      <c r="L341" s="10">
        <v>3.243362433E9</v>
      </c>
      <c r="M341" s="10" t="s">
        <v>137</v>
      </c>
      <c r="N341" s="10" t="s">
        <v>526</v>
      </c>
      <c r="O341" s="10" t="s">
        <v>1770</v>
      </c>
      <c r="P341" s="10" t="str">
        <f>VLOOKUP(A341,import!A:P,16,0)</f>
        <v>Geleneksel</v>
      </c>
      <c r="Q341" s="12" t="s">
        <v>75</v>
      </c>
      <c r="R341" s="12" t="b">
        <v>1</v>
      </c>
      <c r="S341" s="12" t="b">
        <v>0</v>
      </c>
      <c r="T341" s="13" t="s">
        <v>248</v>
      </c>
      <c r="U341" s="13"/>
      <c r="V341" s="13"/>
      <c r="W341" s="13" t="s">
        <v>1771</v>
      </c>
      <c r="X341" s="15"/>
      <c r="Y341" s="15"/>
      <c r="Z341" s="16"/>
      <c r="AA341" s="17" t="s">
        <v>56</v>
      </c>
      <c r="AB341" s="16">
        <v>44349.0</v>
      </c>
      <c r="AC341" s="16"/>
      <c r="AD341" s="16"/>
      <c r="AE341" s="17"/>
      <c r="AF341" s="16"/>
      <c r="AG341" s="17"/>
      <c r="AH341" s="16"/>
      <c r="AI341" s="16"/>
      <c r="AJ341" s="16"/>
      <c r="AK341" s="17" t="s">
        <v>124</v>
      </c>
      <c r="AL341" s="16"/>
      <c r="AM341" s="16"/>
      <c r="AN341" s="16"/>
      <c r="AO341" s="16"/>
      <c r="AP341" s="18" t="s">
        <v>58</v>
      </c>
      <c r="AQ341" s="16"/>
    </row>
    <row r="342" ht="15.75" customHeight="1">
      <c r="A342" s="10" t="s">
        <v>1772</v>
      </c>
      <c r="B342" s="10" t="s">
        <v>1773</v>
      </c>
      <c r="C342" s="10" t="str">
        <f>VLOOKUP(A342,import!A:C,3,0)</f>
        <v>DOĞRU</v>
      </c>
      <c r="D342" s="10" t="s">
        <v>70</v>
      </c>
      <c r="E342" s="10">
        <f>VLOOKUP(A342,import!A:J,5,0)</f>
        <v>1497</v>
      </c>
      <c r="F342" s="10">
        <f>VLOOKUP(A342,import!A:J,6,0)</f>
        <v>63</v>
      </c>
      <c r="G342" s="10">
        <f>VLOOKUP(A342,import!A:J,7,0)</f>
        <v>15</v>
      </c>
      <c r="H342" s="10">
        <f>VLOOKUP(A342,import!A:J,8,0)</f>
        <v>9</v>
      </c>
      <c r="I342" s="10">
        <f>VLOOKUP(A342,import!A:J,9,0)</f>
        <v>24</v>
      </c>
      <c r="J342" s="11">
        <f>VLOOKUP(A342,import!A:J,10,0)</f>
        <v>0.63</v>
      </c>
      <c r="K342" s="10" t="s">
        <v>1774</v>
      </c>
      <c r="L342" s="10">
        <v>3.245031608E9</v>
      </c>
      <c r="M342" s="10" t="s">
        <v>63</v>
      </c>
      <c r="N342" s="10" t="s">
        <v>93</v>
      </c>
      <c r="O342" s="10" t="s">
        <v>1775</v>
      </c>
      <c r="P342" s="10" t="str">
        <f>VLOOKUP(A342,import!A:P,16,0)</f>
        <v>Geleneksel</v>
      </c>
      <c r="Q342" s="12"/>
      <c r="R342" s="12" t="b">
        <v>1</v>
      </c>
      <c r="S342" s="12" t="b">
        <v>0</v>
      </c>
      <c r="T342" s="27" t="s">
        <v>248</v>
      </c>
      <c r="U342" s="13"/>
      <c r="V342" s="13"/>
      <c r="W342" s="13" t="s">
        <v>1776</v>
      </c>
      <c r="X342" s="15"/>
      <c r="Y342" s="15"/>
      <c r="Z342" s="16"/>
      <c r="AA342" s="17" t="s">
        <v>56</v>
      </c>
      <c r="AB342" s="16">
        <v>44456.0</v>
      </c>
      <c r="AC342" s="17" t="s">
        <v>56</v>
      </c>
      <c r="AD342" s="16">
        <v>44539.0</v>
      </c>
      <c r="AE342" s="17"/>
      <c r="AF342" s="16"/>
      <c r="AG342" s="17"/>
      <c r="AH342" s="16"/>
      <c r="AI342" s="16"/>
      <c r="AJ342" s="16"/>
      <c r="AK342" s="17" t="s">
        <v>171</v>
      </c>
      <c r="AL342" s="17" t="s">
        <v>87</v>
      </c>
      <c r="AM342" s="16"/>
      <c r="AN342" s="16"/>
      <c r="AO342" s="16"/>
      <c r="AP342" s="18" t="s">
        <v>58</v>
      </c>
      <c r="AQ342" s="16"/>
    </row>
    <row r="343" ht="15.75" hidden="1" customHeight="1">
      <c r="A343" s="10" t="s">
        <v>1777</v>
      </c>
      <c r="B343" s="10" t="s">
        <v>1778</v>
      </c>
      <c r="C343" s="10" t="str">
        <f>VLOOKUP(A343,import!A:C,3,0)</f>
        <v>DOĞRU</v>
      </c>
      <c r="D343" s="10" t="s">
        <v>80</v>
      </c>
      <c r="E343" s="10">
        <f>VLOOKUP(A343,import!A:J,5,0)</f>
        <v>1736</v>
      </c>
      <c r="F343" s="10">
        <f>VLOOKUP(A343,import!A:J,6,0)</f>
        <v>95</v>
      </c>
      <c r="G343" s="10">
        <f>VLOOKUP(A343,import!A:J,7,0)</f>
        <v>12</v>
      </c>
      <c r="H343" s="10">
        <f>VLOOKUP(A343,import!A:J,8,0)</f>
        <v>10</v>
      </c>
      <c r="I343" s="10">
        <f>VLOOKUP(A343,import!A:J,9,0)</f>
        <v>22</v>
      </c>
      <c r="J343" s="11">
        <f>VLOOKUP(A343,import!A:J,10,0)</f>
        <v>0.55</v>
      </c>
      <c r="K343" s="10" t="s">
        <v>1779</v>
      </c>
      <c r="L343" s="10">
        <v>5.497323363E9</v>
      </c>
      <c r="M343" s="10" t="s">
        <v>72</v>
      </c>
      <c r="N343" s="10" t="s">
        <v>352</v>
      </c>
      <c r="O343" s="10" t="s">
        <v>1780</v>
      </c>
      <c r="P343" s="10" t="str">
        <f>VLOOKUP(A343,import!A:P,16,0)</f>
        <v>Geleneksel</v>
      </c>
      <c r="Q343" s="12"/>
      <c r="R343" s="12" t="b">
        <v>1</v>
      </c>
      <c r="S343" s="12" t="b">
        <v>0</v>
      </c>
      <c r="T343" s="13" t="s">
        <v>51</v>
      </c>
      <c r="U343" s="13" t="s">
        <v>258</v>
      </c>
      <c r="V343" s="13" t="s">
        <v>278</v>
      </c>
      <c r="W343" s="13"/>
      <c r="X343" s="15">
        <v>44288.0</v>
      </c>
      <c r="Y343" s="15">
        <v>44292.0</v>
      </c>
      <c r="Z343" s="16"/>
      <c r="AA343" s="16"/>
      <c r="AB343" s="16"/>
      <c r="AC343" s="16"/>
      <c r="AD343" s="16"/>
      <c r="AE343" s="17"/>
      <c r="AF343" s="16"/>
      <c r="AG343" s="17"/>
      <c r="AH343" s="16"/>
      <c r="AI343" s="16"/>
      <c r="AJ343" s="16"/>
      <c r="AK343" s="16"/>
      <c r="AL343" s="16"/>
      <c r="AM343" s="16"/>
      <c r="AN343" s="16"/>
      <c r="AO343" s="16"/>
      <c r="AP343" s="18" t="s">
        <v>58</v>
      </c>
      <c r="AQ343" s="16"/>
    </row>
    <row r="344" ht="15.75" hidden="1" customHeight="1">
      <c r="A344" s="10" t="s">
        <v>1781</v>
      </c>
      <c r="B344" s="10" t="s">
        <v>1782</v>
      </c>
      <c r="C344" s="10" t="str">
        <f>VLOOKUP(A344,import!A:C,3,0)</f>
        <v>DOĞRU</v>
      </c>
      <c r="D344" s="10" t="s">
        <v>80</v>
      </c>
      <c r="E344" s="10">
        <f>VLOOKUP(A344,import!A:J,5,0)</f>
        <v>4164</v>
      </c>
      <c r="F344" s="10">
        <f>VLOOKUP(A344,import!A:J,6,0)</f>
        <v>384</v>
      </c>
      <c r="G344" s="10">
        <f>VLOOKUP(A344,import!A:J,7,0)</f>
        <v>6</v>
      </c>
      <c r="H344" s="10">
        <f>VLOOKUP(A344,import!A:J,8,0)</f>
        <v>10</v>
      </c>
      <c r="I344" s="10">
        <f>VLOOKUP(A344,import!A:J,9,0)</f>
        <v>16</v>
      </c>
      <c r="J344" s="11">
        <f>VLOOKUP(A344,import!A:J,10,0)</f>
        <v>0.38</v>
      </c>
      <c r="K344" s="10" t="s">
        <v>1783</v>
      </c>
      <c r="L344" s="10">
        <v>5.396909371E9</v>
      </c>
      <c r="M344" s="10" t="s">
        <v>215</v>
      </c>
      <c r="N344" s="10" t="s">
        <v>239</v>
      </c>
      <c r="O344" s="10" t="s">
        <v>1784</v>
      </c>
      <c r="P344" s="10" t="str">
        <f>VLOOKUP(A344,import!A:P,16,0)</f>
        <v>Geleneksel</v>
      </c>
      <c r="Q344" s="12"/>
      <c r="R344" s="12" t="b">
        <v>1</v>
      </c>
      <c r="S344" s="12" t="b">
        <v>0</v>
      </c>
      <c r="T344" s="13" t="s">
        <v>51</v>
      </c>
      <c r="U344" s="13" t="s">
        <v>87</v>
      </c>
      <c r="V344" s="13" t="s">
        <v>53</v>
      </c>
      <c r="W344" s="13"/>
      <c r="X344" s="15">
        <v>44495.0</v>
      </c>
      <c r="Y344" s="15">
        <v>44496.0</v>
      </c>
      <c r="Z344" s="16"/>
      <c r="AA344" s="17" t="s">
        <v>86</v>
      </c>
      <c r="AB344" s="16">
        <v>44480.0</v>
      </c>
      <c r="AC344" s="17" t="s">
        <v>55</v>
      </c>
      <c r="AD344" s="16">
        <v>44492.0</v>
      </c>
      <c r="AE344" s="17" t="s">
        <v>56</v>
      </c>
      <c r="AF344" s="16">
        <v>44495.0</v>
      </c>
      <c r="AG344" s="17"/>
      <c r="AH344" s="16"/>
      <c r="AI344" s="16"/>
      <c r="AJ344" s="16"/>
      <c r="AK344" s="17" t="s">
        <v>87</v>
      </c>
      <c r="AL344" s="17" t="s">
        <v>89</v>
      </c>
      <c r="AM344" s="17" t="s">
        <v>87</v>
      </c>
      <c r="AN344" s="16"/>
      <c r="AO344" s="16"/>
      <c r="AP344" s="18" t="s">
        <v>58</v>
      </c>
      <c r="AQ344" s="16"/>
    </row>
    <row r="345" ht="15.75" hidden="1" customHeight="1">
      <c r="A345" s="10" t="s">
        <v>1785</v>
      </c>
      <c r="B345" s="10" t="s">
        <v>1786</v>
      </c>
      <c r="C345" s="10" t="str">
        <f>VLOOKUP(A345,import!A:C,3,0)</f>
        <v>DOĞRU</v>
      </c>
      <c r="D345" s="10" t="s">
        <v>118</v>
      </c>
      <c r="E345" s="10">
        <f>VLOOKUP(A345,import!A:J,5,0)</f>
        <v>923</v>
      </c>
      <c r="F345" s="10">
        <f>VLOOKUP(A345,import!A:J,6,0)</f>
        <v>66</v>
      </c>
      <c r="G345" s="10">
        <f>VLOOKUP(A345,import!A:J,7,0)</f>
        <v>22</v>
      </c>
      <c r="H345" s="10">
        <f>VLOOKUP(A345,import!A:J,8,0)</f>
        <v>43</v>
      </c>
      <c r="I345" s="10">
        <f>VLOOKUP(A345,import!A:J,9,0)</f>
        <v>65</v>
      </c>
      <c r="J345" s="11">
        <f>VLOOKUP(A345,import!A:J,10,0)</f>
        <v>0.34</v>
      </c>
      <c r="K345" s="10" t="s">
        <v>1787</v>
      </c>
      <c r="L345" s="10">
        <v>5.435575157E9</v>
      </c>
      <c r="M345" s="10" t="s">
        <v>72</v>
      </c>
      <c r="N345" s="10" t="s">
        <v>716</v>
      </c>
      <c r="O345" s="10" t="s">
        <v>1788</v>
      </c>
      <c r="P345" s="10" t="str">
        <f>VLOOKUP(A345,import!A:P,16,0)</f>
        <v>Geleneksel</v>
      </c>
      <c r="Q345" s="12"/>
      <c r="R345" s="12" t="b">
        <v>1</v>
      </c>
      <c r="S345" s="12" t="b">
        <v>0</v>
      </c>
      <c r="T345" s="13" t="s">
        <v>51</v>
      </c>
      <c r="U345" s="13" t="s">
        <v>87</v>
      </c>
      <c r="V345" s="13"/>
      <c r="W345" s="13" t="s">
        <v>1789</v>
      </c>
      <c r="X345" s="15">
        <v>44629.0</v>
      </c>
      <c r="Y345" s="15">
        <v>44630.0</v>
      </c>
      <c r="Z345" s="16"/>
      <c r="AA345" s="17" t="s">
        <v>56</v>
      </c>
      <c r="AB345" s="16">
        <v>44476.0</v>
      </c>
      <c r="AC345" s="17" t="s">
        <v>56</v>
      </c>
      <c r="AD345" s="16">
        <v>44629.0</v>
      </c>
      <c r="AE345" s="17"/>
      <c r="AF345" s="16"/>
      <c r="AG345" s="17"/>
      <c r="AH345" s="16"/>
      <c r="AI345" s="16"/>
      <c r="AJ345" s="16"/>
      <c r="AK345" s="17" t="s">
        <v>171</v>
      </c>
      <c r="AL345" s="17" t="s">
        <v>87</v>
      </c>
      <c r="AM345" s="16"/>
      <c r="AN345" s="16"/>
      <c r="AO345" s="16"/>
      <c r="AP345" s="18" t="s">
        <v>58</v>
      </c>
      <c r="AQ345" s="16"/>
    </row>
    <row r="346" ht="15.75" hidden="1" customHeight="1">
      <c r="A346" s="10" t="s">
        <v>1790</v>
      </c>
      <c r="B346" s="10" t="s">
        <v>1791</v>
      </c>
      <c r="C346" s="10" t="str">
        <f>VLOOKUP(A346,import!A:C,3,0)</f>
        <v>DOĞRU</v>
      </c>
      <c r="D346" s="10" t="s">
        <v>80</v>
      </c>
      <c r="E346" s="10">
        <f>VLOOKUP(A346,import!A:J,5,0)</f>
        <v>213</v>
      </c>
      <c r="F346" s="10" t="str">
        <f>VLOOKUP(A346,import!A:J,6,0)</f>
        <v/>
      </c>
      <c r="G346" s="10">
        <f>VLOOKUP(A346,import!A:J,7,0)</f>
        <v>0</v>
      </c>
      <c r="H346" s="10">
        <f>VLOOKUP(A346,import!A:J,8,0)</f>
        <v>10</v>
      </c>
      <c r="I346" s="10">
        <f>VLOOKUP(A346,import!A:J,9,0)</f>
        <v>10</v>
      </c>
      <c r="J346" s="11">
        <f>VLOOKUP(A346,import!A:J,10,0)</f>
        <v>0</v>
      </c>
      <c r="K346" s="10" t="s">
        <v>1792</v>
      </c>
      <c r="L346" s="10">
        <v>3.245444554E9</v>
      </c>
      <c r="M346" s="10" t="s">
        <v>47</v>
      </c>
      <c r="N346" s="10" t="s">
        <v>684</v>
      </c>
      <c r="O346" s="10" t="s">
        <v>1793</v>
      </c>
      <c r="P346" s="10" t="str">
        <f>VLOOKUP(A346,import!A:P,16,0)</f>
        <v>Geleneksel</v>
      </c>
      <c r="Q346" s="12"/>
      <c r="R346" s="12" t="b">
        <v>1</v>
      </c>
      <c r="S346" s="12" t="b">
        <v>0</v>
      </c>
      <c r="T346" s="13" t="s">
        <v>485</v>
      </c>
      <c r="U346" s="13"/>
      <c r="V346" s="13"/>
      <c r="W346" s="13" t="s">
        <v>1794</v>
      </c>
      <c r="X346" s="15"/>
      <c r="Y346" s="15"/>
      <c r="Z346" s="16"/>
      <c r="AA346" s="17" t="s">
        <v>56</v>
      </c>
      <c r="AB346" s="16">
        <v>44456.0</v>
      </c>
      <c r="AC346" s="17" t="s">
        <v>56</v>
      </c>
      <c r="AD346" s="16">
        <v>44459.0</v>
      </c>
      <c r="AE346" s="17"/>
      <c r="AF346" s="16"/>
      <c r="AG346" s="17"/>
      <c r="AH346" s="16"/>
      <c r="AI346" s="16"/>
      <c r="AJ346" s="16"/>
      <c r="AK346" s="17" t="s">
        <v>171</v>
      </c>
      <c r="AL346" s="17" t="s">
        <v>171</v>
      </c>
      <c r="AM346" s="16"/>
      <c r="AN346" s="16"/>
      <c r="AO346" s="16"/>
      <c r="AP346" s="18" t="s">
        <v>58</v>
      </c>
      <c r="AQ346" s="16"/>
    </row>
    <row r="347" ht="15.75" hidden="1" customHeight="1">
      <c r="A347" s="10" t="s">
        <v>1795</v>
      </c>
      <c r="B347" s="10" t="s">
        <v>1796</v>
      </c>
      <c r="C347" s="10" t="str">
        <f>VLOOKUP(A347,import!A:C,3,0)</f>
        <v>DOĞRU</v>
      </c>
      <c r="D347" s="10" t="s">
        <v>363</v>
      </c>
      <c r="E347" s="10">
        <f>VLOOKUP(A347,import!A:J,5,0)</f>
        <v>226</v>
      </c>
      <c r="F347" s="10">
        <f>VLOOKUP(A347,import!A:J,6,0)</f>
        <v>68</v>
      </c>
      <c r="G347" s="10">
        <f>VLOOKUP(A347,import!A:J,7,0)</f>
        <v>53</v>
      </c>
      <c r="H347" s="10">
        <f>VLOOKUP(A347,import!A:J,8,0)</f>
        <v>57</v>
      </c>
      <c r="I347" s="10">
        <f>VLOOKUP(A347,import!A:J,9,0)</f>
        <v>110</v>
      </c>
      <c r="J347" s="11">
        <f>VLOOKUP(A347,import!A:J,10,0)</f>
        <v>0.48</v>
      </c>
      <c r="K347" s="10" t="s">
        <v>1797</v>
      </c>
      <c r="L347" s="10">
        <v>3.243209971E9</v>
      </c>
      <c r="M347" s="10" t="s">
        <v>215</v>
      </c>
      <c r="N347" s="10" t="s">
        <v>634</v>
      </c>
      <c r="O347" s="10" t="s">
        <v>1798</v>
      </c>
      <c r="P347" s="10" t="str">
        <f>VLOOKUP(A347,import!A:P,16,0)</f>
        <v>Geleneksel</v>
      </c>
      <c r="Q347" s="12"/>
      <c r="R347" s="12" t="b">
        <v>1</v>
      </c>
      <c r="S347" s="12" t="b">
        <v>0</v>
      </c>
      <c r="T347" s="13" t="s">
        <v>51</v>
      </c>
      <c r="U347" s="13" t="s">
        <v>52</v>
      </c>
      <c r="V347" s="13" t="s">
        <v>131</v>
      </c>
      <c r="W347" s="13" t="s">
        <v>1799</v>
      </c>
      <c r="X347" s="15">
        <v>44628.0</v>
      </c>
      <c r="Y347" s="15">
        <v>44631.0</v>
      </c>
      <c r="Z347" s="16"/>
      <c r="AA347" s="17" t="s">
        <v>56</v>
      </c>
      <c r="AB347" s="16">
        <v>44628.0</v>
      </c>
      <c r="AC347" s="16"/>
      <c r="AD347" s="16"/>
      <c r="AE347" s="17"/>
      <c r="AF347" s="16"/>
      <c r="AG347" s="17"/>
      <c r="AH347" s="16"/>
      <c r="AI347" s="16"/>
      <c r="AJ347" s="16"/>
      <c r="AK347" s="17" t="s">
        <v>52</v>
      </c>
      <c r="AL347" s="16"/>
      <c r="AM347" s="16"/>
      <c r="AN347" s="16"/>
      <c r="AO347" s="16"/>
      <c r="AP347" s="18"/>
      <c r="AQ347" s="16"/>
    </row>
    <row r="348" ht="15.75" customHeight="1">
      <c r="A348" s="10" t="s">
        <v>1800</v>
      </c>
      <c r="B348" s="10" t="s">
        <v>1801</v>
      </c>
      <c r="C348" s="10" t="str">
        <f>VLOOKUP(A348,import!A:C,3,0)</f>
        <v>DOĞRU</v>
      </c>
      <c r="D348" s="10" t="s">
        <v>363</v>
      </c>
      <c r="E348" s="10">
        <f>VLOOKUP(A348,import!A:J,5,0)</f>
        <v>129</v>
      </c>
      <c r="F348" s="10">
        <f>VLOOKUP(A348,import!A:J,6,0)</f>
        <v>9</v>
      </c>
      <c r="G348" s="10">
        <f>VLOOKUP(A348,import!A:J,7,0)</f>
        <v>12</v>
      </c>
      <c r="H348" s="10">
        <f>VLOOKUP(A348,import!A:J,8,0)</f>
        <v>19</v>
      </c>
      <c r="I348" s="10">
        <f>VLOOKUP(A348,import!A:J,9,0)</f>
        <v>31</v>
      </c>
      <c r="J348" s="11">
        <f>VLOOKUP(A348,import!A:J,10,0)</f>
        <v>0.39</v>
      </c>
      <c r="K348" s="10" t="s">
        <v>1802</v>
      </c>
      <c r="L348" s="10">
        <v>5.342927466E9</v>
      </c>
      <c r="M348" s="10" t="s">
        <v>63</v>
      </c>
      <c r="N348" s="10" t="s">
        <v>209</v>
      </c>
      <c r="O348" s="10" t="s">
        <v>1803</v>
      </c>
      <c r="P348" s="10" t="str">
        <f>VLOOKUP(A348,import!A:P,16,0)</f>
        <v>Geleneksel</v>
      </c>
      <c r="Q348" s="12"/>
      <c r="R348" s="12" t="b">
        <v>1</v>
      </c>
      <c r="S348" s="12" t="b">
        <v>0</v>
      </c>
      <c r="T348" s="13" t="s">
        <v>51</v>
      </c>
      <c r="U348" s="13" t="s">
        <v>367</v>
      </c>
      <c r="V348" s="13" t="s">
        <v>53</v>
      </c>
      <c r="W348" s="13" t="s">
        <v>1804</v>
      </c>
      <c r="X348" s="15">
        <v>44446.0</v>
      </c>
      <c r="Y348" s="15">
        <v>44448.0</v>
      </c>
      <c r="Z348" s="16"/>
      <c r="AA348" s="17" t="s">
        <v>56</v>
      </c>
      <c r="AB348" s="16">
        <v>44446.0</v>
      </c>
      <c r="AC348" s="16"/>
      <c r="AD348" s="16"/>
      <c r="AE348" s="17"/>
      <c r="AF348" s="16"/>
      <c r="AG348" s="17"/>
      <c r="AH348" s="16"/>
      <c r="AI348" s="16"/>
      <c r="AJ348" s="16"/>
      <c r="AK348" s="17" t="s">
        <v>367</v>
      </c>
      <c r="AL348" s="16"/>
      <c r="AM348" s="16"/>
      <c r="AN348" s="16"/>
      <c r="AO348" s="16"/>
      <c r="AP348" s="18" t="s">
        <v>58</v>
      </c>
      <c r="AQ348" s="16"/>
    </row>
    <row r="349" ht="15.75" customHeight="1">
      <c r="A349" s="10" t="s">
        <v>1805</v>
      </c>
      <c r="B349" s="10" t="s">
        <v>1806</v>
      </c>
      <c r="C349" s="10" t="str">
        <f>VLOOKUP(A349,import!A:C,3,0)</f>
        <v>DOĞRU</v>
      </c>
      <c r="D349" s="10" t="s">
        <v>80</v>
      </c>
      <c r="E349" s="10">
        <f>VLOOKUP(A349,import!A:J,5,0)</f>
        <v>134</v>
      </c>
      <c r="F349" s="10">
        <f>VLOOKUP(A349,import!A:J,6,0)</f>
        <v>8</v>
      </c>
      <c r="G349" s="10">
        <f>VLOOKUP(A349,import!A:J,7,0)</f>
        <v>9</v>
      </c>
      <c r="H349" s="10">
        <f>VLOOKUP(A349,import!A:J,8,0)</f>
        <v>7</v>
      </c>
      <c r="I349" s="10">
        <f>VLOOKUP(A349,import!A:J,9,0)</f>
        <v>16</v>
      </c>
      <c r="J349" s="11">
        <f>VLOOKUP(A349,import!A:J,10,0)</f>
        <v>0.56</v>
      </c>
      <c r="K349" s="10" t="s">
        <v>1807</v>
      </c>
      <c r="L349" s="10">
        <v>5.305951733E9</v>
      </c>
      <c r="M349" s="10" t="s">
        <v>63</v>
      </c>
      <c r="N349" s="10" t="s">
        <v>1808</v>
      </c>
      <c r="O349" s="10" t="s">
        <v>1809</v>
      </c>
      <c r="P349" s="10" t="str">
        <f>VLOOKUP(A349,import!A:P,16,0)</f>
        <v>Geleneksel</v>
      </c>
      <c r="Q349" s="12" t="s">
        <v>146</v>
      </c>
      <c r="R349" s="12" t="b">
        <v>1</v>
      </c>
      <c r="S349" s="12" t="b">
        <v>0</v>
      </c>
      <c r="T349" s="13" t="s">
        <v>51</v>
      </c>
      <c r="U349" s="13" t="s">
        <v>103</v>
      </c>
      <c r="V349" s="13" t="s">
        <v>66</v>
      </c>
      <c r="W349" s="13" t="s">
        <v>1810</v>
      </c>
      <c r="X349" s="15">
        <v>44487.0</v>
      </c>
      <c r="Y349" s="15">
        <v>44498.0</v>
      </c>
      <c r="Z349" s="16"/>
      <c r="AA349" s="17" t="s">
        <v>230</v>
      </c>
      <c r="AB349" s="16">
        <v>44446.0</v>
      </c>
      <c r="AC349" s="17" t="s">
        <v>55</v>
      </c>
      <c r="AD349" s="16">
        <v>44450.0</v>
      </c>
      <c r="AE349" s="17" t="s">
        <v>86</v>
      </c>
      <c r="AF349" s="16">
        <v>44460.0</v>
      </c>
      <c r="AG349" s="17" t="s">
        <v>56</v>
      </c>
      <c r="AH349" s="16">
        <v>44487.0</v>
      </c>
      <c r="AI349" s="16"/>
      <c r="AJ349" s="16"/>
      <c r="AK349" s="17" t="s">
        <v>367</v>
      </c>
      <c r="AL349" s="17" t="s">
        <v>108</v>
      </c>
      <c r="AM349" s="17" t="s">
        <v>87</v>
      </c>
      <c r="AN349" s="17" t="s">
        <v>103</v>
      </c>
      <c r="AO349" s="16"/>
      <c r="AP349" s="18" t="s">
        <v>58</v>
      </c>
      <c r="AQ349" s="16"/>
    </row>
    <row r="350" ht="15.75" hidden="1" customHeight="1">
      <c r="A350" s="10" t="s">
        <v>1811</v>
      </c>
      <c r="B350" s="10" t="s">
        <v>1812</v>
      </c>
      <c r="C350" s="10" t="str">
        <f>VLOOKUP(A350,import!A:C,3,0)</f>
        <v>DOĞRU</v>
      </c>
      <c r="D350" s="10" t="s">
        <v>498</v>
      </c>
      <c r="E350" s="10">
        <f>VLOOKUP(A350,import!A:J,5,0)</f>
        <v>163</v>
      </c>
      <c r="F350" s="10">
        <f>VLOOKUP(A350,import!A:J,6,0)</f>
        <v>21</v>
      </c>
      <c r="G350" s="10">
        <f>VLOOKUP(A350,import!A:J,7,0)</f>
        <v>1</v>
      </c>
      <c r="H350" s="10">
        <f>VLOOKUP(A350,import!A:J,8,0)</f>
        <v>32</v>
      </c>
      <c r="I350" s="10">
        <f>VLOOKUP(A350,import!A:J,9,0)</f>
        <v>33</v>
      </c>
      <c r="J350" s="11">
        <f>VLOOKUP(A350,import!A:J,10,0)</f>
        <v>0.03</v>
      </c>
      <c r="K350" s="10" t="s">
        <v>1813</v>
      </c>
      <c r="L350" s="10">
        <v>5.334617843E9</v>
      </c>
      <c r="M350" s="10" t="s">
        <v>47</v>
      </c>
      <c r="N350" s="10" t="s">
        <v>489</v>
      </c>
      <c r="O350" s="10" t="s">
        <v>1814</v>
      </c>
      <c r="P350" s="10" t="str">
        <f>VLOOKUP(A350,import!A:P,16,0)</f>
        <v>Geleneksel</v>
      </c>
      <c r="Q350" s="12"/>
      <c r="R350" s="12" t="b">
        <v>0</v>
      </c>
      <c r="S350" s="12" t="b">
        <v>0</v>
      </c>
      <c r="T350" s="13"/>
      <c r="U350" s="13"/>
      <c r="V350" s="13"/>
      <c r="W350" s="13" t="s">
        <v>1815</v>
      </c>
      <c r="X350" s="15"/>
      <c r="Y350" s="15"/>
      <c r="Z350" s="16"/>
      <c r="AA350" s="17" t="s">
        <v>55</v>
      </c>
      <c r="AB350" s="15">
        <v>44694.0</v>
      </c>
      <c r="AC350" s="16"/>
      <c r="AD350" s="16"/>
      <c r="AE350" s="17"/>
      <c r="AF350" s="16"/>
      <c r="AG350" s="17"/>
      <c r="AH350" s="16"/>
      <c r="AI350" s="16"/>
      <c r="AJ350" s="16"/>
      <c r="AK350" s="17" t="s">
        <v>367</v>
      </c>
      <c r="AL350" s="16"/>
      <c r="AM350" s="16"/>
      <c r="AN350" s="16"/>
      <c r="AO350" s="16"/>
      <c r="AP350" s="18"/>
      <c r="AQ350" s="16"/>
    </row>
    <row r="351" ht="15.75" hidden="1" customHeight="1">
      <c r="A351" s="10" t="s">
        <v>1816</v>
      </c>
      <c r="B351" s="10" t="s">
        <v>1817</v>
      </c>
      <c r="C351" s="10" t="str">
        <f>VLOOKUP(A351,import!A:C,3,0)</f>
        <v>DOĞRU</v>
      </c>
      <c r="D351" s="10" t="s">
        <v>363</v>
      </c>
      <c r="E351" s="10">
        <f>VLOOKUP(A351,import!A:J,5,0)</f>
        <v>1554</v>
      </c>
      <c r="F351" s="10">
        <f>VLOOKUP(A351,import!A:J,6,0)</f>
        <v>120</v>
      </c>
      <c r="G351" s="10">
        <f>VLOOKUP(A351,import!A:J,7,0)</f>
        <v>13</v>
      </c>
      <c r="H351" s="10">
        <f>VLOOKUP(A351,import!A:J,8,0)</f>
        <v>15</v>
      </c>
      <c r="I351" s="10">
        <f>VLOOKUP(A351,import!A:J,9,0)</f>
        <v>28</v>
      </c>
      <c r="J351" s="11">
        <f>VLOOKUP(A351,import!A:J,10,0)</f>
        <v>0.46</v>
      </c>
      <c r="K351" s="10" t="s">
        <v>1818</v>
      </c>
      <c r="L351" s="10">
        <v>5.367997163E9</v>
      </c>
      <c r="M351" s="10" t="s">
        <v>215</v>
      </c>
      <c r="N351" s="10" t="s">
        <v>745</v>
      </c>
      <c r="O351" s="10" t="s">
        <v>1819</v>
      </c>
      <c r="P351" s="10" t="str">
        <f>VLOOKUP(A351,import!A:P,16,0)</f>
        <v>Geleneksel</v>
      </c>
      <c r="Q351" s="12"/>
      <c r="R351" s="12" t="b">
        <v>1</v>
      </c>
      <c r="S351" s="12" t="b">
        <v>0</v>
      </c>
      <c r="T351" s="13" t="s">
        <v>51</v>
      </c>
      <c r="U351" s="13" t="s">
        <v>133</v>
      </c>
      <c r="V351" s="13" t="s">
        <v>53</v>
      </c>
      <c r="W351" s="13" t="s">
        <v>1820</v>
      </c>
      <c r="X351" s="15">
        <v>44508.0</v>
      </c>
      <c r="Y351" s="15">
        <v>44510.0</v>
      </c>
      <c r="Z351" s="16"/>
      <c r="AA351" s="17" t="s">
        <v>56</v>
      </c>
      <c r="AB351" s="16">
        <v>44384.0</v>
      </c>
      <c r="AC351" s="17" t="s">
        <v>56</v>
      </c>
      <c r="AD351" s="16">
        <v>44393.0</v>
      </c>
      <c r="AE351" s="17" t="s">
        <v>56</v>
      </c>
      <c r="AF351" s="16">
        <v>44412.0</v>
      </c>
      <c r="AG351" s="17" t="s">
        <v>56</v>
      </c>
      <c r="AH351" s="16">
        <v>44508.0</v>
      </c>
      <c r="AI351" s="17" t="s">
        <v>56</v>
      </c>
      <c r="AJ351" s="16">
        <v>44548.0</v>
      </c>
      <c r="AK351" s="17" t="s">
        <v>1698</v>
      </c>
      <c r="AL351" s="17" t="s">
        <v>52</v>
      </c>
      <c r="AM351" s="17" t="s">
        <v>57</v>
      </c>
      <c r="AN351" s="17" t="s">
        <v>133</v>
      </c>
      <c r="AO351" s="17" t="s">
        <v>89</v>
      </c>
      <c r="AP351" s="18" t="s">
        <v>58</v>
      </c>
      <c r="AQ351" s="16"/>
    </row>
    <row r="352" ht="15.75" hidden="1" customHeight="1">
      <c r="A352" s="10" t="s">
        <v>1821</v>
      </c>
      <c r="B352" s="10" t="s">
        <v>1822</v>
      </c>
      <c r="C352" s="10" t="str">
        <f>VLOOKUP(A352,import!A:C,3,0)</f>
        <v>DOĞRU</v>
      </c>
      <c r="D352" s="10" t="s">
        <v>70</v>
      </c>
      <c r="E352" s="10">
        <f>VLOOKUP(A352,import!A:J,5,0)</f>
        <v>455</v>
      </c>
      <c r="F352" s="10">
        <f>VLOOKUP(A352,import!A:J,6,0)</f>
        <v>14</v>
      </c>
      <c r="G352" s="10">
        <f>VLOOKUP(A352,import!A:J,7,0)</f>
        <v>12</v>
      </c>
      <c r="H352" s="10">
        <f>VLOOKUP(A352,import!A:J,8,0)</f>
        <v>6</v>
      </c>
      <c r="I352" s="10">
        <f>VLOOKUP(A352,import!A:J,9,0)</f>
        <v>18</v>
      </c>
      <c r="J352" s="11">
        <f>VLOOKUP(A352,import!A:J,10,0)</f>
        <v>0.67</v>
      </c>
      <c r="K352" s="10" t="s">
        <v>1823</v>
      </c>
      <c r="L352" s="10">
        <v>3.24325216E9</v>
      </c>
      <c r="M352" s="10" t="s">
        <v>72</v>
      </c>
      <c r="N352" s="10" t="s">
        <v>1277</v>
      </c>
      <c r="O352" s="10" t="s">
        <v>1824</v>
      </c>
      <c r="P352" s="10" t="str">
        <f>VLOOKUP(A352,import!A:P,16,0)</f>
        <v>Geleneksel</v>
      </c>
      <c r="Q352" s="12"/>
      <c r="R352" s="12" t="b">
        <v>1</v>
      </c>
      <c r="S352" s="12" t="b">
        <v>0</v>
      </c>
      <c r="T352" s="13" t="s">
        <v>51</v>
      </c>
      <c r="U352" s="13" t="s">
        <v>103</v>
      </c>
      <c r="V352" s="13" t="s">
        <v>66</v>
      </c>
      <c r="W352" s="13">
        <v>5.074991321E9</v>
      </c>
      <c r="X352" s="15">
        <v>44483.0</v>
      </c>
      <c r="Y352" s="15">
        <v>44484.0</v>
      </c>
      <c r="Z352" s="16"/>
      <c r="AA352" s="17" t="s">
        <v>86</v>
      </c>
      <c r="AB352" s="16">
        <v>44482.0</v>
      </c>
      <c r="AC352" s="16"/>
      <c r="AD352" s="16"/>
      <c r="AE352" s="17"/>
      <c r="AF352" s="16"/>
      <c r="AG352" s="17"/>
      <c r="AH352" s="16"/>
      <c r="AI352" s="16"/>
      <c r="AJ352" s="16"/>
      <c r="AK352" s="17" t="s">
        <v>52</v>
      </c>
      <c r="AL352" s="16"/>
      <c r="AM352" s="16"/>
      <c r="AN352" s="16"/>
      <c r="AO352" s="16"/>
      <c r="AP352" s="18" t="s">
        <v>58</v>
      </c>
      <c r="AQ352" s="16"/>
    </row>
    <row r="353" ht="15.75" hidden="1" customHeight="1">
      <c r="A353" s="10" t="s">
        <v>1825</v>
      </c>
      <c r="B353" s="10" t="s">
        <v>1826</v>
      </c>
      <c r="C353" s="10" t="str">
        <f>VLOOKUP(A353,import!A:C,3,0)</f>
        <v>DOĞRU</v>
      </c>
      <c r="D353" s="10" t="s">
        <v>45</v>
      </c>
      <c r="E353" s="10">
        <f>VLOOKUP(A353,import!A:J,5,0)</f>
        <v>883</v>
      </c>
      <c r="F353" s="10">
        <f>VLOOKUP(A353,import!A:J,6,0)</f>
        <v>32</v>
      </c>
      <c r="G353" s="10">
        <f>VLOOKUP(A353,import!A:J,7,0)</f>
        <v>9</v>
      </c>
      <c r="H353" s="10">
        <f>VLOOKUP(A353,import!A:J,8,0)</f>
        <v>70</v>
      </c>
      <c r="I353" s="10">
        <f>VLOOKUP(A353,import!A:J,9,0)</f>
        <v>79</v>
      </c>
      <c r="J353" s="11">
        <f>VLOOKUP(A353,import!A:J,10,0)</f>
        <v>0.11</v>
      </c>
      <c r="K353" s="10" t="s">
        <v>1827</v>
      </c>
      <c r="L353" s="10">
        <v>3.24933405E9</v>
      </c>
      <c r="M353" s="10" t="s">
        <v>47</v>
      </c>
      <c r="N353" s="10" t="s">
        <v>489</v>
      </c>
      <c r="O353" s="10" t="s">
        <v>1828</v>
      </c>
      <c r="P353" s="10" t="str">
        <f>VLOOKUP(A353,import!A:P,16,0)</f>
        <v>Geleneksel</v>
      </c>
      <c r="Q353" s="12" t="s">
        <v>84</v>
      </c>
      <c r="R353" s="12" t="b">
        <v>1</v>
      </c>
      <c r="S353" s="12" t="b">
        <v>0</v>
      </c>
      <c r="T353" s="13" t="s">
        <v>265</v>
      </c>
      <c r="U353" s="13"/>
      <c r="V353" s="13"/>
      <c r="W353" s="13" t="s">
        <v>1829</v>
      </c>
      <c r="X353" s="15"/>
      <c r="Y353" s="15"/>
      <c r="Z353" s="16"/>
      <c r="AA353" s="17" t="s">
        <v>265</v>
      </c>
      <c r="AB353" s="16">
        <v>44499.0</v>
      </c>
      <c r="AC353" s="16"/>
      <c r="AD353" s="16"/>
      <c r="AE353" s="17"/>
      <c r="AF353" s="16"/>
      <c r="AG353" s="17"/>
      <c r="AH353" s="16"/>
      <c r="AI353" s="16"/>
      <c r="AJ353" s="16"/>
      <c r="AK353" s="17" t="s">
        <v>89</v>
      </c>
      <c r="AL353" s="16"/>
      <c r="AM353" s="16"/>
      <c r="AN353" s="16"/>
      <c r="AO353" s="16"/>
      <c r="AP353" s="18" t="s">
        <v>58</v>
      </c>
      <c r="AQ353" s="16"/>
    </row>
    <row r="354" ht="15.75" customHeight="1">
      <c r="A354" s="10" t="s">
        <v>1830</v>
      </c>
      <c r="B354" s="10" t="s">
        <v>1831</v>
      </c>
      <c r="C354" s="10" t="str">
        <f>VLOOKUP(A354,import!A:C,3,0)</f>
        <v>DOĞRU</v>
      </c>
      <c r="D354" s="10" t="s">
        <v>45</v>
      </c>
      <c r="E354" s="10">
        <f>VLOOKUP(A354,import!A:J,5,0)</f>
        <v>8638</v>
      </c>
      <c r="F354" s="10">
        <f>VLOOKUP(A354,import!A:J,6,0)</f>
        <v>252</v>
      </c>
      <c r="G354" s="10">
        <f>VLOOKUP(A354,import!A:J,7,0)</f>
        <v>29</v>
      </c>
      <c r="H354" s="10">
        <f>VLOOKUP(A354,import!A:J,8,0)</f>
        <v>57</v>
      </c>
      <c r="I354" s="10">
        <f>VLOOKUP(A354,import!A:J,9,0)</f>
        <v>86</v>
      </c>
      <c r="J354" s="11">
        <f>VLOOKUP(A354,import!A:J,10,0)</f>
        <v>0.34</v>
      </c>
      <c r="K354" s="10" t="s">
        <v>1832</v>
      </c>
      <c r="L354" s="10">
        <v>3.249992787E9</v>
      </c>
      <c r="M354" s="10" t="s">
        <v>63</v>
      </c>
      <c r="N354" s="10" t="s">
        <v>566</v>
      </c>
      <c r="O354" s="10" t="s">
        <v>1833</v>
      </c>
      <c r="P354" s="10" t="str">
        <f>VLOOKUP(A354,import!A:P,16,0)</f>
        <v>Geleneksel</v>
      </c>
      <c r="Q354" s="12" t="s">
        <v>84</v>
      </c>
      <c r="R354" s="12" t="b">
        <v>1</v>
      </c>
      <c r="S354" s="12" t="b">
        <v>1</v>
      </c>
      <c r="T354" s="13"/>
      <c r="U354" s="13"/>
      <c r="V354" s="19"/>
      <c r="W354" s="13" t="s">
        <v>1834</v>
      </c>
      <c r="X354" s="15"/>
      <c r="Y354" s="15"/>
      <c r="Z354" s="16"/>
      <c r="AA354" s="17" t="s">
        <v>265</v>
      </c>
      <c r="AB354" s="16">
        <v>44417.0</v>
      </c>
      <c r="AC354" s="17" t="s">
        <v>56</v>
      </c>
      <c r="AD354" s="16">
        <v>44495.0</v>
      </c>
      <c r="AE354" s="17" t="s">
        <v>56</v>
      </c>
      <c r="AF354" s="16">
        <v>44501.0</v>
      </c>
      <c r="AG354" s="17" t="s">
        <v>56</v>
      </c>
      <c r="AH354" s="16">
        <v>44558.0</v>
      </c>
      <c r="AI354" s="16"/>
      <c r="AJ354" s="16"/>
      <c r="AK354" s="17" t="s">
        <v>57</v>
      </c>
      <c r="AL354" s="17" t="s">
        <v>89</v>
      </c>
      <c r="AM354" s="17" t="s">
        <v>1470</v>
      </c>
      <c r="AN354" s="17" t="s">
        <v>87</v>
      </c>
      <c r="AO354" s="16"/>
      <c r="AP354" s="18" t="s">
        <v>58</v>
      </c>
      <c r="AQ354" s="16"/>
    </row>
    <row r="355" ht="15.75" hidden="1" customHeight="1">
      <c r="A355" s="10" t="s">
        <v>1835</v>
      </c>
      <c r="B355" s="10" t="s">
        <v>1836</v>
      </c>
      <c r="C355" s="10" t="str">
        <f>VLOOKUP(A355,import!A:C,3,0)</f>
        <v>DOĞRU</v>
      </c>
      <c r="D355" s="10" t="s">
        <v>45</v>
      </c>
      <c r="E355" s="10">
        <f>VLOOKUP(A355,import!A:J,5,0)</f>
        <v>6777</v>
      </c>
      <c r="F355" s="10">
        <f>VLOOKUP(A355,import!A:J,6,0)</f>
        <v>127</v>
      </c>
      <c r="G355" s="10">
        <f>VLOOKUP(A355,import!A:J,7,0)</f>
        <v>26</v>
      </c>
      <c r="H355" s="10">
        <f>VLOOKUP(A355,import!A:J,8,0)</f>
        <v>57</v>
      </c>
      <c r="I355" s="10">
        <f>VLOOKUP(A355,import!A:J,9,0)</f>
        <v>83</v>
      </c>
      <c r="J355" s="11">
        <f>VLOOKUP(A355,import!A:J,10,0)</f>
        <v>0.31</v>
      </c>
      <c r="K355" s="10" t="s">
        <v>1832</v>
      </c>
      <c r="L355" s="10">
        <v>3.243252444E9</v>
      </c>
      <c r="M355" s="10" t="s">
        <v>72</v>
      </c>
      <c r="N355" s="10" t="s">
        <v>73</v>
      </c>
      <c r="O355" s="10" t="s">
        <v>1837</v>
      </c>
      <c r="P355" s="10" t="str">
        <f>VLOOKUP(A355,import!A:P,16,0)</f>
        <v>Geleneksel</v>
      </c>
      <c r="Q355" s="12" t="s">
        <v>84</v>
      </c>
      <c r="R355" s="12" t="b">
        <v>1</v>
      </c>
      <c r="S355" s="12" t="b">
        <v>0</v>
      </c>
      <c r="T355" s="13" t="s">
        <v>265</v>
      </c>
      <c r="U355" s="13"/>
      <c r="V355" s="13"/>
      <c r="W355" s="13" t="s">
        <v>1838</v>
      </c>
      <c r="X355" s="15"/>
      <c r="Y355" s="15"/>
      <c r="Z355" s="16"/>
      <c r="AA355" s="17" t="s">
        <v>265</v>
      </c>
      <c r="AB355" s="16">
        <v>44417.0</v>
      </c>
      <c r="AC355" s="17" t="s">
        <v>55</v>
      </c>
      <c r="AD355" s="16">
        <v>44434.0</v>
      </c>
      <c r="AE355" s="17" t="s">
        <v>86</v>
      </c>
      <c r="AF355" s="16">
        <v>44456.0</v>
      </c>
      <c r="AG355" s="17" t="s">
        <v>56</v>
      </c>
      <c r="AH355" s="16">
        <v>44506.0</v>
      </c>
      <c r="AI355" s="16"/>
      <c r="AJ355" s="16"/>
      <c r="AK355" s="17" t="s">
        <v>57</v>
      </c>
      <c r="AL355" s="17" t="s">
        <v>367</v>
      </c>
      <c r="AM355" s="17" t="s">
        <v>171</v>
      </c>
      <c r="AN355" s="17" t="s">
        <v>89</v>
      </c>
      <c r="AO355" s="16"/>
      <c r="AP355" s="18" t="s">
        <v>58</v>
      </c>
      <c r="AQ355" s="16"/>
    </row>
    <row r="356" ht="15.75" hidden="1" customHeight="1">
      <c r="A356" s="10" t="s">
        <v>1839</v>
      </c>
      <c r="B356" s="10" t="s">
        <v>1840</v>
      </c>
      <c r="C356" s="10" t="str">
        <f>VLOOKUP(A356,import!A:C,3,0)</f>
        <v>YANLIŞ</v>
      </c>
      <c r="D356" s="10" t="s">
        <v>106</v>
      </c>
      <c r="E356" s="10">
        <f>VLOOKUP(A356,import!A:J,5,0)</f>
        <v>357</v>
      </c>
      <c r="F356" s="10" t="str">
        <f>VLOOKUP(A356,import!A:J,6,0)</f>
        <v/>
      </c>
      <c r="G356" s="10">
        <f>VLOOKUP(A356,import!A:J,7,0)</f>
        <v>0</v>
      </c>
      <c r="H356" s="10">
        <f>VLOOKUP(A356,import!A:J,8,0)</f>
        <v>14</v>
      </c>
      <c r="I356" s="10">
        <f>VLOOKUP(A356,import!A:J,9,0)</f>
        <v>14</v>
      </c>
      <c r="J356" s="11">
        <f>VLOOKUP(A356,import!A:J,10,0)</f>
        <v>0</v>
      </c>
      <c r="K356" s="10" t="s">
        <v>1841</v>
      </c>
      <c r="L356" s="10">
        <v>3.245154244E9</v>
      </c>
      <c r="M356" s="10" t="s">
        <v>47</v>
      </c>
      <c r="N356" s="10" t="s">
        <v>489</v>
      </c>
      <c r="O356" s="10" t="s">
        <v>1842</v>
      </c>
      <c r="P356" s="10" t="str">
        <f>VLOOKUP(A356,import!A:P,16,0)</f>
        <v>Geleneksel</v>
      </c>
      <c r="Q356" s="12"/>
      <c r="R356" s="12" t="b">
        <v>0</v>
      </c>
      <c r="S356" s="12" t="b">
        <v>0</v>
      </c>
      <c r="T356" s="13" t="s">
        <v>485</v>
      </c>
      <c r="U356" s="13"/>
      <c r="V356" s="13"/>
      <c r="W356" s="13" t="s">
        <v>1843</v>
      </c>
      <c r="X356" s="15"/>
      <c r="Y356" s="15"/>
      <c r="Z356" s="16"/>
      <c r="AA356" s="17" t="s">
        <v>55</v>
      </c>
      <c r="AB356" s="16">
        <v>44508.0</v>
      </c>
      <c r="AC356" s="17" t="s">
        <v>55</v>
      </c>
      <c r="AD356" s="16">
        <v>44538.0</v>
      </c>
      <c r="AE356" s="17"/>
      <c r="AF356" s="16"/>
      <c r="AG356" s="17"/>
      <c r="AH356" s="16"/>
      <c r="AI356" s="16"/>
      <c r="AJ356" s="16"/>
      <c r="AK356" s="17" t="s">
        <v>133</v>
      </c>
      <c r="AL356" s="17" t="s">
        <v>103</v>
      </c>
      <c r="AM356" s="16"/>
      <c r="AN356" s="16"/>
      <c r="AO356" s="16"/>
      <c r="AP356" s="18" t="s">
        <v>58</v>
      </c>
      <c r="AQ356" s="16"/>
    </row>
    <row r="357" ht="15.75" hidden="1" customHeight="1">
      <c r="A357" s="18" t="s">
        <v>1844</v>
      </c>
      <c r="B357" s="18" t="s">
        <v>1845</v>
      </c>
      <c r="C357" s="10" t="str">
        <f>VLOOKUP(A357,import!A:C,3,0)</f>
        <v>DOĞRU</v>
      </c>
      <c r="D357" s="18" t="s">
        <v>372</v>
      </c>
      <c r="E357" s="10">
        <f>VLOOKUP(A357,import!A:J,5,0)</f>
        <v>15</v>
      </c>
      <c r="F357" s="10">
        <f>VLOOKUP(A357,import!A:J,6,0)</f>
        <v>15</v>
      </c>
      <c r="G357" s="10">
        <f>VLOOKUP(A357,import!A:J,7,0)</f>
        <v>0</v>
      </c>
      <c r="H357" s="10">
        <f>VLOOKUP(A357,import!A:J,8,0)</f>
        <v>30</v>
      </c>
      <c r="I357" s="10">
        <f>VLOOKUP(A357,import!A:J,9,0)</f>
        <v>30</v>
      </c>
      <c r="J357" s="11">
        <f>VLOOKUP(A357,import!A:J,10,0)</f>
        <v>0</v>
      </c>
      <c r="K357" s="18" t="s">
        <v>1846</v>
      </c>
      <c r="L357" s="18">
        <v>3.248142494E9</v>
      </c>
      <c r="M357" s="18" t="s">
        <v>902</v>
      </c>
      <c r="N357" s="18" t="s">
        <v>903</v>
      </c>
      <c r="O357" s="18" t="s">
        <v>1847</v>
      </c>
      <c r="P357" s="10" t="str">
        <f>VLOOKUP(A357,import!A:P,16,0)</f>
        <v>Geleneksel</v>
      </c>
      <c r="Q357" s="12"/>
      <c r="R357" s="12" t="b">
        <v>0</v>
      </c>
      <c r="S357" s="12" t="b">
        <v>0</v>
      </c>
      <c r="T357" s="13"/>
      <c r="U357" s="13"/>
      <c r="V357" s="13"/>
      <c r="W357" s="13"/>
      <c r="X357" s="15"/>
      <c r="Y357" s="15"/>
      <c r="Z357" s="16"/>
      <c r="AA357" s="17"/>
      <c r="AB357" s="16"/>
      <c r="AC357" s="16"/>
      <c r="AD357" s="16"/>
      <c r="AE357" s="17"/>
      <c r="AF357" s="16"/>
      <c r="AG357" s="17"/>
      <c r="AH357" s="16"/>
      <c r="AI357" s="16"/>
      <c r="AJ357" s="16"/>
      <c r="AK357" s="17"/>
      <c r="AL357" s="16"/>
      <c r="AM357" s="16"/>
      <c r="AN357" s="16"/>
      <c r="AO357" s="16"/>
      <c r="AP357" s="18"/>
      <c r="AQ357" s="16"/>
    </row>
    <row r="358" ht="15.75" customHeight="1">
      <c r="A358" s="10" t="s">
        <v>1848</v>
      </c>
      <c r="B358" s="10" t="s">
        <v>1849</v>
      </c>
      <c r="C358" s="10" t="str">
        <f>VLOOKUP(A358,import!A:C,3,0)</f>
        <v>DOĞRU</v>
      </c>
      <c r="D358" s="10" t="s">
        <v>363</v>
      </c>
      <c r="E358" s="10">
        <f>VLOOKUP(A358,import!A:J,5,0)</f>
        <v>134</v>
      </c>
      <c r="F358" s="10" t="str">
        <f>VLOOKUP(A358,import!A:J,6,0)</f>
        <v/>
      </c>
      <c r="G358" s="10">
        <f>VLOOKUP(A358,import!A:J,7,0)</f>
        <v>11</v>
      </c>
      <c r="H358" s="10">
        <f>VLOOKUP(A358,import!A:J,8,0)</f>
        <v>10</v>
      </c>
      <c r="I358" s="10">
        <f>VLOOKUP(A358,import!A:J,9,0)</f>
        <v>21</v>
      </c>
      <c r="J358" s="11">
        <f>VLOOKUP(A358,import!A:J,10,0)</f>
        <v>0.52</v>
      </c>
      <c r="K358" s="10" t="s">
        <v>1850</v>
      </c>
      <c r="L358" s="10">
        <v>5.340561567E9</v>
      </c>
      <c r="M358" s="10" t="s">
        <v>63</v>
      </c>
      <c r="N358" s="10" t="s">
        <v>93</v>
      </c>
      <c r="O358" s="10" t="s">
        <v>1851</v>
      </c>
      <c r="P358" s="10" t="str">
        <f>VLOOKUP(A358,import!A:P,16,0)</f>
        <v>Geleneksel</v>
      </c>
      <c r="Q358" s="12"/>
      <c r="R358" s="12" t="b">
        <v>1</v>
      </c>
      <c r="S358" s="12" t="b">
        <v>0</v>
      </c>
      <c r="T358" s="13" t="s">
        <v>51</v>
      </c>
      <c r="U358" s="13" t="s">
        <v>171</v>
      </c>
      <c r="V358" s="13" t="s">
        <v>53</v>
      </c>
      <c r="W358" s="28" t="s">
        <v>1852</v>
      </c>
      <c r="X358" s="15">
        <v>44483.0</v>
      </c>
      <c r="Y358" s="15">
        <v>44487.0</v>
      </c>
      <c r="Z358" s="17" t="s">
        <v>616</v>
      </c>
      <c r="AA358" s="17" t="s">
        <v>56</v>
      </c>
      <c r="AB358" s="16">
        <v>44417.0</v>
      </c>
      <c r="AC358" s="17" t="s">
        <v>56</v>
      </c>
      <c r="AD358" s="16">
        <v>44431.0</v>
      </c>
      <c r="AE358" s="17" t="s">
        <v>56</v>
      </c>
      <c r="AF358" s="16">
        <v>44461.0</v>
      </c>
      <c r="AG358" s="17" t="s">
        <v>56</v>
      </c>
      <c r="AH358" s="16">
        <v>44483.0</v>
      </c>
      <c r="AI358" s="16"/>
      <c r="AJ358" s="16"/>
      <c r="AK358" s="17" t="s">
        <v>52</v>
      </c>
      <c r="AL358" s="17" t="s">
        <v>52</v>
      </c>
      <c r="AM358" s="17" t="s">
        <v>52</v>
      </c>
      <c r="AN358" s="17" t="s">
        <v>171</v>
      </c>
      <c r="AO358" s="16"/>
      <c r="AP358" s="18" t="s">
        <v>58</v>
      </c>
      <c r="AQ358" s="16"/>
    </row>
    <row r="359" ht="15.75" customHeight="1">
      <c r="A359" s="10" t="s">
        <v>1853</v>
      </c>
      <c r="B359" s="10" t="s">
        <v>1854</v>
      </c>
      <c r="C359" s="10" t="str">
        <f>VLOOKUP(A359,import!A:C,3,0)</f>
        <v>YANLIŞ</v>
      </c>
      <c r="D359" s="10" t="s">
        <v>118</v>
      </c>
      <c r="E359" s="10">
        <f>VLOOKUP(A359,import!A:J,5,0)</f>
        <v>145</v>
      </c>
      <c r="F359" s="10" t="str">
        <f>VLOOKUP(A359,import!A:J,6,0)</f>
        <v/>
      </c>
      <c r="G359" s="10">
        <f>VLOOKUP(A359,import!A:J,7,0)</f>
        <v>0</v>
      </c>
      <c r="H359" s="10">
        <f>VLOOKUP(A359,import!A:J,8,0)</f>
        <v>11</v>
      </c>
      <c r="I359" s="10">
        <f>VLOOKUP(A359,import!A:J,9,0)</f>
        <v>11</v>
      </c>
      <c r="J359" s="11">
        <f>VLOOKUP(A359,import!A:J,10,0)</f>
        <v>0</v>
      </c>
      <c r="K359" s="10" t="s">
        <v>1855</v>
      </c>
      <c r="L359" s="10">
        <v>3.243582838E9</v>
      </c>
      <c r="M359" s="10" t="s">
        <v>63</v>
      </c>
      <c r="N359" s="10" t="s">
        <v>209</v>
      </c>
      <c r="O359" s="10" t="s">
        <v>1856</v>
      </c>
      <c r="P359" s="10" t="str">
        <f>VLOOKUP(A359,import!A:P,16,0)</f>
        <v>Geleneksel</v>
      </c>
      <c r="Q359" s="12" t="s">
        <v>50</v>
      </c>
      <c r="R359" s="12" t="b">
        <v>1</v>
      </c>
      <c r="S359" s="12" t="b">
        <v>0</v>
      </c>
      <c r="T359" s="13" t="s">
        <v>199</v>
      </c>
      <c r="U359" s="13" t="s">
        <v>108</v>
      </c>
      <c r="V359" s="13" t="s">
        <v>66</v>
      </c>
      <c r="W359" s="35" t="s">
        <v>1857</v>
      </c>
      <c r="X359" s="15">
        <v>44267.0</v>
      </c>
      <c r="Y359" s="15">
        <v>44274.0</v>
      </c>
      <c r="Z359" s="16"/>
      <c r="AA359" s="17" t="s">
        <v>56</v>
      </c>
      <c r="AB359" s="16">
        <v>44495.0</v>
      </c>
      <c r="AC359" s="16"/>
      <c r="AD359" s="16"/>
      <c r="AE359" s="17"/>
      <c r="AF359" s="16"/>
      <c r="AG359" s="17"/>
      <c r="AH359" s="16"/>
      <c r="AI359" s="16"/>
      <c r="AJ359" s="16"/>
      <c r="AK359" s="17" t="s">
        <v>89</v>
      </c>
      <c r="AL359" s="16"/>
      <c r="AM359" s="16"/>
      <c r="AN359" s="16"/>
      <c r="AO359" s="16"/>
      <c r="AP359" s="18" t="s">
        <v>58</v>
      </c>
      <c r="AQ359" s="16"/>
    </row>
    <row r="360" ht="15.75" hidden="1" customHeight="1">
      <c r="A360" s="10" t="s">
        <v>1858</v>
      </c>
      <c r="B360" s="10" t="s">
        <v>1859</v>
      </c>
      <c r="C360" s="10" t="str">
        <f>VLOOKUP(A360,import!A:C,3,0)</f>
        <v>DOĞRU</v>
      </c>
      <c r="D360" s="10" t="s">
        <v>80</v>
      </c>
      <c r="E360" s="10">
        <f>VLOOKUP(A360,import!A:J,5,0)</f>
        <v>241</v>
      </c>
      <c r="F360" s="10">
        <f>VLOOKUP(A360,import!A:J,6,0)</f>
        <v>49</v>
      </c>
      <c r="G360" s="10">
        <f>VLOOKUP(A360,import!A:J,7,0)</f>
        <v>0</v>
      </c>
      <c r="H360" s="10">
        <f>VLOOKUP(A360,import!A:J,8,0)</f>
        <v>9</v>
      </c>
      <c r="I360" s="10">
        <f>VLOOKUP(A360,import!A:J,9,0)</f>
        <v>9</v>
      </c>
      <c r="J360" s="11">
        <f>VLOOKUP(A360,import!A:J,10,0)</f>
        <v>0</v>
      </c>
      <c r="K360" s="10" t="s">
        <v>1860</v>
      </c>
      <c r="L360" s="10">
        <v>5.305906686E9</v>
      </c>
      <c r="M360" s="10" t="s">
        <v>156</v>
      </c>
      <c r="N360" s="10" t="s">
        <v>306</v>
      </c>
      <c r="O360" s="10" t="s">
        <v>1861</v>
      </c>
      <c r="P360" s="10" t="str">
        <f>VLOOKUP(A360,import!A:P,16,0)</f>
        <v>Geleneksel</v>
      </c>
      <c r="Q360" s="12"/>
      <c r="R360" s="12" t="b">
        <v>0</v>
      </c>
      <c r="S360" s="12" t="b">
        <v>0</v>
      </c>
      <c r="T360" s="13"/>
      <c r="U360" s="13"/>
      <c r="V360" s="13"/>
      <c r="W360" s="13"/>
      <c r="X360" s="15"/>
      <c r="Y360" s="15"/>
      <c r="Z360" s="16"/>
      <c r="AA360" s="17"/>
      <c r="AB360" s="16"/>
      <c r="AC360" s="16"/>
      <c r="AD360" s="16"/>
      <c r="AE360" s="17"/>
      <c r="AF360" s="16"/>
      <c r="AG360" s="17"/>
      <c r="AH360" s="16"/>
      <c r="AI360" s="16"/>
      <c r="AJ360" s="16"/>
      <c r="AK360" s="17"/>
      <c r="AL360" s="16"/>
      <c r="AM360" s="16"/>
      <c r="AN360" s="16"/>
      <c r="AO360" s="16"/>
      <c r="AP360" s="18"/>
      <c r="AQ360" s="16"/>
    </row>
    <row r="361" ht="15.75" hidden="1" customHeight="1">
      <c r="A361" s="10" t="s">
        <v>1862</v>
      </c>
      <c r="B361" s="10" t="s">
        <v>1863</v>
      </c>
      <c r="C361" s="10" t="str">
        <f>VLOOKUP(A361,import!A:C,3,0)</f>
        <v>DOĞRU</v>
      </c>
      <c r="D361" s="10" t="s">
        <v>451</v>
      </c>
      <c r="E361" s="10">
        <f>VLOOKUP(A361,import!A:J,5,0)</f>
        <v>1103</v>
      </c>
      <c r="F361" s="10">
        <f>VLOOKUP(A361,import!A:J,6,0)</f>
        <v>130</v>
      </c>
      <c r="G361" s="10">
        <f>VLOOKUP(A361,import!A:J,7,0)</f>
        <v>0</v>
      </c>
      <c r="H361" s="10">
        <f>VLOOKUP(A361,import!A:J,8,0)</f>
        <v>16</v>
      </c>
      <c r="I361" s="10">
        <f>VLOOKUP(A361,import!A:J,9,0)</f>
        <v>16</v>
      </c>
      <c r="J361" s="11">
        <f>VLOOKUP(A361,import!A:J,10,0)</f>
        <v>0</v>
      </c>
      <c r="K361" s="10" t="s">
        <v>1864</v>
      </c>
      <c r="L361" s="10">
        <v>5.511457432E9</v>
      </c>
      <c r="M361" s="10" t="s">
        <v>72</v>
      </c>
      <c r="N361" s="10" t="s">
        <v>82</v>
      </c>
      <c r="O361" s="10" t="s">
        <v>1865</v>
      </c>
      <c r="P361" s="10" t="str">
        <f>VLOOKUP(A361,import!A:P,16,0)</f>
        <v>Geleneksel</v>
      </c>
      <c r="Q361" s="12"/>
      <c r="R361" s="12" t="b">
        <v>1</v>
      </c>
      <c r="S361" s="12" t="b">
        <v>0</v>
      </c>
      <c r="T361" s="13" t="s">
        <v>199</v>
      </c>
      <c r="U361" s="13"/>
      <c r="V361" s="13"/>
      <c r="W361" s="13" t="s">
        <v>1866</v>
      </c>
      <c r="X361" s="15"/>
      <c r="Y361" s="15"/>
      <c r="Z361" s="16"/>
      <c r="AA361" s="17" t="s">
        <v>265</v>
      </c>
      <c r="AB361" s="16">
        <v>44544.0</v>
      </c>
      <c r="AC361" s="17" t="s">
        <v>56</v>
      </c>
      <c r="AD361" s="16">
        <v>44551.0</v>
      </c>
      <c r="AE361" s="17" t="s">
        <v>56</v>
      </c>
      <c r="AF361" s="16">
        <v>44641.0</v>
      </c>
      <c r="AG361" s="17"/>
      <c r="AH361" s="16"/>
      <c r="AI361" s="16"/>
      <c r="AJ361" s="16"/>
      <c r="AK361" s="17" t="s">
        <v>108</v>
      </c>
      <c r="AL361" s="17" t="s">
        <v>314</v>
      </c>
      <c r="AM361" s="17" t="s">
        <v>89</v>
      </c>
      <c r="AN361" s="16"/>
      <c r="AO361" s="16"/>
      <c r="AP361" s="18" t="s">
        <v>58</v>
      </c>
      <c r="AQ361" s="16"/>
    </row>
    <row r="362" ht="15.75" hidden="1" customHeight="1">
      <c r="A362" s="18" t="s">
        <v>1867</v>
      </c>
      <c r="B362" s="18" t="s">
        <v>1868</v>
      </c>
      <c r="C362" s="10" t="str">
        <f>VLOOKUP(A362,import!A:C,3,0)</f>
        <v>DOĞRU</v>
      </c>
      <c r="D362" s="18" t="s">
        <v>564</v>
      </c>
      <c r="E362" s="10">
        <f>VLOOKUP(A362,import!A:J,5,0)</f>
        <v>83</v>
      </c>
      <c r="F362" s="10">
        <f>VLOOKUP(A362,import!A:J,6,0)</f>
        <v>83</v>
      </c>
      <c r="G362" s="10">
        <f>VLOOKUP(A362,import!A:J,7,0)</f>
        <v>0</v>
      </c>
      <c r="H362" s="10">
        <f>VLOOKUP(A362,import!A:J,8,0)</f>
        <v>65</v>
      </c>
      <c r="I362" s="10">
        <f>VLOOKUP(A362,import!A:J,9,0)</f>
        <v>65</v>
      </c>
      <c r="J362" s="11">
        <f>VLOOKUP(A362,import!A:J,10,0)</f>
        <v>0</v>
      </c>
      <c r="K362" s="18" t="s">
        <v>1869</v>
      </c>
      <c r="L362" s="18">
        <v>5.364862333E9</v>
      </c>
      <c r="M362" s="18" t="s">
        <v>187</v>
      </c>
      <c r="N362" s="18" t="s">
        <v>1667</v>
      </c>
      <c r="O362" s="18" t="s">
        <v>1870</v>
      </c>
      <c r="P362" s="10" t="str">
        <f>VLOOKUP(A362,import!A:P,16,0)</f>
        <v>Geleneksel</v>
      </c>
      <c r="Q362" s="12"/>
      <c r="R362" s="12" t="b">
        <v>0</v>
      </c>
      <c r="S362" s="12" t="b">
        <v>0</v>
      </c>
      <c r="T362" s="13"/>
      <c r="U362" s="13"/>
      <c r="V362" s="13"/>
      <c r="W362" s="13"/>
      <c r="X362" s="15"/>
      <c r="Y362" s="15"/>
      <c r="Z362" s="16"/>
      <c r="AA362" s="17"/>
      <c r="AB362" s="16"/>
      <c r="AC362" s="16"/>
      <c r="AD362" s="16"/>
      <c r="AE362" s="17"/>
      <c r="AF362" s="16"/>
      <c r="AG362" s="17"/>
      <c r="AH362" s="16"/>
      <c r="AI362" s="16"/>
      <c r="AJ362" s="16"/>
      <c r="AK362" s="17"/>
      <c r="AL362" s="16"/>
      <c r="AM362" s="16"/>
      <c r="AN362" s="16"/>
      <c r="AO362" s="16"/>
      <c r="AP362" s="18"/>
      <c r="AQ362" s="16"/>
    </row>
    <row r="363" ht="15.75" hidden="1" customHeight="1">
      <c r="A363" s="10" t="s">
        <v>1871</v>
      </c>
      <c r="B363" s="10" t="s">
        <v>1872</v>
      </c>
      <c r="C363" s="10" t="str">
        <f>VLOOKUP(A363,import!A:C,3,0)</f>
        <v>DOĞRU</v>
      </c>
      <c r="D363" s="10" t="s">
        <v>80</v>
      </c>
      <c r="E363" s="10">
        <f>VLOOKUP(A363,import!A:J,5,0)</f>
        <v>1941</v>
      </c>
      <c r="F363" s="10">
        <f>VLOOKUP(A363,import!A:J,6,0)</f>
        <v>57</v>
      </c>
      <c r="G363" s="10">
        <f>VLOOKUP(A363,import!A:J,7,0)</f>
        <v>5</v>
      </c>
      <c r="H363" s="10">
        <f>VLOOKUP(A363,import!A:J,8,0)</f>
        <v>3</v>
      </c>
      <c r="I363" s="10">
        <f>VLOOKUP(A363,import!A:J,9,0)</f>
        <v>8</v>
      </c>
      <c r="J363" s="11">
        <f>VLOOKUP(A363,import!A:J,10,0)</f>
        <v>0.63</v>
      </c>
      <c r="K363" s="10" t="s">
        <v>1873</v>
      </c>
      <c r="L363" s="10">
        <v>5.349694452E9</v>
      </c>
      <c r="M363" s="10" t="s">
        <v>215</v>
      </c>
      <c r="N363" s="10" t="s">
        <v>1190</v>
      </c>
      <c r="O363" s="10" t="s">
        <v>1874</v>
      </c>
      <c r="P363" s="10" t="str">
        <f>VLOOKUP(A363,import!A:P,16,0)</f>
        <v>Geleneksel</v>
      </c>
      <c r="Q363" s="12"/>
      <c r="R363" s="12" t="b">
        <v>1</v>
      </c>
      <c r="S363" s="12" t="b">
        <v>0</v>
      </c>
      <c r="T363" s="13" t="s">
        <v>51</v>
      </c>
      <c r="U363" s="13" t="s">
        <v>103</v>
      </c>
      <c r="V363" s="13" t="s">
        <v>53</v>
      </c>
      <c r="W363" s="13" t="s">
        <v>1875</v>
      </c>
      <c r="X363" s="15">
        <v>44483.0</v>
      </c>
      <c r="Y363" s="15">
        <v>44484.0</v>
      </c>
      <c r="Z363" s="16"/>
      <c r="AA363" s="17" t="s">
        <v>56</v>
      </c>
      <c r="AB363" s="16">
        <v>44483.0</v>
      </c>
      <c r="AC363" s="16"/>
      <c r="AD363" s="16"/>
      <c r="AE363" s="17"/>
      <c r="AF363" s="16"/>
      <c r="AG363" s="17"/>
      <c r="AH363" s="16"/>
      <c r="AI363" s="16"/>
      <c r="AJ363" s="16"/>
      <c r="AK363" s="17" t="s">
        <v>103</v>
      </c>
      <c r="AL363" s="16"/>
      <c r="AM363" s="16"/>
      <c r="AN363" s="16"/>
      <c r="AO363" s="16"/>
      <c r="AP363" s="18" t="s">
        <v>58</v>
      </c>
      <c r="AQ363" s="16"/>
    </row>
    <row r="364" ht="15.75" hidden="1" customHeight="1">
      <c r="A364" s="10" t="s">
        <v>1876</v>
      </c>
      <c r="B364" s="10" t="s">
        <v>1877</v>
      </c>
      <c r="C364" s="10" t="str">
        <f>VLOOKUP(A364,import!A:C,3,0)</f>
        <v>DOĞRU</v>
      </c>
      <c r="D364" s="10" t="s">
        <v>80</v>
      </c>
      <c r="E364" s="10">
        <f>VLOOKUP(A364,import!A:J,5,0)</f>
        <v>1089</v>
      </c>
      <c r="F364" s="10">
        <f>VLOOKUP(A364,import!A:J,6,0)</f>
        <v>73</v>
      </c>
      <c r="G364" s="10">
        <f>VLOOKUP(A364,import!A:J,7,0)</f>
        <v>0</v>
      </c>
      <c r="H364" s="10">
        <f>VLOOKUP(A364,import!A:J,8,0)</f>
        <v>16</v>
      </c>
      <c r="I364" s="10">
        <f>VLOOKUP(A364,import!A:J,9,0)</f>
        <v>16</v>
      </c>
      <c r="J364" s="11">
        <f>VLOOKUP(A364,import!A:J,10,0)</f>
        <v>0</v>
      </c>
      <c r="K364" s="10" t="s">
        <v>1878</v>
      </c>
      <c r="L364" s="10">
        <v>5.308280833E9</v>
      </c>
      <c r="M364" s="10" t="s">
        <v>72</v>
      </c>
      <c r="N364" s="10" t="s">
        <v>82</v>
      </c>
      <c r="O364" s="10" t="s">
        <v>1879</v>
      </c>
      <c r="P364" s="10" t="str">
        <f>VLOOKUP(A364,import!A:P,16,0)</f>
        <v>Geleneksel</v>
      </c>
      <c r="Q364" s="12"/>
      <c r="R364" s="12" t="b">
        <v>1</v>
      </c>
      <c r="S364" s="12" t="b">
        <v>0</v>
      </c>
      <c r="T364" s="13" t="s">
        <v>931</v>
      </c>
      <c r="U364" s="13"/>
      <c r="V364" s="13"/>
      <c r="W364" s="13" t="s">
        <v>1880</v>
      </c>
      <c r="X364" s="15"/>
      <c r="Y364" s="15"/>
      <c r="Z364" s="16"/>
      <c r="AA364" s="17" t="s">
        <v>56</v>
      </c>
      <c r="AB364" s="16">
        <v>44456.0</v>
      </c>
      <c r="AC364" s="17" t="s">
        <v>56</v>
      </c>
      <c r="AD364" s="16">
        <v>44483.0</v>
      </c>
      <c r="AE364" s="17" t="s">
        <v>56</v>
      </c>
      <c r="AF364" s="16">
        <v>44506.0</v>
      </c>
      <c r="AG364" s="17" t="s">
        <v>55</v>
      </c>
      <c r="AH364" s="16">
        <v>44516.0</v>
      </c>
      <c r="AI364" s="17" t="s">
        <v>56</v>
      </c>
      <c r="AJ364" s="16">
        <v>44578.0</v>
      </c>
      <c r="AK364" s="17" t="s">
        <v>171</v>
      </c>
      <c r="AL364" s="17" t="s">
        <v>103</v>
      </c>
      <c r="AM364" s="17" t="s">
        <v>89</v>
      </c>
      <c r="AN364" s="17" t="s">
        <v>108</v>
      </c>
      <c r="AO364" s="17" t="s">
        <v>89</v>
      </c>
      <c r="AP364" s="18" t="s">
        <v>58</v>
      </c>
      <c r="AQ364" s="17"/>
    </row>
    <row r="365" ht="15.75" hidden="1" customHeight="1">
      <c r="A365" s="10" t="s">
        <v>1881</v>
      </c>
      <c r="B365" s="10" t="s">
        <v>1882</v>
      </c>
      <c r="C365" s="10" t="str">
        <f>VLOOKUP(A365,import!A:C,3,0)</f>
        <v>DOĞRU</v>
      </c>
      <c r="D365" s="10" t="s">
        <v>118</v>
      </c>
      <c r="E365" s="10">
        <f>VLOOKUP(A365,import!A:J,5,0)</f>
        <v>1776</v>
      </c>
      <c r="F365" s="10">
        <f>VLOOKUP(A365,import!A:J,6,0)</f>
        <v>17</v>
      </c>
      <c r="G365" s="10">
        <f>VLOOKUP(A365,import!A:J,7,0)</f>
        <v>12</v>
      </c>
      <c r="H365" s="10">
        <f>VLOOKUP(A365,import!A:J,8,0)</f>
        <v>35</v>
      </c>
      <c r="I365" s="10">
        <f>VLOOKUP(A365,import!A:J,9,0)</f>
        <v>47</v>
      </c>
      <c r="J365" s="11">
        <f>VLOOKUP(A365,import!A:J,10,0)</f>
        <v>0.26</v>
      </c>
      <c r="K365" s="10" t="s">
        <v>1883</v>
      </c>
      <c r="L365" s="10">
        <v>5.525022399E9</v>
      </c>
      <c r="M365" s="10" t="s">
        <v>47</v>
      </c>
      <c r="N365" s="10" t="s">
        <v>48</v>
      </c>
      <c r="O365" s="10" t="s">
        <v>1884</v>
      </c>
      <c r="P365" s="10" t="str">
        <f>VLOOKUP(A365,import!A:P,16,0)</f>
        <v>Geleneksel</v>
      </c>
      <c r="Q365" s="12" t="s">
        <v>84</v>
      </c>
      <c r="R365" s="12" t="b">
        <v>1</v>
      </c>
      <c r="S365" s="12" t="b">
        <v>0</v>
      </c>
      <c r="T365" s="13" t="s">
        <v>51</v>
      </c>
      <c r="U365" s="13" t="s">
        <v>89</v>
      </c>
      <c r="V365" s="13" t="s">
        <v>53</v>
      </c>
      <c r="W365" s="13"/>
      <c r="X365" s="15">
        <v>44499.0</v>
      </c>
      <c r="Y365" s="15">
        <v>44504.0</v>
      </c>
      <c r="Z365" s="16"/>
      <c r="AA365" s="17" t="s">
        <v>56</v>
      </c>
      <c r="AB365" s="16">
        <v>44499.0</v>
      </c>
      <c r="AC365" s="16"/>
      <c r="AD365" s="16"/>
      <c r="AE365" s="17"/>
      <c r="AF365" s="16"/>
      <c r="AG365" s="17"/>
      <c r="AH365" s="16"/>
      <c r="AI365" s="16"/>
      <c r="AJ365" s="16"/>
      <c r="AK365" s="17" t="s">
        <v>89</v>
      </c>
      <c r="AL365" s="16"/>
      <c r="AM365" s="16"/>
      <c r="AN365" s="16"/>
      <c r="AO365" s="16"/>
      <c r="AP365" s="18" t="s">
        <v>58</v>
      </c>
      <c r="AQ365" s="16"/>
    </row>
    <row r="366" ht="15.75" hidden="1" customHeight="1">
      <c r="A366" s="10" t="s">
        <v>1885</v>
      </c>
      <c r="B366" s="10" t="s">
        <v>1886</v>
      </c>
      <c r="C366" s="10" t="str">
        <f>VLOOKUP(A366,import!A:C,3,0)</f>
        <v>DOĞRU</v>
      </c>
      <c r="D366" s="10" t="s">
        <v>80</v>
      </c>
      <c r="E366" s="10">
        <f>VLOOKUP(A366,import!A:J,5,0)</f>
        <v>1747</v>
      </c>
      <c r="F366" s="10">
        <f>VLOOKUP(A366,import!A:J,6,0)</f>
        <v>19</v>
      </c>
      <c r="G366" s="10">
        <f>VLOOKUP(A366,import!A:J,7,0)</f>
        <v>4</v>
      </c>
      <c r="H366" s="10">
        <f>VLOOKUP(A366,import!A:J,8,0)</f>
        <v>16</v>
      </c>
      <c r="I366" s="10">
        <f>VLOOKUP(A366,import!A:J,9,0)</f>
        <v>20</v>
      </c>
      <c r="J366" s="11">
        <f>VLOOKUP(A366,import!A:J,10,0)</f>
        <v>0.2</v>
      </c>
      <c r="K366" s="10" t="s">
        <v>1883</v>
      </c>
      <c r="L366" s="10">
        <v>5.323507968E9</v>
      </c>
      <c r="M366" s="10" t="s">
        <v>47</v>
      </c>
      <c r="N366" s="10" t="s">
        <v>489</v>
      </c>
      <c r="O366" s="10" t="s">
        <v>1884</v>
      </c>
      <c r="P366" s="10" t="str">
        <f>VLOOKUP(A366,import!A:P,16,0)</f>
        <v>Geleneksel</v>
      </c>
      <c r="Q366" s="12"/>
      <c r="R366" s="12" t="b">
        <v>1</v>
      </c>
      <c r="S366" s="12" t="b">
        <v>0</v>
      </c>
      <c r="T366" s="13" t="s">
        <v>51</v>
      </c>
      <c r="U366" s="13" t="s">
        <v>89</v>
      </c>
      <c r="V366" s="13" t="s">
        <v>53</v>
      </c>
      <c r="W366" s="13"/>
      <c r="X366" s="15">
        <v>44499.0</v>
      </c>
      <c r="Y366" s="15">
        <v>44504.0</v>
      </c>
      <c r="Z366" s="16"/>
      <c r="AA366" s="17" t="s">
        <v>56</v>
      </c>
      <c r="AB366" s="16">
        <v>44499.0</v>
      </c>
      <c r="AC366" s="16"/>
      <c r="AD366" s="16"/>
      <c r="AE366" s="17"/>
      <c r="AF366" s="16"/>
      <c r="AG366" s="17"/>
      <c r="AH366" s="16"/>
      <c r="AI366" s="16"/>
      <c r="AJ366" s="16"/>
      <c r="AK366" s="17" t="s">
        <v>89</v>
      </c>
      <c r="AL366" s="16"/>
      <c r="AM366" s="16"/>
      <c r="AN366" s="16"/>
      <c r="AO366" s="16"/>
      <c r="AP366" s="18" t="s">
        <v>58</v>
      </c>
      <c r="AQ366" s="16"/>
    </row>
    <row r="367" ht="15.75" hidden="1" customHeight="1">
      <c r="A367" s="10" t="s">
        <v>1887</v>
      </c>
      <c r="B367" s="10" t="s">
        <v>1888</v>
      </c>
      <c r="C367" s="10" t="str">
        <f>VLOOKUP(A367,import!A:C,3,0)</f>
        <v>DOĞRU</v>
      </c>
      <c r="D367" s="10" t="s">
        <v>70</v>
      </c>
      <c r="E367" s="10">
        <f>VLOOKUP(A367,import!A:J,5,0)</f>
        <v>3870</v>
      </c>
      <c r="F367" s="10">
        <f>VLOOKUP(A367,import!A:J,6,0)</f>
        <v>159</v>
      </c>
      <c r="G367" s="10">
        <f>VLOOKUP(A367,import!A:J,7,0)</f>
        <v>12</v>
      </c>
      <c r="H367" s="10">
        <f>VLOOKUP(A367,import!A:J,8,0)</f>
        <v>15</v>
      </c>
      <c r="I367" s="10">
        <f>VLOOKUP(A367,import!A:J,9,0)</f>
        <v>27</v>
      </c>
      <c r="J367" s="11">
        <f>VLOOKUP(A367,import!A:J,10,0)</f>
        <v>0.44</v>
      </c>
      <c r="K367" s="10" t="s">
        <v>1889</v>
      </c>
      <c r="L367" s="10">
        <v>5.43568808E9</v>
      </c>
      <c r="M367" s="10" t="s">
        <v>72</v>
      </c>
      <c r="N367" s="10" t="s">
        <v>82</v>
      </c>
      <c r="O367" s="10" t="s">
        <v>1890</v>
      </c>
      <c r="P367" s="10" t="str">
        <f>VLOOKUP(A367,import!A:P,16,0)</f>
        <v>Geleneksel</v>
      </c>
      <c r="Q367" s="12" t="s">
        <v>84</v>
      </c>
      <c r="R367" s="12" t="b">
        <v>1</v>
      </c>
      <c r="S367" s="12" t="b">
        <v>0</v>
      </c>
      <c r="T367" s="13" t="s">
        <v>51</v>
      </c>
      <c r="U367" s="13" t="s">
        <v>258</v>
      </c>
      <c r="V367" s="13" t="s">
        <v>66</v>
      </c>
      <c r="W367" s="13" t="s">
        <v>1891</v>
      </c>
      <c r="X367" s="15">
        <v>44288.0</v>
      </c>
      <c r="Y367" s="15">
        <v>44292.0</v>
      </c>
      <c r="Z367" s="16"/>
      <c r="AA367" s="17" t="s">
        <v>230</v>
      </c>
      <c r="AB367" s="16">
        <v>44519.0</v>
      </c>
      <c r="AC367" s="16"/>
      <c r="AD367" s="16"/>
      <c r="AE367" s="17"/>
      <c r="AF367" s="16"/>
      <c r="AG367" s="17"/>
      <c r="AH367" s="16"/>
      <c r="AI367" s="16"/>
      <c r="AJ367" s="16"/>
      <c r="AK367" s="17" t="s">
        <v>87</v>
      </c>
      <c r="AL367" s="16"/>
      <c r="AM367" s="16"/>
      <c r="AN367" s="16"/>
      <c r="AO367" s="16"/>
      <c r="AP367" s="18" t="s">
        <v>58</v>
      </c>
      <c r="AQ367" s="16"/>
    </row>
    <row r="368" ht="15.75" hidden="1" customHeight="1">
      <c r="A368" s="10" t="s">
        <v>1892</v>
      </c>
      <c r="B368" s="10" t="s">
        <v>1893</v>
      </c>
      <c r="C368" s="10" t="str">
        <f>VLOOKUP(A368,import!A:C,3,0)</f>
        <v>DOĞRU</v>
      </c>
      <c r="D368" s="10" t="s">
        <v>118</v>
      </c>
      <c r="E368" s="10">
        <f>VLOOKUP(A368,import!A:J,5,0)</f>
        <v>119</v>
      </c>
      <c r="F368" s="10">
        <f>VLOOKUP(A368,import!A:J,6,0)</f>
        <v>3</v>
      </c>
      <c r="G368" s="10">
        <f>VLOOKUP(A368,import!A:J,7,0)</f>
        <v>0</v>
      </c>
      <c r="H368" s="10">
        <f>VLOOKUP(A368,import!A:J,8,0)</f>
        <v>33</v>
      </c>
      <c r="I368" s="10">
        <f>VLOOKUP(A368,import!A:J,9,0)</f>
        <v>33</v>
      </c>
      <c r="J368" s="11">
        <f>VLOOKUP(A368,import!A:J,10,0)</f>
        <v>0</v>
      </c>
      <c r="K368" s="10" t="s">
        <v>1894</v>
      </c>
      <c r="L368" s="10">
        <v>3.243293939E9</v>
      </c>
      <c r="M368" s="10" t="s">
        <v>72</v>
      </c>
      <c r="N368" s="10" t="s">
        <v>538</v>
      </c>
      <c r="O368" s="10" t="s">
        <v>1895</v>
      </c>
      <c r="P368" s="10" t="str">
        <f>VLOOKUP(A368,import!A:P,16,0)</f>
        <v>Geleneksel</v>
      </c>
      <c r="Q368" s="12"/>
      <c r="R368" s="12" t="b">
        <v>1</v>
      </c>
      <c r="S368" s="12" t="b">
        <v>0</v>
      </c>
      <c r="T368" s="13" t="s">
        <v>265</v>
      </c>
      <c r="U368" s="13"/>
      <c r="V368" s="13"/>
      <c r="W368" s="13" t="s">
        <v>1896</v>
      </c>
      <c r="X368" s="15"/>
      <c r="Y368" s="15"/>
      <c r="Z368" s="16"/>
      <c r="AA368" s="17" t="s">
        <v>265</v>
      </c>
      <c r="AB368" s="16">
        <v>44578.0</v>
      </c>
      <c r="AC368" s="17" t="s">
        <v>230</v>
      </c>
      <c r="AD368" s="16">
        <v>44636.0</v>
      </c>
      <c r="AE368" s="17"/>
      <c r="AF368" s="16"/>
      <c r="AG368" s="17"/>
      <c r="AH368" s="16"/>
      <c r="AI368" s="16"/>
      <c r="AJ368" s="16"/>
      <c r="AK368" s="17" t="s">
        <v>89</v>
      </c>
      <c r="AL368" s="17" t="s">
        <v>133</v>
      </c>
      <c r="AM368" s="16"/>
      <c r="AN368" s="16"/>
      <c r="AO368" s="16"/>
      <c r="AP368" s="18"/>
      <c r="AQ368" s="16"/>
    </row>
    <row r="369" ht="15.75" hidden="1" customHeight="1">
      <c r="A369" s="10" t="s">
        <v>1897</v>
      </c>
      <c r="B369" s="10" t="s">
        <v>1898</v>
      </c>
      <c r="C369" s="10" t="str">
        <f>VLOOKUP(A369,import!A:C,3,0)</f>
        <v>DOĞRU</v>
      </c>
      <c r="D369" s="10" t="s">
        <v>1063</v>
      </c>
      <c r="E369" s="10">
        <f>VLOOKUP(A369,import!A:J,5,0)</f>
        <v>1905</v>
      </c>
      <c r="F369" s="10">
        <f>VLOOKUP(A369,import!A:J,6,0)</f>
        <v>38</v>
      </c>
      <c r="G369" s="10">
        <f>VLOOKUP(A369,import!A:J,7,0)</f>
        <v>67</v>
      </c>
      <c r="H369" s="10">
        <f>VLOOKUP(A369,import!A:J,8,0)</f>
        <v>8</v>
      </c>
      <c r="I369" s="10">
        <f>VLOOKUP(A369,import!A:J,9,0)</f>
        <v>75</v>
      </c>
      <c r="J369" s="11">
        <f>VLOOKUP(A369,import!A:J,10,0)</f>
        <v>0.89</v>
      </c>
      <c r="K369" s="10" t="s">
        <v>1899</v>
      </c>
      <c r="L369" s="10">
        <v>3.243293683E9</v>
      </c>
      <c r="M369" s="10" t="s">
        <v>72</v>
      </c>
      <c r="N369" s="10" t="s">
        <v>1298</v>
      </c>
      <c r="O369" s="10" t="s">
        <v>1900</v>
      </c>
      <c r="P369" s="10" t="str">
        <f>VLOOKUP(A369,import!A:P,16,0)</f>
        <v>Geleneksel</v>
      </c>
      <c r="Q369" s="12" t="s">
        <v>84</v>
      </c>
      <c r="R369" s="12" t="b">
        <v>1</v>
      </c>
      <c r="S369" s="12" t="b">
        <v>0</v>
      </c>
      <c r="T369" s="13" t="s">
        <v>51</v>
      </c>
      <c r="U369" s="13" t="s">
        <v>133</v>
      </c>
      <c r="V369" s="13" t="s">
        <v>278</v>
      </c>
      <c r="W369" s="13" t="s">
        <v>1901</v>
      </c>
      <c r="X369" s="15"/>
      <c r="Y369" s="15">
        <v>44288.0</v>
      </c>
      <c r="Z369" s="16"/>
      <c r="AA369" s="16"/>
      <c r="AB369" s="16"/>
      <c r="AC369" s="16"/>
      <c r="AD369" s="16"/>
      <c r="AE369" s="17"/>
      <c r="AF369" s="16"/>
      <c r="AG369" s="17"/>
      <c r="AH369" s="16"/>
      <c r="AI369" s="16"/>
      <c r="AJ369" s="16"/>
      <c r="AK369" s="16"/>
      <c r="AL369" s="16"/>
      <c r="AM369" s="16"/>
      <c r="AN369" s="16"/>
      <c r="AO369" s="16"/>
      <c r="AP369" s="18" t="s">
        <v>58</v>
      </c>
      <c r="AQ369" s="16"/>
    </row>
    <row r="370" ht="15.75" hidden="1" customHeight="1">
      <c r="A370" s="10" t="s">
        <v>1902</v>
      </c>
      <c r="B370" s="10" t="s">
        <v>1903</v>
      </c>
      <c r="C370" s="10" t="str">
        <f>VLOOKUP(A370,import!A:C,3,0)</f>
        <v>DOĞRU</v>
      </c>
      <c r="D370" s="10" t="s">
        <v>363</v>
      </c>
      <c r="E370" s="10">
        <f>VLOOKUP(A370,import!A:J,5,0)</f>
        <v>4044</v>
      </c>
      <c r="F370" s="10">
        <f>VLOOKUP(A370,import!A:J,6,0)</f>
        <v>389</v>
      </c>
      <c r="G370" s="10">
        <f>VLOOKUP(A370,import!A:J,7,0)</f>
        <v>25</v>
      </c>
      <c r="H370" s="10">
        <f>VLOOKUP(A370,import!A:J,8,0)</f>
        <v>1</v>
      </c>
      <c r="I370" s="10">
        <f>VLOOKUP(A370,import!A:J,9,0)</f>
        <v>26</v>
      </c>
      <c r="J370" s="11">
        <f>VLOOKUP(A370,import!A:J,10,0)</f>
        <v>0.96</v>
      </c>
      <c r="K370" s="10" t="s">
        <v>1899</v>
      </c>
      <c r="L370" s="10">
        <v>3.243293683E9</v>
      </c>
      <c r="M370" s="10" t="s">
        <v>72</v>
      </c>
      <c r="N370" s="10" t="s">
        <v>1298</v>
      </c>
      <c r="O370" s="10" t="s">
        <v>1904</v>
      </c>
      <c r="P370" s="10" t="str">
        <f>VLOOKUP(A370,import!A:P,16,0)</f>
        <v>Geleneksel</v>
      </c>
      <c r="Q370" s="12" t="s">
        <v>75</v>
      </c>
      <c r="R370" s="12" t="b">
        <v>1</v>
      </c>
      <c r="S370" s="12" t="b">
        <v>1</v>
      </c>
      <c r="T370" s="13"/>
      <c r="U370" s="13"/>
      <c r="V370" s="13"/>
      <c r="W370" s="13" t="s">
        <v>1905</v>
      </c>
      <c r="X370" s="15"/>
      <c r="Y370" s="15"/>
      <c r="Z370" s="16"/>
      <c r="AA370" s="16"/>
      <c r="AB370" s="16"/>
      <c r="AC370" s="16"/>
      <c r="AD370" s="16"/>
      <c r="AE370" s="17"/>
      <c r="AF370" s="16"/>
      <c r="AG370" s="17"/>
      <c r="AH370" s="16"/>
      <c r="AI370" s="16"/>
      <c r="AJ370" s="16"/>
      <c r="AK370" s="16"/>
      <c r="AL370" s="16"/>
      <c r="AM370" s="16"/>
      <c r="AN370" s="16"/>
      <c r="AO370" s="16"/>
      <c r="AP370" s="18" t="s">
        <v>58</v>
      </c>
      <c r="AQ370" s="16"/>
    </row>
    <row r="371" ht="15.75" customHeight="1">
      <c r="A371" s="10" t="s">
        <v>1906</v>
      </c>
      <c r="B371" s="10" t="s">
        <v>1907</v>
      </c>
      <c r="C371" s="10" t="str">
        <f>VLOOKUP(A371,import!A:C,3,0)</f>
        <v>YANLIŞ</v>
      </c>
      <c r="D371" s="10" t="s">
        <v>363</v>
      </c>
      <c r="E371" s="10">
        <f>VLOOKUP(A371,import!A:J,5,0)</f>
        <v>1079</v>
      </c>
      <c r="F371" s="10" t="str">
        <f>VLOOKUP(A371,import!A:J,6,0)</f>
        <v/>
      </c>
      <c r="G371" s="10">
        <f>VLOOKUP(A371,import!A:J,7,0)</f>
        <v>5</v>
      </c>
      <c r="H371" s="10">
        <f>VLOOKUP(A371,import!A:J,8,0)</f>
        <v>12</v>
      </c>
      <c r="I371" s="10">
        <f>VLOOKUP(A371,import!A:J,9,0)</f>
        <v>17</v>
      </c>
      <c r="J371" s="11">
        <f>VLOOKUP(A371,import!A:J,10,0)</f>
        <v>0.29</v>
      </c>
      <c r="K371" s="10" t="s">
        <v>1908</v>
      </c>
      <c r="L371" s="10">
        <v>5.462064633E9</v>
      </c>
      <c r="M371" s="10" t="s">
        <v>63</v>
      </c>
      <c r="N371" s="10" t="s">
        <v>93</v>
      </c>
      <c r="O371" s="10" t="s">
        <v>1909</v>
      </c>
      <c r="P371" s="10" t="str">
        <f>VLOOKUP(A371,import!A:P,16,0)</f>
        <v>Geleneksel</v>
      </c>
      <c r="Q371" s="10" t="s">
        <v>1909</v>
      </c>
      <c r="R371" s="12" t="b">
        <v>1</v>
      </c>
      <c r="S371" s="12" t="b">
        <v>0</v>
      </c>
      <c r="T371" s="14" t="s">
        <v>51</v>
      </c>
      <c r="U371" s="14" t="s">
        <v>171</v>
      </c>
      <c r="V371" s="13" t="s">
        <v>53</v>
      </c>
      <c r="W371" s="14"/>
      <c r="X371" s="29">
        <v>44483.0</v>
      </c>
      <c r="Y371" s="29">
        <v>44487.0</v>
      </c>
      <c r="Z371" s="16"/>
      <c r="AA371" s="17" t="s">
        <v>56</v>
      </c>
      <c r="AB371" s="16">
        <v>44483.0</v>
      </c>
      <c r="AC371" s="16"/>
      <c r="AD371" s="16"/>
      <c r="AE371" s="17"/>
      <c r="AF371" s="16"/>
      <c r="AG371" s="17"/>
      <c r="AH371" s="16"/>
      <c r="AI371" s="16"/>
      <c r="AJ371" s="16"/>
      <c r="AK371" s="17" t="s">
        <v>171</v>
      </c>
      <c r="AL371" s="16"/>
      <c r="AM371" s="16"/>
      <c r="AN371" s="16"/>
      <c r="AO371" s="16"/>
      <c r="AP371" s="18" t="s">
        <v>58</v>
      </c>
      <c r="AQ371" s="16"/>
    </row>
    <row r="372" ht="15.75" hidden="1" customHeight="1">
      <c r="A372" s="10" t="s">
        <v>1910</v>
      </c>
      <c r="B372" s="10" t="s">
        <v>1911</v>
      </c>
      <c r="C372" s="10" t="str">
        <f>VLOOKUP(A372,import!A:C,3,0)</f>
        <v>DOĞRU</v>
      </c>
      <c r="D372" s="10" t="s">
        <v>118</v>
      </c>
      <c r="E372" s="10">
        <f>VLOOKUP(A372,import!A:J,5,0)</f>
        <v>703</v>
      </c>
      <c r="F372" s="10" t="str">
        <f>VLOOKUP(A372,import!A:J,6,0)</f>
        <v/>
      </c>
      <c r="G372" s="10">
        <f>VLOOKUP(A372,import!A:J,7,0)</f>
        <v>6</v>
      </c>
      <c r="H372" s="10">
        <f>VLOOKUP(A372,import!A:J,8,0)</f>
        <v>8</v>
      </c>
      <c r="I372" s="10">
        <f>VLOOKUP(A372,import!A:J,9,0)</f>
        <v>14</v>
      </c>
      <c r="J372" s="11">
        <f>VLOOKUP(A372,import!A:J,10,0)</f>
        <v>0.43</v>
      </c>
      <c r="K372" s="10" t="s">
        <v>1912</v>
      </c>
      <c r="L372" s="10">
        <v>3.243360408E9</v>
      </c>
      <c r="M372" s="10" t="s">
        <v>72</v>
      </c>
      <c r="N372" s="10" t="s">
        <v>415</v>
      </c>
      <c r="O372" s="10" t="s">
        <v>1913</v>
      </c>
      <c r="P372" s="10" t="str">
        <f>VLOOKUP(A372,import!A:P,16,0)</f>
        <v>Geleneksel</v>
      </c>
      <c r="Q372" s="12" t="s">
        <v>50</v>
      </c>
      <c r="R372" s="12" t="b">
        <v>1</v>
      </c>
      <c r="S372" s="12" t="b">
        <v>0</v>
      </c>
      <c r="T372" s="13" t="s">
        <v>51</v>
      </c>
      <c r="U372" s="13" t="s">
        <v>52</v>
      </c>
      <c r="V372" s="13" t="s">
        <v>278</v>
      </c>
      <c r="W372" s="13" t="s">
        <v>1914</v>
      </c>
      <c r="X372" s="15">
        <v>44267.0</v>
      </c>
      <c r="Y372" s="15">
        <v>44273.0</v>
      </c>
      <c r="Z372" s="16"/>
      <c r="AA372" s="17" t="s">
        <v>56</v>
      </c>
      <c r="AB372" s="16">
        <v>44573.0</v>
      </c>
      <c r="AC372" s="16"/>
      <c r="AD372" s="16"/>
      <c r="AE372" s="17"/>
      <c r="AF372" s="16"/>
      <c r="AG372" s="17"/>
      <c r="AH372" s="16"/>
      <c r="AI372" s="16"/>
      <c r="AJ372" s="16"/>
      <c r="AK372" s="17" t="s">
        <v>89</v>
      </c>
      <c r="AL372" s="16"/>
      <c r="AM372" s="16"/>
      <c r="AN372" s="16"/>
      <c r="AO372" s="16"/>
      <c r="AP372" s="18" t="s">
        <v>58</v>
      </c>
      <c r="AQ372" s="16"/>
    </row>
    <row r="373" ht="15.75" customHeight="1">
      <c r="A373" s="10" t="s">
        <v>1915</v>
      </c>
      <c r="B373" s="10" t="s">
        <v>1916</v>
      </c>
      <c r="C373" s="10" t="str">
        <f>VLOOKUP(A373,import!A:C,3,0)</f>
        <v>DOĞRU</v>
      </c>
      <c r="D373" s="10" t="s">
        <v>80</v>
      </c>
      <c r="E373" s="10">
        <f>VLOOKUP(A373,import!A:J,5,0)</f>
        <v>1362</v>
      </c>
      <c r="F373" s="10">
        <f>VLOOKUP(A373,import!A:J,6,0)</f>
        <v>245</v>
      </c>
      <c r="G373" s="10">
        <f>VLOOKUP(A373,import!A:J,7,0)</f>
        <v>7</v>
      </c>
      <c r="H373" s="10">
        <f>VLOOKUP(A373,import!A:J,8,0)</f>
        <v>6</v>
      </c>
      <c r="I373" s="10">
        <f>VLOOKUP(A373,import!A:J,9,0)</f>
        <v>13</v>
      </c>
      <c r="J373" s="11">
        <f>VLOOKUP(A373,import!A:J,10,0)</f>
        <v>0.54</v>
      </c>
      <c r="K373" s="10" t="s">
        <v>1917</v>
      </c>
      <c r="L373" s="10">
        <v>5.372858186E9</v>
      </c>
      <c r="M373" s="10" t="s">
        <v>63</v>
      </c>
      <c r="N373" s="10" t="s">
        <v>1447</v>
      </c>
      <c r="O373" s="10" t="s">
        <v>1918</v>
      </c>
      <c r="P373" s="10" t="str">
        <f>VLOOKUP(A373,import!A:P,16,0)</f>
        <v>Geleneksel</v>
      </c>
      <c r="Q373" s="12"/>
      <c r="R373" s="12" t="b">
        <v>1</v>
      </c>
      <c r="S373" s="12" t="b">
        <v>0</v>
      </c>
      <c r="T373" s="13" t="s">
        <v>51</v>
      </c>
      <c r="U373" s="13" t="s">
        <v>133</v>
      </c>
      <c r="V373" s="13" t="s">
        <v>53</v>
      </c>
      <c r="W373" s="13" t="s">
        <v>1919</v>
      </c>
      <c r="X373" s="15">
        <v>44294.0</v>
      </c>
      <c r="Y373" s="15">
        <v>44295.0</v>
      </c>
      <c r="Z373" s="16"/>
      <c r="AA373" s="16"/>
      <c r="AB373" s="16"/>
      <c r="AC373" s="16"/>
      <c r="AD373" s="16"/>
      <c r="AE373" s="17"/>
      <c r="AF373" s="16"/>
      <c r="AG373" s="17"/>
      <c r="AH373" s="16"/>
      <c r="AI373" s="16"/>
      <c r="AJ373" s="16"/>
      <c r="AK373" s="16"/>
      <c r="AL373" s="16"/>
      <c r="AM373" s="16"/>
      <c r="AN373" s="16"/>
      <c r="AO373" s="16"/>
      <c r="AP373" s="18" t="s">
        <v>58</v>
      </c>
      <c r="AQ373" s="16"/>
    </row>
    <row r="374" ht="15.75" customHeight="1">
      <c r="A374" s="10" t="s">
        <v>1920</v>
      </c>
      <c r="B374" s="10" t="s">
        <v>1921</v>
      </c>
      <c r="C374" s="10" t="str">
        <f>VLOOKUP(A374,import!A:C,3,0)</f>
        <v>YANLIŞ</v>
      </c>
      <c r="D374" s="10" t="s">
        <v>356</v>
      </c>
      <c r="E374" s="10">
        <f>VLOOKUP(A374,import!A:J,5,0)</f>
        <v>5</v>
      </c>
      <c r="F374" s="10" t="str">
        <f>VLOOKUP(A374,import!A:J,6,0)</f>
        <v/>
      </c>
      <c r="G374" s="10">
        <f>VLOOKUP(A374,import!A:J,7,0)</f>
        <v>6</v>
      </c>
      <c r="H374" s="10">
        <f>VLOOKUP(A374,import!A:J,8,0)</f>
        <v>11</v>
      </c>
      <c r="I374" s="10">
        <f>VLOOKUP(A374,import!A:J,9,0)</f>
        <v>17</v>
      </c>
      <c r="J374" s="11">
        <f>VLOOKUP(A374,import!A:J,10,0)</f>
        <v>0.35</v>
      </c>
      <c r="K374" s="10" t="s">
        <v>1922</v>
      </c>
      <c r="L374" s="10">
        <v>5.072040802E9</v>
      </c>
      <c r="M374" s="10" t="s">
        <v>137</v>
      </c>
      <c r="N374" s="10" t="s">
        <v>209</v>
      </c>
      <c r="O374" s="10" t="s">
        <v>1923</v>
      </c>
      <c r="P374" s="10" t="str">
        <f>VLOOKUP(A374,import!A:P,16,0)</f>
        <v>Geleneksel</v>
      </c>
      <c r="Q374" s="12"/>
      <c r="R374" s="12" t="b">
        <v>1</v>
      </c>
      <c r="S374" s="12" t="b">
        <v>0</v>
      </c>
      <c r="T374" s="13" t="s">
        <v>51</v>
      </c>
      <c r="U374" s="13" t="s">
        <v>89</v>
      </c>
      <c r="V374" s="13" t="s">
        <v>66</v>
      </c>
      <c r="W374" s="13" t="s">
        <v>211</v>
      </c>
      <c r="X374" s="15">
        <v>44526.0</v>
      </c>
      <c r="Y374" s="15">
        <v>44529.0</v>
      </c>
      <c r="Z374" s="16"/>
      <c r="AA374" s="17" t="s">
        <v>56</v>
      </c>
      <c r="AB374" s="16">
        <v>44501.0</v>
      </c>
      <c r="AC374" s="17" t="s">
        <v>56</v>
      </c>
      <c r="AD374" s="16">
        <v>44526.0</v>
      </c>
      <c r="AE374" s="17" t="s">
        <v>56</v>
      </c>
      <c r="AF374" s="16">
        <v>44533.0</v>
      </c>
      <c r="AG374" s="17"/>
      <c r="AH374" s="16"/>
      <c r="AI374" s="16"/>
      <c r="AJ374" s="16"/>
      <c r="AK374" s="17" t="s">
        <v>1470</v>
      </c>
      <c r="AL374" s="17" t="s">
        <v>89</v>
      </c>
      <c r="AM374" s="17" t="s">
        <v>108</v>
      </c>
      <c r="AN374" s="16"/>
      <c r="AO374" s="16"/>
      <c r="AP374" s="18" t="s">
        <v>58</v>
      </c>
      <c r="AQ374" s="16"/>
    </row>
    <row r="375" ht="15.75" customHeight="1">
      <c r="A375" s="10" t="s">
        <v>1924</v>
      </c>
      <c r="B375" s="10" t="s">
        <v>1925</v>
      </c>
      <c r="C375" s="10" t="str">
        <f>VLOOKUP(A375,import!A:C,3,0)</f>
        <v>DOĞRU</v>
      </c>
      <c r="D375" s="10" t="s">
        <v>45</v>
      </c>
      <c r="E375" s="10">
        <f>VLOOKUP(A375,import!A:J,5,0)</f>
        <v>567</v>
      </c>
      <c r="F375" s="10">
        <f>VLOOKUP(A375,import!A:J,6,0)</f>
        <v>38</v>
      </c>
      <c r="G375" s="10">
        <f>VLOOKUP(A375,import!A:J,7,0)</f>
        <v>0</v>
      </c>
      <c r="H375" s="10">
        <f>VLOOKUP(A375,import!A:J,8,0)</f>
        <v>32</v>
      </c>
      <c r="I375" s="10">
        <f>VLOOKUP(A375,import!A:J,9,0)</f>
        <v>32</v>
      </c>
      <c r="J375" s="11">
        <f>VLOOKUP(A375,import!A:J,10,0)</f>
        <v>0</v>
      </c>
      <c r="K375" s="10" t="s">
        <v>1926</v>
      </c>
      <c r="L375" s="10">
        <v>5.453862133E9</v>
      </c>
      <c r="M375" s="10" t="s">
        <v>63</v>
      </c>
      <c r="N375" s="10" t="s">
        <v>1148</v>
      </c>
      <c r="O375" s="10" t="s">
        <v>1927</v>
      </c>
      <c r="P375" s="10" t="str">
        <f>VLOOKUP(A375,import!A:P,16,0)</f>
        <v>Geleneksel</v>
      </c>
      <c r="Q375" s="12"/>
      <c r="R375" s="12" t="b">
        <v>1</v>
      </c>
      <c r="S375" s="12" t="b">
        <v>1</v>
      </c>
      <c r="T375" s="13" t="s">
        <v>931</v>
      </c>
      <c r="U375" s="13"/>
      <c r="V375" s="13"/>
      <c r="W375" s="13" t="s">
        <v>1928</v>
      </c>
      <c r="X375" s="15"/>
      <c r="Y375" s="15"/>
      <c r="Z375" s="16"/>
      <c r="AA375" s="17" t="s">
        <v>56</v>
      </c>
      <c r="AB375" s="16">
        <v>44456.0</v>
      </c>
      <c r="AC375" s="17" t="s">
        <v>56</v>
      </c>
      <c r="AD375" s="16">
        <v>44462.0</v>
      </c>
      <c r="AE375" s="17" t="s">
        <v>56</v>
      </c>
      <c r="AF375" s="16">
        <v>44495.0</v>
      </c>
      <c r="AG375" s="17" t="s">
        <v>230</v>
      </c>
      <c r="AH375" s="16">
        <v>44501.0</v>
      </c>
      <c r="AI375" s="17" t="s">
        <v>56</v>
      </c>
      <c r="AJ375" s="16">
        <v>44504.0</v>
      </c>
      <c r="AK375" s="17" t="s">
        <v>171</v>
      </c>
      <c r="AL375" s="17" t="s">
        <v>367</v>
      </c>
      <c r="AM375" s="17" t="s">
        <v>89</v>
      </c>
      <c r="AN375" s="17" t="s">
        <v>1470</v>
      </c>
      <c r="AO375" s="17" t="s">
        <v>89</v>
      </c>
      <c r="AP375" s="18" t="s">
        <v>58</v>
      </c>
      <c r="AQ375" s="17"/>
    </row>
    <row r="376" ht="15.75" customHeight="1">
      <c r="A376" s="10" t="s">
        <v>1929</v>
      </c>
      <c r="B376" s="10" t="s">
        <v>1930</v>
      </c>
      <c r="C376" s="10" t="str">
        <f>VLOOKUP(A376,import!A:C,3,0)</f>
        <v>DOĞRU</v>
      </c>
      <c r="D376" s="10" t="s">
        <v>363</v>
      </c>
      <c r="E376" s="10">
        <f>VLOOKUP(A376,import!A:J,5,0)</f>
        <v>122</v>
      </c>
      <c r="F376" s="10">
        <f>VLOOKUP(A376,import!A:J,6,0)</f>
        <v>52</v>
      </c>
      <c r="G376" s="10">
        <f>VLOOKUP(A376,import!A:J,7,0)</f>
        <v>24</v>
      </c>
      <c r="H376" s="10">
        <f>VLOOKUP(A376,import!A:J,8,0)</f>
        <v>16</v>
      </c>
      <c r="I376" s="10">
        <f>VLOOKUP(A376,import!A:J,9,0)</f>
        <v>40</v>
      </c>
      <c r="J376" s="11">
        <f>VLOOKUP(A376,import!A:J,10,0)</f>
        <v>0.6</v>
      </c>
      <c r="K376" s="10" t="s">
        <v>1931</v>
      </c>
      <c r="L376" s="10">
        <v>3.243361074E9</v>
      </c>
      <c r="M376" s="10" t="s">
        <v>137</v>
      </c>
      <c r="N376" s="10" t="s">
        <v>426</v>
      </c>
      <c r="O376" s="10" t="s">
        <v>1932</v>
      </c>
      <c r="P376" s="10" t="str">
        <f>VLOOKUP(A376,import!A:P,16,0)</f>
        <v>Geleneksel</v>
      </c>
      <c r="Q376" s="12"/>
      <c r="R376" s="12" t="b">
        <v>1</v>
      </c>
      <c r="S376" s="12" t="b">
        <v>0</v>
      </c>
      <c r="T376" s="13" t="s">
        <v>51</v>
      </c>
      <c r="U376" s="13" t="s">
        <v>52</v>
      </c>
      <c r="V376" s="13" t="s">
        <v>53</v>
      </c>
      <c r="W376" s="13" t="s">
        <v>1933</v>
      </c>
      <c r="X376" s="15">
        <v>44344.0</v>
      </c>
      <c r="Y376" s="15">
        <v>44351.0</v>
      </c>
      <c r="Z376" s="16"/>
      <c r="AA376" s="17" t="s">
        <v>56</v>
      </c>
      <c r="AB376" s="16">
        <v>44336.0</v>
      </c>
      <c r="AC376" s="17" t="s">
        <v>56</v>
      </c>
      <c r="AD376" s="16">
        <v>44348.0</v>
      </c>
      <c r="AE376" s="17" t="s">
        <v>55</v>
      </c>
      <c r="AF376" s="16">
        <v>44557.0</v>
      </c>
      <c r="AG376" s="17"/>
      <c r="AH376" s="16"/>
      <c r="AI376" s="16"/>
      <c r="AJ376" s="16"/>
      <c r="AK376" s="16"/>
      <c r="AL376" s="16"/>
      <c r="AM376" s="17" t="s">
        <v>321</v>
      </c>
      <c r="AN376" s="16"/>
      <c r="AO376" s="16"/>
      <c r="AP376" s="18" t="s">
        <v>58</v>
      </c>
      <c r="AQ376" s="16"/>
    </row>
    <row r="377" ht="15.75" hidden="1" customHeight="1">
      <c r="A377" s="10" t="s">
        <v>1934</v>
      </c>
      <c r="B377" s="10" t="s">
        <v>1935</v>
      </c>
      <c r="C377" s="10" t="str">
        <f>VLOOKUP(A377,import!A:C,3,0)</f>
        <v>DOĞRU</v>
      </c>
      <c r="D377" s="10" t="s">
        <v>80</v>
      </c>
      <c r="E377" s="10">
        <f>VLOOKUP(A377,import!A:J,5,0)</f>
        <v>39</v>
      </c>
      <c r="F377" s="10" t="str">
        <f>VLOOKUP(A377,import!A:J,6,0)</f>
        <v/>
      </c>
      <c r="G377" s="10">
        <f>VLOOKUP(A377,import!A:J,7,0)</f>
        <v>15</v>
      </c>
      <c r="H377" s="10">
        <f>VLOOKUP(A377,import!A:J,8,0)</f>
        <v>1</v>
      </c>
      <c r="I377" s="10">
        <f>VLOOKUP(A377,import!A:J,9,0)</f>
        <v>16</v>
      </c>
      <c r="J377" s="11">
        <f>VLOOKUP(A377,import!A:J,10,0)</f>
        <v>0.94</v>
      </c>
      <c r="K377" s="10" t="s">
        <v>1936</v>
      </c>
      <c r="L377" s="10">
        <v>5.051523356E9</v>
      </c>
      <c r="M377" s="10" t="s">
        <v>215</v>
      </c>
      <c r="N377" s="10" t="s">
        <v>799</v>
      </c>
      <c r="O377" s="10" t="s">
        <v>800</v>
      </c>
      <c r="P377" s="10" t="str">
        <f>VLOOKUP(A377,import!A:P,16,0)</f>
        <v>Geleneksel</v>
      </c>
      <c r="Q377" s="12"/>
      <c r="R377" s="12" t="b">
        <v>1</v>
      </c>
      <c r="S377" s="12" t="b">
        <v>0</v>
      </c>
      <c r="T377" s="13" t="s">
        <v>51</v>
      </c>
      <c r="U377" s="13" t="s">
        <v>52</v>
      </c>
      <c r="V377" s="13" t="s">
        <v>66</v>
      </c>
      <c r="W377" s="13"/>
      <c r="X377" s="15">
        <v>44327.0</v>
      </c>
      <c r="Y377" s="15">
        <v>44334.0</v>
      </c>
      <c r="Z377" s="16"/>
      <c r="AA377" s="16"/>
      <c r="AB377" s="16"/>
      <c r="AC377" s="16"/>
      <c r="AD377" s="16"/>
      <c r="AE377" s="17"/>
      <c r="AF377" s="16"/>
      <c r="AG377" s="17"/>
      <c r="AH377" s="16"/>
      <c r="AI377" s="16"/>
      <c r="AJ377" s="16"/>
      <c r="AK377" s="16"/>
      <c r="AL377" s="16"/>
      <c r="AM377" s="16"/>
      <c r="AN377" s="16"/>
      <c r="AO377" s="16"/>
      <c r="AP377" s="18" t="s">
        <v>58</v>
      </c>
      <c r="AQ377" s="16"/>
    </row>
    <row r="378" ht="15.75" hidden="1" customHeight="1">
      <c r="A378" s="10" t="s">
        <v>1937</v>
      </c>
      <c r="B378" s="10" t="s">
        <v>1938</v>
      </c>
      <c r="C378" s="10" t="str">
        <f>VLOOKUP(A378,import!A:C,3,0)</f>
        <v>DOĞRU</v>
      </c>
      <c r="D378" s="10" t="s">
        <v>363</v>
      </c>
      <c r="E378" s="10">
        <f>VLOOKUP(A378,import!A:J,5,0)</f>
        <v>319</v>
      </c>
      <c r="F378" s="10" t="str">
        <f>VLOOKUP(A378,import!A:J,6,0)</f>
        <v/>
      </c>
      <c r="G378" s="10">
        <f>VLOOKUP(A378,import!A:J,7,0)</f>
        <v>6</v>
      </c>
      <c r="H378" s="10">
        <f>VLOOKUP(A378,import!A:J,8,0)</f>
        <v>65</v>
      </c>
      <c r="I378" s="10">
        <f>VLOOKUP(A378,import!A:J,9,0)</f>
        <v>71</v>
      </c>
      <c r="J378" s="11">
        <f>VLOOKUP(A378,import!A:J,10,0)</f>
        <v>0.08</v>
      </c>
      <c r="K378" s="10" t="s">
        <v>1939</v>
      </c>
      <c r="L378" s="10">
        <v>5.078763453E9</v>
      </c>
      <c r="M378" s="10" t="s">
        <v>72</v>
      </c>
      <c r="N378" s="10" t="s">
        <v>915</v>
      </c>
      <c r="O378" s="10" t="s">
        <v>1940</v>
      </c>
      <c r="P378" s="10" t="str">
        <f>VLOOKUP(A378,import!A:P,16,0)</f>
        <v>Geleneksel</v>
      </c>
      <c r="Q378" s="12" t="s">
        <v>84</v>
      </c>
      <c r="R378" s="12" t="b">
        <v>1</v>
      </c>
      <c r="S378" s="13" t="b">
        <v>0</v>
      </c>
      <c r="T378" s="13" t="s">
        <v>51</v>
      </c>
      <c r="U378" s="13" t="s">
        <v>89</v>
      </c>
      <c r="V378" s="13" t="s">
        <v>66</v>
      </c>
      <c r="W378" s="13" t="s">
        <v>1941</v>
      </c>
      <c r="X378" s="15">
        <v>44506.0</v>
      </c>
      <c r="Y378" s="15">
        <v>44509.0</v>
      </c>
      <c r="Z378" s="16"/>
      <c r="AA378" s="17" t="s">
        <v>56</v>
      </c>
      <c r="AB378" s="16">
        <v>44477.0</v>
      </c>
      <c r="AC378" s="17" t="s">
        <v>56</v>
      </c>
      <c r="AD378" s="16">
        <v>44506.0</v>
      </c>
      <c r="AE378" s="17" t="s">
        <v>55</v>
      </c>
      <c r="AF378" s="16">
        <v>44544.0</v>
      </c>
      <c r="AG378" s="17" t="s">
        <v>265</v>
      </c>
      <c r="AH378" s="16">
        <v>44544.0</v>
      </c>
      <c r="AI378" s="17" t="s">
        <v>56</v>
      </c>
      <c r="AJ378" s="16">
        <v>44558.0</v>
      </c>
      <c r="AK378" s="17" t="s">
        <v>171</v>
      </c>
      <c r="AL378" s="17" t="s">
        <v>89</v>
      </c>
      <c r="AM378" s="17" t="s">
        <v>103</v>
      </c>
      <c r="AN378" s="17" t="s">
        <v>103</v>
      </c>
      <c r="AO378" s="17" t="s">
        <v>87</v>
      </c>
      <c r="AP378" s="18" t="s">
        <v>58</v>
      </c>
      <c r="AQ378" s="16"/>
    </row>
    <row r="379" ht="15.75" hidden="1" customHeight="1">
      <c r="A379" s="10" t="s">
        <v>1942</v>
      </c>
      <c r="B379" s="10" t="s">
        <v>1943</v>
      </c>
      <c r="C379" s="10" t="str">
        <f>VLOOKUP(A379,import!A:C,3,0)</f>
        <v>DOĞRU</v>
      </c>
      <c r="D379" s="10" t="s">
        <v>363</v>
      </c>
      <c r="E379" s="10">
        <f>VLOOKUP(A379,import!A:J,5,0)</f>
        <v>938</v>
      </c>
      <c r="F379" s="10">
        <f>VLOOKUP(A379,import!A:J,6,0)</f>
        <v>46</v>
      </c>
      <c r="G379" s="10">
        <f>VLOOKUP(A379,import!A:J,7,0)</f>
        <v>0</v>
      </c>
      <c r="H379" s="10">
        <f>VLOOKUP(A379,import!A:J,8,0)</f>
        <v>38</v>
      </c>
      <c r="I379" s="10">
        <f>VLOOKUP(A379,import!A:J,9,0)</f>
        <v>38</v>
      </c>
      <c r="J379" s="11">
        <f>VLOOKUP(A379,import!A:J,10,0)</f>
        <v>0</v>
      </c>
      <c r="K379" s="10" t="s">
        <v>1939</v>
      </c>
      <c r="L379" s="10">
        <v>5.389540213E9</v>
      </c>
      <c r="M379" s="10" t="s">
        <v>72</v>
      </c>
      <c r="N379" s="10" t="s">
        <v>73</v>
      </c>
      <c r="O379" s="10" t="s">
        <v>1944</v>
      </c>
      <c r="P379" s="10" t="str">
        <f>VLOOKUP(A379,import!A:P,16,0)</f>
        <v>Geleneksel</v>
      </c>
      <c r="Q379" s="12" t="s">
        <v>75</v>
      </c>
      <c r="R379" s="12" t="b">
        <v>1</v>
      </c>
      <c r="S379" s="12" t="b">
        <v>1</v>
      </c>
      <c r="T379" s="13"/>
      <c r="U379" s="13"/>
      <c r="V379" s="13"/>
      <c r="W379" s="28" t="s">
        <v>470</v>
      </c>
      <c r="X379" s="15"/>
      <c r="Y379" s="15"/>
      <c r="Z379" s="16"/>
      <c r="AA379" s="17" t="s">
        <v>55</v>
      </c>
      <c r="AB379" s="16">
        <v>44544.0</v>
      </c>
      <c r="AC379" s="17" t="s">
        <v>56</v>
      </c>
      <c r="AD379" s="16">
        <v>44629.0</v>
      </c>
      <c r="AE379" s="17"/>
      <c r="AF379" s="16"/>
      <c r="AG379" s="17"/>
      <c r="AH379" s="16"/>
      <c r="AI379" s="16"/>
      <c r="AJ379" s="16"/>
      <c r="AK379" s="17" t="s">
        <v>108</v>
      </c>
      <c r="AL379" s="17" t="s">
        <v>133</v>
      </c>
      <c r="AM379" s="16"/>
      <c r="AN379" s="16"/>
      <c r="AO379" s="16"/>
      <c r="AP379" s="18" t="s">
        <v>58</v>
      </c>
      <c r="AQ379" s="16"/>
    </row>
    <row r="380" ht="15.75" hidden="1" customHeight="1">
      <c r="A380" s="10" t="s">
        <v>1945</v>
      </c>
      <c r="B380" s="10" t="s">
        <v>1946</v>
      </c>
      <c r="C380" s="10" t="str">
        <f>VLOOKUP(A380,import!A:C,3,0)</f>
        <v>DOĞRU</v>
      </c>
      <c r="D380" s="10" t="s">
        <v>1947</v>
      </c>
      <c r="E380" s="10">
        <f>VLOOKUP(A380,import!A:J,5,0)</f>
        <v>2670</v>
      </c>
      <c r="F380" s="10">
        <f>VLOOKUP(A380,import!A:J,6,0)</f>
        <v>132</v>
      </c>
      <c r="G380" s="10">
        <f>VLOOKUP(A380,import!A:J,7,0)</f>
        <v>12</v>
      </c>
      <c r="H380" s="10">
        <f>VLOOKUP(A380,import!A:J,8,0)</f>
        <v>5</v>
      </c>
      <c r="I380" s="10">
        <f>VLOOKUP(A380,import!A:J,9,0)</f>
        <v>17</v>
      </c>
      <c r="J380" s="11">
        <f>VLOOKUP(A380,import!A:J,10,0)</f>
        <v>0.71</v>
      </c>
      <c r="K380" s="10" t="s">
        <v>1948</v>
      </c>
      <c r="L380" s="10">
        <v>3.243272721E9</v>
      </c>
      <c r="M380" s="10" t="s">
        <v>72</v>
      </c>
      <c r="N380" s="10" t="s">
        <v>1298</v>
      </c>
      <c r="O380" s="10" t="s">
        <v>1949</v>
      </c>
      <c r="P380" s="10" t="str">
        <f>VLOOKUP(A380,import!A:P,16,0)</f>
        <v>Geleneksel</v>
      </c>
      <c r="Q380" s="12" t="s">
        <v>146</v>
      </c>
      <c r="R380" s="12" t="b">
        <v>1</v>
      </c>
      <c r="S380" s="12" t="b">
        <v>0</v>
      </c>
      <c r="T380" s="13" t="s">
        <v>51</v>
      </c>
      <c r="U380" s="13" t="s">
        <v>171</v>
      </c>
      <c r="V380" s="13" t="s">
        <v>53</v>
      </c>
      <c r="W380" s="13" t="s">
        <v>1950</v>
      </c>
      <c r="X380" s="15">
        <v>44476.0</v>
      </c>
      <c r="Y380" s="15">
        <v>44477.0</v>
      </c>
      <c r="Z380" s="16"/>
      <c r="AA380" s="17" t="s">
        <v>56</v>
      </c>
      <c r="AB380" s="16">
        <v>44358.0</v>
      </c>
      <c r="AC380" s="17" t="s">
        <v>56</v>
      </c>
      <c r="AD380" s="16">
        <v>44476.0</v>
      </c>
      <c r="AE380" s="17"/>
      <c r="AF380" s="16"/>
      <c r="AG380" s="17"/>
      <c r="AH380" s="16"/>
      <c r="AI380" s="16"/>
      <c r="AJ380" s="16"/>
      <c r="AK380" s="17" t="s">
        <v>163</v>
      </c>
      <c r="AL380" s="17" t="s">
        <v>171</v>
      </c>
      <c r="AM380" s="16"/>
      <c r="AN380" s="16"/>
      <c r="AO380" s="16"/>
      <c r="AP380" s="18" t="s">
        <v>58</v>
      </c>
      <c r="AQ380" s="16"/>
    </row>
    <row r="381" ht="15.75" customHeight="1">
      <c r="A381" s="10" t="s">
        <v>1951</v>
      </c>
      <c r="B381" s="10" t="s">
        <v>1952</v>
      </c>
      <c r="C381" s="10" t="str">
        <f>VLOOKUP(A381,import!A:C,3,0)</f>
        <v>DOĞRU</v>
      </c>
      <c r="D381" s="10" t="s">
        <v>80</v>
      </c>
      <c r="E381" s="10">
        <f>VLOOKUP(A381,import!A:J,5,0)</f>
        <v>1269</v>
      </c>
      <c r="F381" s="10">
        <f>VLOOKUP(A381,import!A:J,6,0)</f>
        <v>90</v>
      </c>
      <c r="G381" s="10">
        <f>VLOOKUP(A381,import!A:J,7,0)</f>
        <v>0</v>
      </c>
      <c r="H381" s="10">
        <f>VLOOKUP(A381,import!A:J,8,0)</f>
        <v>15</v>
      </c>
      <c r="I381" s="10">
        <f>VLOOKUP(A381,import!A:J,9,0)</f>
        <v>15</v>
      </c>
      <c r="J381" s="11">
        <f>VLOOKUP(A381,import!A:J,10,0)</f>
        <v>0</v>
      </c>
      <c r="K381" s="10" t="s">
        <v>1953</v>
      </c>
      <c r="L381" s="10">
        <v>3.242382071E9</v>
      </c>
      <c r="M381" s="10" t="s">
        <v>137</v>
      </c>
      <c r="N381" s="10" t="s">
        <v>426</v>
      </c>
      <c r="O381" s="10" t="s">
        <v>1954</v>
      </c>
      <c r="P381" s="10" t="str">
        <f>VLOOKUP(A381,import!A:P,16,0)</f>
        <v>Geleneksel</v>
      </c>
      <c r="Q381" s="12"/>
      <c r="R381" s="12" t="b">
        <v>1</v>
      </c>
      <c r="S381" s="12" t="b">
        <v>1</v>
      </c>
      <c r="T381" s="13"/>
      <c r="U381" s="13"/>
      <c r="V381" s="13"/>
      <c r="W381" s="13" t="s">
        <v>1955</v>
      </c>
      <c r="X381" s="15"/>
      <c r="Y381" s="15"/>
      <c r="Z381" s="16"/>
      <c r="AA381" s="17" t="s">
        <v>56</v>
      </c>
      <c r="AB381" s="16">
        <v>44557.0</v>
      </c>
      <c r="AC381" s="16"/>
      <c r="AD381" s="16"/>
      <c r="AE381" s="17"/>
      <c r="AF381" s="16"/>
      <c r="AG381" s="17"/>
      <c r="AH381" s="16"/>
      <c r="AI381" s="16"/>
      <c r="AJ381" s="16"/>
      <c r="AK381" s="17" t="s">
        <v>321</v>
      </c>
      <c r="AL381" s="16"/>
      <c r="AM381" s="16"/>
      <c r="AN381" s="16"/>
      <c r="AO381" s="16"/>
      <c r="AP381" s="18"/>
      <c r="AQ381" s="16"/>
    </row>
    <row r="382" ht="15.75" hidden="1" customHeight="1">
      <c r="A382" s="10" t="s">
        <v>1956</v>
      </c>
      <c r="B382" s="10" t="s">
        <v>1957</v>
      </c>
      <c r="C382" s="10" t="str">
        <f>VLOOKUP(A382,import!A:C,3,0)</f>
        <v>YANLIŞ</v>
      </c>
      <c r="D382" s="10" t="s">
        <v>363</v>
      </c>
      <c r="E382" s="10">
        <f>VLOOKUP(A382,import!A:J,5,0)</f>
        <v>660</v>
      </c>
      <c r="F382" s="10" t="str">
        <f>VLOOKUP(A382,import!A:J,6,0)</f>
        <v/>
      </c>
      <c r="G382" s="10">
        <f>VLOOKUP(A382,import!A:J,7,0)</f>
        <v>20</v>
      </c>
      <c r="H382" s="10">
        <f>VLOOKUP(A382,import!A:J,8,0)</f>
        <v>1</v>
      </c>
      <c r="I382" s="10">
        <f>VLOOKUP(A382,import!A:J,9,0)</f>
        <v>21</v>
      </c>
      <c r="J382" s="11">
        <f>VLOOKUP(A382,import!A:J,10,0)</f>
        <v>0.95</v>
      </c>
      <c r="K382" s="10" t="s">
        <v>1958</v>
      </c>
      <c r="L382" s="10">
        <v>5.538875013E9</v>
      </c>
      <c r="M382" s="10" t="s">
        <v>72</v>
      </c>
      <c r="N382" s="10" t="s">
        <v>915</v>
      </c>
      <c r="O382" s="10" t="s">
        <v>1959</v>
      </c>
      <c r="P382" s="10" t="str">
        <f>VLOOKUP(A382,import!A:P,16,0)</f>
        <v>Geleneksel</v>
      </c>
      <c r="Q382" s="12"/>
      <c r="R382" s="12" t="b">
        <v>1</v>
      </c>
      <c r="S382" s="12" t="b">
        <v>0</v>
      </c>
      <c r="T382" s="13" t="s">
        <v>51</v>
      </c>
      <c r="U382" s="13" t="s">
        <v>367</v>
      </c>
      <c r="V382" s="13" t="s">
        <v>53</v>
      </c>
      <c r="W382" s="13" t="s">
        <v>1960</v>
      </c>
      <c r="X382" s="15">
        <v>44434.0</v>
      </c>
      <c r="Y382" s="15">
        <v>44438.0</v>
      </c>
      <c r="Z382" s="16"/>
      <c r="AA382" s="17" t="s">
        <v>56</v>
      </c>
      <c r="AB382" s="16">
        <v>44414.0</v>
      </c>
      <c r="AC382" s="17" t="s">
        <v>56</v>
      </c>
      <c r="AD382" s="16">
        <v>44420.0</v>
      </c>
      <c r="AE382" s="17" t="s">
        <v>56</v>
      </c>
      <c r="AF382" s="16">
        <v>44427.0</v>
      </c>
      <c r="AG382" s="17" t="s">
        <v>56</v>
      </c>
      <c r="AH382" s="16">
        <v>44434.0</v>
      </c>
      <c r="AI382" s="17" t="s">
        <v>56</v>
      </c>
      <c r="AJ382" s="16">
        <v>44524.0</v>
      </c>
      <c r="AK382" s="17" t="s">
        <v>1629</v>
      </c>
      <c r="AL382" s="17" t="s">
        <v>57</v>
      </c>
      <c r="AM382" s="17" t="s">
        <v>1252</v>
      </c>
      <c r="AN382" s="17" t="s">
        <v>367</v>
      </c>
      <c r="AO382" s="17" t="s">
        <v>103</v>
      </c>
      <c r="AP382" s="18" t="s">
        <v>58</v>
      </c>
      <c r="AQ382" s="17"/>
    </row>
    <row r="383" ht="15.75" customHeight="1">
      <c r="A383" s="10" t="s">
        <v>1961</v>
      </c>
      <c r="B383" s="10" t="s">
        <v>1962</v>
      </c>
      <c r="C383" s="10" t="str">
        <f>VLOOKUP(A383,import!A:C,3,0)</f>
        <v>DOĞRU</v>
      </c>
      <c r="D383" s="10" t="s">
        <v>913</v>
      </c>
      <c r="E383" s="10">
        <f>VLOOKUP(A383,import!A:J,5,0)</f>
        <v>245</v>
      </c>
      <c r="F383" s="10">
        <f>VLOOKUP(A383,import!A:J,6,0)</f>
        <v>29</v>
      </c>
      <c r="G383" s="10">
        <f>VLOOKUP(A383,import!A:J,7,0)</f>
        <v>15</v>
      </c>
      <c r="H383" s="10">
        <f>VLOOKUP(A383,import!A:J,8,0)</f>
        <v>25</v>
      </c>
      <c r="I383" s="10">
        <f>VLOOKUP(A383,import!A:J,9,0)</f>
        <v>40</v>
      </c>
      <c r="J383" s="11">
        <f>VLOOKUP(A383,import!A:J,10,0)</f>
        <v>0.38</v>
      </c>
      <c r="K383" s="10" t="s">
        <v>1963</v>
      </c>
      <c r="L383" s="10">
        <v>5.362117079E9</v>
      </c>
      <c r="M383" s="10" t="s">
        <v>137</v>
      </c>
      <c r="N383" s="10" t="s">
        <v>845</v>
      </c>
      <c r="O383" s="10" t="s">
        <v>1964</v>
      </c>
      <c r="P383" s="10" t="str">
        <f>VLOOKUP(A383,import!A:P,16,0)</f>
        <v>Geleneksel</v>
      </c>
      <c r="Q383" s="12"/>
      <c r="R383" s="12" t="b">
        <v>1</v>
      </c>
      <c r="S383" s="12" t="b">
        <v>0</v>
      </c>
      <c r="T383" s="13" t="s">
        <v>51</v>
      </c>
      <c r="U383" s="13" t="s">
        <v>103</v>
      </c>
      <c r="V383" s="13" t="s">
        <v>53</v>
      </c>
      <c r="W383" s="13" t="s">
        <v>1965</v>
      </c>
      <c r="X383" s="15">
        <v>44550.0</v>
      </c>
      <c r="Y383" s="15">
        <v>44552.0</v>
      </c>
      <c r="Z383" s="16"/>
      <c r="AA383" s="17" t="s">
        <v>56</v>
      </c>
      <c r="AB383" s="16">
        <v>44406.0</v>
      </c>
      <c r="AC383" s="17" t="s">
        <v>56</v>
      </c>
      <c r="AD383" s="16">
        <v>44410.0</v>
      </c>
      <c r="AE383" s="17" t="s">
        <v>56</v>
      </c>
      <c r="AF383" s="16">
        <v>44550.0</v>
      </c>
      <c r="AG383" s="17"/>
      <c r="AH383" s="16"/>
      <c r="AI383" s="16"/>
      <c r="AJ383" s="16"/>
      <c r="AK383" s="17" t="s">
        <v>1013</v>
      </c>
      <c r="AL383" s="17" t="s">
        <v>1698</v>
      </c>
      <c r="AM383" s="17" t="s">
        <v>103</v>
      </c>
      <c r="AN383" s="16"/>
      <c r="AO383" s="16"/>
      <c r="AP383" s="18" t="s">
        <v>58</v>
      </c>
      <c r="AQ383" s="16"/>
    </row>
    <row r="384" ht="15.75" customHeight="1">
      <c r="A384" s="10" t="s">
        <v>1966</v>
      </c>
      <c r="B384" s="10" t="s">
        <v>1967</v>
      </c>
      <c r="C384" s="10" t="str">
        <f>VLOOKUP(A384,import!A:C,3,0)</f>
        <v>YANLIŞ</v>
      </c>
      <c r="D384" s="10" t="s">
        <v>106</v>
      </c>
      <c r="E384" s="10">
        <f>VLOOKUP(A384,import!A:J,5,0)</f>
        <v>523</v>
      </c>
      <c r="F384" s="10" t="str">
        <f>VLOOKUP(A384,import!A:J,6,0)</f>
        <v/>
      </c>
      <c r="G384" s="10">
        <f>VLOOKUP(A384,import!A:J,7,0)</f>
        <v>0</v>
      </c>
      <c r="H384" s="10">
        <f>VLOOKUP(A384,import!A:J,8,0)</f>
        <v>35</v>
      </c>
      <c r="I384" s="10">
        <f>VLOOKUP(A384,import!A:J,9,0)</f>
        <v>35</v>
      </c>
      <c r="J384" s="11">
        <f>VLOOKUP(A384,import!A:J,10,0)</f>
        <v>0</v>
      </c>
      <c r="K384" s="10" t="s">
        <v>1968</v>
      </c>
      <c r="L384" s="10">
        <v>5.51447776E9</v>
      </c>
      <c r="M384" s="10" t="s">
        <v>137</v>
      </c>
      <c r="N384" s="10" t="s">
        <v>209</v>
      </c>
      <c r="O384" s="10" t="s">
        <v>1969</v>
      </c>
      <c r="P384" s="10" t="str">
        <f>VLOOKUP(A384,import!A:P,16,0)</f>
        <v>Geleneksel</v>
      </c>
      <c r="Q384" s="12"/>
      <c r="R384" s="12" t="b">
        <v>1</v>
      </c>
      <c r="S384" s="12" t="b">
        <v>1</v>
      </c>
      <c r="T384" s="13"/>
      <c r="U384" s="13"/>
      <c r="V384" s="13"/>
      <c r="W384" s="13" t="s">
        <v>1970</v>
      </c>
      <c r="X384" s="15">
        <v>44356.0</v>
      </c>
      <c r="Y384" s="15">
        <v>44357.0</v>
      </c>
      <c r="Z384" s="16"/>
      <c r="AA384" s="17" t="s">
        <v>56</v>
      </c>
      <c r="AB384" s="16">
        <v>44348.0</v>
      </c>
      <c r="AC384" s="17" t="s">
        <v>55</v>
      </c>
      <c r="AD384" s="16">
        <v>44356.0</v>
      </c>
      <c r="AE384" s="17" t="s">
        <v>55</v>
      </c>
      <c r="AF384" s="16">
        <v>44356.0</v>
      </c>
      <c r="AG384" s="17" t="s">
        <v>56</v>
      </c>
      <c r="AH384" s="16">
        <v>44356.0</v>
      </c>
      <c r="AI384" s="17" t="s">
        <v>56</v>
      </c>
      <c r="AJ384" s="16">
        <v>44494.0</v>
      </c>
      <c r="AK384" s="16"/>
      <c r="AL384" s="17" t="s">
        <v>52</v>
      </c>
      <c r="AM384" s="17" t="s">
        <v>52</v>
      </c>
      <c r="AN384" s="17" t="s">
        <v>52</v>
      </c>
      <c r="AO384" s="17" t="s">
        <v>89</v>
      </c>
      <c r="AP384" s="18" t="s">
        <v>58</v>
      </c>
      <c r="AQ384" s="17"/>
    </row>
    <row r="385" ht="15.75" customHeight="1">
      <c r="A385" s="10" t="s">
        <v>1971</v>
      </c>
      <c r="B385" s="10" t="s">
        <v>1972</v>
      </c>
      <c r="C385" s="10" t="str">
        <f>VLOOKUP(A385,import!A:C,3,0)</f>
        <v>DOĞRU</v>
      </c>
      <c r="D385" s="10" t="s">
        <v>356</v>
      </c>
      <c r="E385" s="10">
        <f>VLOOKUP(A385,import!A:J,5,0)</f>
        <v>6</v>
      </c>
      <c r="F385" s="10">
        <f>VLOOKUP(A385,import!A:J,6,0)</f>
        <v>5</v>
      </c>
      <c r="G385" s="10">
        <f>VLOOKUP(A385,import!A:J,7,0)</f>
        <v>6</v>
      </c>
      <c r="H385" s="10">
        <f>VLOOKUP(A385,import!A:J,8,0)</f>
        <v>3</v>
      </c>
      <c r="I385" s="10">
        <f>VLOOKUP(A385,import!A:J,9,0)</f>
        <v>9</v>
      </c>
      <c r="J385" s="11">
        <f>VLOOKUP(A385,import!A:J,10,0)</f>
        <v>0.67</v>
      </c>
      <c r="K385" s="10" t="s">
        <v>1973</v>
      </c>
      <c r="L385" s="10">
        <v>5.30775015E9</v>
      </c>
      <c r="M385" s="10" t="s">
        <v>63</v>
      </c>
      <c r="N385" s="10" t="s">
        <v>700</v>
      </c>
      <c r="O385" s="10" t="s">
        <v>1974</v>
      </c>
      <c r="P385" s="10" t="str">
        <f>VLOOKUP(A385,import!A:P,16,0)</f>
        <v>Geleneksel</v>
      </c>
      <c r="Q385" s="12"/>
      <c r="R385" s="12" t="b">
        <v>1</v>
      </c>
      <c r="S385" s="12" t="b">
        <v>0</v>
      </c>
      <c r="T385" s="13" t="s">
        <v>51</v>
      </c>
      <c r="U385" s="13" t="s">
        <v>89</v>
      </c>
      <c r="V385" s="17" t="s">
        <v>131</v>
      </c>
      <c r="W385" s="17"/>
      <c r="X385" s="15">
        <v>44635.0</v>
      </c>
      <c r="Y385" s="15">
        <v>44636.0</v>
      </c>
      <c r="Z385" s="16"/>
      <c r="AA385" s="17" t="s">
        <v>56</v>
      </c>
      <c r="AB385" s="16">
        <v>44635.0</v>
      </c>
      <c r="AC385" s="16"/>
      <c r="AD385" s="16"/>
      <c r="AE385" s="17"/>
      <c r="AF385" s="16"/>
      <c r="AG385" s="17"/>
      <c r="AH385" s="16"/>
      <c r="AI385" s="16"/>
      <c r="AJ385" s="16"/>
      <c r="AK385" s="17" t="s">
        <v>89</v>
      </c>
      <c r="AL385" s="16"/>
      <c r="AM385" s="16"/>
      <c r="AN385" s="16"/>
      <c r="AO385" s="16"/>
      <c r="AP385" s="18"/>
      <c r="AQ385" s="16"/>
    </row>
    <row r="386" ht="15.75" customHeight="1">
      <c r="A386" s="10" t="s">
        <v>1975</v>
      </c>
      <c r="B386" s="10" t="s">
        <v>1976</v>
      </c>
      <c r="C386" s="10" t="str">
        <f>VLOOKUP(A386,import!A:C,3,0)</f>
        <v>DOĞRU</v>
      </c>
      <c r="D386" s="10" t="s">
        <v>80</v>
      </c>
      <c r="E386" s="10">
        <f>VLOOKUP(A386,import!A:J,5,0)</f>
        <v>2148</v>
      </c>
      <c r="F386" s="10">
        <f>VLOOKUP(A386,import!A:J,6,0)</f>
        <v>131</v>
      </c>
      <c r="G386" s="10">
        <f>VLOOKUP(A386,import!A:J,7,0)</f>
        <v>14</v>
      </c>
      <c r="H386" s="10">
        <f>VLOOKUP(A386,import!A:J,8,0)</f>
        <v>4</v>
      </c>
      <c r="I386" s="10">
        <f>VLOOKUP(A386,import!A:J,9,0)</f>
        <v>18</v>
      </c>
      <c r="J386" s="11">
        <f>VLOOKUP(A386,import!A:J,10,0)</f>
        <v>0.78</v>
      </c>
      <c r="K386" s="10" t="s">
        <v>1977</v>
      </c>
      <c r="L386" s="10">
        <v>5.465928727E9</v>
      </c>
      <c r="M386" s="10" t="s">
        <v>63</v>
      </c>
      <c r="N386" s="10" t="s">
        <v>566</v>
      </c>
      <c r="O386" s="10" t="s">
        <v>1978</v>
      </c>
      <c r="P386" s="10" t="str">
        <f>VLOOKUP(A386,import!A:P,16,0)</f>
        <v>Geleneksel</v>
      </c>
      <c r="Q386" s="12"/>
      <c r="R386" s="12" t="b">
        <v>1</v>
      </c>
      <c r="S386" s="12" t="b">
        <v>0</v>
      </c>
      <c r="T386" s="13" t="s">
        <v>51</v>
      </c>
      <c r="U386" s="13" t="s">
        <v>57</v>
      </c>
      <c r="V386" s="13" t="s">
        <v>53</v>
      </c>
      <c r="W386" s="13" t="s">
        <v>1979</v>
      </c>
      <c r="X386" s="15">
        <v>44517.0</v>
      </c>
      <c r="Y386" s="15">
        <v>44519.0</v>
      </c>
      <c r="Z386" s="16"/>
      <c r="AA386" s="17" t="s">
        <v>56</v>
      </c>
      <c r="AB386" s="16">
        <v>44418.0</v>
      </c>
      <c r="AC386" s="17" t="s">
        <v>265</v>
      </c>
      <c r="AD386" s="16">
        <v>44450.0</v>
      </c>
      <c r="AE386" s="17" t="s">
        <v>56</v>
      </c>
      <c r="AF386" s="16">
        <v>44461.0</v>
      </c>
      <c r="AG386" s="17" t="s">
        <v>56</v>
      </c>
      <c r="AH386" s="16">
        <v>44495.0</v>
      </c>
      <c r="AI386" s="17" t="s">
        <v>56</v>
      </c>
      <c r="AJ386" s="16">
        <v>44581.0</v>
      </c>
      <c r="AK386" s="17" t="s">
        <v>95</v>
      </c>
      <c r="AL386" s="17" t="s">
        <v>108</v>
      </c>
      <c r="AM386" s="17" t="s">
        <v>367</v>
      </c>
      <c r="AN386" s="17" t="s">
        <v>89</v>
      </c>
      <c r="AO386" s="17" t="s">
        <v>89</v>
      </c>
      <c r="AP386" s="18" t="s">
        <v>58</v>
      </c>
      <c r="AQ386" s="17"/>
    </row>
    <row r="387" ht="15.75" hidden="1" customHeight="1">
      <c r="A387" s="10" t="s">
        <v>1980</v>
      </c>
      <c r="B387" s="10" t="s">
        <v>1981</v>
      </c>
      <c r="C387" s="10" t="str">
        <f>VLOOKUP(A387,import!A:C,3,0)</f>
        <v>DOĞRU</v>
      </c>
      <c r="D387" s="10" t="s">
        <v>884</v>
      </c>
      <c r="E387" s="10">
        <f>VLOOKUP(A387,import!A:J,5,0)</f>
        <v>9</v>
      </c>
      <c r="F387" s="10" t="str">
        <f>VLOOKUP(A387,import!A:J,6,0)</f>
        <v/>
      </c>
      <c r="G387" s="10">
        <f>VLOOKUP(A387,import!A:J,7,0)</f>
        <v>0</v>
      </c>
      <c r="H387" s="10">
        <f>VLOOKUP(A387,import!A:J,8,0)</f>
        <v>21</v>
      </c>
      <c r="I387" s="10">
        <f>VLOOKUP(A387,import!A:J,9,0)</f>
        <v>21</v>
      </c>
      <c r="J387" s="11">
        <f>VLOOKUP(A387,import!A:J,10,0)</f>
        <v>0</v>
      </c>
      <c r="K387" s="10" t="s">
        <v>1982</v>
      </c>
      <c r="L387" s="10">
        <v>5.344230244E9</v>
      </c>
      <c r="M387" s="10" t="s">
        <v>72</v>
      </c>
      <c r="N387" s="10" t="s">
        <v>73</v>
      </c>
      <c r="O387" s="10" t="s">
        <v>1983</v>
      </c>
      <c r="P387" s="10" t="str">
        <f>VLOOKUP(A387,import!A:P,16,0)</f>
        <v>Geleneksel</v>
      </c>
      <c r="Q387" s="12"/>
      <c r="R387" s="12" t="b">
        <v>1</v>
      </c>
      <c r="S387" s="12" t="b">
        <v>0</v>
      </c>
      <c r="T387" s="13" t="s">
        <v>199</v>
      </c>
      <c r="U387" s="13"/>
      <c r="V387" s="13"/>
      <c r="W387" s="13" t="s">
        <v>1984</v>
      </c>
      <c r="X387" s="15"/>
      <c r="Y387" s="15"/>
      <c r="Z387" s="16"/>
      <c r="AA387" s="17" t="s">
        <v>55</v>
      </c>
      <c r="AB387" s="16">
        <v>44361.0</v>
      </c>
      <c r="AC387" s="17" t="s">
        <v>56</v>
      </c>
      <c r="AD387" s="16">
        <v>44426.0</v>
      </c>
      <c r="AE387" s="17" t="s">
        <v>86</v>
      </c>
      <c r="AF387" s="16">
        <v>44454.0</v>
      </c>
      <c r="AG387" s="17" t="s">
        <v>55</v>
      </c>
      <c r="AH387" s="16">
        <v>44483.0</v>
      </c>
      <c r="AI387" s="17" t="s">
        <v>56</v>
      </c>
      <c r="AJ387" s="16">
        <v>44516.0</v>
      </c>
      <c r="AK387" s="17" t="s">
        <v>88</v>
      </c>
      <c r="AL387" s="17" t="s">
        <v>57</v>
      </c>
      <c r="AM387" s="17" t="s">
        <v>103</v>
      </c>
      <c r="AN387" s="17" t="s">
        <v>103</v>
      </c>
      <c r="AO387" s="17" t="s">
        <v>108</v>
      </c>
      <c r="AP387" s="18" t="s">
        <v>58</v>
      </c>
      <c r="AQ387" s="17"/>
    </row>
    <row r="388" ht="15.75" hidden="1" customHeight="1">
      <c r="A388" s="10" t="s">
        <v>1985</v>
      </c>
      <c r="B388" s="10" t="s">
        <v>1986</v>
      </c>
      <c r="C388" s="10" t="str">
        <f>VLOOKUP(A388,import!A:C,3,0)</f>
        <v>DOĞRU</v>
      </c>
      <c r="D388" s="10" t="s">
        <v>45</v>
      </c>
      <c r="E388" s="10">
        <f>VLOOKUP(A388,import!A:J,5,0)</f>
        <v>28</v>
      </c>
      <c r="F388" s="10">
        <f>VLOOKUP(A388,import!A:J,6,0)</f>
        <v>21</v>
      </c>
      <c r="G388" s="10">
        <f>VLOOKUP(A388,import!A:J,7,0)</f>
        <v>0</v>
      </c>
      <c r="H388" s="10">
        <f>VLOOKUP(A388,import!A:J,8,0)</f>
        <v>21</v>
      </c>
      <c r="I388" s="10">
        <f>VLOOKUP(A388,import!A:J,9,0)</f>
        <v>21</v>
      </c>
      <c r="J388" s="11">
        <f>VLOOKUP(A388,import!A:J,10,0)</f>
        <v>0</v>
      </c>
      <c r="K388" s="10" t="s">
        <v>1987</v>
      </c>
      <c r="L388" s="10">
        <v>5.332784334E9</v>
      </c>
      <c r="M388" s="10" t="s">
        <v>72</v>
      </c>
      <c r="N388" s="10" t="s">
        <v>983</v>
      </c>
      <c r="O388" s="10" t="s">
        <v>1988</v>
      </c>
      <c r="P388" s="10" t="str">
        <f>VLOOKUP(A388,import!A:P,16,0)</f>
        <v>Geleneksel</v>
      </c>
      <c r="Q388" s="12"/>
      <c r="R388" s="12" t="b">
        <v>1</v>
      </c>
      <c r="S388" s="12" t="b">
        <v>0</v>
      </c>
      <c r="T388" s="13" t="s">
        <v>51</v>
      </c>
      <c r="U388" s="13" t="s">
        <v>89</v>
      </c>
      <c r="V388" s="17" t="s">
        <v>131</v>
      </c>
      <c r="W388" s="13" t="s">
        <v>1989</v>
      </c>
      <c r="X388" s="15">
        <v>44660.0</v>
      </c>
      <c r="Y388" s="15">
        <v>44662.0</v>
      </c>
      <c r="Z388" s="16"/>
      <c r="AA388" s="17" t="s">
        <v>56</v>
      </c>
      <c r="AB388" s="16">
        <v>44648.0</v>
      </c>
      <c r="AC388" s="17" t="s">
        <v>56</v>
      </c>
      <c r="AD388" s="16">
        <v>44660.0</v>
      </c>
      <c r="AE388" s="17"/>
      <c r="AF388" s="16"/>
      <c r="AG388" s="17"/>
      <c r="AH388" s="16"/>
      <c r="AI388" s="16"/>
      <c r="AJ388" s="16"/>
      <c r="AK388" s="17" t="s">
        <v>133</v>
      </c>
      <c r="AL388" s="17" t="s">
        <v>89</v>
      </c>
      <c r="AM388" s="16"/>
      <c r="AN388" s="16"/>
      <c r="AO388" s="16"/>
      <c r="AP388" s="18"/>
      <c r="AQ388" s="16"/>
    </row>
    <row r="389" ht="15.75" hidden="1" customHeight="1">
      <c r="A389" s="10" t="s">
        <v>1990</v>
      </c>
      <c r="B389" s="10" t="s">
        <v>1991</v>
      </c>
      <c r="C389" s="10" t="str">
        <f>VLOOKUP(A389,import!A:C,3,0)</f>
        <v>DOĞRU</v>
      </c>
      <c r="D389" s="10" t="s">
        <v>1992</v>
      </c>
      <c r="E389" s="10">
        <f>VLOOKUP(A389,import!A:J,5,0)</f>
        <v>186</v>
      </c>
      <c r="F389" s="10">
        <f>VLOOKUP(A389,import!A:J,6,0)</f>
        <v>34</v>
      </c>
      <c r="G389" s="10">
        <f>VLOOKUP(A389,import!A:J,7,0)</f>
        <v>18</v>
      </c>
      <c r="H389" s="10">
        <f>VLOOKUP(A389,import!A:J,8,0)</f>
        <v>9</v>
      </c>
      <c r="I389" s="10">
        <f>VLOOKUP(A389,import!A:J,9,0)</f>
        <v>27</v>
      </c>
      <c r="J389" s="11">
        <f>VLOOKUP(A389,import!A:J,10,0)</f>
        <v>0.67</v>
      </c>
      <c r="K389" s="10" t="s">
        <v>1993</v>
      </c>
      <c r="L389" s="10">
        <v>3.249998474E9</v>
      </c>
      <c r="M389" s="10" t="s">
        <v>72</v>
      </c>
      <c r="N389" s="10" t="s">
        <v>120</v>
      </c>
      <c r="O389" s="10" t="s">
        <v>1994</v>
      </c>
      <c r="P389" s="10" t="str">
        <f>VLOOKUP(A389,import!A:P,16,0)</f>
        <v>Geleneksel</v>
      </c>
      <c r="Q389" s="12"/>
      <c r="R389" s="12" t="b">
        <v>1</v>
      </c>
      <c r="S389" s="12" t="b">
        <v>0</v>
      </c>
      <c r="T389" s="13" t="s">
        <v>51</v>
      </c>
      <c r="U389" s="13" t="s">
        <v>89</v>
      </c>
      <c r="V389" s="13" t="s">
        <v>66</v>
      </c>
      <c r="W389" s="13"/>
      <c r="X389" s="15">
        <v>44565.0</v>
      </c>
      <c r="Y389" s="15">
        <v>44567.0</v>
      </c>
      <c r="Z389" s="16"/>
      <c r="AA389" s="17" t="s">
        <v>56</v>
      </c>
      <c r="AB389" s="16">
        <v>44565.0</v>
      </c>
      <c r="AC389" s="16"/>
      <c r="AD389" s="16"/>
      <c r="AE389" s="17"/>
      <c r="AF389" s="16"/>
      <c r="AG389" s="17"/>
      <c r="AH389" s="16"/>
      <c r="AI389" s="16"/>
      <c r="AJ389" s="16"/>
      <c r="AK389" s="17" t="s">
        <v>89</v>
      </c>
      <c r="AL389" s="16"/>
      <c r="AM389" s="16"/>
      <c r="AN389" s="16"/>
      <c r="AO389" s="16"/>
      <c r="AP389" s="18"/>
      <c r="AQ389" s="16"/>
    </row>
    <row r="390" ht="15.75" customHeight="1">
      <c r="A390" s="10" t="s">
        <v>1995</v>
      </c>
      <c r="B390" s="10" t="s">
        <v>1996</v>
      </c>
      <c r="C390" s="10" t="str">
        <f>VLOOKUP(A390,import!A:C,3,0)</f>
        <v>DOĞRU</v>
      </c>
      <c r="D390" s="10" t="s">
        <v>363</v>
      </c>
      <c r="E390" s="10">
        <f>VLOOKUP(A390,import!A:J,5,0)</f>
        <v>267</v>
      </c>
      <c r="F390" s="10">
        <f>VLOOKUP(A390,import!A:J,6,0)</f>
        <v>6</v>
      </c>
      <c r="G390" s="10">
        <f>VLOOKUP(A390,import!A:J,7,0)</f>
        <v>26</v>
      </c>
      <c r="H390" s="10">
        <f>VLOOKUP(A390,import!A:J,8,0)</f>
        <v>8</v>
      </c>
      <c r="I390" s="10">
        <f>VLOOKUP(A390,import!A:J,9,0)</f>
        <v>34</v>
      </c>
      <c r="J390" s="11">
        <f>VLOOKUP(A390,import!A:J,10,0)</f>
        <v>0.76</v>
      </c>
      <c r="K390" s="10" t="s">
        <v>1997</v>
      </c>
      <c r="L390" s="10">
        <v>5.451502727E9</v>
      </c>
      <c r="M390" s="10" t="s">
        <v>137</v>
      </c>
      <c r="N390" s="10" t="s">
        <v>1998</v>
      </c>
      <c r="O390" s="10" t="s">
        <v>1999</v>
      </c>
      <c r="P390" s="10" t="str">
        <f>VLOOKUP(A390,import!A:P,16,0)</f>
        <v>Geleneksel</v>
      </c>
      <c r="Q390" s="12"/>
      <c r="R390" s="12" t="b">
        <v>1</v>
      </c>
      <c r="S390" s="12" t="b">
        <v>0</v>
      </c>
      <c r="T390" s="13" t="s">
        <v>51</v>
      </c>
      <c r="U390" s="13" t="s">
        <v>52</v>
      </c>
      <c r="V390" s="13" t="s">
        <v>66</v>
      </c>
      <c r="W390" s="13" t="s">
        <v>2000</v>
      </c>
      <c r="X390" s="15">
        <v>44536.0</v>
      </c>
      <c r="Y390" s="15">
        <v>44537.0</v>
      </c>
      <c r="Z390" s="16"/>
      <c r="AA390" s="17" t="s">
        <v>86</v>
      </c>
      <c r="AB390" s="16">
        <v>44529.0</v>
      </c>
      <c r="AC390" s="17" t="s">
        <v>55</v>
      </c>
      <c r="AD390" s="16">
        <v>44536.0</v>
      </c>
      <c r="AE390" s="17" t="s">
        <v>56</v>
      </c>
      <c r="AF390" s="16">
        <v>44536.0</v>
      </c>
      <c r="AG390" s="17"/>
      <c r="AH390" s="16"/>
      <c r="AI390" s="16"/>
      <c r="AJ390" s="16"/>
      <c r="AK390" s="17" t="s">
        <v>108</v>
      </c>
      <c r="AL390" s="17" t="s">
        <v>52</v>
      </c>
      <c r="AM390" s="17" t="s">
        <v>52</v>
      </c>
      <c r="AN390" s="16"/>
      <c r="AO390" s="16"/>
      <c r="AP390" s="18" t="s">
        <v>58</v>
      </c>
      <c r="AQ390" s="16"/>
    </row>
    <row r="391" ht="15.75" hidden="1" customHeight="1">
      <c r="A391" s="10" t="s">
        <v>2001</v>
      </c>
      <c r="B391" s="10" t="s">
        <v>2002</v>
      </c>
      <c r="C391" s="10" t="str">
        <f>VLOOKUP(A391,import!A:C,3,0)</f>
        <v>DOĞRU</v>
      </c>
      <c r="D391" s="10" t="s">
        <v>363</v>
      </c>
      <c r="E391" s="10">
        <f>VLOOKUP(A391,import!A:J,5,0)</f>
        <v>2</v>
      </c>
      <c r="F391" s="10" t="str">
        <f>VLOOKUP(A391,import!A:J,6,0)</f>
        <v/>
      </c>
      <c r="G391" s="10">
        <f>VLOOKUP(A391,import!A:J,7,0)</f>
        <v>13</v>
      </c>
      <c r="H391" s="10">
        <f>VLOOKUP(A391,import!A:J,8,0)</f>
        <v>17</v>
      </c>
      <c r="I391" s="10">
        <f>VLOOKUP(A391,import!A:J,9,0)</f>
        <v>30</v>
      </c>
      <c r="J391" s="11">
        <f>VLOOKUP(A391,import!A:J,10,0)</f>
        <v>0.43</v>
      </c>
      <c r="K391" s="10" t="s">
        <v>1997</v>
      </c>
      <c r="L391" s="10">
        <v>5.451512727E9</v>
      </c>
      <c r="M391" s="10" t="s">
        <v>215</v>
      </c>
      <c r="N391" s="10" t="s">
        <v>216</v>
      </c>
      <c r="O391" s="10" t="s">
        <v>2003</v>
      </c>
      <c r="P391" s="10" t="str">
        <f>VLOOKUP(A391,import!A:P,16,0)</f>
        <v>Geleneksel</v>
      </c>
      <c r="Q391" s="12"/>
      <c r="R391" s="12" t="b">
        <v>1</v>
      </c>
      <c r="S391" s="12" t="b">
        <v>0</v>
      </c>
      <c r="T391" s="27" t="s">
        <v>140</v>
      </c>
      <c r="U391" s="13"/>
      <c r="V391" s="19"/>
      <c r="W391" s="13">
        <v>5.421138533E9</v>
      </c>
      <c r="X391" s="15"/>
      <c r="Y391" s="15"/>
      <c r="Z391" s="16"/>
      <c r="AA391" s="16"/>
      <c r="AB391" s="16"/>
      <c r="AC391" s="16"/>
      <c r="AD391" s="16"/>
      <c r="AE391" s="17"/>
      <c r="AF391" s="16"/>
      <c r="AG391" s="17"/>
      <c r="AH391" s="16"/>
      <c r="AI391" s="16"/>
      <c r="AJ391" s="16"/>
      <c r="AK391" s="16"/>
      <c r="AL391" s="16"/>
      <c r="AM391" s="16"/>
      <c r="AN391" s="16"/>
      <c r="AO391" s="16"/>
      <c r="AP391" s="18" t="s">
        <v>58</v>
      </c>
      <c r="AQ391" s="16"/>
    </row>
    <row r="392" ht="15.75" hidden="1" customHeight="1">
      <c r="A392" s="10" t="s">
        <v>2004</v>
      </c>
      <c r="B392" s="10" t="s">
        <v>2005</v>
      </c>
      <c r="C392" s="10" t="str">
        <f>VLOOKUP(A392,import!A:C,3,0)</f>
        <v>DOĞRU</v>
      </c>
      <c r="D392" s="10" t="s">
        <v>363</v>
      </c>
      <c r="E392" s="10">
        <f>VLOOKUP(A392,import!A:J,5,0)</f>
        <v>139</v>
      </c>
      <c r="F392" s="10">
        <f>VLOOKUP(A392,import!A:J,6,0)</f>
        <v>6</v>
      </c>
      <c r="G392" s="10">
        <f>VLOOKUP(A392,import!A:J,7,0)</f>
        <v>15</v>
      </c>
      <c r="H392" s="10">
        <f>VLOOKUP(A392,import!A:J,8,0)</f>
        <v>17</v>
      </c>
      <c r="I392" s="10">
        <f>VLOOKUP(A392,import!A:J,9,0)</f>
        <v>32</v>
      </c>
      <c r="J392" s="11">
        <f>VLOOKUP(A392,import!A:J,10,0)</f>
        <v>0.47</v>
      </c>
      <c r="K392" s="10" t="s">
        <v>1997</v>
      </c>
      <c r="L392" s="10">
        <v>5.451502727E9</v>
      </c>
      <c r="M392" s="10" t="s">
        <v>215</v>
      </c>
      <c r="N392" s="10" t="s">
        <v>2006</v>
      </c>
      <c r="O392" s="10" t="s">
        <v>2007</v>
      </c>
      <c r="P392" s="10" t="str">
        <f>VLOOKUP(A392,import!A:P,16,0)</f>
        <v>Geleneksel</v>
      </c>
      <c r="Q392" s="12"/>
      <c r="R392" s="12" t="b">
        <v>1</v>
      </c>
      <c r="S392" s="12" t="b">
        <v>0</v>
      </c>
      <c r="T392" s="13" t="s">
        <v>51</v>
      </c>
      <c r="U392" s="13" t="s">
        <v>133</v>
      </c>
      <c r="V392" s="13" t="s">
        <v>53</v>
      </c>
      <c r="W392" s="13" t="s">
        <v>2008</v>
      </c>
      <c r="X392" s="15">
        <v>44553.0</v>
      </c>
      <c r="Y392" s="15">
        <v>44554.0</v>
      </c>
      <c r="Z392" s="16"/>
      <c r="AA392" s="17" t="s">
        <v>56</v>
      </c>
      <c r="AB392" s="16">
        <v>44533.0</v>
      </c>
      <c r="AC392" s="17" t="s">
        <v>56</v>
      </c>
      <c r="AD392" s="16">
        <v>44551.0</v>
      </c>
      <c r="AE392" s="17" t="s">
        <v>56</v>
      </c>
      <c r="AF392" s="16">
        <v>44553.0</v>
      </c>
      <c r="AG392" s="17"/>
      <c r="AH392" s="16"/>
      <c r="AI392" s="16"/>
      <c r="AJ392" s="16"/>
      <c r="AK392" s="17" t="s">
        <v>87</v>
      </c>
      <c r="AL392" s="17" t="s">
        <v>133</v>
      </c>
      <c r="AM392" s="17" t="s">
        <v>133</v>
      </c>
      <c r="AN392" s="16"/>
      <c r="AO392" s="16"/>
      <c r="AP392" s="18" t="s">
        <v>58</v>
      </c>
      <c r="AQ392" s="16"/>
    </row>
    <row r="393" ht="15.75" customHeight="1">
      <c r="A393" s="10" t="s">
        <v>2009</v>
      </c>
      <c r="B393" s="10" t="s">
        <v>2010</v>
      </c>
      <c r="C393" s="10" t="str">
        <f>VLOOKUP(A393,import!A:C,3,0)</f>
        <v>DOĞRU</v>
      </c>
      <c r="D393" s="10" t="s">
        <v>118</v>
      </c>
      <c r="E393" s="10">
        <f>VLOOKUP(A393,import!A:J,5,0)</f>
        <v>155</v>
      </c>
      <c r="F393" s="10">
        <f>VLOOKUP(A393,import!A:J,6,0)</f>
        <v>26</v>
      </c>
      <c r="G393" s="10">
        <f>VLOOKUP(A393,import!A:J,7,0)</f>
        <v>6</v>
      </c>
      <c r="H393" s="10">
        <f>VLOOKUP(A393,import!A:J,8,0)</f>
        <v>9</v>
      </c>
      <c r="I393" s="10">
        <f>VLOOKUP(A393,import!A:J,9,0)</f>
        <v>15</v>
      </c>
      <c r="J393" s="11">
        <f>VLOOKUP(A393,import!A:J,10,0)</f>
        <v>0.4</v>
      </c>
      <c r="K393" s="10" t="s">
        <v>2011</v>
      </c>
      <c r="L393" s="10">
        <v>5.448742727E9</v>
      </c>
      <c r="M393" s="10" t="s">
        <v>137</v>
      </c>
      <c r="N393" s="10" t="s">
        <v>209</v>
      </c>
      <c r="O393" s="10" t="s">
        <v>2012</v>
      </c>
      <c r="P393" s="10" t="str">
        <f>VLOOKUP(A393,import!A:P,16,0)</f>
        <v>Geleneksel</v>
      </c>
      <c r="Q393" s="12"/>
      <c r="R393" s="12" t="b">
        <v>1</v>
      </c>
      <c r="S393" s="12" t="b">
        <v>0</v>
      </c>
      <c r="T393" s="13" t="s">
        <v>51</v>
      </c>
      <c r="U393" s="13" t="s">
        <v>89</v>
      </c>
      <c r="V393" s="17" t="s">
        <v>66</v>
      </c>
      <c r="W393" s="13"/>
      <c r="X393" s="15">
        <v>44649.0</v>
      </c>
      <c r="Y393" s="15">
        <v>44651.0</v>
      </c>
      <c r="Z393" s="16"/>
      <c r="AA393" s="17" t="s">
        <v>56</v>
      </c>
      <c r="AB393" s="16">
        <v>44649.0</v>
      </c>
      <c r="AC393" s="16"/>
      <c r="AD393" s="16"/>
      <c r="AE393" s="17"/>
      <c r="AF393" s="16"/>
      <c r="AG393" s="17"/>
      <c r="AH393" s="16"/>
      <c r="AI393" s="16"/>
      <c r="AJ393" s="16"/>
      <c r="AK393" s="17" t="s">
        <v>89</v>
      </c>
      <c r="AL393" s="16"/>
      <c r="AM393" s="16"/>
      <c r="AN393" s="16"/>
      <c r="AO393" s="16"/>
      <c r="AP393" s="18"/>
      <c r="AQ393" s="16"/>
    </row>
    <row r="394" ht="15.75" customHeight="1">
      <c r="A394" s="10" t="s">
        <v>2013</v>
      </c>
      <c r="B394" s="10" t="s">
        <v>2014</v>
      </c>
      <c r="C394" s="10" t="str">
        <f>VLOOKUP(A394,import!A:C,3,0)</f>
        <v>DOĞRU</v>
      </c>
      <c r="D394" s="10" t="s">
        <v>118</v>
      </c>
      <c r="E394" s="10">
        <f>VLOOKUP(A394,import!A:J,5,0)</f>
        <v>1974</v>
      </c>
      <c r="F394" s="10">
        <f>VLOOKUP(A394,import!A:J,6,0)</f>
        <v>78</v>
      </c>
      <c r="G394" s="10">
        <f>VLOOKUP(A394,import!A:J,7,0)</f>
        <v>4</v>
      </c>
      <c r="H394" s="10">
        <f>VLOOKUP(A394,import!A:J,8,0)</f>
        <v>14</v>
      </c>
      <c r="I394" s="10">
        <f>VLOOKUP(A394,import!A:J,9,0)</f>
        <v>18</v>
      </c>
      <c r="J394" s="11">
        <f>VLOOKUP(A394,import!A:J,10,0)</f>
        <v>0.22</v>
      </c>
      <c r="K394" s="10" t="s">
        <v>2015</v>
      </c>
      <c r="L394" s="10">
        <v>3.243583737E9</v>
      </c>
      <c r="M394" s="10" t="s">
        <v>63</v>
      </c>
      <c r="N394" s="10" t="s">
        <v>566</v>
      </c>
      <c r="O394" s="10" t="s">
        <v>2016</v>
      </c>
      <c r="P394" s="10" t="str">
        <f>VLOOKUP(A394,import!A:P,16,0)</f>
        <v>Geleneksel</v>
      </c>
      <c r="Q394" s="12"/>
      <c r="R394" s="12" t="b">
        <v>1</v>
      </c>
      <c r="S394" s="12" t="b">
        <v>0</v>
      </c>
      <c r="T394" s="13" t="s">
        <v>272</v>
      </c>
      <c r="U394" s="13" t="s">
        <v>314</v>
      </c>
      <c r="V394" s="17" t="s">
        <v>66</v>
      </c>
      <c r="W394" s="13" t="s">
        <v>2017</v>
      </c>
      <c r="X394" s="15">
        <v>44579.0</v>
      </c>
      <c r="Y394" s="15">
        <v>44580.0</v>
      </c>
      <c r="Z394" s="16"/>
      <c r="AA394" s="17" t="s">
        <v>56</v>
      </c>
      <c r="AB394" s="16">
        <v>44481.0</v>
      </c>
      <c r="AC394" s="17" t="s">
        <v>56</v>
      </c>
      <c r="AD394" s="16">
        <v>44579.0</v>
      </c>
      <c r="AE394" s="17" t="s">
        <v>230</v>
      </c>
      <c r="AF394" s="16">
        <v>44649.0</v>
      </c>
      <c r="AG394" s="17"/>
      <c r="AH394" s="16"/>
      <c r="AI394" s="16"/>
      <c r="AJ394" s="16"/>
      <c r="AK394" s="17" t="s">
        <v>87</v>
      </c>
      <c r="AL394" s="17" t="s">
        <v>314</v>
      </c>
      <c r="AM394" s="17" t="s">
        <v>89</v>
      </c>
      <c r="AN394" s="16"/>
      <c r="AO394" s="16"/>
      <c r="AP394" s="18" t="s">
        <v>58</v>
      </c>
      <c r="AQ394" s="16"/>
    </row>
    <row r="395" ht="15.75" hidden="1" customHeight="1">
      <c r="A395" s="10" t="s">
        <v>2018</v>
      </c>
      <c r="B395" s="10" t="s">
        <v>2019</v>
      </c>
      <c r="C395" s="10" t="str">
        <f>VLOOKUP(A395,import!A:C,3,0)</f>
        <v>YANLIŞ</v>
      </c>
      <c r="D395" s="10" t="s">
        <v>106</v>
      </c>
      <c r="E395" s="10">
        <f>VLOOKUP(A395,import!A:J,5,0)</f>
        <v>9</v>
      </c>
      <c r="F395" s="10" t="str">
        <f>VLOOKUP(A395,import!A:J,6,0)</f>
        <v/>
      </c>
      <c r="G395" s="10">
        <f>VLOOKUP(A395,import!A:J,7,0)</f>
        <v>0</v>
      </c>
      <c r="H395" s="10">
        <f>VLOOKUP(A395,import!A:J,8,0)</f>
        <v>150</v>
      </c>
      <c r="I395" s="10">
        <f>VLOOKUP(A395,import!A:J,9,0)</f>
        <v>150</v>
      </c>
      <c r="J395" s="11">
        <f>VLOOKUP(A395,import!A:J,10,0)</f>
        <v>0</v>
      </c>
      <c r="K395" s="10" t="s">
        <v>2020</v>
      </c>
      <c r="L395" s="10">
        <v>5.34702959E9</v>
      </c>
      <c r="M395" s="10" t="s">
        <v>156</v>
      </c>
      <c r="N395" s="10" t="s">
        <v>596</v>
      </c>
      <c r="O395" s="10" t="s">
        <v>2021</v>
      </c>
      <c r="P395" s="10" t="str">
        <f>VLOOKUP(A395,import!A:P,16,0)</f>
        <v>Geleneksel</v>
      </c>
      <c r="Q395" s="12"/>
      <c r="R395" s="12" t="b">
        <v>0</v>
      </c>
      <c r="S395" s="12" t="b">
        <v>0</v>
      </c>
      <c r="T395" s="13"/>
      <c r="U395" s="13"/>
      <c r="V395" s="13"/>
      <c r="W395" s="13"/>
      <c r="X395" s="15"/>
      <c r="Y395" s="15"/>
      <c r="Z395" s="16"/>
      <c r="AA395" s="16"/>
      <c r="AB395" s="16"/>
      <c r="AC395" s="16"/>
      <c r="AD395" s="16"/>
      <c r="AE395" s="17"/>
      <c r="AF395" s="16"/>
      <c r="AG395" s="17"/>
      <c r="AH395" s="16"/>
      <c r="AI395" s="16"/>
      <c r="AJ395" s="16"/>
      <c r="AK395" s="16"/>
      <c r="AL395" s="16"/>
      <c r="AM395" s="16"/>
      <c r="AN395" s="16"/>
      <c r="AO395" s="16"/>
      <c r="AP395" s="18"/>
      <c r="AQ395" s="16"/>
    </row>
    <row r="396" ht="15.75" customHeight="1">
      <c r="A396" s="18" t="s">
        <v>2022</v>
      </c>
      <c r="B396" s="18" t="s">
        <v>2023</v>
      </c>
      <c r="C396" s="10" t="str">
        <f>VLOOKUP(A396,import!A:C,3,0)</f>
        <v>DOĞRU</v>
      </c>
      <c r="D396" s="18" t="s">
        <v>106</v>
      </c>
      <c r="E396" s="10">
        <f>VLOOKUP(A396,import!A:J,5,0)</f>
        <v>9</v>
      </c>
      <c r="F396" s="10">
        <f>VLOOKUP(A396,import!A:J,6,0)</f>
        <v>9</v>
      </c>
      <c r="G396" s="10">
        <f>VLOOKUP(A396,import!A:J,7,0)</f>
        <v>0</v>
      </c>
      <c r="H396" s="10">
        <f>VLOOKUP(A396,import!A:J,8,0)</f>
        <v>31</v>
      </c>
      <c r="I396" s="10">
        <f>VLOOKUP(A396,import!A:J,9,0)</f>
        <v>31</v>
      </c>
      <c r="J396" s="11">
        <f>VLOOKUP(A396,import!A:J,10,0)</f>
        <v>0</v>
      </c>
      <c r="K396" s="18" t="s">
        <v>2024</v>
      </c>
      <c r="L396" s="18">
        <v>5.444430414E9</v>
      </c>
      <c r="M396" s="18" t="s">
        <v>63</v>
      </c>
      <c r="N396" s="18" t="s">
        <v>1148</v>
      </c>
      <c r="O396" s="18" t="s">
        <v>2025</v>
      </c>
      <c r="P396" s="10" t="str">
        <f>VLOOKUP(A396,import!A:P,16,0)</f>
        <v>Geleneksel</v>
      </c>
      <c r="Q396" s="12"/>
      <c r="R396" s="12" t="b">
        <v>0</v>
      </c>
      <c r="S396" s="12" t="b">
        <v>0</v>
      </c>
      <c r="T396" s="13"/>
      <c r="U396" s="13"/>
      <c r="V396" s="13"/>
      <c r="W396" s="13"/>
      <c r="X396" s="15"/>
      <c r="Y396" s="15"/>
      <c r="Z396" s="16"/>
      <c r="AA396" s="17"/>
      <c r="AB396" s="16"/>
      <c r="AC396" s="16"/>
      <c r="AD396" s="16"/>
      <c r="AE396" s="17"/>
      <c r="AF396" s="16"/>
      <c r="AG396" s="17"/>
      <c r="AH396" s="16"/>
      <c r="AI396" s="16"/>
      <c r="AJ396" s="16"/>
      <c r="AK396" s="17"/>
      <c r="AL396" s="16"/>
      <c r="AM396" s="16"/>
      <c r="AN396" s="16"/>
      <c r="AO396" s="16"/>
      <c r="AP396" s="18"/>
      <c r="AQ396" s="16"/>
    </row>
    <row r="397" ht="15.75" hidden="1" customHeight="1">
      <c r="A397" s="10" t="s">
        <v>2026</v>
      </c>
      <c r="B397" s="10" t="s">
        <v>2027</v>
      </c>
      <c r="C397" s="10" t="str">
        <f>VLOOKUP(A397,import!A:C,3,0)</f>
        <v>DOĞRU</v>
      </c>
      <c r="D397" s="10" t="s">
        <v>80</v>
      </c>
      <c r="E397" s="10">
        <f>VLOOKUP(A397,import!A:J,5,0)</f>
        <v>441</v>
      </c>
      <c r="F397" s="10">
        <f>VLOOKUP(A397,import!A:J,6,0)</f>
        <v>12</v>
      </c>
      <c r="G397" s="10">
        <f>VLOOKUP(A397,import!A:J,7,0)</f>
        <v>9</v>
      </c>
      <c r="H397" s="10">
        <f>VLOOKUP(A397,import!A:J,8,0)</f>
        <v>1</v>
      </c>
      <c r="I397" s="10">
        <f>VLOOKUP(A397,import!A:J,9,0)</f>
        <v>10</v>
      </c>
      <c r="J397" s="11">
        <f>VLOOKUP(A397,import!A:J,10,0)</f>
        <v>0.9</v>
      </c>
      <c r="K397" s="10" t="s">
        <v>2028</v>
      </c>
      <c r="L397" s="10">
        <v>3.246241717E9</v>
      </c>
      <c r="M397" s="10" t="s">
        <v>156</v>
      </c>
      <c r="N397" s="10" t="s">
        <v>596</v>
      </c>
      <c r="O397" s="10" t="s">
        <v>2029</v>
      </c>
      <c r="P397" s="10" t="str">
        <f>VLOOKUP(A397,import!A:P,16,0)</f>
        <v>Geleneksel</v>
      </c>
      <c r="Q397" s="12" t="s">
        <v>50</v>
      </c>
      <c r="R397" s="12" t="b">
        <v>1</v>
      </c>
      <c r="S397" s="12" t="b">
        <v>0</v>
      </c>
      <c r="T397" s="13" t="s">
        <v>51</v>
      </c>
      <c r="U397" s="13" t="s">
        <v>437</v>
      </c>
      <c r="V397" s="13" t="s">
        <v>53</v>
      </c>
      <c r="W397" s="13" t="s">
        <v>2030</v>
      </c>
      <c r="X397" s="15">
        <v>44300.0</v>
      </c>
      <c r="Y397" s="15">
        <v>44301.0</v>
      </c>
      <c r="Z397" s="16"/>
      <c r="AA397" s="16"/>
      <c r="AB397" s="16"/>
      <c r="AC397" s="16"/>
      <c r="AD397" s="16"/>
      <c r="AE397" s="17"/>
      <c r="AF397" s="16"/>
      <c r="AG397" s="17"/>
      <c r="AH397" s="16"/>
      <c r="AI397" s="16"/>
      <c r="AJ397" s="16"/>
      <c r="AK397" s="16"/>
      <c r="AL397" s="16"/>
      <c r="AM397" s="16"/>
      <c r="AN397" s="16"/>
      <c r="AO397" s="16"/>
      <c r="AP397" s="18" t="s">
        <v>58</v>
      </c>
      <c r="AQ397" s="16"/>
    </row>
    <row r="398" ht="15.75" hidden="1" customHeight="1">
      <c r="A398" s="10" t="s">
        <v>2031</v>
      </c>
      <c r="B398" s="10" t="s">
        <v>2032</v>
      </c>
      <c r="C398" s="10" t="str">
        <f>VLOOKUP(A398,import!A:C,3,0)</f>
        <v>DOĞRU</v>
      </c>
      <c r="D398" s="10" t="s">
        <v>80</v>
      </c>
      <c r="E398" s="10">
        <f>VLOOKUP(A398,import!A:J,5,0)</f>
        <v>1783</v>
      </c>
      <c r="F398" s="10" t="str">
        <f>VLOOKUP(A398,import!A:J,6,0)</f>
        <v/>
      </c>
      <c r="G398" s="10">
        <f>VLOOKUP(A398,import!A:J,7,0)</f>
        <v>12</v>
      </c>
      <c r="H398" s="10">
        <f>VLOOKUP(A398,import!A:J,8,0)</f>
        <v>8</v>
      </c>
      <c r="I398" s="10">
        <f>VLOOKUP(A398,import!A:J,9,0)</f>
        <v>20</v>
      </c>
      <c r="J398" s="11">
        <f>VLOOKUP(A398,import!A:J,10,0)</f>
        <v>0.6</v>
      </c>
      <c r="K398" s="10" t="s">
        <v>2033</v>
      </c>
      <c r="L398" s="10">
        <v>3.243410202E9</v>
      </c>
      <c r="M398" s="10" t="s">
        <v>72</v>
      </c>
      <c r="N398" s="10" t="s">
        <v>548</v>
      </c>
      <c r="O398" s="10" t="s">
        <v>2034</v>
      </c>
      <c r="P398" s="10" t="str">
        <f>VLOOKUP(A398,import!A:P,16,0)</f>
        <v>Geleneksel</v>
      </c>
      <c r="Q398" s="12" t="s">
        <v>50</v>
      </c>
      <c r="R398" s="12" t="b">
        <v>1</v>
      </c>
      <c r="S398" s="12" t="b">
        <v>0</v>
      </c>
      <c r="T398" s="13" t="s">
        <v>51</v>
      </c>
      <c r="U398" s="13" t="s">
        <v>133</v>
      </c>
      <c r="V398" s="13" t="s">
        <v>53</v>
      </c>
      <c r="W398" s="13" t="s">
        <v>2035</v>
      </c>
      <c r="X398" s="15">
        <v>44327.0</v>
      </c>
      <c r="Y398" s="15">
        <v>44270.0</v>
      </c>
      <c r="Z398" s="16"/>
      <c r="AA398" s="16"/>
      <c r="AB398" s="16"/>
      <c r="AC398" s="16"/>
      <c r="AD398" s="16"/>
      <c r="AE398" s="17"/>
      <c r="AF398" s="16"/>
      <c r="AG398" s="17"/>
      <c r="AH398" s="16"/>
      <c r="AI398" s="16"/>
      <c r="AJ398" s="16"/>
      <c r="AK398" s="16"/>
      <c r="AL398" s="16"/>
      <c r="AM398" s="16"/>
      <c r="AN398" s="16"/>
      <c r="AO398" s="16"/>
      <c r="AP398" s="18" t="s">
        <v>58</v>
      </c>
      <c r="AQ398" s="16"/>
    </row>
    <row r="399" ht="15.75" hidden="1" customHeight="1">
      <c r="A399" s="10" t="s">
        <v>2036</v>
      </c>
      <c r="B399" s="10" t="s">
        <v>2037</v>
      </c>
      <c r="C399" s="10" t="str">
        <f>VLOOKUP(A399,import!A:C,3,0)</f>
        <v>DOĞRU</v>
      </c>
      <c r="D399" s="10" t="s">
        <v>80</v>
      </c>
      <c r="E399" s="10">
        <f>VLOOKUP(A399,import!A:J,5,0)</f>
        <v>966</v>
      </c>
      <c r="F399" s="10">
        <f>VLOOKUP(A399,import!A:J,6,0)</f>
        <v>36</v>
      </c>
      <c r="G399" s="10">
        <f>VLOOKUP(A399,import!A:J,7,0)</f>
        <v>4</v>
      </c>
      <c r="H399" s="10">
        <f>VLOOKUP(A399,import!A:J,8,0)</f>
        <v>24</v>
      </c>
      <c r="I399" s="10">
        <f>VLOOKUP(A399,import!A:J,9,0)</f>
        <v>28</v>
      </c>
      <c r="J399" s="11">
        <f>VLOOKUP(A399,import!A:J,10,0)</f>
        <v>0.14</v>
      </c>
      <c r="K399" s="10" t="s">
        <v>2038</v>
      </c>
      <c r="L399" s="10">
        <v>3.245032323E9</v>
      </c>
      <c r="M399" s="10" t="s">
        <v>72</v>
      </c>
      <c r="N399" s="10" t="s">
        <v>1090</v>
      </c>
      <c r="O399" s="10" t="s">
        <v>2039</v>
      </c>
      <c r="P399" s="10" t="str">
        <f>VLOOKUP(A399,import!A:P,16,0)</f>
        <v>Geleneksel</v>
      </c>
      <c r="Q399" s="12"/>
      <c r="R399" s="12" t="b">
        <v>1</v>
      </c>
      <c r="S399" s="12" t="b">
        <v>0</v>
      </c>
      <c r="T399" s="13" t="s">
        <v>272</v>
      </c>
      <c r="U399" s="13" t="s">
        <v>52</v>
      </c>
      <c r="V399" s="13" t="s">
        <v>53</v>
      </c>
      <c r="W399" s="13" t="s">
        <v>2040</v>
      </c>
      <c r="X399" s="15">
        <v>44364.0</v>
      </c>
      <c r="Y399" s="15">
        <v>44375.0</v>
      </c>
      <c r="Z399" s="16"/>
      <c r="AA399" s="17" t="s">
        <v>56</v>
      </c>
      <c r="AB399" s="16">
        <v>44361.0</v>
      </c>
      <c r="AC399" s="17" t="s">
        <v>56</v>
      </c>
      <c r="AD399" s="16">
        <v>44368.0</v>
      </c>
      <c r="AE399" s="17" t="s">
        <v>230</v>
      </c>
      <c r="AF399" s="16">
        <v>44533.0</v>
      </c>
      <c r="AG399" s="17"/>
      <c r="AH399" s="16"/>
      <c r="AI399" s="16"/>
      <c r="AJ399" s="16"/>
      <c r="AK399" s="17" t="s">
        <v>88</v>
      </c>
      <c r="AL399" s="17" t="s">
        <v>52</v>
      </c>
      <c r="AM399" s="17" t="s">
        <v>108</v>
      </c>
      <c r="AN399" s="16"/>
      <c r="AO399" s="16"/>
      <c r="AP399" s="18" t="s">
        <v>58</v>
      </c>
      <c r="AQ399" s="16"/>
    </row>
    <row r="400" ht="15.75" customHeight="1">
      <c r="A400" s="10" t="s">
        <v>2041</v>
      </c>
      <c r="B400" s="10" t="s">
        <v>2042</v>
      </c>
      <c r="C400" s="10" t="str">
        <f>VLOOKUP(A400,import!A:C,3,0)</f>
        <v>DOĞRU</v>
      </c>
      <c r="D400" s="10" t="s">
        <v>80</v>
      </c>
      <c r="E400" s="10">
        <f>VLOOKUP(A400,import!A:J,5,0)</f>
        <v>14</v>
      </c>
      <c r="F400" s="10" t="str">
        <f>VLOOKUP(A400,import!A:J,6,0)</f>
        <v/>
      </c>
      <c r="G400" s="10">
        <f>VLOOKUP(A400,import!A:J,7,0)</f>
        <v>0</v>
      </c>
      <c r="H400" s="10">
        <f>VLOOKUP(A400,import!A:J,8,0)</f>
        <v>9</v>
      </c>
      <c r="I400" s="10">
        <f>VLOOKUP(A400,import!A:J,9,0)</f>
        <v>9</v>
      </c>
      <c r="J400" s="11">
        <f>VLOOKUP(A400,import!A:J,10,0)</f>
        <v>0</v>
      </c>
      <c r="K400" s="10" t="s">
        <v>2043</v>
      </c>
      <c r="L400" s="10">
        <v>3.243365248E9</v>
      </c>
      <c r="M400" s="10" t="s">
        <v>137</v>
      </c>
      <c r="N400" s="10" t="s">
        <v>526</v>
      </c>
      <c r="O400" s="10" t="s">
        <v>2044</v>
      </c>
      <c r="P400" s="10" t="str">
        <f>VLOOKUP(A400,import!A:P,16,0)</f>
        <v>Geleneksel</v>
      </c>
      <c r="Q400" s="12"/>
      <c r="R400" s="12" t="b">
        <v>1</v>
      </c>
      <c r="S400" s="12" t="b">
        <v>0</v>
      </c>
      <c r="T400" s="13" t="s">
        <v>199</v>
      </c>
      <c r="U400" s="13"/>
      <c r="V400" s="13"/>
      <c r="W400" s="13"/>
      <c r="X400" s="15"/>
      <c r="Y400" s="15"/>
      <c r="Z400" s="16"/>
      <c r="AA400" s="17" t="s">
        <v>56</v>
      </c>
      <c r="AB400" s="16">
        <v>44648.0</v>
      </c>
      <c r="AC400" s="16"/>
      <c r="AD400" s="16"/>
      <c r="AE400" s="17"/>
      <c r="AF400" s="16"/>
      <c r="AG400" s="17"/>
      <c r="AH400" s="16"/>
      <c r="AI400" s="16"/>
      <c r="AJ400" s="16"/>
      <c r="AK400" s="17" t="s">
        <v>133</v>
      </c>
      <c r="AL400" s="16"/>
      <c r="AM400" s="16"/>
      <c r="AN400" s="16"/>
      <c r="AO400" s="16"/>
      <c r="AP400" s="18"/>
      <c r="AQ400" s="16"/>
    </row>
    <row r="401" ht="15.75" customHeight="1">
      <c r="A401" s="10" t="s">
        <v>2045</v>
      </c>
      <c r="B401" s="10" t="s">
        <v>2046</v>
      </c>
      <c r="C401" s="10" t="str">
        <f>VLOOKUP(A401,import!A:C,3,0)</f>
        <v>DOĞRU</v>
      </c>
      <c r="D401" s="10" t="s">
        <v>80</v>
      </c>
      <c r="E401" s="10">
        <f>VLOOKUP(A401,import!A:J,5,0)</f>
        <v>696</v>
      </c>
      <c r="F401" s="10">
        <f>VLOOKUP(A401,import!A:J,6,0)</f>
        <v>54</v>
      </c>
      <c r="G401" s="10">
        <f>VLOOKUP(A401,import!A:J,7,0)</f>
        <v>5</v>
      </c>
      <c r="H401" s="10">
        <f>VLOOKUP(A401,import!A:J,8,0)</f>
        <v>4</v>
      </c>
      <c r="I401" s="10">
        <f>VLOOKUP(A401,import!A:J,9,0)</f>
        <v>9</v>
      </c>
      <c r="J401" s="11">
        <f>VLOOKUP(A401,import!A:J,10,0)</f>
        <v>0.56</v>
      </c>
      <c r="K401" s="10" t="s">
        <v>2047</v>
      </c>
      <c r="L401" s="10">
        <v>3.243575554E9</v>
      </c>
      <c r="M401" s="10" t="s">
        <v>63</v>
      </c>
      <c r="N401" s="10" t="s">
        <v>93</v>
      </c>
      <c r="O401" s="10" t="s">
        <v>2048</v>
      </c>
      <c r="P401" s="10" t="str">
        <f>VLOOKUP(A401,import!A:P,16,0)</f>
        <v>Geleneksel</v>
      </c>
      <c r="Q401" s="12" t="s">
        <v>50</v>
      </c>
      <c r="R401" s="12" t="b">
        <v>1</v>
      </c>
      <c r="S401" s="12" t="b">
        <v>0</v>
      </c>
      <c r="T401" s="13" t="s">
        <v>51</v>
      </c>
      <c r="U401" s="13" t="s">
        <v>654</v>
      </c>
      <c r="V401" s="13" t="s">
        <v>66</v>
      </c>
      <c r="W401" s="13" t="s">
        <v>2049</v>
      </c>
      <c r="X401" s="15">
        <v>44279.0</v>
      </c>
      <c r="Y401" s="15">
        <v>44281.0</v>
      </c>
      <c r="Z401" s="16"/>
      <c r="AA401" s="16"/>
      <c r="AB401" s="16"/>
      <c r="AC401" s="16"/>
      <c r="AD401" s="16"/>
      <c r="AE401" s="17"/>
      <c r="AF401" s="16"/>
      <c r="AG401" s="17"/>
      <c r="AH401" s="16"/>
      <c r="AI401" s="16"/>
      <c r="AJ401" s="16"/>
      <c r="AK401" s="16"/>
      <c r="AL401" s="16"/>
      <c r="AM401" s="16"/>
      <c r="AN401" s="16"/>
      <c r="AO401" s="16"/>
      <c r="AP401" s="18" t="s">
        <v>58</v>
      </c>
      <c r="AQ401" s="16"/>
    </row>
    <row r="402" ht="15.75" hidden="1" customHeight="1">
      <c r="A402" s="10" t="s">
        <v>2050</v>
      </c>
      <c r="B402" s="10" t="s">
        <v>2051</v>
      </c>
      <c r="C402" s="10" t="str">
        <f>VLOOKUP(A402,import!A:C,3,0)</f>
        <v>DOĞRU</v>
      </c>
      <c r="D402" s="10" t="s">
        <v>80</v>
      </c>
      <c r="E402" s="10">
        <f>VLOOKUP(A402,import!A:J,5,0)</f>
        <v>2468</v>
      </c>
      <c r="F402" s="10">
        <f>VLOOKUP(A402,import!A:J,6,0)</f>
        <v>124</v>
      </c>
      <c r="G402" s="10">
        <f>VLOOKUP(A402,import!A:J,7,0)</f>
        <v>0</v>
      </c>
      <c r="H402" s="10">
        <f>VLOOKUP(A402,import!A:J,8,0)</f>
        <v>18</v>
      </c>
      <c r="I402" s="10">
        <f>VLOOKUP(A402,import!A:J,9,0)</f>
        <v>18</v>
      </c>
      <c r="J402" s="11">
        <f>VLOOKUP(A402,import!A:J,10,0)</f>
        <v>0</v>
      </c>
      <c r="K402" s="10" t="s">
        <v>2052</v>
      </c>
      <c r="L402" s="10">
        <v>3.247143737E9</v>
      </c>
      <c r="M402" s="10" t="s">
        <v>187</v>
      </c>
      <c r="N402" s="10" t="s">
        <v>188</v>
      </c>
      <c r="O402" s="10" t="s">
        <v>2053</v>
      </c>
      <c r="P402" s="10" t="str">
        <f>VLOOKUP(A402,import!A:P,16,0)</f>
        <v>Geleneksel</v>
      </c>
      <c r="Q402" s="12"/>
      <c r="R402" s="12" t="b">
        <v>0</v>
      </c>
      <c r="S402" s="12" t="b">
        <v>0</v>
      </c>
      <c r="T402" s="13" t="s">
        <v>485</v>
      </c>
      <c r="U402" s="13"/>
      <c r="V402" s="13"/>
      <c r="W402" s="13"/>
      <c r="X402" s="15"/>
      <c r="Y402" s="15"/>
      <c r="Z402" s="16"/>
      <c r="AA402" s="16"/>
      <c r="AB402" s="16"/>
      <c r="AC402" s="16"/>
      <c r="AD402" s="16"/>
      <c r="AE402" s="17"/>
      <c r="AF402" s="16"/>
      <c r="AG402" s="17"/>
      <c r="AH402" s="16"/>
      <c r="AI402" s="16"/>
      <c r="AJ402" s="16"/>
      <c r="AK402" s="16"/>
      <c r="AL402" s="16"/>
      <c r="AM402" s="16"/>
      <c r="AN402" s="16"/>
      <c r="AO402" s="16"/>
      <c r="AP402" s="18" t="s">
        <v>58</v>
      </c>
      <c r="AQ402" s="16"/>
    </row>
    <row r="403" ht="15.75" hidden="1" customHeight="1">
      <c r="A403" s="10" t="s">
        <v>2054</v>
      </c>
      <c r="B403" s="10" t="s">
        <v>2055</v>
      </c>
      <c r="C403" s="10" t="str">
        <f>VLOOKUP(A403,import!A:C,3,0)</f>
        <v>DOĞRU</v>
      </c>
      <c r="D403" s="10" t="s">
        <v>80</v>
      </c>
      <c r="E403" s="10">
        <f>VLOOKUP(A403,import!A:J,5,0)</f>
        <v>192</v>
      </c>
      <c r="F403" s="10">
        <f>VLOOKUP(A403,import!A:J,6,0)</f>
        <v>17</v>
      </c>
      <c r="G403" s="10">
        <f>VLOOKUP(A403,import!A:J,7,0)</f>
        <v>0</v>
      </c>
      <c r="H403" s="10">
        <f>VLOOKUP(A403,import!A:J,8,0)</f>
        <v>15</v>
      </c>
      <c r="I403" s="10">
        <f>VLOOKUP(A403,import!A:J,9,0)</f>
        <v>15</v>
      </c>
      <c r="J403" s="11">
        <f>VLOOKUP(A403,import!A:J,10,0)</f>
        <v>0</v>
      </c>
      <c r="K403" s="10" t="s">
        <v>2056</v>
      </c>
      <c r="L403" s="10">
        <v>3.246132427E9</v>
      </c>
      <c r="M403" s="10" t="s">
        <v>156</v>
      </c>
      <c r="N403" s="10" t="s">
        <v>2057</v>
      </c>
      <c r="O403" s="10" t="s">
        <v>2058</v>
      </c>
      <c r="P403" s="10" t="str">
        <f>VLOOKUP(A403,import!A:P,16,0)</f>
        <v>Geleneksel</v>
      </c>
      <c r="Q403" s="12"/>
      <c r="R403" s="12" t="b">
        <v>0</v>
      </c>
      <c r="S403" s="12" t="b">
        <v>0</v>
      </c>
      <c r="T403" s="13"/>
      <c r="U403" s="13"/>
      <c r="V403" s="13"/>
      <c r="W403" s="13"/>
      <c r="X403" s="15"/>
      <c r="Y403" s="15"/>
      <c r="Z403" s="16"/>
      <c r="AA403" s="17"/>
      <c r="AB403" s="16"/>
      <c r="AC403" s="16"/>
      <c r="AD403" s="16"/>
      <c r="AE403" s="17"/>
      <c r="AF403" s="16"/>
      <c r="AG403" s="17"/>
      <c r="AH403" s="16"/>
      <c r="AI403" s="16"/>
      <c r="AJ403" s="16"/>
      <c r="AK403" s="17"/>
      <c r="AL403" s="16"/>
      <c r="AM403" s="16"/>
      <c r="AN403" s="16"/>
      <c r="AO403" s="16"/>
      <c r="AP403" s="18"/>
      <c r="AQ403" s="16"/>
    </row>
    <row r="404" ht="15.75" hidden="1" customHeight="1">
      <c r="A404" s="10" t="s">
        <v>2059</v>
      </c>
      <c r="B404" s="10" t="s">
        <v>2060</v>
      </c>
      <c r="C404" s="10" t="str">
        <f>VLOOKUP(A404,import!A:C,3,0)</f>
        <v>DOĞRU</v>
      </c>
      <c r="D404" s="10" t="s">
        <v>80</v>
      </c>
      <c r="E404" s="10">
        <f>VLOOKUP(A404,import!A:J,5,0)</f>
        <v>469</v>
      </c>
      <c r="F404" s="10">
        <f>VLOOKUP(A404,import!A:J,6,0)</f>
        <v>5</v>
      </c>
      <c r="G404" s="10">
        <f>VLOOKUP(A404,import!A:J,7,0)</f>
        <v>8</v>
      </c>
      <c r="H404" s="10">
        <f>VLOOKUP(A404,import!A:J,8,0)</f>
        <v>5</v>
      </c>
      <c r="I404" s="10">
        <f>VLOOKUP(A404,import!A:J,9,0)</f>
        <v>13</v>
      </c>
      <c r="J404" s="11">
        <f>VLOOKUP(A404,import!A:J,10,0)</f>
        <v>0.62</v>
      </c>
      <c r="K404" s="10" t="s">
        <v>2061</v>
      </c>
      <c r="L404" s="10">
        <v>3.243210033E9</v>
      </c>
      <c r="M404" s="10" t="s">
        <v>215</v>
      </c>
      <c r="N404" s="10" t="s">
        <v>227</v>
      </c>
      <c r="O404" s="10" t="s">
        <v>2062</v>
      </c>
      <c r="P404" s="10" t="str">
        <f>VLOOKUP(A404,import!A:P,16,0)</f>
        <v>Geleneksel</v>
      </c>
      <c r="Q404" s="12" t="s">
        <v>50</v>
      </c>
      <c r="R404" s="12" t="b">
        <v>1</v>
      </c>
      <c r="S404" s="12" t="b">
        <v>0</v>
      </c>
      <c r="T404" s="13" t="s">
        <v>51</v>
      </c>
      <c r="U404" s="13" t="s">
        <v>133</v>
      </c>
      <c r="V404" s="13" t="s">
        <v>278</v>
      </c>
      <c r="W404" s="13" t="s">
        <v>152</v>
      </c>
      <c r="X404" s="15">
        <v>44285.0</v>
      </c>
      <c r="Y404" s="15">
        <v>44287.0</v>
      </c>
      <c r="Z404" s="16"/>
      <c r="AA404" s="16"/>
      <c r="AB404" s="16"/>
      <c r="AC404" s="16"/>
      <c r="AD404" s="16"/>
      <c r="AE404" s="17"/>
      <c r="AF404" s="16"/>
      <c r="AG404" s="17"/>
      <c r="AH404" s="16"/>
      <c r="AI404" s="16"/>
      <c r="AJ404" s="16"/>
      <c r="AK404" s="16"/>
      <c r="AL404" s="16"/>
      <c r="AM404" s="16"/>
      <c r="AN404" s="16"/>
      <c r="AO404" s="16"/>
      <c r="AP404" s="18" t="s">
        <v>58</v>
      </c>
      <c r="AQ404" s="16"/>
    </row>
    <row r="405" ht="15.75" hidden="1" customHeight="1">
      <c r="A405" s="10" t="s">
        <v>2063</v>
      </c>
      <c r="B405" s="10" t="s">
        <v>2064</v>
      </c>
      <c r="C405" s="10" t="str">
        <f>VLOOKUP(A405,import!A:C,3,0)</f>
        <v>DOĞRU</v>
      </c>
      <c r="D405" s="10" t="s">
        <v>80</v>
      </c>
      <c r="E405" s="10">
        <f>VLOOKUP(A405,import!A:J,5,0)</f>
        <v>185</v>
      </c>
      <c r="F405" s="10" t="str">
        <f>VLOOKUP(A405,import!A:J,6,0)</f>
        <v/>
      </c>
      <c r="G405" s="10">
        <f>VLOOKUP(A405,import!A:J,7,0)</f>
        <v>4</v>
      </c>
      <c r="H405" s="10">
        <f>VLOOKUP(A405,import!A:J,8,0)</f>
        <v>7</v>
      </c>
      <c r="I405" s="10">
        <f>VLOOKUP(A405,import!A:J,9,0)</f>
        <v>11</v>
      </c>
      <c r="J405" s="11">
        <f>VLOOKUP(A405,import!A:J,10,0)</f>
        <v>0.36</v>
      </c>
      <c r="K405" s="10" t="s">
        <v>2065</v>
      </c>
      <c r="L405" s="10">
        <v>5.538533471E9</v>
      </c>
      <c r="M405" s="10" t="s">
        <v>72</v>
      </c>
      <c r="N405" s="10" t="s">
        <v>810</v>
      </c>
      <c r="O405" s="10" t="s">
        <v>2066</v>
      </c>
      <c r="P405" s="10" t="str">
        <f>VLOOKUP(A405,import!A:P,16,0)</f>
        <v>Geleneksel</v>
      </c>
      <c r="Q405" s="12" t="s">
        <v>50</v>
      </c>
      <c r="R405" s="12" t="b">
        <v>1</v>
      </c>
      <c r="S405" s="12" t="b">
        <v>0</v>
      </c>
      <c r="T405" s="13" t="s">
        <v>51</v>
      </c>
      <c r="U405" s="13" t="s">
        <v>1218</v>
      </c>
      <c r="V405" s="13" t="s">
        <v>66</v>
      </c>
      <c r="W405" s="13"/>
      <c r="X405" s="15">
        <v>44287.0</v>
      </c>
      <c r="Y405" s="15">
        <v>44291.0</v>
      </c>
      <c r="Z405" s="16"/>
      <c r="AA405" s="16"/>
      <c r="AB405" s="16"/>
      <c r="AC405" s="16"/>
      <c r="AD405" s="16"/>
      <c r="AE405" s="17"/>
      <c r="AF405" s="16"/>
      <c r="AG405" s="17"/>
      <c r="AH405" s="16"/>
      <c r="AI405" s="16"/>
      <c r="AJ405" s="16"/>
      <c r="AK405" s="16"/>
      <c r="AL405" s="16"/>
      <c r="AM405" s="16"/>
      <c r="AN405" s="16"/>
      <c r="AO405" s="16"/>
      <c r="AP405" s="18" t="s">
        <v>58</v>
      </c>
      <c r="AQ405" s="16"/>
    </row>
    <row r="406" ht="15.75" hidden="1" customHeight="1">
      <c r="A406" s="10" t="s">
        <v>2067</v>
      </c>
      <c r="B406" s="10" t="s">
        <v>2068</v>
      </c>
      <c r="C406" s="10" t="str">
        <f>VLOOKUP(A406,import!A:C,3,0)</f>
        <v>DOĞRU</v>
      </c>
      <c r="D406" s="10" t="s">
        <v>80</v>
      </c>
      <c r="E406" s="10">
        <f>VLOOKUP(A406,import!A:J,5,0)</f>
        <v>1339</v>
      </c>
      <c r="F406" s="10">
        <f>VLOOKUP(A406,import!A:J,6,0)</f>
        <v>56</v>
      </c>
      <c r="G406" s="10">
        <f>VLOOKUP(A406,import!A:J,7,0)</f>
        <v>5</v>
      </c>
      <c r="H406" s="10">
        <f>VLOOKUP(A406,import!A:J,8,0)</f>
        <v>1</v>
      </c>
      <c r="I406" s="10">
        <f>VLOOKUP(A406,import!A:J,9,0)</f>
        <v>6</v>
      </c>
      <c r="J406" s="11">
        <f>VLOOKUP(A406,import!A:J,10,0)</f>
        <v>0.83</v>
      </c>
      <c r="K406" s="10" t="s">
        <v>2069</v>
      </c>
      <c r="L406" s="10">
        <v>3.243263233E9</v>
      </c>
      <c r="M406" s="10" t="s">
        <v>72</v>
      </c>
      <c r="N406" s="10" t="s">
        <v>73</v>
      </c>
      <c r="O406" s="10" t="s">
        <v>2070</v>
      </c>
      <c r="P406" s="10" t="str">
        <f>VLOOKUP(A406,import!A:P,16,0)</f>
        <v>Geleneksel</v>
      </c>
      <c r="Q406" s="12" t="s">
        <v>50</v>
      </c>
      <c r="R406" s="12" t="b">
        <v>1</v>
      </c>
      <c r="S406" s="12" t="b">
        <v>0</v>
      </c>
      <c r="T406" s="13" t="s">
        <v>51</v>
      </c>
      <c r="U406" s="13" t="s">
        <v>52</v>
      </c>
      <c r="V406" s="13" t="s">
        <v>278</v>
      </c>
      <c r="W406" s="13"/>
      <c r="X406" s="15">
        <v>44279.0</v>
      </c>
      <c r="Y406" s="15">
        <v>44280.0</v>
      </c>
      <c r="Z406" s="16"/>
      <c r="AA406" s="16"/>
      <c r="AB406" s="16"/>
      <c r="AC406" s="16"/>
      <c r="AD406" s="16"/>
      <c r="AE406" s="17"/>
      <c r="AF406" s="16"/>
      <c r="AG406" s="17"/>
      <c r="AH406" s="16"/>
      <c r="AI406" s="16"/>
      <c r="AJ406" s="16"/>
      <c r="AK406" s="16"/>
      <c r="AL406" s="16"/>
      <c r="AM406" s="16"/>
      <c r="AN406" s="16"/>
      <c r="AO406" s="16"/>
      <c r="AP406" s="18" t="s">
        <v>58</v>
      </c>
      <c r="AQ406" s="16"/>
    </row>
    <row r="407" ht="15.75" hidden="1" customHeight="1">
      <c r="A407" s="18" t="s">
        <v>2071</v>
      </c>
      <c r="B407" s="18" t="s">
        <v>2072</v>
      </c>
      <c r="C407" s="10" t="str">
        <f>VLOOKUP(A407,import!A:C,3,0)</f>
        <v>DOĞRU</v>
      </c>
      <c r="D407" s="18" t="s">
        <v>451</v>
      </c>
      <c r="E407" s="10" t="str">
        <f>VLOOKUP(A407,import!A:J,5,0)</f>
        <v/>
      </c>
      <c r="F407" s="10" t="str">
        <f>VLOOKUP(A407,import!A:J,6,0)</f>
        <v/>
      </c>
      <c r="G407" s="10">
        <f>VLOOKUP(A407,import!A:J,7,0)</f>
        <v>0</v>
      </c>
      <c r="H407" s="10">
        <f>VLOOKUP(A407,import!A:J,8,0)</f>
        <v>14</v>
      </c>
      <c r="I407" s="10">
        <f>VLOOKUP(A407,import!A:J,9,0)</f>
        <v>14</v>
      </c>
      <c r="J407" s="11">
        <f>VLOOKUP(A407,import!A:J,10,0)</f>
        <v>0</v>
      </c>
      <c r="K407" s="18" t="s">
        <v>2073</v>
      </c>
      <c r="L407" s="18">
        <v>5.30366235E9</v>
      </c>
      <c r="M407" s="18" t="s">
        <v>215</v>
      </c>
      <c r="N407" s="18" t="s">
        <v>1190</v>
      </c>
      <c r="O407" s="18" t="s">
        <v>2074</v>
      </c>
      <c r="P407" s="10" t="str">
        <f>VLOOKUP(A407,import!A:P,16,0)</f>
        <v>Geleneksel</v>
      </c>
      <c r="Q407" s="12"/>
      <c r="R407" s="12" t="b">
        <v>0</v>
      </c>
      <c r="S407" s="12" t="b">
        <v>0</v>
      </c>
      <c r="T407" s="13"/>
      <c r="U407" s="13"/>
      <c r="V407" s="13"/>
      <c r="W407" s="13"/>
      <c r="X407" s="15"/>
      <c r="Y407" s="15"/>
      <c r="Z407" s="16"/>
      <c r="AA407" s="17"/>
      <c r="AB407" s="16"/>
      <c r="AC407" s="16"/>
      <c r="AD407" s="16"/>
      <c r="AE407" s="17"/>
      <c r="AF407" s="16"/>
      <c r="AG407" s="17"/>
      <c r="AH407" s="16"/>
      <c r="AI407" s="16"/>
      <c r="AJ407" s="16"/>
      <c r="AK407" s="17"/>
      <c r="AL407" s="16"/>
      <c r="AM407" s="16"/>
      <c r="AN407" s="16"/>
      <c r="AO407" s="16"/>
      <c r="AP407" s="18"/>
      <c r="AQ407" s="16"/>
    </row>
    <row r="408" ht="15.75" hidden="1" customHeight="1">
      <c r="A408" s="10" t="s">
        <v>2075</v>
      </c>
      <c r="B408" s="10" t="s">
        <v>2076</v>
      </c>
      <c r="C408" s="10" t="str">
        <f>VLOOKUP(A408,import!A:C,3,0)</f>
        <v>DOĞRU</v>
      </c>
      <c r="D408" s="10" t="s">
        <v>451</v>
      </c>
      <c r="E408" s="10">
        <f>VLOOKUP(A408,import!A:J,5,0)</f>
        <v>164</v>
      </c>
      <c r="F408" s="10">
        <f>VLOOKUP(A408,import!A:J,6,0)</f>
        <v>5</v>
      </c>
      <c r="G408" s="10">
        <f>VLOOKUP(A408,import!A:J,7,0)</f>
        <v>0</v>
      </c>
      <c r="H408" s="10">
        <f>VLOOKUP(A408,import!A:J,8,0)</f>
        <v>9</v>
      </c>
      <c r="I408" s="10">
        <f>VLOOKUP(A408,import!A:J,9,0)</f>
        <v>9</v>
      </c>
      <c r="J408" s="11">
        <f>VLOOKUP(A408,import!A:J,10,0)</f>
        <v>0</v>
      </c>
      <c r="K408" s="10" t="s">
        <v>2077</v>
      </c>
      <c r="L408" s="10">
        <v>5.414620464E9</v>
      </c>
      <c r="M408" s="10" t="s">
        <v>72</v>
      </c>
      <c r="N408" s="10" t="s">
        <v>73</v>
      </c>
      <c r="O408" s="10" t="s">
        <v>2078</v>
      </c>
      <c r="P408" s="10" t="str">
        <f>VLOOKUP(A408,import!A:P,16,0)</f>
        <v>Geleneksel</v>
      </c>
      <c r="Q408" s="12"/>
      <c r="R408" s="12" t="b">
        <v>1</v>
      </c>
      <c r="S408" s="12" t="b">
        <v>0</v>
      </c>
      <c r="T408" s="13" t="s">
        <v>199</v>
      </c>
      <c r="U408" s="13"/>
      <c r="V408" s="13"/>
      <c r="W408" s="13" t="s">
        <v>2079</v>
      </c>
      <c r="X408" s="15"/>
      <c r="Y408" s="15"/>
      <c r="Z408" s="16"/>
      <c r="AA408" s="17" t="s">
        <v>56</v>
      </c>
      <c r="AB408" s="16">
        <v>44508.0</v>
      </c>
      <c r="AC408" s="17" t="s">
        <v>56</v>
      </c>
      <c r="AD408" s="16">
        <v>44524.0</v>
      </c>
      <c r="AE408" s="17"/>
      <c r="AF408" s="16"/>
      <c r="AG408" s="17"/>
      <c r="AH408" s="16"/>
      <c r="AI408" s="16"/>
      <c r="AJ408" s="16"/>
      <c r="AK408" s="17" t="s">
        <v>133</v>
      </c>
      <c r="AL408" s="17" t="s">
        <v>52</v>
      </c>
      <c r="AM408" s="16"/>
      <c r="AN408" s="16"/>
      <c r="AO408" s="16"/>
      <c r="AP408" s="18" t="s">
        <v>58</v>
      </c>
      <c r="AQ408" s="16"/>
    </row>
    <row r="409" ht="15.75" hidden="1" customHeight="1">
      <c r="A409" s="10" t="s">
        <v>2080</v>
      </c>
      <c r="B409" s="10" t="s">
        <v>2081</v>
      </c>
      <c r="C409" s="10" t="str">
        <f>VLOOKUP(A409,import!A:C,3,0)</f>
        <v>DOĞRU</v>
      </c>
      <c r="D409" s="10" t="s">
        <v>363</v>
      </c>
      <c r="E409" s="10">
        <f>VLOOKUP(A409,import!A:J,5,0)</f>
        <v>141</v>
      </c>
      <c r="F409" s="10">
        <f>VLOOKUP(A409,import!A:J,6,0)</f>
        <v>8</v>
      </c>
      <c r="G409" s="10">
        <f>VLOOKUP(A409,import!A:J,7,0)</f>
        <v>33</v>
      </c>
      <c r="H409" s="10">
        <f>VLOOKUP(A409,import!A:J,8,0)</f>
        <v>100</v>
      </c>
      <c r="I409" s="10">
        <f>VLOOKUP(A409,import!A:J,9,0)</f>
        <v>133</v>
      </c>
      <c r="J409" s="11">
        <f>VLOOKUP(A409,import!A:J,10,0)</f>
        <v>0.25</v>
      </c>
      <c r="K409" s="10" t="s">
        <v>2082</v>
      </c>
      <c r="L409" s="10">
        <v>5.343199155E9</v>
      </c>
      <c r="M409" s="10" t="s">
        <v>72</v>
      </c>
      <c r="N409" s="10" t="s">
        <v>538</v>
      </c>
      <c r="O409" s="10" t="s">
        <v>2083</v>
      </c>
      <c r="P409" s="10" t="str">
        <f>VLOOKUP(A409,import!A:P,16,0)</f>
        <v>Geleneksel</v>
      </c>
      <c r="Q409" s="12"/>
      <c r="R409" s="12" t="b">
        <v>1</v>
      </c>
      <c r="S409" s="12" t="b">
        <v>1</v>
      </c>
      <c r="T409" s="13" t="s">
        <v>248</v>
      </c>
      <c r="U409" s="13"/>
      <c r="V409" s="13"/>
      <c r="W409" s="13" t="s">
        <v>2084</v>
      </c>
      <c r="X409" s="15"/>
      <c r="Y409" s="15"/>
      <c r="Z409" s="16"/>
      <c r="AA409" s="17" t="s">
        <v>55</v>
      </c>
      <c r="AB409" s="16">
        <v>44431.0</v>
      </c>
      <c r="AC409" s="17" t="s">
        <v>55</v>
      </c>
      <c r="AD409" s="16">
        <v>44483.0</v>
      </c>
      <c r="AE409" s="17" t="s">
        <v>56</v>
      </c>
      <c r="AF409" s="16">
        <v>44485.0</v>
      </c>
      <c r="AG409" s="17" t="s">
        <v>56</v>
      </c>
      <c r="AH409" s="16">
        <v>44496.0</v>
      </c>
      <c r="AI409" s="16"/>
      <c r="AJ409" s="16"/>
      <c r="AK409" s="17" t="s">
        <v>367</v>
      </c>
      <c r="AL409" s="17" t="s">
        <v>103</v>
      </c>
      <c r="AM409" s="17" t="s">
        <v>108</v>
      </c>
      <c r="AN409" s="17" t="s">
        <v>52</v>
      </c>
      <c r="AO409" s="16"/>
      <c r="AP409" s="18" t="s">
        <v>58</v>
      </c>
      <c r="AQ409" s="16"/>
    </row>
    <row r="410" ht="15.75" hidden="1" customHeight="1">
      <c r="A410" s="10" t="s">
        <v>2085</v>
      </c>
      <c r="B410" s="10" t="s">
        <v>2086</v>
      </c>
      <c r="C410" s="10" t="str">
        <f>VLOOKUP(A410,import!A:C,3,0)</f>
        <v>DOĞRU</v>
      </c>
      <c r="D410" s="10" t="s">
        <v>167</v>
      </c>
      <c r="E410" s="10">
        <f>VLOOKUP(A410,import!A:J,5,0)</f>
        <v>317</v>
      </c>
      <c r="F410" s="10">
        <f>VLOOKUP(A410,import!A:J,6,0)</f>
        <v>11</v>
      </c>
      <c r="G410" s="10">
        <f>VLOOKUP(A410,import!A:J,7,0)</f>
        <v>0</v>
      </c>
      <c r="H410" s="10">
        <f>VLOOKUP(A410,import!A:J,8,0)</f>
        <v>19</v>
      </c>
      <c r="I410" s="10">
        <f>VLOOKUP(A410,import!A:J,9,0)</f>
        <v>19</v>
      </c>
      <c r="J410" s="11">
        <f>VLOOKUP(A410,import!A:J,10,0)</f>
        <v>0</v>
      </c>
      <c r="K410" s="10" t="s">
        <v>2087</v>
      </c>
      <c r="L410" s="10">
        <v>5.537879625E9</v>
      </c>
      <c r="M410" s="10" t="s">
        <v>156</v>
      </c>
      <c r="N410" s="10" t="s">
        <v>252</v>
      </c>
      <c r="O410" s="10" t="s">
        <v>2088</v>
      </c>
      <c r="P410" s="10" t="str">
        <f>VLOOKUP(A410,import!A:P,16,0)</f>
        <v>Geleneksel</v>
      </c>
      <c r="Q410" s="12"/>
      <c r="R410" s="12" t="b">
        <v>0</v>
      </c>
      <c r="S410" s="12" t="b">
        <v>0</v>
      </c>
      <c r="T410" s="13"/>
      <c r="U410" s="13"/>
      <c r="V410" s="13"/>
      <c r="W410" s="13"/>
      <c r="X410" s="15"/>
      <c r="Y410" s="15"/>
      <c r="Z410" s="16"/>
      <c r="AA410" s="16"/>
      <c r="AB410" s="16"/>
      <c r="AC410" s="16"/>
      <c r="AD410" s="16"/>
      <c r="AE410" s="17"/>
      <c r="AF410" s="16"/>
      <c r="AG410" s="17"/>
      <c r="AH410" s="16"/>
      <c r="AI410" s="16"/>
      <c r="AJ410" s="16"/>
      <c r="AK410" s="16"/>
      <c r="AL410" s="16"/>
      <c r="AM410" s="16"/>
      <c r="AN410" s="16"/>
      <c r="AO410" s="16"/>
      <c r="AP410" s="18" t="s">
        <v>58</v>
      </c>
      <c r="AQ410" s="16"/>
    </row>
    <row r="411" ht="15.75" customHeight="1">
      <c r="A411" s="10" t="s">
        <v>2089</v>
      </c>
      <c r="B411" s="10" t="s">
        <v>2090</v>
      </c>
      <c r="C411" s="10" t="str">
        <f>VLOOKUP(A411,import!A:C,3,0)</f>
        <v>DOĞRU</v>
      </c>
      <c r="D411" s="10" t="s">
        <v>80</v>
      </c>
      <c r="E411" s="10">
        <f>VLOOKUP(A411,import!A:J,5,0)</f>
        <v>400</v>
      </c>
      <c r="F411" s="10">
        <f>VLOOKUP(A411,import!A:J,6,0)</f>
        <v>14</v>
      </c>
      <c r="G411" s="10">
        <f>VLOOKUP(A411,import!A:J,7,0)</f>
        <v>4</v>
      </c>
      <c r="H411" s="10">
        <f>VLOOKUP(A411,import!A:J,8,0)</f>
        <v>2</v>
      </c>
      <c r="I411" s="10">
        <f>VLOOKUP(A411,import!A:J,9,0)</f>
        <v>6</v>
      </c>
      <c r="J411" s="11">
        <f>VLOOKUP(A411,import!A:J,10,0)</f>
        <v>0.67</v>
      </c>
      <c r="K411" s="10" t="s">
        <v>2091</v>
      </c>
      <c r="L411" s="10">
        <v>3.243364444E9</v>
      </c>
      <c r="M411" s="10" t="s">
        <v>137</v>
      </c>
      <c r="N411" s="10" t="s">
        <v>526</v>
      </c>
      <c r="O411" s="10" t="s">
        <v>2092</v>
      </c>
      <c r="P411" s="10" t="str">
        <f>VLOOKUP(A411,import!A:P,16,0)</f>
        <v>Geleneksel</v>
      </c>
      <c r="Q411" s="12"/>
      <c r="R411" s="12" t="b">
        <v>1</v>
      </c>
      <c r="S411" s="12" t="b">
        <v>0</v>
      </c>
      <c r="T411" s="13" t="s">
        <v>51</v>
      </c>
      <c r="U411" s="13" t="s">
        <v>108</v>
      </c>
      <c r="V411" s="13" t="s">
        <v>66</v>
      </c>
      <c r="W411" s="13" t="s">
        <v>2093</v>
      </c>
      <c r="X411" s="15">
        <v>44529.0</v>
      </c>
      <c r="Y411" s="15">
        <v>44530.0</v>
      </c>
      <c r="Z411" s="16"/>
      <c r="AA411" s="17" t="s">
        <v>56</v>
      </c>
      <c r="AB411" s="16">
        <v>44529.0</v>
      </c>
      <c r="AC411" s="17" t="s">
        <v>56</v>
      </c>
      <c r="AD411" s="16">
        <v>44533.0</v>
      </c>
      <c r="AE411" s="17"/>
      <c r="AF411" s="16"/>
      <c r="AG411" s="17"/>
      <c r="AH411" s="16"/>
      <c r="AI411" s="16"/>
      <c r="AJ411" s="16"/>
      <c r="AK411" s="17" t="s">
        <v>108</v>
      </c>
      <c r="AL411" s="17" t="s">
        <v>108</v>
      </c>
      <c r="AM411" s="16"/>
      <c r="AN411" s="16"/>
      <c r="AO411" s="16"/>
      <c r="AP411" s="18" t="s">
        <v>58</v>
      </c>
      <c r="AQ411" s="16"/>
    </row>
    <row r="412" ht="15.75" customHeight="1">
      <c r="A412" s="18" t="s">
        <v>2094</v>
      </c>
      <c r="B412" s="18" t="s">
        <v>2095</v>
      </c>
      <c r="C412" s="10" t="str">
        <f>VLOOKUP(A412,import!A:C,3,0)</f>
        <v>DOĞRU</v>
      </c>
      <c r="D412" s="18" t="s">
        <v>61</v>
      </c>
      <c r="E412" s="10">
        <f>VLOOKUP(A412,import!A:J,5,0)</f>
        <v>4</v>
      </c>
      <c r="F412" s="10">
        <f>VLOOKUP(A412,import!A:J,6,0)</f>
        <v>4</v>
      </c>
      <c r="G412" s="10">
        <f>VLOOKUP(A412,import!A:J,7,0)</f>
        <v>0</v>
      </c>
      <c r="H412" s="10">
        <f>VLOOKUP(A412,import!A:J,8,0)</f>
        <v>64</v>
      </c>
      <c r="I412" s="10">
        <f>VLOOKUP(A412,import!A:J,9,0)</f>
        <v>64</v>
      </c>
      <c r="J412" s="11">
        <f>VLOOKUP(A412,import!A:J,10,0)</f>
        <v>0</v>
      </c>
      <c r="K412" s="18" t="s">
        <v>2096</v>
      </c>
      <c r="L412" s="18">
        <v>3.243590575E9</v>
      </c>
      <c r="M412" s="18" t="s">
        <v>63</v>
      </c>
      <c r="N412" s="18" t="s">
        <v>137</v>
      </c>
      <c r="O412" s="18" t="s">
        <v>2097</v>
      </c>
      <c r="P412" s="10" t="str">
        <f>VLOOKUP(A412,import!A:P,16,0)</f>
        <v>Geleneksel</v>
      </c>
      <c r="Q412" s="12"/>
      <c r="R412" s="12" t="b">
        <v>0</v>
      </c>
      <c r="S412" s="12" t="b">
        <v>0</v>
      </c>
      <c r="T412" s="13"/>
      <c r="U412" s="13"/>
      <c r="V412" s="13"/>
      <c r="W412" s="13"/>
      <c r="X412" s="15"/>
      <c r="Y412" s="15"/>
      <c r="Z412" s="16"/>
      <c r="AA412" s="17"/>
      <c r="AB412" s="16"/>
      <c r="AC412" s="16"/>
      <c r="AD412" s="16"/>
      <c r="AE412" s="17"/>
      <c r="AF412" s="16"/>
      <c r="AG412" s="17"/>
      <c r="AH412" s="16"/>
      <c r="AI412" s="16"/>
      <c r="AJ412" s="16"/>
      <c r="AK412" s="17"/>
      <c r="AL412" s="16"/>
      <c r="AM412" s="16"/>
      <c r="AN412" s="16"/>
      <c r="AO412" s="16"/>
      <c r="AP412" s="18"/>
      <c r="AQ412" s="16"/>
    </row>
    <row r="413" ht="15.75" hidden="1" customHeight="1">
      <c r="A413" s="10" t="s">
        <v>2098</v>
      </c>
      <c r="B413" s="10" t="s">
        <v>2099</v>
      </c>
      <c r="C413" s="10" t="str">
        <f>VLOOKUP(A413,import!A:C,3,0)</f>
        <v>DOĞRU</v>
      </c>
      <c r="D413" s="10" t="s">
        <v>372</v>
      </c>
      <c r="E413" s="10">
        <f>VLOOKUP(A413,import!A:J,5,0)</f>
        <v>2944</v>
      </c>
      <c r="F413" s="10">
        <f>VLOOKUP(A413,import!A:J,6,0)</f>
        <v>184</v>
      </c>
      <c r="G413" s="10">
        <f>VLOOKUP(A413,import!A:J,7,0)</f>
        <v>13</v>
      </c>
      <c r="H413" s="10">
        <f>VLOOKUP(A413,import!A:J,8,0)</f>
        <v>37</v>
      </c>
      <c r="I413" s="10">
        <f>VLOOKUP(A413,import!A:J,9,0)</f>
        <v>50</v>
      </c>
      <c r="J413" s="11">
        <f>VLOOKUP(A413,import!A:J,10,0)</f>
        <v>0.26</v>
      </c>
      <c r="K413" s="10" t="s">
        <v>2100</v>
      </c>
      <c r="L413" s="10">
        <v>3.24326201E9</v>
      </c>
      <c r="M413" s="10" t="s">
        <v>72</v>
      </c>
      <c r="N413" s="10" t="s">
        <v>73</v>
      </c>
      <c r="O413" s="10" t="s">
        <v>2101</v>
      </c>
      <c r="P413" s="10" t="str">
        <f>VLOOKUP(A413,import!A:P,16,0)</f>
        <v>Geleneksel</v>
      </c>
      <c r="Q413" s="12" t="s">
        <v>84</v>
      </c>
      <c r="R413" s="12" t="b">
        <v>1</v>
      </c>
      <c r="S413" s="12" t="b">
        <v>0</v>
      </c>
      <c r="T413" s="13" t="s">
        <v>199</v>
      </c>
      <c r="U413" s="13" t="s">
        <v>87</v>
      </c>
      <c r="V413" s="13" t="s">
        <v>66</v>
      </c>
      <c r="W413" s="13" t="s">
        <v>2102</v>
      </c>
      <c r="X413" s="15">
        <v>44538.0</v>
      </c>
      <c r="Y413" s="15">
        <v>44539.0</v>
      </c>
      <c r="Z413" s="16"/>
      <c r="AA413" s="17" t="s">
        <v>56</v>
      </c>
      <c r="AB413" s="16">
        <v>44538.0</v>
      </c>
      <c r="AC413" s="17" t="s">
        <v>56</v>
      </c>
      <c r="AD413" s="16">
        <v>44539.0</v>
      </c>
      <c r="AE413" s="17"/>
      <c r="AF413" s="16"/>
      <c r="AG413" s="17"/>
      <c r="AH413" s="16"/>
      <c r="AI413" s="16"/>
      <c r="AJ413" s="16"/>
      <c r="AK413" s="17" t="s">
        <v>87</v>
      </c>
      <c r="AL413" s="17" t="s">
        <v>87</v>
      </c>
      <c r="AM413" s="16"/>
      <c r="AN413" s="16"/>
      <c r="AO413" s="16"/>
      <c r="AP413" s="18" t="s">
        <v>58</v>
      </c>
      <c r="AQ413" s="16"/>
    </row>
    <row r="414" ht="15.75" customHeight="1">
      <c r="A414" s="10" t="s">
        <v>2103</v>
      </c>
      <c r="B414" s="10" t="s">
        <v>2104</v>
      </c>
      <c r="C414" s="10" t="str">
        <f>VLOOKUP(A414,import!A:C,3,0)</f>
        <v>DOĞRU</v>
      </c>
      <c r="D414" s="10" t="s">
        <v>70</v>
      </c>
      <c r="E414" s="10">
        <f>VLOOKUP(A414,import!A:J,5,0)</f>
        <v>409</v>
      </c>
      <c r="F414" s="10" t="str">
        <f>VLOOKUP(A414,import!A:J,6,0)</f>
        <v/>
      </c>
      <c r="G414" s="10">
        <f>VLOOKUP(A414,import!A:J,7,0)</f>
        <v>5</v>
      </c>
      <c r="H414" s="10">
        <f>VLOOKUP(A414,import!A:J,8,0)</f>
        <v>5</v>
      </c>
      <c r="I414" s="10">
        <f>VLOOKUP(A414,import!A:J,9,0)</f>
        <v>10</v>
      </c>
      <c r="J414" s="11">
        <f>VLOOKUP(A414,import!A:J,10,0)</f>
        <v>0.5</v>
      </c>
      <c r="K414" s="10" t="s">
        <v>2105</v>
      </c>
      <c r="L414" s="10">
        <v>3.244000001E9</v>
      </c>
      <c r="M414" s="10" t="s">
        <v>63</v>
      </c>
      <c r="N414" s="10" t="s">
        <v>318</v>
      </c>
      <c r="O414" s="10" t="s">
        <v>2106</v>
      </c>
      <c r="P414" s="10" t="str">
        <f>VLOOKUP(A414,import!A:P,16,0)</f>
        <v>Geleneksel</v>
      </c>
      <c r="Q414" s="12" t="s">
        <v>50</v>
      </c>
      <c r="R414" s="12" t="b">
        <v>1</v>
      </c>
      <c r="S414" s="12" t="b">
        <v>0</v>
      </c>
      <c r="T414" s="13" t="s">
        <v>51</v>
      </c>
      <c r="U414" s="13" t="s">
        <v>52</v>
      </c>
      <c r="V414" s="13" t="s">
        <v>66</v>
      </c>
      <c r="W414" s="13" t="s">
        <v>2049</v>
      </c>
      <c r="X414" s="15">
        <v>44274.0</v>
      </c>
      <c r="Y414" s="15">
        <v>44277.0</v>
      </c>
      <c r="Z414" s="16"/>
      <c r="AA414" s="16"/>
      <c r="AB414" s="16"/>
      <c r="AC414" s="16"/>
      <c r="AD414" s="16"/>
      <c r="AE414" s="17"/>
      <c r="AF414" s="16"/>
      <c r="AG414" s="17"/>
      <c r="AH414" s="16"/>
      <c r="AI414" s="16"/>
      <c r="AJ414" s="16"/>
      <c r="AK414" s="16"/>
      <c r="AL414" s="16"/>
      <c r="AM414" s="16"/>
      <c r="AN414" s="16"/>
      <c r="AO414" s="16"/>
      <c r="AP414" s="18" t="s">
        <v>58</v>
      </c>
      <c r="AQ414" s="16"/>
    </row>
    <row r="415" ht="15.75" hidden="1" customHeight="1">
      <c r="A415" s="10" t="s">
        <v>2107</v>
      </c>
      <c r="B415" s="10" t="s">
        <v>2108</v>
      </c>
      <c r="C415" s="10" t="str">
        <f>VLOOKUP(A415,import!A:C,3,0)</f>
        <v>DOĞRU</v>
      </c>
      <c r="D415" s="10" t="s">
        <v>363</v>
      </c>
      <c r="E415" s="10">
        <f>VLOOKUP(A415,import!A:J,5,0)</f>
        <v>42</v>
      </c>
      <c r="F415" s="10" t="str">
        <f>VLOOKUP(A415,import!A:J,6,0)</f>
        <v/>
      </c>
      <c r="G415" s="10">
        <f>VLOOKUP(A415,import!A:J,7,0)</f>
        <v>0</v>
      </c>
      <c r="H415" s="10">
        <f>VLOOKUP(A415,import!A:J,8,0)</f>
        <v>65</v>
      </c>
      <c r="I415" s="10">
        <f>VLOOKUP(A415,import!A:J,9,0)</f>
        <v>65</v>
      </c>
      <c r="J415" s="11">
        <f>VLOOKUP(A415,import!A:J,10,0)</f>
        <v>0</v>
      </c>
      <c r="K415" s="10" t="s">
        <v>2109</v>
      </c>
      <c r="L415" s="10">
        <v>3.246222E9</v>
      </c>
      <c r="M415" s="10" t="s">
        <v>156</v>
      </c>
      <c r="N415" s="10" t="s">
        <v>596</v>
      </c>
      <c r="O415" s="10" t="s">
        <v>2110</v>
      </c>
      <c r="P415" s="10" t="str">
        <f>VLOOKUP(A415,import!A:P,16,0)</f>
        <v>Geleneksel</v>
      </c>
      <c r="Q415" s="12"/>
      <c r="R415" s="12" t="b">
        <v>1</v>
      </c>
      <c r="S415" s="12" t="b">
        <v>0</v>
      </c>
      <c r="T415" s="13" t="s">
        <v>55</v>
      </c>
      <c r="U415" s="13"/>
      <c r="V415" s="13"/>
      <c r="W415" s="13" t="s">
        <v>2111</v>
      </c>
      <c r="X415" s="15"/>
      <c r="Y415" s="15"/>
      <c r="Z415" s="16"/>
      <c r="AA415" s="16"/>
      <c r="AB415" s="16"/>
      <c r="AC415" s="16"/>
      <c r="AD415" s="16"/>
      <c r="AE415" s="17"/>
      <c r="AF415" s="16"/>
      <c r="AG415" s="17"/>
      <c r="AH415" s="16"/>
      <c r="AI415" s="16"/>
      <c r="AJ415" s="16"/>
      <c r="AK415" s="16"/>
      <c r="AL415" s="16"/>
      <c r="AM415" s="16"/>
      <c r="AN415" s="16"/>
      <c r="AO415" s="16"/>
      <c r="AP415" s="18" t="s">
        <v>58</v>
      </c>
      <c r="AQ415" s="16"/>
    </row>
    <row r="416" ht="15.75" customHeight="1">
      <c r="A416" s="10" t="s">
        <v>2112</v>
      </c>
      <c r="B416" s="10" t="s">
        <v>2113</v>
      </c>
      <c r="C416" s="10" t="str">
        <f>VLOOKUP(A416,import!A:C,3,0)</f>
        <v>DOĞRU</v>
      </c>
      <c r="D416" s="10" t="s">
        <v>363</v>
      </c>
      <c r="E416" s="10">
        <f>VLOOKUP(A416,import!A:J,5,0)</f>
        <v>837</v>
      </c>
      <c r="F416" s="10">
        <f>VLOOKUP(A416,import!A:J,6,0)</f>
        <v>65</v>
      </c>
      <c r="G416" s="10">
        <f>VLOOKUP(A416,import!A:J,7,0)</f>
        <v>32</v>
      </c>
      <c r="H416" s="10">
        <f>VLOOKUP(A416,import!A:J,8,0)</f>
        <v>15</v>
      </c>
      <c r="I416" s="10">
        <f>VLOOKUP(A416,import!A:J,9,0)</f>
        <v>47</v>
      </c>
      <c r="J416" s="11">
        <f>VLOOKUP(A416,import!A:J,10,0)</f>
        <v>0.68</v>
      </c>
      <c r="K416" s="10" t="s">
        <v>2114</v>
      </c>
      <c r="L416" s="10">
        <v>5.326714792E9</v>
      </c>
      <c r="M416" s="10" t="s">
        <v>63</v>
      </c>
      <c r="N416" s="10" t="s">
        <v>566</v>
      </c>
      <c r="O416" s="10" t="s">
        <v>2115</v>
      </c>
      <c r="P416" s="10" t="str">
        <f>VLOOKUP(A416,import!A:P,16,0)</f>
        <v>Geleneksel</v>
      </c>
      <c r="Q416" s="12" t="s">
        <v>75</v>
      </c>
      <c r="R416" s="12" t="b">
        <v>1</v>
      </c>
      <c r="S416" s="12" t="b">
        <v>0</v>
      </c>
      <c r="T416" s="13" t="s">
        <v>51</v>
      </c>
      <c r="U416" s="13" t="s">
        <v>87</v>
      </c>
      <c r="V416" s="13" t="s">
        <v>66</v>
      </c>
      <c r="W416" s="13" t="s">
        <v>2116</v>
      </c>
      <c r="X416" s="15">
        <v>44487.0</v>
      </c>
      <c r="Y416" s="15">
        <v>44488.0</v>
      </c>
      <c r="Z416" s="16"/>
      <c r="AA416" s="17" t="s">
        <v>56</v>
      </c>
      <c r="AB416" s="16">
        <v>44487.0</v>
      </c>
      <c r="AC416" s="16"/>
      <c r="AD416" s="16"/>
      <c r="AE416" s="17"/>
      <c r="AF416" s="16"/>
      <c r="AG416" s="17"/>
      <c r="AH416" s="16"/>
      <c r="AI416" s="16"/>
      <c r="AJ416" s="16"/>
      <c r="AK416" s="17" t="s">
        <v>87</v>
      </c>
      <c r="AL416" s="16"/>
      <c r="AM416" s="16"/>
      <c r="AN416" s="16"/>
      <c r="AO416" s="16"/>
      <c r="AP416" s="18" t="s">
        <v>58</v>
      </c>
      <c r="AQ416" s="16"/>
    </row>
    <row r="417" ht="15.75" customHeight="1">
      <c r="A417" s="10" t="s">
        <v>2117</v>
      </c>
      <c r="B417" s="10" t="s">
        <v>2118</v>
      </c>
      <c r="C417" s="10" t="str">
        <f>VLOOKUP(A417,import!A:C,3,0)</f>
        <v>YANLIŞ</v>
      </c>
      <c r="D417" s="10" t="s">
        <v>118</v>
      </c>
      <c r="E417" s="10">
        <f>VLOOKUP(A417,import!A:J,5,0)</f>
        <v>769</v>
      </c>
      <c r="F417" s="10" t="str">
        <f>VLOOKUP(A417,import!A:J,6,0)</f>
        <v/>
      </c>
      <c r="G417" s="10">
        <f>VLOOKUP(A417,import!A:J,7,0)</f>
        <v>11</v>
      </c>
      <c r="H417" s="10">
        <f>VLOOKUP(A417,import!A:J,8,0)</f>
        <v>111</v>
      </c>
      <c r="I417" s="10">
        <f>VLOOKUP(A417,import!A:J,9,0)</f>
        <v>122</v>
      </c>
      <c r="J417" s="11">
        <f>VLOOKUP(A417,import!A:J,10,0)</f>
        <v>0.09</v>
      </c>
      <c r="K417" s="10" t="s">
        <v>2119</v>
      </c>
      <c r="L417" s="10">
        <v>5.510615627E9</v>
      </c>
      <c r="M417" s="10" t="s">
        <v>63</v>
      </c>
      <c r="N417" s="10" t="s">
        <v>770</v>
      </c>
      <c r="O417" s="10" t="s">
        <v>2120</v>
      </c>
      <c r="P417" s="10" t="str">
        <f>VLOOKUP(A417,import!A:P,16,0)</f>
        <v>Geleneksel</v>
      </c>
      <c r="Q417" s="12"/>
      <c r="R417" s="12" t="b">
        <v>1</v>
      </c>
      <c r="S417" s="12" t="b">
        <v>0</v>
      </c>
      <c r="T417" s="13" t="s">
        <v>51</v>
      </c>
      <c r="U417" s="13" t="s">
        <v>52</v>
      </c>
      <c r="V417" s="13" t="s">
        <v>66</v>
      </c>
      <c r="W417" s="13" t="s">
        <v>2121</v>
      </c>
      <c r="X417" s="15">
        <v>44327.0</v>
      </c>
      <c r="Y417" s="15">
        <v>44334.0</v>
      </c>
      <c r="Z417" s="16"/>
      <c r="AA417" s="17" t="s">
        <v>56</v>
      </c>
      <c r="AB417" s="16">
        <v>44460.0</v>
      </c>
      <c r="AC417" s="17" t="s">
        <v>56</v>
      </c>
      <c r="AD417" s="16">
        <v>44558.0</v>
      </c>
      <c r="AE417" s="17"/>
      <c r="AF417" s="16"/>
      <c r="AG417" s="17"/>
      <c r="AH417" s="16"/>
      <c r="AI417" s="16"/>
      <c r="AJ417" s="16"/>
      <c r="AK417" s="17" t="s">
        <v>87</v>
      </c>
      <c r="AL417" s="17" t="s">
        <v>87</v>
      </c>
      <c r="AM417" s="16"/>
      <c r="AN417" s="16"/>
      <c r="AO417" s="16"/>
      <c r="AP417" s="18" t="s">
        <v>58</v>
      </c>
      <c r="AQ417" s="16"/>
    </row>
    <row r="418" ht="15.75" customHeight="1">
      <c r="A418" s="10" t="s">
        <v>2122</v>
      </c>
      <c r="B418" s="10" t="s">
        <v>2123</v>
      </c>
      <c r="C418" s="10" t="str">
        <f>VLOOKUP(A418,import!A:C,3,0)</f>
        <v>DOĞRU</v>
      </c>
      <c r="D418" s="10" t="s">
        <v>363</v>
      </c>
      <c r="E418" s="10">
        <f>VLOOKUP(A418,import!A:J,5,0)</f>
        <v>634</v>
      </c>
      <c r="F418" s="10">
        <f>VLOOKUP(A418,import!A:J,6,0)</f>
        <v>23</v>
      </c>
      <c r="G418" s="10">
        <f>VLOOKUP(A418,import!A:J,7,0)</f>
        <v>11</v>
      </c>
      <c r="H418" s="10">
        <f>VLOOKUP(A418,import!A:J,8,0)</f>
        <v>65</v>
      </c>
      <c r="I418" s="10">
        <f>VLOOKUP(A418,import!A:J,9,0)</f>
        <v>76</v>
      </c>
      <c r="J418" s="11">
        <f>VLOOKUP(A418,import!A:J,10,0)</f>
        <v>0.14</v>
      </c>
      <c r="K418" s="10" t="s">
        <v>2124</v>
      </c>
      <c r="L418" s="10">
        <v>3.243255339E9</v>
      </c>
      <c r="M418" s="10" t="s">
        <v>63</v>
      </c>
      <c r="N418" s="10" t="s">
        <v>64</v>
      </c>
      <c r="O418" s="10" t="s">
        <v>2125</v>
      </c>
      <c r="P418" s="10" t="str">
        <f>VLOOKUP(A418,import!A:P,16,0)</f>
        <v>Geleneksel</v>
      </c>
      <c r="Q418" s="12" t="s">
        <v>84</v>
      </c>
      <c r="R418" s="12" t="b">
        <v>1</v>
      </c>
      <c r="S418" s="12" t="b">
        <v>1</v>
      </c>
      <c r="T418" s="13"/>
      <c r="U418" s="13"/>
      <c r="V418" s="13"/>
      <c r="W418" s="13" t="s">
        <v>2126</v>
      </c>
      <c r="X418" s="15"/>
      <c r="Y418" s="15"/>
      <c r="Z418" s="16"/>
      <c r="AA418" s="16"/>
      <c r="AB418" s="16"/>
      <c r="AC418" s="16"/>
      <c r="AD418" s="16"/>
      <c r="AE418" s="17"/>
      <c r="AF418" s="16"/>
      <c r="AG418" s="17"/>
      <c r="AH418" s="16"/>
      <c r="AI418" s="16"/>
      <c r="AJ418" s="16"/>
      <c r="AK418" s="17" t="s">
        <v>52</v>
      </c>
      <c r="AL418" s="16"/>
      <c r="AM418" s="16"/>
      <c r="AN418" s="16"/>
      <c r="AO418" s="16"/>
      <c r="AP418" s="18" t="s">
        <v>58</v>
      </c>
      <c r="AQ418" s="16"/>
    </row>
    <row r="419" ht="15.75" hidden="1" customHeight="1">
      <c r="A419" s="10" t="s">
        <v>2127</v>
      </c>
      <c r="B419" s="10" t="s">
        <v>2128</v>
      </c>
      <c r="C419" s="10" t="str">
        <f>VLOOKUP(A419,import!A:C,3,0)</f>
        <v>DOĞRU</v>
      </c>
      <c r="D419" s="10" t="s">
        <v>45</v>
      </c>
      <c r="E419" s="10">
        <f>VLOOKUP(A419,import!A:J,5,0)</f>
        <v>9</v>
      </c>
      <c r="F419" s="10">
        <f>VLOOKUP(A419,import!A:J,6,0)</f>
        <v>1</v>
      </c>
      <c r="G419" s="10">
        <f>VLOOKUP(A419,import!A:J,7,0)</f>
        <v>0</v>
      </c>
      <c r="H419" s="10">
        <f>VLOOKUP(A419,import!A:J,8,0)</f>
        <v>4</v>
      </c>
      <c r="I419" s="10">
        <f>VLOOKUP(A419,import!A:J,9,0)</f>
        <v>4</v>
      </c>
      <c r="J419" s="11">
        <f>VLOOKUP(A419,import!A:J,10,0)</f>
        <v>0</v>
      </c>
      <c r="K419" s="10" t="s">
        <v>2129</v>
      </c>
      <c r="L419" s="10">
        <v>5.441820133E9</v>
      </c>
      <c r="M419" s="10" t="s">
        <v>156</v>
      </c>
      <c r="N419" s="10" t="s">
        <v>740</v>
      </c>
      <c r="O419" s="10" t="s">
        <v>2130</v>
      </c>
      <c r="P419" s="10" t="str">
        <f>VLOOKUP(A419,import!A:P,16,0)</f>
        <v>Geleneksel</v>
      </c>
      <c r="Q419" s="12"/>
      <c r="R419" s="12" t="b">
        <v>0</v>
      </c>
      <c r="S419" s="12" t="b">
        <v>0</v>
      </c>
      <c r="T419" s="13"/>
      <c r="U419" s="13"/>
      <c r="V419" s="13"/>
      <c r="W419" s="13"/>
      <c r="X419" s="15"/>
      <c r="Y419" s="15"/>
      <c r="Z419" s="16"/>
      <c r="AA419" s="17"/>
      <c r="AB419" s="16"/>
      <c r="AC419" s="16"/>
      <c r="AD419" s="16"/>
      <c r="AE419" s="17"/>
      <c r="AF419" s="16"/>
      <c r="AG419" s="17"/>
      <c r="AH419" s="16"/>
      <c r="AI419" s="16"/>
      <c r="AJ419" s="16"/>
      <c r="AK419" s="17"/>
      <c r="AL419" s="16"/>
      <c r="AM419" s="16"/>
      <c r="AN419" s="16"/>
      <c r="AO419" s="16"/>
      <c r="AP419" s="18"/>
      <c r="AQ419" s="16"/>
    </row>
    <row r="420" ht="15.75" hidden="1" customHeight="1">
      <c r="A420" s="10" t="s">
        <v>2131</v>
      </c>
      <c r="B420" s="10" t="s">
        <v>2132</v>
      </c>
      <c r="C420" s="10" t="str">
        <f>VLOOKUP(A420,import!A:C,3,0)</f>
        <v>DOĞRU</v>
      </c>
      <c r="D420" s="10" t="s">
        <v>363</v>
      </c>
      <c r="E420" s="10">
        <f>VLOOKUP(A420,import!A:J,5,0)</f>
        <v>2549</v>
      </c>
      <c r="F420" s="10">
        <f>VLOOKUP(A420,import!A:J,6,0)</f>
        <v>142</v>
      </c>
      <c r="G420" s="10">
        <f>VLOOKUP(A420,import!A:J,7,0)</f>
        <v>39</v>
      </c>
      <c r="H420" s="10">
        <f>VLOOKUP(A420,import!A:J,8,0)</f>
        <v>34</v>
      </c>
      <c r="I420" s="10">
        <f>VLOOKUP(A420,import!A:J,9,0)</f>
        <v>73</v>
      </c>
      <c r="J420" s="11">
        <f>VLOOKUP(A420,import!A:J,10,0)</f>
        <v>0.53</v>
      </c>
      <c r="K420" s="10" t="s">
        <v>2133</v>
      </c>
      <c r="L420" s="10">
        <v>5.336018872E9</v>
      </c>
      <c r="M420" s="10" t="s">
        <v>215</v>
      </c>
      <c r="N420" s="10" t="s">
        <v>216</v>
      </c>
      <c r="O420" s="10" t="s">
        <v>2134</v>
      </c>
      <c r="P420" s="10" t="str">
        <f>VLOOKUP(A420,import!A:P,16,0)</f>
        <v>Geleneksel</v>
      </c>
      <c r="Q420" s="12" t="s">
        <v>84</v>
      </c>
      <c r="R420" s="12" t="b">
        <v>1</v>
      </c>
      <c r="S420" s="12" t="b">
        <v>0</v>
      </c>
      <c r="T420" s="13" t="s">
        <v>51</v>
      </c>
      <c r="U420" s="13" t="s">
        <v>52</v>
      </c>
      <c r="V420" s="19" t="s">
        <v>66</v>
      </c>
      <c r="W420" s="13" t="s">
        <v>2135</v>
      </c>
      <c r="X420" s="15">
        <v>44281.0</v>
      </c>
      <c r="Y420" s="15">
        <v>44284.0</v>
      </c>
      <c r="Z420" s="16"/>
      <c r="AA420" s="16"/>
      <c r="AB420" s="16"/>
      <c r="AC420" s="16"/>
      <c r="AD420" s="16"/>
      <c r="AE420" s="17"/>
      <c r="AF420" s="16"/>
      <c r="AG420" s="17"/>
      <c r="AH420" s="16"/>
      <c r="AI420" s="16"/>
      <c r="AJ420" s="16"/>
      <c r="AK420" s="16"/>
      <c r="AL420" s="16"/>
      <c r="AM420" s="16"/>
      <c r="AN420" s="16"/>
      <c r="AO420" s="16"/>
      <c r="AP420" s="18" t="s">
        <v>58</v>
      </c>
      <c r="AQ420" s="16"/>
    </row>
    <row r="421" ht="15.75" hidden="1" customHeight="1">
      <c r="A421" s="10" t="s">
        <v>2136</v>
      </c>
      <c r="B421" s="10" t="s">
        <v>2137</v>
      </c>
      <c r="C421" s="10" t="str">
        <f>VLOOKUP(A421,import!A:C,3,0)</f>
        <v>DOĞRU</v>
      </c>
      <c r="D421" s="10" t="s">
        <v>80</v>
      </c>
      <c r="E421" s="10">
        <f>VLOOKUP(A421,import!A:J,5,0)</f>
        <v>1777</v>
      </c>
      <c r="F421" s="10">
        <f>VLOOKUP(A421,import!A:J,6,0)</f>
        <v>63</v>
      </c>
      <c r="G421" s="10">
        <f>VLOOKUP(A421,import!A:J,7,0)</f>
        <v>8</v>
      </c>
      <c r="H421" s="10">
        <f>VLOOKUP(A421,import!A:J,8,0)</f>
        <v>1</v>
      </c>
      <c r="I421" s="10">
        <f>VLOOKUP(A421,import!A:J,9,0)</f>
        <v>9</v>
      </c>
      <c r="J421" s="11">
        <f>VLOOKUP(A421,import!A:J,10,0)</f>
        <v>0.89</v>
      </c>
      <c r="K421" s="10" t="s">
        <v>2138</v>
      </c>
      <c r="L421" s="10">
        <v>3.243225004E9</v>
      </c>
      <c r="M421" s="10" t="s">
        <v>215</v>
      </c>
      <c r="N421" s="10" t="s">
        <v>671</v>
      </c>
      <c r="O421" s="10" t="s">
        <v>2139</v>
      </c>
      <c r="P421" s="10" t="str">
        <f>VLOOKUP(A421,import!A:P,16,0)</f>
        <v>Geleneksel</v>
      </c>
      <c r="Q421" s="12"/>
      <c r="R421" s="12" t="b">
        <v>1</v>
      </c>
      <c r="S421" s="12" t="b">
        <v>0</v>
      </c>
      <c r="T421" s="13" t="s">
        <v>51</v>
      </c>
      <c r="U421" s="13" t="s">
        <v>1470</v>
      </c>
      <c r="V421" s="13" t="s">
        <v>53</v>
      </c>
      <c r="W421" s="13"/>
      <c r="X421" s="15">
        <v>44341.0</v>
      </c>
      <c r="Y421" s="15">
        <v>44343.0</v>
      </c>
      <c r="Z421" s="16"/>
      <c r="AA421" s="16"/>
      <c r="AB421" s="16"/>
      <c r="AC421" s="16"/>
      <c r="AD421" s="16"/>
      <c r="AE421" s="17"/>
      <c r="AF421" s="16"/>
      <c r="AG421" s="17"/>
      <c r="AH421" s="16"/>
      <c r="AI421" s="16"/>
      <c r="AJ421" s="16"/>
      <c r="AK421" s="16"/>
      <c r="AL421" s="16"/>
      <c r="AM421" s="16"/>
      <c r="AN421" s="16"/>
      <c r="AO421" s="16"/>
      <c r="AP421" s="18" t="s">
        <v>58</v>
      </c>
      <c r="AQ421" s="16"/>
    </row>
    <row r="422" ht="15.75" hidden="1" customHeight="1">
      <c r="A422" s="10" t="s">
        <v>2140</v>
      </c>
      <c r="B422" s="10" t="s">
        <v>2141</v>
      </c>
      <c r="C422" s="10" t="str">
        <f>VLOOKUP(A422,import!A:C,3,0)</f>
        <v>DOĞRU</v>
      </c>
      <c r="D422" s="10" t="s">
        <v>363</v>
      </c>
      <c r="E422" s="10">
        <f>VLOOKUP(A422,import!A:J,5,0)</f>
        <v>1317</v>
      </c>
      <c r="F422" s="10">
        <f>VLOOKUP(A422,import!A:J,6,0)</f>
        <v>66</v>
      </c>
      <c r="G422" s="10">
        <f>VLOOKUP(A422,import!A:J,7,0)</f>
        <v>15</v>
      </c>
      <c r="H422" s="10">
        <f>VLOOKUP(A422,import!A:J,8,0)</f>
        <v>15</v>
      </c>
      <c r="I422" s="10">
        <f>VLOOKUP(A422,import!A:J,9,0)</f>
        <v>30</v>
      </c>
      <c r="J422" s="11">
        <f>VLOOKUP(A422,import!A:J,10,0)</f>
        <v>0.5</v>
      </c>
      <c r="K422" s="10" t="s">
        <v>2142</v>
      </c>
      <c r="L422" s="10">
        <v>5.421191333E9</v>
      </c>
      <c r="M422" s="10" t="s">
        <v>215</v>
      </c>
      <c r="N422" s="10" t="s">
        <v>442</v>
      </c>
      <c r="O422" s="10" t="s">
        <v>2143</v>
      </c>
      <c r="P422" s="10" t="str">
        <f>VLOOKUP(A422,import!A:P,16,0)</f>
        <v>Geleneksel</v>
      </c>
      <c r="Q422" s="12"/>
      <c r="R422" s="12" t="b">
        <v>1</v>
      </c>
      <c r="S422" s="12" t="b">
        <v>0</v>
      </c>
      <c r="T422" s="13" t="s">
        <v>55</v>
      </c>
      <c r="U422" s="13" t="s">
        <v>87</v>
      </c>
      <c r="V422" s="13" t="s">
        <v>53</v>
      </c>
      <c r="W422" s="13" t="s">
        <v>273</v>
      </c>
      <c r="X422" s="15">
        <v>44553.0</v>
      </c>
      <c r="Y422" s="15">
        <v>44554.0</v>
      </c>
      <c r="Z422" s="16"/>
      <c r="AA422" s="17" t="s">
        <v>56</v>
      </c>
      <c r="AB422" s="16">
        <v>44480.0</v>
      </c>
      <c r="AC422" s="17" t="s">
        <v>56</v>
      </c>
      <c r="AD422" s="16">
        <v>44551.0</v>
      </c>
      <c r="AE422" s="17" t="s">
        <v>56</v>
      </c>
      <c r="AF422" s="16">
        <v>44553.0</v>
      </c>
      <c r="AG422" s="17"/>
      <c r="AH422" s="16"/>
      <c r="AI422" s="16"/>
      <c r="AJ422" s="16"/>
      <c r="AK422" s="17" t="s">
        <v>87</v>
      </c>
      <c r="AL422" s="17" t="s">
        <v>133</v>
      </c>
      <c r="AM422" s="17" t="s">
        <v>133</v>
      </c>
      <c r="AN422" s="16"/>
      <c r="AO422" s="16"/>
      <c r="AP422" s="18" t="s">
        <v>58</v>
      </c>
      <c r="AQ422" s="16"/>
    </row>
    <row r="423" ht="15.75" hidden="1" customHeight="1">
      <c r="A423" s="10" t="s">
        <v>2144</v>
      </c>
      <c r="B423" s="10" t="s">
        <v>2145</v>
      </c>
      <c r="C423" s="10" t="str">
        <f>VLOOKUP(A423,import!A:C,3,0)</f>
        <v>DOĞRU</v>
      </c>
      <c r="D423" s="10" t="s">
        <v>451</v>
      </c>
      <c r="E423" s="10">
        <f>VLOOKUP(A423,import!A:J,5,0)</f>
        <v>135</v>
      </c>
      <c r="F423" s="10">
        <f>VLOOKUP(A423,import!A:J,6,0)</f>
        <v>15</v>
      </c>
      <c r="G423" s="10">
        <f>VLOOKUP(A423,import!A:J,7,0)</f>
        <v>9</v>
      </c>
      <c r="H423" s="10">
        <f>VLOOKUP(A423,import!A:J,8,0)</f>
        <v>0</v>
      </c>
      <c r="I423" s="10">
        <f>VLOOKUP(A423,import!A:J,9,0)</f>
        <v>9</v>
      </c>
      <c r="J423" s="11">
        <f>VLOOKUP(A423,import!A:J,10,0)</f>
        <v>1</v>
      </c>
      <c r="K423" s="10" t="s">
        <v>2146</v>
      </c>
      <c r="L423" s="10">
        <v>5.358641838E9</v>
      </c>
      <c r="M423" s="10" t="s">
        <v>215</v>
      </c>
      <c r="N423" s="10" t="s">
        <v>325</v>
      </c>
      <c r="O423" s="10" t="s">
        <v>2147</v>
      </c>
      <c r="P423" s="10" t="str">
        <f>VLOOKUP(A423,import!A:P,16,0)</f>
        <v>Geleneksel</v>
      </c>
      <c r="Q423" s="12"/>
      <c r="R423" s="12" t="b">
        <v>1</v>
      </c>
      <c r="S423" s="12" t="b">
        <v>0</v>
      </c>
      <c r="T423" s="13" t="s">
        <v>51</v>
      </c>
      <c r="U423" s="13" t="s">
        <v>367</v>
      </c>
      <c r="V423" s="13" t="s">
        <v>131</v>
      </c>
      <c r="W423" s="13"/>
      <c r="X423" s="15">
        <v>44643.0</v>
      </c>
      <c r="Y423" s="15">
        <v>44645.0</v>
      </c>
      <c r="Z423" s="16"/>
      <c r="AA423" s="17" t="s">
        <v>56</v>
      </c>
      <c r="AB423" s="15">
        <v>44634.0</v>
      </c>
      <c r="AC423" s="17" t="s">
        <v>56</v>
      </c>
      <c r="AD423" s="15">
        <v>44643.0</v>
      </c>
      <c r="AE423" s="17"/>
      <c r="AF423" s="16"/>
      <c r="AG423" s="17"/>
      <c r="AH423" s="16"/>
      <c r="AI423" s="16"/>
      <c r="AJ423" s="16"/>
      <c r="AK423" s="17" t="s">
        <v>367</v>
      </c>
      <c r="AL423" s="17" t="s">
        <v>367</v>
      </c>
      <c r="AM423" s="16"/>
      <c r="AN423" s="16"/>
      <c r="AO423" s="16"/>
      <c r="AP423" s="18"/>
      <c r="AQ423" s="16"/>
    </row>
    <row r="424" ht="15.75" customHeight="1">
      <c r="A424" s="10" t="s">
        <v>2148</v>
      </c>
      <c r="B424" s="10" t="s">
        <v>2149</v>
      </c>
      <c r="C424" s="10" t="str">
        <f>VLOOKUP(A424,import!A:C,3,0)</f>
        <v>DOĞRU</v>
      </c>
      <c r="D424" s="10" t="s">
        <v>70</v>
      </c>
      <c r="E424" s="10">
        <f>VLOOKUP(A424,import!A:J,5,0)</f>
        <v>805</v>
      </c>
      <c r="F424" s="10">
        <f>VLOOKUP(A424,import!A:J,6,0)</f>
        <v>49</v>
      </c>
      <c r="G424" s="10">
        <f>VLOOKUP(A424,import!A:J,7,0)</f>
        <v>7</v>
      </c>
      <c r="H424" s="10">
        <f>VLOOKUP(A424,import!A:J,8,0)</f>
        <v>5</v>
      </c>
      <c r="I424" s="10">
        <f>VLOOKUP(A424,import!A:J,9,0)</f>
        <v>12</v>
      </c>
      <c r="J424" s="11">
        <f>VLOOKUP(A424,import!A:J,10,0)</f>
        <v>0.58</v>
      </c>
      <c r="K424" s="10" t="s">
        <v>2150</v>
      </c>
      <c r="L424" s="10">
        <v>3.242319677E9</v>
      </c>
      <c r="M424" s="10" t="s">
        <v>137</v>
      </c>
      <c r="N424" s="10" t="s">
        <v>138</v>
      </c>
      <c r="O424" s="10" t="s">
        <v>2151</v>
      </c>
      <c r="P424" s="10" t="str">
        <f>VLOOKUP(A424,import!A:P,16,0)</f>
        <v>Geleneksel</v>
      </c>
      <c r="Q424" s="12"/>
      <c r="R424" s="12" t="b">
        <v>1</v>
      </c>
      <c r="S424" s="12" t="b">
        <v>0</v>
      </c>
      <c r="T424" s="13" t="s">
        <v>140</v>
      </c>
      <c r="U424" s="13"/>
      <c r="V424" s="13"/>
      <c r="W424" s="13" t="s">
        <v>2152</v>
      </c>
      <c r="X424" s="15"/>
      <c r="Y424" s="15"/>
      <c r="Z424" s="16"/>
      <c r="AA424" s="16"/>
      <c r="AB424" s="16"/>
      <c r="AC424" s="16"/>
      <c r="AD424" s="16"/>
      <c r="AE424" s="17"/>
      <c r="AF424" s="16"/>
      <c r="AG424" s="17"/>
      <c r="AH424" s="16"/>
      <c r="AI424" s="16"/>
      <c r="AJ424" s="16"/>
      <c r="AK424" s="16"/>
      <c r="AL424" s="16"/>
      <c r="AM424" s="16"/>
      <c r="AN424" s="16"/>
      <c r="AO424" s="16"/>
      <c r="AP424" s="18" t="s">
        <v>58</v>
      </c>
      <c r="AQ424" s="16"/>
    </row>
    <row r="425" ht="15.75" hidden="1" customHeight="1">
      <c r="A425" s="10" t="s">
        <v>2153</v>
      </c>
      <c r="B425" s="10" t="s">
        <v>2154</v>
      </c>
      <c r="C425" s="10" t="str">
        <f>VLOOKUP(A425,import!A:C,3,0)</f>
        <v>DOĞRU</v>
      </c>
      <c r="D425" s="10" t="s">
        <v>70</v>
      </c>
      <c r="E425" s="10">
        <f>VLOOKUP(A425,import!A:J,5,0)</f>
        <v>1649</v>
      </c>
      <c r="F425" s="10">
        <f>VLOOKUP(A425,import!A:J,6,0)</f>
        <v>95</v>
      </c>
      <c r="G425" s="10">
        <f>VLOOKUP(A425,import!A:J,7,0)</f>
        <v>7</v>
      </c>
      <c r="H425" s="10">
        <f>VLOOKUP(A425,import!A:J,8,0)</f>
        <v>1</v>
      </c>
      <c r="I425" s="10">
        <f>VLOOKUP(A425,import!A:J,9,0)</f>
        <v>8</v>
      </c>
      <c r="J425" s="11">
        <f>VLOOKUP(A425,import!A:J,10,0)</f>
        <v>0.88</v>
      </c>
      <c r="K425" s="10" t="s">
        <v>2150</v>
      </c>
      <c r="L425" s="10">
        <v>3.245022107E9</v>
      </c>
      <c r="M425" s="10" t="s">
        <v>47</v>
      </c>
      <c r="N425" s="10" t="s">
        <v>489</v>
      </c>
      <c r="O425" s="10" t="s">
        <v>2155</v>
      </c>
      <c r="P425" s="10" t="str">
        <f>VLOOKUP(A425,import!A:P,16,0)</f>
        <v>Geleneksel</v>
      </c>
      <c r="Q425" s="12"/>
      <c r="R425" s="12" t="b">
        <v>0</v>
      </c>
      <c r="S425" s="12" t="b">
        <v>0</v>
      </c>
      <c r="T425" s="13" t="s">
        <v>140</v>
      </c>
      <c r="U425" s="13"/>
      <c r="V425" s="13"/>
      <c r="W425" s="13"/>
      <c r="X425" s="15"/>
      <c r="Y425" s="15"/>
      <c r="Z425" s="16"/>
      <c r="AA425" s="16"/>
      <c r="AB425" s="16"/>
      <c r="AC425" s="16"/>
      <c r="AD425" s="16"/>
      <c r="AE425" s="17"/>
      <c r="AF425" s="16"/>
      <c r="AG425" s="17"/>
      <c r="AH425" s="16"/>
      <c r="AI425" s="16"/>
      <c r="AJ425" s="16"/>
      <c r="AK425" s="16"/>
      <c r="AL425" s="16"/>
      <c r="AM425" s="16"/>
      <c r="AN425" s="16"/>
      <c r="AO425" s="16"/>
      <c r="AP425" s="18" t="s">
        <v>58</v>
      </c>
      <c r="AQ425" s="16"/>
    </row>
    <row r="426" ht="15.75" customHeight="1">
      <c r="A426" s="10" t="s">
        <v>2156</v>
      </c>
      <c r="B426" s="10" t="s">
        <v>2157</v>
      </c>
      <c r="C426" s="10" t="str">
        <f>VLOOKUP(A426,import!A:C,3,0)</f>
        <v>DOĞRU</v>
      </c>
      <c r="D426" s="10" t="s">
        <v>70</v>
      </c>
      <c r="E426" s="10">
        <f>VLOOKUP(A426,import!A:J,5,0)</f>
        <v>2195</v>
      </c>
      <c r="F426" s="10">
        <f>VLOOKUP(A426,import!A:J,6,0)</f>
        <v>74</v>
      </c>
      <c r="G426" s="10">
        <f>VLOOKUP(A426,import!A:J,7,0)</f>
        <v>6</v>
      </c>
      <c r="H426" s="10">
        <f>VLOOKUP(A426,import!A:J,8,0)</f>
        <v>13</v>
      </c>
      <c r="I426" s="10">
        <f>VLOOKUP(A426,import!A:J,9,0)</f>
        <v>19</v>
      </c>
      <c r="J426" s="11">
        <f>VLOOKUP(A426,import!A:J,10,0)</f>
        <v>0.32</v>
      </c>
      <c r="K426" s="10" t="s">
        <v>2150</v>
      </c>
      <c r="L426" s="10">
        <v>3.243584411E9</v>
      </c>
      <c r="M426" s="10" t="s">
        <v>63</v>
      </c>
      <c r="N426" s="10" t="s">
        <v>566</v>
      </c>
      <c r="O426" s="10" t="s">
        <v>2158</v>
      </c>
      <c r="P426" s="10" t="str">
        <f>VLOOKUP(A426,import!A:P,16,0)</f>
        <v>Geleneksel</v>
      </c>
      <c r="Q426" s="12"/>
      <c r="R426" s="12" t="b">
        <v>0</v>
      </c>
      <c r="S426" s="12" t="b">
        <v>0</v>
      </c>
      <c r="T426" s="13" t="s">
        <v>140</v>
      </c>
      <c r="U426" s="13"/>
      <c r="V426" s="13"/>
      <c r="W426" s="13"/>
      <c r="X426" s="15"/>
      <c r="Y426" s="15"/>
      <c r="Z426" s="16"/>
      <c r="AA426" s="16"/>
      <c r="AB426" s="16"/>
      <c r="AC426" s="16"/>
      <c r="AD426" s="16"/>
      <c r="AE426" s="17"/>
      <c r="AF426" s="16"/>
      <c r="AG426" s="17"/>
      <c r="AH426" s="16"/>
      <c r="AI426" s="16"/>
      <c r="AJ426" s="16"/>
      <c r="AK426" s="16"/>
      <c r="AL426" s="16"/>
      <c r="AM426" s="16"/>
      <c r="AN426" s="16"/>
      <c r="AO426" s="16"/>
      <c r="AP426" s="18" t="s">
        <v>58</v>
      </c>
      <c r="AQ426" s="16"/>
    </row>
    <row r="427" ht="15.75" hidden="1" customHeight="1">
      <c r="A427" s="10" t="s">
        <v>2159</v>
      </c>
      <c r="B427" s="10" t="s">
        <v>2160</v>
      </c>
      <c r="C427" s="10" t="str">
        <f>VLOOKUP(A427,import!A:C,3,0)</f>
        <v>DOĞRU</v>
      </c>
      <c r="D427" s="10" t="s">
        <v>70</v>
      </c>
      <c r="E427" s="10">
        <f>VLOOKUP(A427,import!A:J,5,0)</f>
        <v>3770</v>
      </c>
      <c r="F427" s="10">
        <f>VLOOKUP(A427,import!A:J,6,0)</f>
        <v>175</v>
      </c>
      <c r="G427" s="10">
        <f>VLOOKUP(A427,import!A:J,7,0)</f>
        <v>7</v>
      </c>
      <c r="H427" s="10">
        <f>VLOOKUP(A427,import!A:J,8,0)</f>
        <v>11</v>
      </c>
      <c r="I427" s="10">
        <f>VLOOKUP(A427,import!A:J,9,0)</f>
        <v>18</v>
      </c>
      <c r="J427" s="11">
        <f>VLOOKUP(A427,import!A:J,10,0)</f>
        <v>0.39</v>
      </c>
      <c r="K427" s="10" t="s">
        <v>2150</v>
      </c>
      <c r="L427" s="10">
        <v>3.243251212E9</v>
      </c>
      <c r="M427" s="10" t="s">
        <v>72</v>
      </c>
      <c r="N427" s="10" t="s">
        <v>113</v>
      </c>
      <c r="O427" s="10" t="s">
        <v>2161</v>
      </c>
      <c r="P427" s="10" t="str">
        <f>VLOOKUP(A427,import!A:P,16,0)</f>
        <v>Geleneksel</v>
      </c>
      <c r="Q427" s="12"/>
      <c r="R427" s="12" t="b">
        <v>1</v>
      </c>
      <c r="S427" s="12" t="b">
        <v>0</v>
      </c>
      <c r="T427" s="13" t="s">
        <v>51</v>
      </c>
      <c r="U427" s="13" t="s">
        <v>52</v>
      </c>
      <c r="V427" s="13" t="s">
        <v>53</v>
      </c>
      <c r="W427" s="13"/>
      <c r="X427" s="15">
        <v>44306.0</v>
      </c>
      <c r="Y427" s="15">
        <v>44307.0</v>
      </c>
      <c r="Z427" s="16"/>
      <c r="AA427" s="16"/>
      <c r="AB427" s="16"/>
      <c r="AC427" s="16"/>
      <c r="AD427" s="16"/>
      <c r="AE427" s="17"/>
      <c r="AF427" s="16"/>
      <c r="AG427" s="17"/>
      <c r="AH427" s="16"/>
      <c r="AI427" s="16"/>
      <c r="AJ427" s="16"/>
      <c r="AK427" s="16"/>
      <c r="AL427" s="16"/>
      <c r="AM427" s="16"/>
      <c r="AN427" s="16"/>
      <c r="AO427" s="16"/>
      <c r="AP427" s="18" t="s">
        <v>58</v>
      </c>
      <c r="AQ427" s="16"/>
    </row>
    <row r="428" ht="15.75" hidden="1" customHeight="1">
      <c r="A428" s="10" t="s">
        <v>2162</v>
      </c>
      <c r="B428" s="10" t="s">
        <v>2163</v>
      </c>
      <c r="C428" s="10" t="str">
        <f>VLOOKUP(A428,import!A:C,3,0)</f>
        <v>DOĞRU</v>
      </c>
      <c r="D428" s="10" t="s">
        <v>70</v>
      </c>
      <c r="E428" s="10">
        <f>VLOOKUP(A428,import!A:J,5,0)</f>
        <v>95</v>
      </c>
      <c r="F428" s="10" t="str">
        <f>VLOOKUP(A428,import!A:J,6,0)</f>
        <v/>
      </c>
      <c r="G428" s="10">
        <f>VLOOKUP(A428,import!A:J,7,0)</f>
        <v>4</v>
      </c>
      <c r="H428" s="10">
        <f>VLOOKUP(A428,import!A:J,8,0)</f>
        <v>1</v>
      </c>
      <c r="I428" s="10">
        <f>VLOOKUP(A428,import!A:J,9,0)</f>
        <v>5</v>
      </c>
      <c r="J428" s="11">
        <f>VLOOKUP(A428,import!A:J,10,0)</f>
        <v>0.8</v>
      </c>
      <c r="K428" s="10" t="s">
        <v>2150</v>
      </c>
      <c r="L428" s="10">
        <v>3.243315502E9</v>
      </c>
      <c r="M428" s="10" t="s">
        <v>72</v>
      </c>
      <c r="N428" s="10" t="s">
        <v>73</v>
      </c>
      <c r="O428" s="10" t="s">
        <v>2164</v>
      </c>
      <c r="P428" s="10" t="str">
        <f>VLOOKUP(A428,import!A:P,16,0)</f>
        <v>Geleneksel</v>
      </c>
      <c r="Q428" s="12"/>
      <c r="R428" s="12" t="b">
        <v>1</v>
      </c>
      <c r="S428" s="12" t="b">
        <v>0</v>
      </c>
      <c r="T428" s="13" t="s">
        <v>140</v>
      </c>
      <c r="U428" s="13"/>
      <c r="V428" s="13"/>
      <c r="W428" s="13"/>
      <c r="X428" s="15"/>
      <c r="Y428" s="15"/>
      <c r="Z428" s="16"/>
      <c r="AA428" s="16"/>
      <c r="AB428" s="16"/>
      <c r="AC428" s="16"/>
      <c r="AD428" s="16"/>
      <c r="AE428" s="17"/>
      <c r="AF428" s="16"/>
      <c r="AG428" s="17"/>
      <c r="AH428" s="16"/>
      <c r="AI428" s="16"/>
      <c r="AJ428" s="16"/>
      <c r="AK428" s="16"/>
      <c r="AL428" s="16"/>
      <c r="AM428" s="16"/>
      <c r="AN428" s="16"/>
      <c r="AO428" s="16"/>
      <c r="AP428" s="18" t="s">
        <v>58</v>
      </c>
      <c r="AQ428" s="16"/>
    </row>
    <row r="429" ht="15.75" hidden="1" customHeight="1">
      <c r="A429" s="10" t="s">
        <v>2165</v>
      </c>
      <c r="B429" s="10" t="s">
        <v>2166</v>
      </c>
      <c r="C429" s="10" t="str">
        <f>VLOOKUP(A429,import!A:C,3,0)</f>
        <v>DOĞRU</v>
      </c>
      <c r="D429" s="10" t="s">
        <v>118</v>
      </c>
      <c r="E429" s="10">
        <f>VLOOKUP(A429,import!A:J,5,0)</f>
        <v>84</v>
      </c>
      <c r="F429" s="10" t="str">
        <f>VLOOKUP(A429,import!A:J,6,0)</f>
        <v/>
      </c>
      <c r="G429" s="10">
        <f>VLOOKUP(A429,import!A:J,7,0)</f>
        <v>0</v>
      </c>
      <c r="H429" s="10">
        <f>VLOOKUP(A429,import!A:J,8,0)</f>
        <v>12</v>
      </c>
      <c r="I429" s="10">
        <f>VLOOKUP(A429,import!A:J,9,0)</f>
        <v>12</v>
      </c>
      <c r="J429" s="11">
        <f>VLOOKUP(A429,import!A:J,10,0)</f>
        <v>0</v>
      </c>
      <c r="K429" s="10" t="s">
        <v>2150</v>
      </c>
      <c r="L429" s="10">
        <v>3.243315302E9</v>
      </c>
      <c r="M429" s="10" t="s">
        <v>72</v>
      </c>
      <c r="N429" s="10" t="s">
        <v>73</v>
      </c>
      <c r="O429" s="10" t="s">
        <v>2167</v>
      </c>
      <c r="P429" s="10" t="str">
        <f>VLOOKUP(A429,import!A:P,16,0)</f>
        <v>Geleneksel</v>
      </c>
      <c r="Q429" s="12"/>
      <c r="R429" s="12" t="b">
        <v>1</v>
      </c>
      <c r="S429" s="12" t="b">
        <v>0</v>
      </c>
      <c r="T429" s="13" t="s">
        <v>51</v>
      </c>
      <c r="U429" s="13" t="s">
        <v>89</v>
      </c>
      <c r="V429" s="13" t="s">
        <v>53</v>
      </c>
      <c r="W429" s="13" t="s">
        <v>2168</v>
      </c>
      <c r="X429" s="15">
        <v>44536.0</v>
      </c>
      <c r="Y429" s="15">
        <v>44537.0</v>
      </c>
      <c r="Z429" s="16"/>
      <c r="AA429" s="17" t="s">
        <v>56</v>
      </c>
      <c r="AB429" s="16">
        <v>44361.0</v>
      </c>
      <c r="AC429" s="17" t="s">
        <v>230</v>
      </c>
      <c r="AD429" s="16">
        <v>44483.0</v>
      </c>
      <c r="AE429" s="17" t="s">
        <v>86</v>
      </c>
      <c r="AF429" s="16">
        <v>44494.0</v>
      </c>
      <c r="AG429" s="17" t="s">
        <v>86</v>
      </c>
      <c r="AH429" s="16">
        <v>44520.0</v>
      </c>
      <c r="AI429" s="17" t="s">
        <v>56</v>
      </c>
      <c r="AJ429" s="16">
        <v>44536.0</v>
      </c>
      <c r="AK429" s="17" t="s">
        <v>88</v>
      </c>
      <c r="AL429" s="17" t="s">
        <v>103</v>
      </c>
      <c r="AM429" s="17" t="s">
        <v>52</v>
      </c>
      <c r="AN429" s="17" t="s">
        <v>89</v>
      </c>
      <c r="AO429" s="17" t="s">
        <v>89</v>
      </c>
      <c r="AP429" s="18" t="s">
        <v>58</v>
      </c>
      <c r="AQ429" s="17"/>
    </row>
    <row r="430" ht="15.75" hidden="1" customHeight="1">
      <c r="A430" s="10" t="s">
        <v>2169</v>
      </c>
      <c r="B430" s="10" t="s">
        <v>2170</v>
      </c>
      <c r="C430" s="10" t="str">
        <f>VLOOKUP(A430,import!A:C,3,0)</f>
        <v>DOĞRU</v>
      </c>
      <c r="D430" s="10" t="s">
        <v>61</v>
      </c>
      <c r="E430" s="10">
        <f>VLOOKUP(A430,import!A:J,5,0)</f>
        <v>974</v>
      </c>
      <c r="F430" s="10">
        <f>VLOOKUP(A430,import!A:J,6,0)</f>
        <v>65</v>
      </c>
      <c r="G430" s="10">
        <f>VLOOKUP(A430,import!A:J,7,0)</f>
        <v>13</v>
      </c>
      <c r="H430" s="10">
        <f>VLOOKUP(A430,import!A:J,8,0)</f>
        <v>14</v>
      </c>
      <c r="I430" s="10">
        <f>VLOOKUP(A430,import!A:J,9,0)</f>
        <v>27</v>
      </c>
      <c r="J430" s="11">
        <f>VLOOKUP(A430,import!A:J,10,0)</f>
        <v>0.48</v>
      </c>
      <c r="K430" s="10" t="s">
        <v>2171</v>
      </c>
      <c r="L430" s="10">
        <v>5.33351659E9</v>
      </c>
      <c r="M430" s="10" t="s">
        <v>72</v>
      </c>
      <c r="N430" s="10" t="s">
        <v>113</v>
      </c>
      <c r="O430" s="10" t="s">
        <v>2172</v>
      </c>
      <c r="P430" s="10" t="str">
        <f>VLOOKUP(A430,import!A:P,16,0)</f>
        <v>Geleneksel</v>
      </c>
      <c r="Q430" s="12"/>
      <c r="R430" s="12" t="b">
        <v>1</v>
      </c>
      <c r="S430" s="12" t="b">
        <v>0</v>
      </c>
      <c r="T430" s="13" t="s">
        <v>51</v>
      </c>
      <c r="U430" s="13" t="s">
        <v>57</v>
      </c>
      <c r="V430" s="13" t="s">
        <v>53</v>
      </c>
      <c r="W430" s="13"/>
      <c r="X430" s="15">
        <v>44420.0</v>
      </c>
      <c r="Y430" s="15">
        <v>44427.0</v>
      </c>
      <c r="Z430" s="16"/>
      <c r="AA430" s="16"/>
      <c r="AB430" s="16">
        <v>44413.0</v>
      </c>
      <c r="AC430" s="17" t="s">
        <v>56</v>
      </c>
      <c r="AD430" s="16"/>
      <c r="AE430" s="17" t="s">
        <v>56</v>
      </c>
      <c r="AF430" s="16">
        <v>44420.0</v>
      </c>
      <c r="AG430" s="17"/>
      <c r="AH430" s="16"/>
      <c r="AI430" s="16"/>
      <c r="AJ430" s="16"/>
      <c r="AK430" s="17" t="s">
        <v>1629</v>
      </c>
      <c r="AL430" s="17" t="s">
        <v>57</v>
      </c>
      <c r="AM430" s="16"/>
      <c r="AN430" s="16"/>
      <c r="AO430" s="16"/>
      <c r="AP430" s="18" t="s">
        <v>58</v>
      </c>
      <c r="AQ430" s="16"/>
    </row>
    <row r="431" ht="15.75" hidden="1" customHeight="1">
      <c r="A431" s="10" t="s">
        <v>2173</v>
      </c>
      <c r="B431" s="10" t="s">
        <v>2174</v>
      </c>
      <c r="C431" s="10" t="str">
        <f>VLOOKUP(A431,import!A:C,3,0)</f>
        <v>DOĞRU</v>
      </c>
      <c r="D431" s="10" t="s">
        <v>106</v>
      </c>
      <c r="E431" s="10">
        <f>VLOOKUP(A431,import!A:J,5,0)</f>
        <v>164</v>
      </c>
      <c r="F431" s="10" t="str">
        <f>VLOOKUP(A431,import!A:J,6,0)</f>
        <v/>
      </c>
      <c r="G431" s="10">
        <f>VLOOKUP(A431,import!A:J,7,0)</f>
        <v>0</v>
      </c>
      <c r="H431" s="10">
        <f>VLOOKUP(A431,import!A:J,8,0)</f>
        <v>26</v>
      </c>
      <c r="I431" s="10">
        <f>VLOOKUP(A431,import!A:J,9,0)</f>
        <v>26</v>
      </c>
      <c r="J431" s="11">
        <f>VLOOKUP(A431,import!A:J,10,0)</f>
        <v>0</v>
      </c>
      <c r="K431" s="10" t="s">
        <v>2175</v>
      </c>
      <c r="L431" s="10">
        <v>5.350519063E9</v>
      </c>
      <c r="M431" s="10" t="s">
        <v>215</v>
      </c>
      <c r="N431" s="10" t="s">
        <v>613</v>
      </c>
      <c r="O431" s="10" t="s">
        <v>2176</v>
      </c>
      <c r="P431" s="10" t="str">
        <f>VLOOKUP(A431,import!A:P,16,0)</f>
        <v>Geleneksel</v>
      </c>
      <c r="Q431" s="12"/>
      <c r="R431" s="12" t="b">
        <v>1</v>
      </c>
      <c r="S431" s="12" t="b">
        <v>0</v>
      </c>
      <c r="T431" s="13" t="s">
        <v>265</v>
      </c>
      <c r="U431" s="13"/>
      <c r="V431" s="13"/>
      <c r="W431" s="13" t="s">
        <v>2177</v>
      </c>
      <c r="X431" s="15"/>
      <c r="Y431" s="15"/>
      <c r="Z431" s="16"/>
      <c r="AA431" s="17" t="s">
        <v>55</v>
      </c>
      <c r="AB431" s="16">
        <v>44348.0</v>
      </c>
      <c r="AC431" s="17" t="s">
        <v>56</v>
      </c>
      <c r="AD431" s="16">
        <v>44348.0</v>
      </c>
      <c r="AE431" s="17" t="s">
        <v>86</v>
      </c>
      <c r="AF431" s="16">
        <v>44491.0</v>
      </c>
      <c r="AG431" s="17" t="s">
        <v>56</v>
      </c>
      <c r="AH431" s="16">
        <v>44495.0</v>
      </c>
      <c r="AI431" s="17" t="s">
        <v>56</v>
      </c>
      <c r="AJ431" s="16">
        <v>44552.0</v>
      </c>
      <c r="AK431" s="16"/>
      <c r="AL431" s="17" t="s">
        <v>163</v>
      </c>
      <c r="AM431" s="17" t="s">
        <v>89</v>
      </c>
      <c r="AN431" s="17" t="s">
        <v>87</v>
      </c>
      <c r="AO431" s="17" t="s">
        <v>314</v>
      </c>
      <c r="AP431" s="18" t="s">
        <v>58</v>
      </c>
      <c r="AQ431" s="16"/>
    </row>
    <row r="432" ht="15.75" hidden="1" customHeight="1">
      <c r="A432" s="10" t="s">
        <v>2178</v>
      </c>
      <c r="B432" s="10" t="s">
        <v>2179</v>
      </c>
      <c r="C432" s="10" t="str">
        <f>VLOOKUP(A432,import!A:C,3,0)</f>
        <v>DOĞRU</v>
      </c>
      <c r="D432" s="10" t="s">
        <v>356</v>
      </c>
      <c r="E432" s="10">
        <f>VLOOKUP(A432,import!A:J,5,0)</f>
        <v>12753</v>
      </c>
      <c r="F432" s="10">
        <f>VLOOKUP(A432,import!A:J,6,0)</f>
        <v>224</v>
      </c>
      <c r="G432" s="10">
        <f>VLOOKUP(A432,import!A:J,7,0)</f>
        <v>38</v>
      </c>
      <c r="H432" s="10">
        <f>VLOOKUP(A432,import!A:J,8,0)</f>
        <v>21</v>
      </c>
      <c r="I432" s="10">
        <f>VLOOKUP(A432,import!A:J,9,0)</f>
        <v>59</v>
      </c>
      <c r="J432" s="11">
        <f>VLOOKUP(A432,import!A:J,10,0)</f>
        <v>0.64</v>
      </c>
      <c r="K432" s="10" t="s">
        <v>2180</v>
      </c>
      <c r="L432" s="10">
        <v>4446908.0</v>
      </c>
      <c r="M432" s="10" t="s">
        <v>72</v>
      </c>
      <c r="N432" s="10" t="s">
        <v>113</v>
      </c>
      <c r="O432" s="10" t="s">
        <v>2181</v>
      </c>
      <c r="P432" s="10" t="str">
        <f>VLOOKUP(A432,import!A:P,16,0)</f>
        <v>Geleneksel</v>
      </c>
      <c r="Q432" s="12" t="s">
        <v>84</v>
      </c>
      <c r="R432" s="12" t="b">
        <v>1</v>
      </c>
      <c r="S432" s="12" t="b">
        <v>0</v>
      </c>
      <c r="T432" s="13" t="s">
        <v>51</v>
      </c>
      <c r="U432" s="13" t="s">
        <v>654</v>
      </c>
      <c r="V432" s="13" t="s">
        <v>66</v>
      </c>
      <c r="W432" s="13" t="s">
        <v>2182</v>
      </c>
      <c r="X432" s="15">
        <v>44284.0</v>
      </c>
      <c r="Y432" s="15">
        <v>44284.0</v>
      </c>
      <c r="Z432" s="16"/>
      <c r="AA432" s="17" t="s">
        <v>265</v>
      </c>
      <c r="AB432" s="16">
        <v>44477.0</v>
      </c>
      <c r="AC432" s="16"/>
      <c r="AD432" s="16"/>
      <c r="AE432" s="17"/>
      <c r="AF432" s="16"/>
      <c r="AG432" s="17"/>
      <c r="AH432" s="16"/>
      <c r="AI432" s="16"/>
      <c r="AJ432" s="16"/>
      <c r="AK432" s="17" t="s">
        <v>171</v>
      </c>
      <c r="AL432" s="16"/>
      <c r="AM432" s="16"/>
      <c r="AN432" s="16"/>
      <c r="AO432" s="16"/>
      <c r="AP432" s="18" t="s">
        <v>58</v>
      </c>
      <c r="AQ432" s="16"/>
    </row>
    <row r="433" ht="15.75" customHeight="1">
      <c r="A433" s="10" t="s">
        <v>2183</v>
      </c>
      <c r="B433" s="10" t="s">
        <v>2184</v>
      </c>
      <c r="C433" s="10" t="str">
        <f>VLOOKUP(A433,import!A:C,3,0)</f>
        <v>DOĞRU</v>
      </c>
      <c r="D433" s="10" t="s">
        <v>70</v>
      </c>
      <c r="E433" s="10">
        <f>VLOOKUP(A433,import!A:J,5,0)</f>
        <v>17400</v>
      </c>
      <c r="F433" s="10">
        <f>VLOOKUP(A433,import!A:J,6,0)</f>
        <v>362</v>
      </c>
      <c r="G433" s="10">
        <f>VLOOKUP(A433,import!A:J,7,0)</f>
        <v>38</v>
      </c>
      <c r="H433" s="10">
        <f>VLOOKUP(A433,import!A:J,8,0)</f>
        <v>7</v>
      </c>
      <c r="I433" s="10">
        <f>VLOOKUP(A433,import!A:J,9,0)</f>
        <v>45</v>
      </c>
      <c r="J433" s="11">
        <f>VLOOKUP(A433,import!A:J,10,0)</f>
        <v>0.84</v>
      </c>
      <c r="K433" s="10" t="s">
        <v>2180</v>
      </c>
      <c r="L433" s="10">
        <v>3.24359303E9</v>
      </c>
      <c r="M433" s="10" t="s">
        <v>63</v>
      </c>
      <c r="N433" s="10" t="s">
        <v>318</v>
      </c>
      <c r="O433" s="10" t="s">
        <v>2185</v>
      </c>
      <c r="P433" s="10" t="str">
        <f>VLOOKUP(A433,import!A:P,16,0)</f>
        <v>Geleneksel</v>
      </c>
      <c r="Q433" s="12" t="s">
        <v>84</v>
      </c>
      <c r="R433" s="12" t="b">
        <v>1</v>
      </c>
      <c r="S433" s="12" t="b">
        <v>0</v>
      </c>
      <c r="T433" s="14" t="s">
        <v>51</v>
      </c>
      <c r="U433" s="14" t="s">
        <v>103</v>
      </c>
      <c r="V433" s="14" t="s">
        <v>66</v>
      </c>
      <c r="W433" s="14" t="s">
        <v>2186</v>
      </c>
      <c r="X433" s="29">
        <v>44505.0</v>
      </c>
      <c r="Y433" s="29">
        <v>44508.0</v>
      </c>
      <c r="Z433" s="16"/>
      <c r="AA433" s="17" t="s">
        <v>230</v>
      </c>
      <c r="AB433" s="16">
        <v>44504.0</v>
      </c>
      <c r="AC433" s="17" t="s">
        <v>56</v>
      </c>
      <c r="AD433" s="16">
        <v>44505.0</v>
      </c>
      <c r="AE433" s="17"/>
      <c r="AF433" s="16"/>
      <c r="AG433" s="17"/>
      <c r="AH433" s="16"/>
      <c r="AI433" s="16"/>
      <c r="AJ433" s="16"/>
      <c r="AK433" s="17" t="s">
        <v>108</v>
      </c>
      <c r="AL433" s="17" t="s">
        <v>103</v>
      </c>
      <c r="AM433" s="16"/>
      <c r="AN433" s="16"/>
      <c r="AO433" s="16"/>
      <c r="AP433" s="18" t="s">
        <v>58</v>
      </c>
      <c r="AQ433" s="16"/>
    </row>
    <row r="434" ht="15.75" customHeight="1">
      <c r="A434" s="10" t="s">
        <v>2187</v>
      </c>
      <c r="B434" s="10" t="s">
        <v>2188</v>
      </c>
      <c r="C434" s="10" t="str">
        <f>VLOOKUP(A434,import!A:C,3,0)</f>
        <v>DOĞRU</v>
      </c>
      <c r="D434" s="10" t="s">
        <v>356</v>
      </c>
      <c r="E434" s="10">
        <f>VLOOKUP(A434,import!A:J,5,0)</f>
        <v>997</v>
      </c>
      <c r="F434" s="10">
        <f>VLOOKUP(A434,import!A:J,6,0)</f>
        <v>22</v>
      </c>
      <c r="G434" s="10">
        <f>VLOOKUP(A434,import!A:J,7,0)</f>
        <v>0</v>
      </c>
      <c r="H434" s="10">
        <f>VLOOKUP(A434,import!A:J,8,0)</f>
        <v>52</v>
      </c>
      <c r="I434" s="10">
        <f>VLOOKUP(A434,import!A:J,9,0)</f>
        <v>52</v>
      </c>
      <c r="J434" s="11">
        <f>VLOOKUP(A434,import!A:J,10,0)</f>
        <v>0</v>
      </c>
      <c r="K434" s="10" t="s">
        <v>2189</v>
      </c>
      <c r="L434" s="10">
        <v>3.242380023E9</v>
      </c>
      <c r="M434" s="10" t="s">
        <v>137</v>
      </c>
      <c r="N434" s="10" t="s">
        <v>209</v>
      </c>
      <c r="O434" s="10" t="s">
        <v>2190</v>
      </c>
      <c r="P434" s="10" t="str">
        <f>VLOOKUP(A434,import!A:P,16,0)</f>
        <v>Geleneksel</v>
      </c>
      <c r="Q434" s="12" t="s">
        <v>84</v>
      </c>
      <c r="R434" s="12" t="b">
        <v>1</v>
      </c>
      <c r="S434" s="12" t="b">
        <v>1</v>
      </c>
      <c r="T434" s="13"/>
      <c r="U434" s="13"/>
      <c r="V434" s="13"/>
      <c r="W434" s="13" t="s">
        <v>2191</v>
      </c>
      <c r="X434" s="15"/>
      <c r="Y434" s="15"/>
      <c r="Z434" s="16"/>
      <c r="AA434" s="16"/>
      <c r="AB434" s="16"/>
      <c r="AC434" s="16"/>
      <c r="AD434" s="16"/>
      <c r="AE434" s="17"/>
      <c r="AF434" s="16"/>
      <c r="AG434" s="17"/>
      <c r="AH434" s="16"/>
      <c r="AI434" s="16"/>
      <c r="AJ434" s="16"/>
      <c r="AK434" s="16"/>
      <c r="AL434" s="16"/>
      <c r="AM434" s="16"/>
      <c r="AN434" s="16"/>
      <c r="AO434" s="16"/>
      <c r="AP434" s="18" t="s">
        <v>58</v>
      </c>
      <c r="AQ434" s="16"/>
    </row>
    <row r="435" ht="15.75" customHeight="1">
      <c r="A435" s="18" t="s">
        <v>2192</v>
      </c>
      <c r="B435" s="18" t="s">
        <v>2193</v>
      </c>
      <c r="C435" s="10" t="str">
        <f>VLOOKUP(A435,import!A:C,3,0)</f>
        <v>DOĞRU</v>
      </c>
      <c r="D435" s="18" t="s">
        <v>167</v>
      </c>
      <c r="E435" s="10" t="str">
        <f>VLOOKUP(A435,import!A:J,5,0)</f>
        <v/>
      </c>
      <c r="F435" s="10" t="str">
        <f>VLOOKUP(A435,import!A:J,6,0)</f>
        <v/>
      </c>
      <c r="G435" s="10">
        <f>VLOOKUP(A435,import!A:J,7,0)</f>
        <v>0</v>
      </c>
      <c r="H435" s="10">
        <f>VLOOKUP(A435,import!A:J,8,0)</f>
        <v>9</v>
      </c>
      <c r="I435" s="10">
        <f>VLOOKUP(A435,import!A:J,9,0)</f>
        <v>9</v>
      </c>
      <c r="J435" s="11">
        <f>VLOOKUP(A435,import!A:J,10,0)</f>
        <v>0</v>
      </c>
      <c r="K435" s="18" t="s">
        <v>2194</v>
      </c>
      <c r="L435" s="18">
        <v>5.306015666E9</v>
      </c>
      <c r="M435" s="18" t="s">
        <v>137</v>
      </c>
      <c r="N435" s="18" t="s">
        <v>209</v>
      </c>
      <c r="O435" s="18" t="s">
        <v>2195</v>
      </c>
      <c r="P435" s="10" t="str">
        <f>VLOOKUP(A435,import!A:P,16,0)</f>
        <v>Geleneksel</v>
      </c>
      <c r="Q435" s="12"/>
      <c r="R435" s="12" t="b">
        <v>0</v>
      </c>
      <c r="S435" s="12" t="b">
        <v>0</v>
      </c>
      <c r="T435" s="13"/>
      <c r="U435" s="13"/>
      <c r="V435" s="13"/>
      <c r="W435" s="13"/>
      <c r="X435" s="15"/>
      <c r="Y435" s="15"/>
      <c r="Z435" s="16"/>
      <c r="AA435" s="17"/>
      <c r="AB435" s="16"/>
      <c r="AC435" s="16"/>
      <c r="AD435" s="16"/>
      <c r="AE435" s="17"/>
      <c r="AF435" s="16"/>
      <c r="AG435" s="17"/>
      <c r="AH435" s="16"/>
      <c r="AI435" s="16"/>
      <c r="AJ435" s="16"/>
      <c r="AK435" s="17"/>
      <c r="AL435" s="16"/>
      <c r="AM435" s="16"/>
      <c r="AN435" s="16"/>
      <c r="AO435" s="16"/>
      <c r="AP435" s="18"/>
      <c r="AQ435" s="16"/>
    </row>
    <row r="436" ht="15.75" hidden="1" customHeight="1">
      <c r="A436" s="10" t="s">
        <v>2196</v>
      </c>
      <c r="B436" s="10" t="s">
        <v>2197</v>
      </c>
      <c r="C436" s="10" t="str">
        <f>VLOOKUP(A436,import!A:C,3,0)</f>
        <v>DOĞRU</v>
      </c>
      <c r="D436" s="10" t="s">
        <v>70</v>
      </c>
      <c r="E436" s="10">
        <f>VLOOKUP(A436,import!A:J,5,0)</f>
        <v>41</v>
      </c>
      <c r="F436" s="10">
        <f>VLOOKUP(A436,import!A:J,6,0)</f>
        <v>7</v>
      </c>
      <c r="G436" s="10">
        <f>VLOOKUP(A436,import!A:J,7,0)</f>
        <v>0</v>
      </c>
      <c r="H436" s="10">
        <f>VLOOKUP(A436,import!A:J,8,0)</f>
        <v>12</v>
      </c>
      <c r="I436" s="10">
        <f>VLOOKUP(A436,import!A:J,9,0)</f>
        <v>12</v>
      </c>
      <c r="J436" s="11">
        <f>VLOOKUP(A436,import!A:J,10,0)</f>
        <v>0</v>
      </c>
      <c r="K436" s="10" t="s">
        <v>2198</v>
      </c>
      <c r="L436" s="10">
        <v>3.246140088E9</v>
      </c>
      <c r="M436" s="10" t="s">
        <v>156</v>
      </c>
      <c r="N436" s="10" t="s">
        <v>596</v>
      </c>
      <c r="O436" s="10" t="s">
        <v>2199</v>
      </c>
      <c r="P436" s="10" t="str">
        <f>VLOOKUP(A436,import!A:P,16,0)</f>
        <v>Geleneksel</v>
      </c>
      <c r="Q436" s="12"/>
      <c r="R436" s="12" t="b">
        <v>0</v>
      </c>
      <c r="S436" s="12" t="b">
        <v>0</v>
      </c>
      <c r="T436" s="13"/>
      <c r="U436" s="13"/>
      <c r="V436" s="13"/>
      <c r="W436" s="13"/>
      <c r="X436" s="15"/>
      <c r="Y436" s="15"/>
      <c r="Z436" s="16"/>
      <c r="AA436" s="17"/>
      <c r="AB436" s="16"/>
      <c r="AC436" s="16"/>
      <c r="AD436" s="16"/>
      <c r="AE436" s="17"/>
      <c r="AF436" s="16"/>
      <c r="AG436" s="17"/>
      <c r="AH436" s="16"/>
      <c r="AI436" s="16"/>
      <c r="AJ436" s="16"/>
      <c r="AK436" s="17"/>
      <c r="AL436" s="16"/>
      <c r="AM436" s="16"/>
      <c r="AN436" s="16"/>
      <c r="AO436" s="16"/>
      <c r="AP436" s="18"/>
      <c r="AQ436" s="16"/>
    </row>
    <row r="437" ht="15.75" hidden="1" customHeight="1">
      <c r="A437" s="10" t="s">
        <v>2200</v>
      </c>
      <c r="B437" s="10" t="s">
        <v>2201</v>
      </c>
      <c r="C437" s="10" t="str">
        <f>VLOOKUP(A437,import!A:C,3,0)</f>
        <v>DOĞRU</v>
      </c>
      <c r="D437" s="10" t="s">
        <v>80</v>
      </c>
      <c r="E437" s="10">
        <f>VLOOKUP(A437,import!A:J,5,0)</f>
        <v>2377</v>
      </c>
      <c r="F437" s="10">
        <f>VLOOKUP(A437,import!A:J,6,0)</f>
        <v>115</v>
      </c>
      <c r="G437" s="10">
        <f>VLOOKUP(A437,import!A:J,7,0)</f>
        <v>0</v>
      </c>
      <c r="H437" s="10">
        <f>VLOOKUP(A437,import!A:J,8,0)</f>
        <v>62</v>
      </c>
      <c r="I437" s="10">
        <f>VLOOKUP(A437,import!A:J,9,0)</f>
        <v>62</v>
      </c>
      <c r="J437" s="11">
        <f>VLOOKUP(A437,import!A:J,10,0)</f>
        <v>0</v>
      </c>
      <c r="K437" s="10" t="s">
        <v>2202</v>
      </c>
      <c r="L437" s="10">
        <v>5.364702226E9</v>
      </c>
      <c r="M437" s="10" t="s">
        <v>72</v>
      </c>
      <c r="N437" s="10" t="s">
        <v>82</v>
      </c>
      <c r="O437" s="10" t="s">
        <v>2203</v>
      </c>
      <c r="P437" s="10" t="str">
        <f>VLOOKUP(A437,import!A:P,16,0)</f>
        <v>Geleneksel</v>
      </c>
      <c r="Q437" s="12" t="s">
        <v>84</v>
      </c>
      <c r="R437" s="12" t="b">
        <v>1</v>
      </c>
      <c r="S437" s="12" t="b">
        <v>1</v>
      </c>
      <c r="T437" s="13"/>
      <c r="U437" s="13"/>
      <c r="V437" s="13"/>
      <c r="W437" s="13" t="s">
        <v>2204</v>
      </c>
      <c r="X437" s="15"/>
      <c r="Y437" s="15"/>
      <c r="Z437" s="16"/>
      <c r="AA437" s="17" t="s">
        <v>56</v>
      </c>
      <c r="AB437" s="16">
        <v>44354.0</v>
      </c>
      <c r="AC437" s="17" t="s">
        <v>56</v>
      </c>
      <c r="AD437" s="16">
        <v>44431.0</v>
      </c>
      <c r="AE437" s="17"/>
      <c r="AF437" s="16"/>
      <c r="AG437" s="17"/>
      <c r="AH437" s="16"/>
      <c r="AI437" s="16"/>
      <c r="AJ437" s="16"/>
      <c r="AK437" s="17" t="s">
        <v>123</v>
      </c>
      <c r="AL437" s="17" t="s">
        <v>367</v>
      </c>
      <c r="AM437" s="16"/>
      <c r="AN437" s="16"/>
      <c r="AO437" s="16"/>
      <c r="AP437" s="18" t="s">
        <v>58</v>
      </c>
      <c r="AQ437" s="16"/>
    </row>
    <row r="438" ht="15.75" hidden="1" customHeight="1">
      <c r="A438" s="10" t="s">
        <v>2205</v>
      </c>
      <c r="B438" s="10" t="s">
        <v>2206</v>
      </c>
      <c r="C438" s="10" t="str">
        <f>VLOOKUP(A438,import!A:C,3,0)</f>
        <v>DOĞRU</v>
      </c>
      <c r="D438" s="10" t="s">
        <v>2207</v>
      </c>
      <c r="E438" s="10">
        <f>VLOOKUP(A438,import!A:J,5,0)</f>
        <v>3</v>
      </c>
      <c r="F438" s="10" t="str">
        <f>VLOOKUP(A438,import!A:J,6,0)</f>
        <v/>
      </c>
      <c r="G438" s="10">
        <f>VLOOKUP(A438,import!A:J,7,0)</f>
        <v>4</v>
      </c>
      <c r="H438" s="10">
        <f>VLOOKUP(A438,import!A:J,8,0)</f>
        <v>0</v>
      </c>
      <c r="I438" s="10">
        <f>VLOOKUP(A438,import!A:J,9,0)</f>
        <v>4</v>
      </c>
      <c r="J438" s="11">
        <f>VLOOKUP(A438,import!A:J,10,0)</f>
        <v>1</v>
      </c>
      <c r="K438" s="10" t="s">
        <v>2208</v>
      </c>
      <c r="L438" s="10">
        <v>5.398845236E9</v>
      </c>
      <c r="M438" s="10" t="s">
        <v>72</v>
      </c>
      <c r="N438" s="10" t="s">
        <v>113</v>
      </c>
      <c r="O438" s="10" t="s">
        <v>2209</v>
      </c>
      <c r="P438" s="10" t="str">
        <f>VLOOKUP(A438,import!A:P,16,0)</f>
        <v>Geleneksel</v>
      </c>
      <c r="Q438" s="12"/>
      <c r="R438" s="12" t="b">
        <v>1</v>
      </c>
      <c r="S438" s="12" t="b">
        <v>0</v>
      </c>
      <c r="T438" s="13" t="s">
        <v>51</v>
      </c>
      <c r="U438" s="13" t="s">
        <v>89</v>
      </c>
      <c r="V438" s="13" t="s">
        <v>66</v>
      </c>
      <c r="W438" s="13"/>
      <c r="X438" s="15">
        <v>44641.0</v>
      </c>
      <c r="Y438" s="15">
        <v>44642.0</v>
      </c>
      <c r="Z438" s="16"/>
      <c r="AA438" s="17" t="s">
        <v>55</v>
      </c>
      <c r="AB438" s="16">
        <v>44629.0</v>
      </c>
      <c r="AC438" s="17" t="s">
        <v>56</v>
      </c>
      <c r="AD438" s="16">
        <v>44641.0</v>
      </c>
      <c r="AE438" s="17"/>
      <c r="AF438" s="16"/>
      <c r="AG438" s="17"/>
      <c r="AH438" s="16"/>
      <c r="AI438" s="16"/>
      <c r="AJ438" s="16"/>
      <c r="AK438" s="17" t="s">
        <v>133</v>
      </c>
      <c r="AL438" s="17" t="s">
        <v>89</v>
      </c>
      <c r="AM438" s="16"/>
      <c r="AN438" s="16"/>
      <c r="AO438" s="16"/>
      <c r="AP438" s="18"/>
      <c r="AQ438" s="16"/>
    </row>
    <row r="439" ht="15.75" hidden="1" customHeight="1">
      <c r="A439" s="10" t="s">
        <v>2210</v>
      </c>
      <c r="B439" s="10" t="s">
        <v>2211</v>
      </c>
      <c r="C439" s="10" t="str">
        <f>VLOOKUP(A439,import!A:C,3,0)</f>
        <v>DOĞRU</v>
      </c>
      <c r="D439" s="10" t="s">
        <v>80</v>
      </c>
      <c r="E439" s="10">
        <f>VLOOKUP(A439,import!A:J,5,0)</f>
        <v>4170</v>
      </c>
      <c r="F439" s="10">
        <f>VLOOKUP(A439,import!A:J,6,0)</f>
        <v>154</v>
      </c>
      <c r="G439" s="10">
        <f>VLOOKUP(A439,import!A:J,7,0)</f>
        <v>11</v>
      </c>
      <c r="H439" s="10">
        <f>VLOOKUP(A439,import!A:J,8,0)</f>
        <v>6</v>
      </c>
      <c r="I439" s="10">
        <f>VLOOKUP(A439,import!A:J,9,0)</f>
        <v>17</v>
      </c>
      <c r="J439" s="11">
        <f>VLOOKUP(A439,import!A:J,10,0)</f>
        <v>0.65</v>
      </c>
      <c r="K439" s="10" t="s">
        <v>2212</v>
      </c>
      <c r="L439" s="10">
        <v>3.242231686E9</v>
      </c>
      <c r="M439" s="10" t="s">
        <v>215</v>
      </c>
      <c r="N439" s="10" t="s">
        <v>288</v>
      </c>
      <c r="O439" s="10" t="s">
        <v>2213</v>
      </c>
      <c r="P439" s="10" t="str">
        <f>VLOOKUP(A439,import!A:P,16,0)</f>
        <v>Geleneksel</v>
      </c>
      <c r="Q439" s="12"/>
      <c r="R439" s="12" t="b">
        <v>1</v>
      </c>
      <c r="S439" s="12" t="b">
        <v>0</v>
      </c>
      <c r="T439" s="13" t="s">
        <v>51</v>
      </c>
      <c r="U439" s="13" t="s">
        <v>258</v>
      </c>
      <c r="V439" s="13" t="s">
        <v>278</v>
      </c>
      <c r="W439" s="13" t="s">
        <v>2214</v>
      </c>
      <c r="X439" s="15">
        <v>44285.0</v>
      </c>
      <c r="Y439" s="15">
        <v>44287.0</v>
      </c>
      <c r="Z439" s="16"/>
      <c r="AA439" s="16"/>
      <c r="AB439" s="16"/>
      <c r="AC439" s="16"/>
      <c r="AD439" s="16"/>
      <c r="AE439" s="17"/>
      <c r="AF439" s="16"/>
      <c r="AG439" s="17"/>
      <c r="AH439" s="16"/>
      <c r="AI439" s="16"/>
      <c r="AJ439" s="16"/>
      <c r="AK439" s="16"/>
      <c r="AL439" s="16"/>
      <c r="AM439" s="16"/>
      <c r="AN439" s="16"/>
      <c r="AO439" s="16"/>
      <c r="AP439" s="18" t="s">
        <v>58</v>
      </c>
      <c r="AQ439" s="16"/>
    </row>
    <row r="440" ht="15.75" hidden="1" customHeight="1">
      <c r="A440" s="10" t="s">
        <v>2215</v>
      </c>
      <c r="B440" s="10" t="s">
        <v>2216</v>
      </c>
      <c r="C440" s="10" t="str">
        <f>VLOOKUP(A440,import!A:C,3,0)</f>
        <v>DOĞRU</v>
      </c>
      <c r="D440" s="10" t="s">
        <v>80</v>
      </c>
      <c r="E440" s="10">
        <f>VLOOKUP(A440,import!A:J,5,0)</f>
        <v>103</v>
      </c>
      <c r="F440" s="10">
        <f>VLOOKUP(A440,import!A:J,6,0)</f>
        <v>7</v>
      </c>
      <c r="G440" s="10">
        <f>VLOOKUP(A440,import!A:J,7,0)</f>
        <v>0</v>
      </c>
      <c r="H440" s="10">
        <f>VLOOKUP(A440,import!A:J,8,0)</f>
        <v>12</v>
      </c>
      <c r="I440" s="10">
        <f>VLOOKUP(A440,import!A:J,9,0)</f>
        <v>12</v>
      </c>
      <c r="J440" s="11">
        <f>VLOOKUP(A440,import!A:J,10,0)</f>
        <v>0</v>
      </c>
      <c r="K440" s="10" t="s">
        <v>2217</v>
      </c>
      <c r="L440" s="10">
        <v>3.243225655E9</v>
      </c>
      <c r="M440" s="10" t="s">
        <v>215</v>
      </c>
      <c r="N440" s="10" t="s">
        <v>263</v>
      </c>
      <c r="O440" s="10" t="s">
        <v>2218</v>
      </c>
      <c r="P440" s="10" t="str">
        <f>VLOOKUP(A440,import!A:P,16,0)</f>
        <v>Geleneksel</v>
      </c>
      <c r="Q440" s="12"/>
      <c r="R440" s="12" t="b">
        <v>1</v>
      </c>
      <c r="S440" s="12" t="b">
        <v>0</v>
      </c>
      <c r="T440" s="13" t="s">
        <v>199</v>
      </c>
      <c r="U440" s="13"/>
      <c r="V440" s="13"/>
      <c r="W440" s="13" t="s">
        <v>2219</v>
      </c>
      <c r="X440" s="15"/>
      <c r="Y440" s="15"/>
      <c r="Z440" s="16"/>
      <c r="AA440" s="17" t="s">
        <v>56</v>
      </c>
      <c r="AB440" s="16">
        <v>44550.0</v>
      </c>
      <c r="AC440" s="16"/>
      <c r="AD440" s="16"/>
      <c r="AE440" s="17"/>
      <c r="AF440" s="16"/>
      <c r="AG440" s="17"/>
      <c r="AH440" s="16"/>
      <c r="AI440" s="16"/>
      <c r="AJ440" s="16"/>
      <c r="AK440" s="17" t="s">
        <v>52</v>
      </c>
      <c r="AL440" s="16"/>
      <c r="AM440" s="16"/>
      <c r="AN440" s="16"/>
      <c r="AO440" s="16"/>
      <c r="AP440" s="18"/>
      <c r="AQ440" s="16"/>
    </row>
    <row r="441" ht="15.75" hidden="1" customHeight="1">
      <c r="A441" s="10" t="s">
        <v>2220</v>
      </c>
      <c r="B441" s="10" t="s">
        <v>2221</v>
      </c>
      <c r="C441" s="10" t="str">
        <f>VLOOKUP(A441,import!A:C,3,0)</f>
        <v>YANLIŞ</v>
      </c>
      <c r="D441" s="10" t="s">
        <v>754</v>
      </c>
      <c r="E441" s="10">
        <f>VLOOKUP(A441,import!A:J,5,0)</f>
        <v>33</v>
      </c>
      <c r="F441" s="10" t="str">
        <f>VLOOKUP(A441,import!A:J,6,0)</f>
        <v/>
      </c>
      <c r="G441" s="10">
        <f>VLOOKUP(A441,import!A:J,7,0)</f>
        <v>0</v>
      </c>
      <c r="H441" s="10">
        <f>VLOOKUP(A441,import!A:J,8,0)</f>
        <v>25</v>
      </c>
      <c r="I441" s="10">
        <f>VLOOKUP(A441,import!A:J,9,0)</f>
        <v>25</v>
      </c>
      <c r="J441" s="11">
        <f>VLOOKUP(A441,import!A:J,10,0)</f>
        <v>0</v>
      </c>
      <c r="K441" s="10" t="s">
        <v>2222</v>
      </c>
      <c r="L441" s="10">
        <v>5.300928835E9</v>
      </c>
      <c r="M441" s="10" t="s">
        <v>156</v>
      </c>
      <c r="N441" s="10" t="s">
        <v>157</v>
      </c>
      <c r="O441" s="10" t="s">
        <v>2223</v>
      </c>
      <c r="P441" s="10" t="str">
        <f>VLOOKUP(A441,import!A:P,16,0)</f>
        <v>Geleneksel</v>
      </c>
      <c r="Q441" s="12"/>
      <c r="R441" s="12" t="b">
        <v>1</v>
      </c>
      <c r="S441" s="12" t="b">
        <v>0</v>
      </c>
      <c r="T441" s="13" t="s">
        <v>130</v>
      </c>
      <c r="U441" s="13" t="s">
        <v>52</v>
      </c>
      <c r="V441" s="13" t="s">
        <v>66</v>
      </c>
      <c r="W441" s="13" t="s">
        <v>2224</v>
      </c>
      <c r="X441" s="15">
        <v>44540.0</v>
      </c>
      <c r="Y441" s="15">
        <v>44543.0</v>
      </c>
      <c r="Z441" s="16"/>
      <c r="AA441" s="17" t="s">
        <v>56</v>
      </c>
      <c r="AB441" s="16">
        <v>44540.0</v>
      </c>
      <c r="AC441" s="17" t="s">
        <v>56</v>
      </c>
      <c r="AD441" s="16">
        <v>44543.0</v>
      </c>
      <c r="AE441" s="17"/>
      <c r="AF441" s="16"/>
      <c r="AG441" s="17"/>
      <c r="AH441" s="16"/>
      <c r="AI441" s="16"/>
      <c r="AJ441" s="16"/>
      <c r="AK441" s="17" t="s">
        <v>52</v>
      </c>
      <c r="AL441" s="17" t="s">
        <v>52</v>
      </c>
      <c r="AM441" s="16"/>
      <c r="AN441" s="16"/>
      <c r="AO441" s="16"/>
      <c r="AP441" s="18" t="s">
        <v>58</v>
      </c>
      <c r="AQ441" s="16"/>
    </row>
    <row r="442" ht="15.75" hidden="1" customHeight="1">
      <c r="A442" s="10" t="s">
        <v>2225</v>
      </c>
      <c r="B442" s="10" t="s">
        <v>2226</v>
      </c>
      <c r="C442" s="10" t="str">
        <f>VLOOKUP(A442,import!A:C,3,0)</f>
        <v>DOĞRU</v>
      </c>
      <c r="D442" s="10" t="s">
        <v>45</v>
      </c>
      <c r="E442" s="10">
        <f>VLOOKUP(A442,import!A:J,5,0)</f>
        <v>27</v>
      </c>
      <c r="F442" s="10">
        <f>VLOOKUP(A442,import!A:J,6,0)</f>
        <v>3</v>
      </c>
      <c r="G442" s="10">
        <f>VLOOKUP(A442,import!A:J,7,0)</f>
        <v>10</v>
      </c>
      <c r="H442" s="10">
        <f>VLOOKUP(A442,import!A:J,8,0)</f>
        <v>12</v>
      </c>
      <c r="I442" s="10">
        <f>VLOOKUP(A442,import!A:J,9,0)</f>
        <v>22</v>
      </c>
      <c r="J442" s="11">
        <f>VLOOKUP(A442,import!A:J,10,0)</f>
        <v>0.45</v>
      </c>
      <c r="K442" s="10" t="s">
        <v>2227</v>
      </c>
      <c r="L442" s="10">
        <v>5.061317966E9</v>
      </c>
      <c r="M442" s="10" t="s">
        <v>215</v>
      </c>
      <c r="N442" s="10" t="s">
        <v>658</v>
      </c>
      <c r="O442" s="10" t="s">
        <v>2228</v>
      </c>
      <c r="P442" s="10" t="str">
        <f>VLOOKUP(A442,import!A:P,16,0)</f>
        <v>Geleneksel</v>
      </c>
      <c r="Q442" s="12"/>
      <c r="R442" s="12" t="b">
        <v>1</v>
      </c>
      <c r="S442" s="12" t="b">
        <v>0</v>
      </c>
      <c r="T442" s="13" t="s">
        <v>51</v>
      </c>
      <c r="U442" s="13" t="s">
        <v>52</v>
      </c>
      <c r="V442" s="13" t="s">
        <v>131</v>
      </c>
      <c r="W442" s="13">
        <v>5.061311137E9</v>
      </c>
      <c r="X442" s="15">
        <v>44628.0</v>
      </c>
      <c r="Y442" s="15">
        <v>44629.0</v>
      </c>
      <c r="Z442" s="16"/>
      <c r="AA442" s="17" t="s">
        <v>56</v>
      </c>
      <c r="AB442" s="16">
        <v>44628.0</v>
      </c>
      <c r="AC442" s="16"/>
      <c r="AD442" s="16"/>
      <c r="AE442" s="17"/>
      <c r="AF442" s="16"/>
      <c r="AG442" s="17"/>
      <c r="AH442" s="16"/>
      <c r="AI442" s="16"/>
      <c r="AJ442" s="16"/>
      <c r="AK442" s="17" t="s">
        <v>52</v>
      </c>
      <c r="AL442" s="16"/>
      <c r="AM442" s="16"/>
      <c r="AN442" s="16"/>
      <c r="AO442" s="16"/>
      <c r="AP442" s="18"/>
      <c r="AQ442" s="16"/>
    </row>
    <row r="443" ht="15.75" hidden="1" customHeight="1">
      <c r="A443" s="10" t="s">
        <v>2229</v>
      </c>
      <c r="B443" s="10" t="s">
        <v>2230</v>
      </c>
      <c r="C443" s="10" t="str">
        <f>VLOOKUP(A443,import!A:C,3,0)</f>
        <v>DOĞRU</v>
      </c>
      <c r="D443" s="10" t="s">
        <v>45</v>
      </c>
      <c r="E443" s="10">
        <f>VLOOKUP(A443,import!A:J,5,0)</f>
        <v>3876</v>
      </c>
      <c r="F443" s="10">
        <f>VLOOKUP(A443,import!A:J,6,0)</f>
        <v>115</v>
      </c>
      <c r="G443" s="10">
        <f>VLOOKUP(A443,import!A:J,7,0)</f>
        <v>0</v>
      </c>
      <c r="H443" s="10">
        <f>VLOOKUP(A443,import!A:J,8,0)</f>
        <v>28</v>
      </c>
      <c r="I443" s="10">
        <f>VLOOKUP(A443,import!A:J,9,0)</f>
        <v>28</v>
      </c>
      <c r="J443" s="11">
        <f>VLOOKUP(A443,import!A:J,10,0)</f>
        <v>0</v>
      </c>
      <c r="K443" s="10" t="s">
        <v>2231</v>
      </c>
      <c r="L443" s="10">
        <v>5.37621872E9</v>
      </c>
      <c r="M443" s="10" t="s">
        <v>47</v>
      </c>
      <c r="N443" s="10" t="s">
        <v>479</v>
      </c>
      <c r="O443" s="10" t="s">
        <v>2232</v>
      </c>
      <c r="P443" s="10" t="str">
        <f>VLOOKUP(A443,import!A:P,16,0)</f>
        <v>Geleneksel</v>
      </c>
      <c r="Q443" s="12" t="s">
        <v>146</v>
      </c>
      <c r="R443" s="12" t="b">
        <v>1</v>
      </c>
      <c r="S443" s="12" t="b">
        <v>0</v>
      </c>
      <c r="T443" s="13" t="s">
        <v>130</v>
      </c>
      <c r="U443" s="13"/>
      <c r="V443" s="13"/>
      <c r="W443" s="13" t="s">
        <v>2233</v>
      </c>
      <c r="X443" s="15"/>
      <c r="Y443" s="15"/>
      <c r="Z443" s="17" t="s">
        <v>616</v>
      </c>
      <c r="AA443" s="17" t="s">
        <v>56</v>
      </c>
      <c r="AB443" s="16">
        <v>44504.0</v>
      </c>
      <c r="AC443" s="16"/>
      <c r="AD443" s="16"/>
      <c r="AE443" s="17"/>
      <c r="AF443" s="16"/>
      <c r="AG443" s="17"/>
      <c r="AH443" s="16"/>
      <c r="AI443" s="16"/>
      <c r="AJ443" s="16"/>
      <c r="AK443" s="17" t="s">
        <v>89</v>
      </c>
      <c r="AL443" s="16"/>
      <c r="AM443" s="16"/>
      <c r="AN443" s="16"/>
      <c r="AO443" s="16"/>
      <c r="AP443" s="18" t="s">
        <v>58</v>
      </c>
      <c r="AQ443" s="16"/>
    </row>
    <row r="444" ht="15.75" hidden="1" customHeight="1">
      <c r="A444" s="10" t="s">
        <v>2234</v>
      </c>
      <c r="B444" s="10" t="s">
        <v>2235</v>
      </c>
      <c r="C444" s="10" t="str">
        <f>VLOOKUP(A444,import!A:C,3,0)</f>
        <v>DOĞRU</v>
      </c>
      <c r="D444" s="10" t="s">
        <v>363</v>
      </c>
      <c r="E444" s="10">
        <f>VLOOKUP(A444,import!A:J,5,0)</f>
        <v>313</v>
      </c>
      <c r="F444" s="10">
        <f>VLOOKUP(A444,import!A:J,6,0)</f>
        <v>18</v>
      </c>
      <c r="G444" s="10">
        <f>VLOOKUP(A444,import!A:J,7,0)</f>
        <v>16</v>
      </c>
      <c r="H444" s="10">
        <f>VLOOKUP(A444,import!A:J,8,0)</f>
        <v>22</v>
      </c>
      <c r="I444" s="10">
        <f>VLOOKUP(A444,import!A:J,9,0)</f>
        <v>38</v>
      </c>
      <c r="J444" s="11">
        <f>VLOOKUP(A444,import!A:J,10,0)</f>
        <v>0.42</v>
      </c>
      <c r="K444" s="10" t="s">
        <v>2236</v>
      </c>
      <c r="L444" s="10">
        <v>5.333472405E9</v>
      </c>
      <c r="M444" s="10" t="s">
        <v>72</v>
      </c>
      <c r="N444" s="10" t="s">
        <v>82</v>
      </c>
      <c r="O444" s="10" t="s">
        <v>2237</v>
      </c>
      <c r="P444" s="10" t="str">
        <f>VLOOKUP(A444,import!A:P,16,0)</f>
        <v>Geleneksel</v>
      </c>
      <c r="Q444" s="12"/>
      <c r="R444" s="12" t="b">
        <v>1</v>
      </c>
      <c r="S444" s="12" t="b">
        <v>0</v>
      </c>
      <c r="T444" s="13" t="s">
        <v>51</v>
      </c>
      <c r="U444" s="13" t="s">
        <v>52</v>
      </c>
      <c r="V444" s="13" t="s">
        <v>66</v>
      </c>
      <c r="W444" s="36" t="s">
        <v>2238</v>
      </c>
      <c r="X444" s="15">
        <v>44482.0</v>
      </c>
      <c r="Y444" s="15">
        <v>44484.0</v>
      </c>
      <c r="Z444" s="16"/>
      <c r="AA444" s="17" t="s">
        <v>56</v>
      </c>
      <c r="AB444" s="16">
        <v>44384.0</v>
      </c>
      <c r="AC444" s="17" t="s">
        <v>56</v>
      </c>
      <c r="AD444" s="16">
        <v>44426.0</v>
      </c>
      <c r="AE444" s="17" t="s">
        <v>55</v>
      </c>
      <c r="AF444" s="16">
        <v>44431.0</v>
      </c>
      <c r="AG444" s="17" t="s">
        <v>56</v>
      </c>
      <c r="AH444" s="16">
        <v>44434.0</v>
      </c>
      <c r="AI444" s="17" t="s">
        <v>56</v>
      </c>
      <c r="AJ444" s="16">
        <v>44482.0</v>
      </c>
      <c r="AK444" s="17" t="s">
        <v>360</v>
      </c>
      <c r="AL444" s="17" t="s">
        <v>57</v>
      </c>
      <c r="AM444" s="17" t="s">
        <v>367</v>
      </c>
      <c r="AN444" s="17" t="s">
        <v>367</v>
      </c>
      <c r="AO444" s="17" t="s">
        <v>52</v>
      </c>
      <c r="AP444" s="18" t="s">
        <v>58</v>
      </c>
      <c r="AQ444" s="17"/>
    </row>
    <row r="445" ht="15.75" customHeight="1">
      <c r="A445" s="10" t="s">
        <v>2239</v>
      </c>
      <c r="B445" s="10" t="s">
        <v>2240</v>
      </c>
      <c r="C445" s="10" t="str">
        <f>VLOOKUP(A445,import!A:C,3,0)</f>
        <v>DOĞRU</v>
      </c>
      <c r="D445" s="10" t="s">
        <v>363</v>
      </c>
      <c r="E445" s="10">
        <f>VLOOKUP(A445,import!A:J,5,0)</f>
        <v>31</v>
      </c>
      <c r="F445" s="10" t="str">
        <f>VLOOKUP(A445,import!A:J,6,0)</f>
        <v/>
      </c>
      <c r="G445" s="10">
        <f>VLOOKUP(A445,import!A:J,7,0)</f>
        <v>16</v>
      </c>
      <c r="H445" s="10">
        <f>VLOOKUP(A445,import!A:J,8,0)</f>
        <v>10</v>
      </c>
      <c r="I445" s="10">
        <f>VLOOKUP(A445,import!A:J,9,0)</f>
        <v>26</v>
      </c>
      <c r="J445" s="11">
        <f>VLOOKUP(A445,import!A:J,10,0)</f>
        <v>0.62</v>
      </c>
      <c r="K445" s="10" t="s">
        <v>2241</v>
      </c>
      <c r="L445" s="10">
        <v>5.498207302E9</v>
      </c>
      <c r="M445" s="10" t="s">
        <v>137</v>
      </c>
      <c r="N445" s="10" t="s">
        <v>318</v>
      </c>
      <c r="O445" s="10" t="s">
        <v>2242</v>
      </c>
      <c r="P445" s="10" t="str">
        <f>VLOOKUP(A445,import!A:P,16,0)</f>
        <v>Geleneksel</v>
      </c>
      <c r="Q445" s="12"/>
      <c r="R445" s="12" t="b">
        <v>1</v>
      </c>
      <c r="S445" s="12" t="b">
        <v>0</v>
      </c>
      <c r="T445" s="13" t="s">
        <v>248</v>
      </c>
      <c r="U445" s="13"/>
      <c r="V445" s="13"/>
      <c r="W445" s="13" t="s">
        <v>2243</v>
      </c>
      <c r="X445" s="15"/>
      <c r="Y445" s="15"/>
      <c r="Z445" s="16"/>
      <c r="AA445" s="17" t="s">
        <v>55</v>
      </c>
      <c r="AB445" s="16">
        <v>44356.0</v>
      </c>
      <c r="AC445" s="17" t="s">
        <v>230</v>
      </c>
      <c r="AD445" s="16">
        <v>44356.0</v>
      </c>
      <c r="AE445" s="17"/>
      <c r="AF445" s="16"/>
      <c r="AG445" s="17"/>
      <c r="AH445" s="16"/>
      <c r="AI445" s="16"/>
      <c r="AJ445" s="16"/>
      <c r="AK445" s="17" t="s">
        <v>52</v>
      </c>
      <c r="AL445" s="17" t="s">
        <v>52</v>
      </c>
      <c r="AM445" s="16"/>
      <c r="AN445" s="16"/>
      <c r="AO445" s="16"/>
      <c r="AP445" s="18" t="s">
        <v>58</v>
      </c>
      <c r="AQ445" s="16"/>
    </row>
    <row r="446" ht="15.75" hidden="1" customHeight="1">
      <c r="A446" s="10" t="s">
        <v>2244</v>
      </c>
      <c r="B446" s="10" t="s">
        <v>2245</v>
      </c>
      <c r="C446" s="10" t="str">
        <f>VLOOKUP(A446,import!A:C,3,0)</f>
        <v>DOĞRU</v>
      </c>
      <c r="D446" s="10" t="s">
        <v>363</v>
      </c>
      <c r="E446" s="10">
        <f>VLOOKUP(A446,import!A:J,5,0)</f>
        <v>66</v>
      </c>
      <c r="F446" s="10" t="str">
        <f>VLOOKUP(A446,import!A:J,6,0)</f>
        <v/>
      </c>
      <c r="G446" s="10">
        <f>VLOOKUP(A446,import!A:J,7,0)</f>
        <v>9</v>
      </c>
      <c r="H446" s="10">
        <f>VLOOKUP(A446,import!A:J,8,0)</f>
        <v>2</v>
      </c>
      <c r="I446" s="10">
        <f>VLOOKUP(A446,import!A:J,9,0)</f>
        <v>11</v>
      </c>
      <c r="J446" s="11">
        <f>VLOOKUP(A446,import!A:J,10,0)</f>
        <v>0.82</v>
      </c>
      <c r="K446" s="10" t="s">
        <v>2241</v>
      </c>
      <c r="L446" s="10">
        <v>5.498207305E9</v>
      </c>
      <c r="M446" s="10" t="s">
        <v>156</v>
      </c>
      <c r="N446" s="10" t="s">
        <v>306</v>
      </c>
      <c r="O446" s="10" t="s">
        <v>2246</v>
      </c>
      <c r="P446" s="10" t="str">
        <f>VLOOKUP(A446,import!A:P,16,0)</f>
        <v>Geleneksel</v>
      </c>
      <c r="Q446" s="12"/>
      <c r="R446" s="12" t="b">
        <v>0</v>
      </c>
      <c r="S446" s="12" t="b">
        <v>0</v>
      </c>
      <c r="T446" s="13"/>
      <c r="U446" s="13"/>
      <c r="V446" s="13"/>
      <c r="W446" s="13"/>
      <c r="X446" s="15"/>
      <c r="Y446" s="15"/>
      <c r="Z446" s="16"/>
      <c r="AA446" s="16"/>
      <c r="AB446" s="16"/>
      <c r="AC446" s="16"/>
      <c r="AD446" s="16"/>
      <c r="AE446" s="17"/>
      <c r="AF446" s="16"/>
      <c r="AG446" s="17"/>
      <c r="AH446" s="16"/>
      <c r="AI446" s="16"/>
      <c r="AJ446" s="16"/>
      <c r="AK446" s="16"/>
      <c r="AL446" s="16"/>
      <c r="AM446" s="16"/>
      <c r="AN446" s="16"/>
      <c r="AO446" s="16"/>
      <c r="AP446" s="18" t="s">
        <v>58</v>
      </c>
      <c r="AQ446" s="16"/>
    </row>
    <row r="447" ht="15.75" hidden="1" customHeight="1">
      <c r="A447" s="10" t="s">
        <v>2247</v>
      </c>
      <c r="B447" s="10" t="s">
        <v>2248</v>
      </c>
      <c r="C447" s="10" t="str">
        <f>VLOOKUP(A447,import!A:C,3,0)</f>
        <v>DOĞRU</v>
      </c>
      <c r="D447" s="10" t="s">
        <v>363</v>
      </c>
      <c r="E447" s="10">
        <f>VLOOKUP(A447,import!A:J,5,0)</f>
        <v>31</v>
      </c>
      <c r="F447" s="10">
        <f>VLOOKUP(A447,import!A:J,6,0)</f>
        <v>1</v>
      </c>
      <c r="G447" s="10">
        <f>VLOOKUP(A447,import!A:J,7,0)</f>
        <v>14</v>
      </c>
      <c r="H447" s="10">
        <f>VLOOKUP(A447,import!A:J,8,0)</f>
        <v>10</v>
      </c>
      <c r="I447" s="10">
        <f>VLOOKUP(A447,import!A:J,9,0)</f>
        <v>24</v>
      </c>
      <c r="J447" s="11">
        <f>VLOOKUP(A447,import!A:J,10,0)</f>
        <v>0.58</v>
      </c>
      <c r="K447" s="10" t="s">
        <v>2241</v>
      </c>
      <c r="L447" s="10">
        <v>5.498207306E9</v>
      </c>
      <c r="M447" s="10" t="s">
        <v>215</v>
      </c>
      <c r="N447" s="10" t="s">
        <v>1053</v>
      </c>
      <c r="O447" s="10" t="s">
        <v>2249</v>
      </c>
      <c r="P447" s="10" t="str">
        <f>VLOOKUP(A447,import!A:P,16,0)</f>
        <v>Geleneksel</v>
      </c>
      <c r="Q447" s="12"/>
      <c r="R447" s="12" t="b">
        <v>1</v>
      </c>
      <c r="S447" s="12" t="b">
        <v>0</v>
      </c>
      <c r="T447" s="13" t="s">
        <v>248</v>
      </c>
      <c r="U447" s="13"/>
      <c r="V447" s="13"/>
      <c r="W447" s="13" t="s">
        <v>2250</v>
      </c>
      <c r="X447" s="15"/>
      <c r="Y447" s="15"/>
      <c r="Z447" s="16"/>
      <c r="AA447" s="17" t="s">
        <v>55</v>
      </c>
      <c r="AB447" s="16">
        <v>44363.0</v>
      </c>
      <c r="AC447" s="16"/>
      <c r="AD447" s="16"/>
      <c r="AE447" s="17"/>
      <c r="AF447" s="16"/>
      <c r="AG447" s="17"/>
      <c r="AH447" s="16"/>
      <c r="AI447" s="16"/>
      <c r="AJ447" s="16"/>
      <c r="AK447" s="17" t="s">
        <v>360</v>
      </c>
      <c r="AL447" s="16"/>
      <c r="AM447" s="16"/>
      <c r="AN447" s="16"/>
      <c r="AO447" s="16"/>
      <c r="AP447" s="18" t="s">
        <v>58</v>
      </c>
      <c r="AQ447" s="16"/>
    </row>
    <row r="448" ht="15.75" hidden="1" customHeight="1">
      <c r="A448" s="10" t="s">
        <v>2251</v>
      </c>
      <c r="B448" s="10" t="s">
        <v>2252</v>
      </c>
      <c r="C448" s="10" t="str">
        <f>VLOOKUP(A448,import!A:C,3,0)</f>
        <v>DOĞRU</v>
      </c>
      <c r="D448" s="10" t="s">
        <v>363</v>
      </c>
      <c r="E448" s="10">
        <f>VLOOKUP(A448,import!A:J,5,0)</f>
        <v>76</v>
      </c>
      <c r="F448" s="10">
        <f>VLOOKUP(A448,import!A:J,6,0)</f>
        <v>3</v>
      </c>
      <c r="G448" s="10">
        <f>VLOOKUP(A448,import!A:J,7,0)</f>
        <v>12</v>
      </c>
      <c r="H448" s="10">
        <f>VLOOKUP(A448,import!A:J,8,0)</f>
        <v>10</v>
      </c>
      <c r="I448" s="10">
        <f>VLOOKUP(A448,import!A:J,9,0)</f>
        <v>22</v>
      </c>
      <c r="J448" s="11">
        <f>VLOOKUP(A448,import!A:J,10,0)</f>
        <v>0.55</v>
      </c>
      <c r="K448" s="10" t="s">
        <v>2241</v>
      </c>
      <c r="L448" s="10">
        <v>5.498207303E9</v>
      </c>
      <c r="M448" s="10" t="s">
        <v>215</v>
      </c>
      <c r="N448" s="10" t="s">
        <v>671</v>
      </c>
      <c r="O448" s="10" t="s">
        <v>2253</v>
      </c>
      <c r="P448" s="10" t="str">
        <f>VLOOKUP(A448,import!A:P,16,0)</f>
        <v>Geleneksel</v>
      </c>
      <c r="Q448" s="12"/>
      <c r="R448" s="12" t="b">
        <v>0</v>
      </c>
      <c r="S448" s="12" t="b">
        <v>0</v>
      </c>
      <c r="T448" s="13" t="s">
        <v>248</v>
      </c>
      <c r="U448" s="13"/>
      <c r="V448" s="13"/>
      <c r="W448" s="13" t="s">
        <v>2250</v>
      </c>
      <c r="X448" s="15"/>
      <c r="Y448" s="15"/>
      <c r="Z448" s="16"/>
      <c r="AA448" s="16"/>
      <c r="AB448" s="16"/>
      <c r="AC448" s="16"/>
      <c r="AD448" s="16"/>
      <c r="AE448" s="17"/>
      <c r="AF448" s="16"/>
      <c r="AG448" s="17"/>
      <c r="AH448" s="16"/>
      <c r="AI448" s="16"/>
      <c r="AJ448" s="16"/>
      <c r="AK448" s="16"/>
      <c r="AL448" s="16"/>
      <c r="AM448" s="16"/>
      <c r="AN448" s="16"/>
      <c r="AO448" s="16"/>
      <c r="AP448" s="18" t="s">
        <v>58</v>
      </c>
      <c r="AQ448" s="16"/>
    </row>
    <row r="449" ht="15.75" hidden="1" customHeight="1">
      <c r="A449" s="10" t="s">
        <v>2254</v>
      </c>
      <c r="B449" s="10" t="s">
        <v>2255</v>
      </c>
      <c r="C449" s="10" t="str">
        <f>VLOOKUP(A449,import!A:C,3,0)</f>
        <v>DOĞRU</v>
      </c>
      <c r="D449" s="10" t="s">
        <v>363</v>
      </c>
      <c r="E449" s="10" t="str">
        <f>VLOOKUP(A449,import!A:J,5,0)</f>
        <v/>
      </c>
      <c r="F449" s="10" t="str">
        <f>VLOOKUP(A449,import!A:J,6,0)</f>
        <v/>
      </c>
      <c r="G449" s="10">
        <f>VLOOKUP(A449,import!A:J,7,0)</f>
        <v>16</v>
      </c>
      <c r="H449" s="10">
        <f>VLOOKUP(A449,import!A:J,8,0)</f>
        <v>8</v>
      </c>
      <c r="I449" s="10">
        <f>VLOOKUP(A449,import!A:J,9,0)</f>
        <v>24</v>
      </c>
      <c r="J449" s="11">
        <f>VLOOKUP(A449,import!A:J,10,0)</f>
        <v>0.67</v>
      </c>
      <c r="K449" s="10" t="s">
        <v>2241</v>
      </c>
      <c r="L449" s="10">
        <v>5.498207301E9</v>
      </c>
      <c r="M449" s="10" t="s">
        <v>215</v>
      </c>
      <c r="N449" s="10" t="s">
        <v>442</v>
      </c>
      <c r="O449" s="10" t="s">
        <v>2256</v>
      </c>
      <c r="P449" s="10" t="str">
        <f>VLOOKUP(A449,import!A:P,16,0)</f>
        <v>Geleneksel</v>
      </c>
      <c r="Q449" s="12"/>
      <c r="R449" s="12" t="b">
        <v>0</v>
      </c>
      <c r="S449" s="12" t="b">
        <v>0</v>
      </c>
      <c r="T449" s="13" t="s">
        <v>248</v>
      </c>
      <c r="U449" s="13"/>
      <c r="V449" s="13"/>
      <c r="W449" s="13" t="s">
        <v>2250</v>
      </c>
      <c r="X449" s="15"/>
      <c r="Y449" s="15"/>
      <c r="Z449" s="16"/>
      <c r="AA449" s="17" t="s">
        <v>56</v>
      </c>
      <c r="AB449" s="16">
        <v>44412.0</v>
      </c>
      <c r="AC449" s="16"/>
      <c r="AD449" s="16"/>
      <c r="AE449" s="17"/>
      <c r="AF449" s="16"/>
      <c r="AG449" s="17"/>
      <c r="AH449" s="16"/>
      <c r="AI449" s="16"/>
      <c r="AJ449" s="16"/>
      <c r="AK449" s="17" t="s">
        <v>1252</v>
      </c>
      <c r="AL449" s="16"/>
      <c r="AM449" s="16"/>
      <c r="AN449" s="16"/>
      <c r="AO449" s="16"/>
      <c r="AP449" s="18" t="s">
        <v>58</v>
      </c>
      <c r="AQ449" s="16"/>
    </row>
    <row r="450" ht="15.75" customHeight="1">
      <c r="A450" s="10" t="s">
        <v>2257</v>
      </c>
      <c r="B450" s="10" t="s">
        <v>2258</v>
      </c>
      <c r="C450" s="10" t="str">
        <f>VLOOKUP(A450,import!A:C,3,0)</f>
        <v>DOĞRU</v>
      </c>
      <c r="D450" s="10" t="s">
        <v>363</v>
      </c>
      <c r="E450" s="10">
        <f>VLOOKUP(A450,import!A:J,5,0)</f>
        <v>2498</v>
      </c>
      <c r="F450" s="10">
        <f>VLOOKUP(A450,import!A:J,6,0)</f>
        <v>104</v>
      </c>
      <c r="G450" s="10">
        <f>VLOOKUP(A450,import!A:J,7,0)</f>
        <v>7</v>
      </c>
      <c r="H450" s="10">
        <f>VLOOKUP(A450,import!A:J,8,0)</f>
        <v>7</v>
      </c>
      <c r="I450" s="10">
        <f>VLOOKUP(A450,import!A:J,9,0)</f>
        <v>14</v>
      </c>
      <c r="J450" s="11">
        <f>VLOOKUP(A450,import!A:J,10,0)</f>
        <v>0.5</v>
      </c>
      <c r="K450" s="10" t="s">
        <v>2259</v>
      </c>
      <c r="L450" s="10">
        <v>5.353178183E9</v>
      </c>
      <c r="M450" s="10" t="s">
        <v>63</v>
      </c>
      <c r="N450" s="10" t="s">
        <v>137</v>
      </c>
      <c r="O450" s="10" t="s">
        <v>2260</v>
      </c>
      <c r="P450" s="10" t="str">
        <f>VLOOKUP(A450,import!A:P,16,0)</f>
        <v>Geleneksel</v>
      </c>
      <c r="Q450" s="12" t="s">
        <v>50</v>
      </c>
      <c r="R450" s="12" t="b">
        <v>1</v>
      </c>
      <c r="S450" s="12" t="b">
        <v>0</v>
      </c>
      <c r="T450" s="13" t="s">
        <v>51</v>
      </c>
      <c r="U450" s="13" t="s">
        <v>52</v>
      </c>
      <c r="V450" s="13" t="s">
        <v>66</v>
      </c>
      <c r="W450" s="13" t="s">
        <v>2261</v>
      </c>
      <c r="X450" s="15">
        <v>44279.0</v>
      </c>
      <c r="Y450" s="15">
        <v>44280.0</v>
      </c>
      <c r="Z450" s="16"/>
      <c r="AA450" s="16"/>
      <c r="AB450" s="16"/>
      <c r="AC450" s="16"/>
      <c r="AD450" s="16"/>
      <c r="AE450" s="17"/>
      <c r="AF450" s="16"/>
      <c r="AG450" s="17"/>
      <c r="AH450" s="16"/>
      <c r="AI450" s="16"/>
      <c r="AJ450" s="16"/>
      <c r="AK450" s="16"/>
      <c r="AL450" s="16"/>
      <c r="AM450" s="16"/>
      <c r="AN450" s="16"/>
      <c r="AO450" s="16"/>
      <c r="AP450" s="18" t="s">
        <v>58</v>
      </c>
      <c r="AQ450" s="16"/>
    </row>
    <row r="451" ht="15.75" hidden="1" customHeight="1">
      <c r="A451" s="10" t="s">
        <v>2262</v>
      </c>
      <c r="B451" s="10" t="s">
        <v>2263</v>
      </c>
      <c r="C451" s="10" t="str">
        <f>VLOOKUP(A451,import!A:C,3,0)</f>
        <v>DOĞRU</v>
      </c>
      <c r="D451" s="10" t="s">
        <v>45</v>
      </c>
      <c r="E451" s="10">
        <f>VLOOKUP(A451,import!A:J,5,0)</f>
        <v>8</v>
      </c>
      <c r="F451" s="10">
        <f>VLOOKUP(A451,import!A:J,6,0)</f>
        <v>4</v>
      </c>
      <c r="G451" s="10">
        <f>VLOOKUP(A451,import!A:J,7,0)</f>
        <v>0</v>
      </c>
      <c r="H451" s="10">
        <f>VLOOKUP(A451,import!A:J,8,0)</f>
        <v>24</v>
      </c>
      <c r="I451" s="10">
        <f>VLOOKUP(A451,import!A:J,9,0)</f>
        <v>24</v>
      </c>
      <c r="J451" s="11">
        <f>VLOOKUP(A451,import!A:J,10,0)</f>
        <v>0</v>
      </c>
      <c r="K451" s="10" t="s">
        <v>2264</v>
      </c>
      <c r="L451" s="10">
        <v>5.380594633E9</v>
      </c>
      <c r="M451" s="10" t="s">
        <v>72</v>
      </c>
      <c r="N451" s="10" t="s">
        <v>128</v>
      </c>
      <c r="O451" s="10" t="s">
        <v>2265</v>
      </c>
      <c r="P451" s="10" t="str">
        <f>VLOOKUP(A451,import!A:P,16,0)</f>
        <v>Geleneksel</v>
      </c>
      <c r="Q451" s="12"/>
      <c r="R451" s="12" t="b">
        <v>1</v>
      </c>
      <c r="S451" s="12" t="b">
        <v>0</v>
      </c>
      <c r="T451" s="13" t="s">
        <v>265</v>
      </c>
      <c r="U451" s="13" t="s">
        <v>52</v>
      </c>
      <c r="V451" s="13" t="s">
        <v>131</v>
      </c>
      <c r="W451" s="13" t="s">
        <v>2266</v>
      </c>
      <c r="X451" s="15">
        <v>44624.0</v>
      </c>
      <c r="Y451" s="15">
        <v>44628.0</v>
      </c>
      <c r="Z451" s="16"/>
      <c r="AA451" s="17" t="s">
        <v>56</v>
      </c>
      <c r="AB451" s="16">
        <v>44624.0</v>
      </c>
      <c r="AC451" s="17" t="s">
        <v>56</v>
      </c>
      <c r="AD451" s="16">
        <v>44636.0</v>
      </c>
      <c r="AE451" s="17"/>
      <c r="AF451" s="16"/>
      <c r="AG451" s="17"/>
      <c r="AH451" s="16"/>
      <c r="AI451" s="16"/>
      <c r="AJ451" s="16"/>
      <c r="AK451" s="17" t="s">
        <v>52</v>
      </c>
      <c r="AL451" s="17" t="s">
        <v>133</v>
      </c>
      <c r="AM451" s="16"/>
      <c r="AN451" s="16"/>
      <c r="AO451" s="16"/>
      <c r="AP451" s="18"/>
      <c r="AQ451" s="16"/>
    </row>
    <row r="452" ht="15.75" hidden="1" customHeight="1">
      <c r="A452" s="10" t="s">
        <v>2267</v>
      </c>
      <c r="B452" s="10" t="s">
        <v>2268</v>
      </c>
      <c r="C452" s="10" t="str">
        <f>VLOOKUP(A452,import!A:C,3,0)</f>
        <v>DOĞRU</v>
      </c>
      <c r="D452" s="10" t="s">
        <v>45</v>
      </c>
      <c r="E452" s="10">
        <f>VLOOKUP(A452,import!A:J,5,0)</f>
        <v>3597</v>
      </c>
      <c r="F452" s="10">
        <f>VLOOKUP(A452,import!A:J,6,0)</f>
        <v>424</v>
      </c>
      <c r="G452" s="10">
        <f>VLOOKUP(A452,import!A:J,7,0)</f>
        <v>0</v>
      </c>
      <c r="H452" s="10">
        <f>VLOOKUP(A452,import!A:J,8,0)</f>
        <v>64</v>
      </c>
      <c r="I452" s="10">
        <f>VLOOKUP(A452,import!A:J,9,0)</f>
        <v>64</v>
      </c>
      <c r="J452" s="11">
        <f>VLOOKUP(A452,import!A:J,10,0)</f>
        <v>0</v>
      </c>
      <c r="K452" s="10" t="s">
        <v>2269</v>
      </c>
      <c r="L452" s="10">
        <v>3.243282999E9</v>
      </c>
      <c r="M452" s="10" t="s">
        <v>72</v>
      </c>
      <c r="N452" s="10" t="s">
        <v>73</v>
      </c>
      <c r="O452" s="10" t="s">
        <v>2270</v>
      </c>
      <c r="P452" s="10" t="str">
        <f>VLOOKUP(A452,import!A:P,16,0)</f>
        <v>Geleneksel</v>
      </c>
      <c r="Q452" s="12"/>
      <c r="R452" s="12" t="b">
        <v>1</v>
      </c>
      <c r="S452" s="12" t="b">
        <v>0</v>
      </c>
      <c r="T452" s="13" t="s">
        <v>51</v>
      </c>
      <c r="U452" s="13" t="s">
        <v>133</v>
      </c>
      <c r="V452" s="13"/>
      <c r="W452" s="13"/>
      <c r="X452" s="15">
        <v>44655.0</v>
      </c>
      <c r="Y452" s="15">
        <v>44662.0</v>
      </c>
      <c r="Z452" s="16"/>
      <c r="AA452" s="17" t="s">
        <v>56</v>
      </c>
      <c r="AB452" s="16">
        <v>44629.0</v>
      </c>
      <c r="AC452" s="17" t="s">
        <v>56</v>
      </c>
      <c r="AD452" s="16">
        <v>44632.0</v>
      </c>
      <c r="AE452" s="17" t="s">
        <v>56</v>
      </c>
      <c r="AF452" s="16">
        <v>44655.0</v>
      </c>
      <c r="AG452" s="17" t="s">
        <v>56</v>
      </c>
      <c r="AH452" s="16">
        <v>44656.0</v>
      </c>
      <c r="AI452" s="16"/>
      <c r="AJ452" s="16"/>
      <c r="AK452" s="17" t="s">
        <v>133</v>
      </c>
      <c r="AL452" s="17" t="s">
        <v>87</v>
      </c>
      <c r="AM452" s="17" t="s">
        <v>133</v>
      </c>
      <c r="AN452" s="17" t="s">
        <v>133</v>
      </c>
      <c r="AO452" s="16"/>
      <c r="AP452" s="18"/>
      <c r="AQ452" s="16"/>
    </row>
    <row r="453" ht="15.75" hidden="1" customHeight="1">
      <c r="A453" s="10" t="s">
        <v>2271</v>
      </c>
      <c r="B453" s="10" t="s">
        <v>2272</v>
      </c>
      <c r="C453" s="10" t="str">
        <f>VLOOKUP(A453,import!A:C,3,0)</f>
        <v>DOĞRU</v>
      </c>
      <c r="D453" s="10" t="s">
        <v>45</v>
      </c>
      <c r="E453" s="10">
        <f>VLOOKUP(A453,import!A:J,5,0)</f>
        <v>312</v>
      </c>
      <c r="F453" s="10">
        <f>VLOOKUP(A453,import!A:J,6,0)</f>
        <v>9</v>
      </c>
      <c r="G453" s="10">
        <f>VLOOKUP(A453,import!A:J,7,0)</f>
        <v>0</v>
      </c>
      <c r="H453" s="10">
        <f>VLOOKUP(A453,import!A:J,8,0)</f>
        <v>83</v>
      </c>
      <c r="I453" s="10">
        <f>VLOOKUP(A453,import!A:J,9,0)</f>
        <v>83</v>
      </c>
      <c r="J453" s="11">
        <f>VLOOKUP(A453,import!A:J,10,0)</f>
        <v>0</v>
      </c>
      <c r="K453" s="10" t="s">
        <v>2273</v>
      </c>
      <c r="L453" s="10">
        <v>3.247147136E9</v>
      </c>
      <c r="M453" s="10" t="s">
        <v>187</v>
      </c>
      <c r="N453" s="10" t="s">
        <v>1667</v>
      </c>
      <c r="O453" s="10" t="s">
        <v>2274</v>
      </c>
      <c r="P453" s="10" t="str">
        <f>VLOOKUP(A453,import!A:P,16,0)</f>
        <v>Geleneksel</v>
      </c>
      <c r="Q453" s="12"/>
      <c r="R453" s="12" t="b">
        <v>0</v>
      </c>
      <c r="S453" s="12" t="b">
        <v>0</v>
      </c>
      <c r="T453" s="13" t="s">
        <v>485</v>
      </c>
      <c r="U453" s="13"/>
      <c r="V453" s="13"/>
      <c r="W453" s="13"/>
      <c r="X453" s="15"/>
      <c r="Y453" s="15"/>
      <c r="Z453" s="16"/>
      <c r="AA453" s="16"/>
      <c r="AB453" s="16"/>
      <c r="AC453" s="16"/>
      <c r="AD453" s="16"/>
      <c r="AE453" s="17"/>
      <c r="AF453" s="16"/>
      <c r="AG453" s="17"/>
      <c r="AH453" s="16"/>
      <c r="AI453" s="16"/>
      <c r="AJ453" s="16"/>
      <c r="AK453" s="16"/>
      <c r="AL453" s="16"/>
      <c r="AM453" s="16"/>
      <c r="AN453" s="16"/>
      <c r="AO453" s="16"/>
      <c r="AP453" s="18" t="s">
        <v>58</v>
      </c>
      <c r="AQ453" s="16"/>
    </row>
    <row r="454" ht="15.75" hidden="1" customHeight="1">
      <c r="A454" s="18" t="s">
        <v>2275</v>
      </c>
      <c r="B454" s="18" t="s">
        <v>2276</v>
      </c>
      <c r="C454" s="10" t="str">
        <f>VLOOKUP(A454,import!A:C,3,0)</f>
        <v>DOĞRU</v>
      </c>
      <c r="D454" s="18" t="s">
        <v>167</v>
      </c>
      <c r="E454" s="10">
        <f>VLOOKUP(A454,import!A:J,5,0)</f>
        <v>15</v>
      </c>
      <c r="F454" s="10" t="str">
        <f>VLOOKUP(A454,import!A:J,6,0)</f>
        <v/>
      </c>
      <c r="G454" s="10">
        <f>VLOOKUP(A454,import!A:J,7,0)</f>
        <v>0</v>
      </c>
      <c r="H454" s="10">
        <f>VLOOKUP(A454,import!A:J,8,0)</f>
        <v>9</v>
      </c>
      <c r="I454" s="10">
        <f>VLOOKUP(A454,import!A:J,9,0)</f>
        <v>9</v>
      </c>
      <c r="J454" s="11">
        <f>VLOOKUP(A454,import!A:J,10,0)</f>
        <v>0</v>
      </c>
      <c r="K454" s="18" t="s">
        <v>2277</v>
      </c>
      <c r="L454" s="18">
        <v>5.374388133E9</v>
      </c>
      <c r="M454" s="18" t="s">
        <v>215</v>
      </c>
      <c r="N454" s="18" t="s">
        <v>1613</v>
      </c>
      <c r="O454" s="18" t="s">
        <v>2278</v>
      </c>
      <c r="P454" s="10" t="str">
        <f>VLOOKUP(A454,import!A:P,16,0)</f>
        <v>Geleneksel</v>
      </c>
      <c r="Q454" s="12"/>
      <c r="R454" s="12" t="b">
        <v>0</v>
      </c>
      <c r="S454" s="12" t="b">
        <v>0</v>
      </c>
      <c r="T454" s="13"/>
      <c r="U454" s="13"/>
      <c r="V454" s="13"/>
      <c r="W454" s="13"/>
      <c r="X454" s="15"/>
      <c r="Y454" s="15"/>
      <c r="Z454" s="16"/>
      <c r="AA454" s="17"/>
      <c r="AB454" s="16"/>
      <c r="AC454" s="16"/>
      <c r="AD454" s="16"/>
      <c r="AE454" s="17"/>
      <c r="AF454" s="16"/>
      <c r="AG454" s="17"/>
      <c r="AH454" s="16"/>
      <c r="AI454" s="16"/>
      <c r="AJ454" s="16"/>
      <c r="AK454" s="17"/>
      <c r="AL454" s="16"/>
      <c r="AM454" s="16"/>
      <c r="AN454" s="16"/>
      <c r="AO454" s="16"/>
      <c r="AP454" s="18"/>
      <c r="AQ454" s="16"/>
    </row>
    <row r="455" ht="15.75" customHeight="1">
      <c r="A455" s="10" t="s">
        <v>2279</v>
      </c>
      <c r="B455" s="10" t="s">
        <v>2280</v>
      </c>
      <c r="C455" s="10" t="str">
        <f>VLOOKUP(A455,import!A:C,3,0)</f>
        <v>DOĞRU</v>
      </c>
      <c r="D455" s="10" t="s">
        <v>167</v>
      </c>
      <c r="E455" s="10">
        <f>VLOOKUP(A455,import!A:J,5,0)</f>
        <v>4011</v>
      </c>
      <c r="F455" s="10">
        <f>VLOOKUP(A455,import!A:J,6,0)</f>
        <v>202</v>
      </c>
      <c r="G455" s="10">
        <f>VLOOKUP(A455,import!A:J,7,0)</f>
        <v>12</v>
      </c>
      <c r="H455" s="10">
        <f>VLOOKUP(A455,import!A:J,8,0)</f>
        <v>7</v>
      </c>
      <c r="I455" s="10">
        <f>VLOOKUP(A455,import!A:J,9,0)</f>
        <v>19</v>
      </c>
      <c r="J455" s="11">
        <f>VLOOKUP(A455,import!A:J,10,0)</f>
        <v>0.63</v>
      </c>
      <c r="K455" s="10" t="s">
        <v>2281</v>
      </c>
      <c r="L455" s="10">
        <v>5.527784702E9</v>
      </c>
      <c r="M455" s="10" t="s">
        <v>137</v>
      </c>
      <c r="N455" s="10" t="s">
        <v>144</v>
      </c>
      <c r="O455" s="10" t="s">
        <v>1085</v>
      </c>
      <c r="P455" s="10" t="str">
        <f>VLOOKUP(A455,import!A:P,16,0)</f>
        <v>Geleneksel</v>
      </c>
      <c r="Q455" s="12" t="s">
        <v>50</v>
      </c>
      <c r="R455" s="12" t="b">
        <v>1</v>
      </c>
      <c r="S455" s="12" t="b">
        <v>0</v>
      </c>
      <c r="T455" s="13" t="s">
        <v>51</v>
      </c>
      <c r="U455" s="13" t="s">
        <v>103</v>
      </c>
      <c r="V455" s="13" t="s">
        <v>66</v>
      </c>
      <c r="W455" s="13" t="s">
        <v>2282</v>
      </c>
      <c r="X455" s="15">
        <v>44489.0</v>
      </c>
      <c r="Y455" s="15">
        <v>44490.0</v>
      </c>
      <c r="Z455" s="16"/>
      <c r="AA455" s="17" t="s">
        <v>56</v>
      </c>
      <c r="AB455" s="16">
        <v>44489.0</v>
      </c>
      <c r="AC455" s="16"/>
      <c r="AD455" s="16"/>
      <c r="AE455" s="17"/>
      <c r="AF455" s="16"/>
      <c r="AG455" s="17"/>
      <c r="AH455" s="16"/>
      <c r="AI455" s="16"/>
      <c r="AJ455" s="16"/>
      <c r="AK455" s="17" t="s">
        <v>103</v>
      </c>
      <c r="AL455" s="16"/>
      <c r="AM455" s="16"/>
      <c r="AN455" s="16"/>
      <c r="AO455" s="16"/>
      <c r="AP455" s="18" t="s">
        <v>58</v>
      </c>
      <c r="AQ455" s="16"/>
    </row>
    <row r="456" ht="15.75" hidden="1" customHeight="1">
      <c r="A456" s="10" t="s">
        <v>2283</v>
      </c>
      <c r="B456" s="10" t="s">
        <v>2284</v>
      </c>
      <c r="C456" s="10" t="str">
        <f>VLOOKUP(A456,import!A:C,3,0)</f>
        <v>DOĞRU</v>
      </c>
      <c r="D456" s="10" t="s">
        <v>363</v>
      </c>
      <c r="E456" s="10">
        <f>VLOOKUP(A456,import!A:J,5,0)</f>
        <v>902</v>
      </c>
      <c r="F456" s="10">
        <f>VLOOKUP(A456,import!A:J,6,0)</f>
        <v>109</v>
      </c>
      <c r="G456" s="10">
        <f>VLOOKUP(A456,import!A:J,7,0)</f>
        <v>19</v>
      </c>
      <c r="H456" s="10">
        <f>VLOOKUP(A456,import!A:J,8,0)</f>
        <v>22</v>
      </c>
      <c r="I456" s="10">
        <f>VLOOKUP(A456,import!A:J,9,0)</f>
        <v>41</v>
      </c>
      <c r="J456" s="11">
        <f>VLOOKUP(A456,import!A:J,10,0)</f>
        <v>0.46</v>
      </c>
      <c r="K456" s="10" t="s">
        <v>2285</v>
      </c>
      <c r="L456" s="10">
        <v>3.246271617E9</v>
      </c>
      <c r="M456" s="10" t="s">
        <v>156</v>
      </c>
      <c r="N456" s="10" t="s">
        <v>283</v>
      </c>
      <c r="O456" s="10" t="s">
        <v>2286</v>
      </c>
      <c r="P456" s="10" t="str">
        <f>VLOOKUP(A456,import!A:P,16,0)</f>
        <v>Geleneksel</v>
      </c>
      <c r="Q456" s="12"/>
      <c r="R456" s="12" t="b">
        <v>0</v>
      </c>
      <c r="S456" s="12" t="b">
        <v>0</v>
      </c>
      <c r="T456" s="13"/>
      <c r="U456" s="13"/>
      <c r="V456" s="13"/>
      <c r="W456" s="13"/>
      <c r="X456" s="15"/>
      <c r="Y456" s="15"/>
      <c r="Z456" s="16"/>
      <c r="AA456" s="16"/>
      <c r="AB456" s="16"/>
      <c r="AC456" s="16"/>
      <c r="AD456" s="16"/>
      <c r="AE456" s="17"/>
      <c r="AF456" s="16"/>
      <c r="AG456" s="17"/>
      <c r="AH456" s="16"/>
      <c r="AI456" s="16"/>
      <c r="AJ456" s="16"/>
      <c r="AK456" s="16"/>
      <c r="AL456" s="16"/>
      <c r="AM456" s="16"/>
      <c r="AN456" s="16"/>
      <c r="AO456" s="16"/>
      <c r="AP456" s="18" t="s">
        <v>58</v>
      </c>
      <c r="AQ456" s="16"/>
    </row>
    <row r="457" ht="15.75" hidden="1" customHeight="1">
      <c r="A457" s="10" t="s">
        <v>2287</v>
      </c>
      <c r="B457" s="10" t="s">
        <v>2288</v>
      </c>
      <c r="C457" s="10" t="str">
        <f>VLOOKUP(A457,import!A:C,3,0)</f>
        <v>DOĞRU</v>
      </c>
      <c r="D457" s="10" t="s">
        <v>61</v>
      </c>
      <c r="E457" s="10">
        <f>VLOOKUP(A457,import!A:J,5,0)</f>
        <v>3804</v>
      </c>
      <c r="F457" s="10">
        <f>VLOOKUP(A457,import!A:J,6,0)</f>
        <v>151</v>
      </c>
      <c r="G457" s="10">
        <f>VLOOKUP(A457,import!A:J,7,0)</f>
        <v>7</v>
      </c>
      <c r="H457" s="10">
        <f>VLOOKUP(A457,import!A:J,8,0)</f>
        <v>4</v>
      </c>
      <c r="I457" s="10">
        <f>VLOOKUP(A457,import!A:J,9,0)</f>
        <v>11</v>
      </c>
      <c r="J457" s="11">
        <f>VLOOKUP(A457,import!A:J,10,0)</f>
        <v>0.64</v>
      </c>
      <c r="K457" s="10" t="s">
        <v>2289</v>
      </c>
      <c r="L457" s="10">
        <v>3.249991995E9</v>
      </c>
      <c r="M457" s="10" t="s">
        <v>72</v>
      </c>
      <c r="N457" s="10" t="s">
        <v>716</v>
      </c>
      <c r="O457" s="10" t="s">
        <v>2290</v>
      </c>
      <c r="P457" s="10" t="str">
        <f>VLOOKUP(A457,import!A:P,16,0)</f>
        <v>Geleneksel</v>
      </c>
      <c r="Q457" s="12" t="s">
        <v>50</v>
      </c>
      <c r="R457" s="12" t="b">
        <v>1</v>
      </c>
      <c r="S457" s="12" t="b">
        <v>0</v>
      </c>
      <c r="T457" s="13" t="s">
        <v>51</v>
      </c>
      <c r="U457" s="13" t="s">
        <v>1218</v>
      </c>
      <c r="V457" s="13" t="s">
        <v>66</v>
      </c>
      <c r="W457" s="13"/>
      <c r="X457" s="15">
        <v>44287.0</v>
      </c>
      <c r="Y457" s="15">
        <v>44288.0</v>
      </c>
      <c r="Z457" s="16"/>
      <c r="AA457" s="16"/>
      <c r="AB457" s="16"/>
      <c r="AC457" s="16"/>
      <c r="AD457" s="16"/>
      <c r="AE457" s="17"/>
      <c r="AF457" s="16"/>
      <c r="AG457" s="17"/>
      <c r="AH457" s="16"/>
      <c r="AI457" s="16"/>
      <c r="AJ457" s="16"/>
      <c r="AK457" s="16"/>
      <c r="AL457" s="16"/>
      <c r="AM457" s="16"/>
      <c r="AN457" s="16"/>
      <c r="AO457" s="16"/>
      <c r="AP457" s="18" t="s">
        <v>58</v>
      </c>
      <c r="AQ457" s="16"/>
    </row>
    <row r="458" ht="15.75" hidden="1" customHeight="1">
      <c r="A458" s="18" t="s">
        <v>2291</v>
      </c>
      <c r="B458" s="18" t="s">
        <v>2292</v>
      </c>
      <c r="C458" s="10" t="str">
        <f>VLOOKUP(A458,import!A:C,3,0)</f>
        <v>DOĞRU</v>
      </c>
      <c r="D458" s="18" t="s">
        <v>167</v>
      </c>
      <c r="E458" s="10">
        <f>VLOOKUP(A458,import!A:J,5,0)</f>
        <v>11</v>
      </c>
      <c r="F458" s="10">
        <f>VLOOKUP(A458,import!A:J,6,0)</f>
        <v>11</v>
      </c>
      <c r="G458" s="10">
        <f>VLOOKUP(A458,import!A:J,7,0)</f>
        <v>0</v>
      </c>
      <c r="H458" s="10">
        <f>VLOOKUP(A458,import!A:J,8,0)</f>
        <v>6</v>
      </c>
      <c r="I458" s="10">
        <f>VLOOKUP(A458,import!A:J,9,0)</f>
        <v>6</v>
      </c>
      <c r="J458" s="11">
        <f>VLOOKUP(A458,import!A:J,10,0)</f>
        <v>0</v>
      </c>
      <c r="K458" s="18" t="s">
        <v>2293</v>
      </c>
      <c r="L458" s="18">
        <v>5.454351801E9</v>
      </c>
      <c r="M458" s="18" t="s">
        <v>156</v>
      </c>
      <c r="N458" s="18" t="s">
        <v>301</v>
      </c>
      <c r="O458" s="18" t="s">
        <v>2294</v>
      </c>
      <c r="P458" s="10" t="str">
        <f>VLOOKUP(A458,import!A:P,16,0)</f>
        <v>Geleneksel</v>
      </c>
      <c r="Q458" s="12"/>
      <c r="R458" s="12" t="b">
        <v>0</v>
      </c>
      <c r="S458" s="12" t="b">
        <v>0</v>
      </c>
      <c r="T458" s="13"/>
      <c r="U458" s="13"/>
      <c r="V458" s="19"/>
      <c r="W458" s="13"/>
      <c r="X458" s="15"/>
      <c r="Y458" s="15"/>
      <c r="Z458" s="16"/>
      <c r="AA458" s="17"/>
      <c r="AB458" s="16"/>
      <c r="AC458" s="16"/>
      <c r="AD458" s="16"/>
      <c r="AE458" s="17"/>
      <c r="AF458" s="16"/>
      <c r="AG458" s="17"/>
      <c r="AH458" s="16"/>
      <c r="AI458" s="16"/>
      <c r="AJ458" s="16"/>
      <c r="AK458" s="17"/>
      <c r="AL458" s="16"/>
      <c r="AM458" s="16"/>
      <c r="AN458" s="16"/>
      <c r="AO458" s="16"/>
      <c r="AP458" s="18"/>
      <c r="AQ458" s="16"/>
    </row>
    <row r="459" ht="15.75" hidden="1" customHeight="1">
      <c r="A459" s="10" t="s">
        <v>2295</v>
      </c>
      <c r="B459" s="10" t="s">
        <v>2296</v>
      </c>
      <c r="C459" s="10" t="str">
        <f>VLOOKUP(A459,import!A:C,3,0)</f>
        <v>DOĞRU</v>
      </c>
      <c r="D459" s="10" t="s">
        <v>167</v>
      </c>
      <c r="E459" s="10">
        <f>VLOOKUP(A459,import!A:J,5,0)</f>
        <v>182</v>
      </c>
      <c r="F459" s="10">
        <f>VLOOKUP(A459,import!A:J,6,0)</f>
        <v>66</v>
      </c>
      <c r="G459" s="10">
        <f>VLOOKUP(A459,import!A:J,7,0)</f>
        <v>3</v>
      </c>
      <c r="H459" s="10">
        <f>VLOOKUP(A459,import!A:J,8,0)</f>
        <v>14</v>
      </c>
      <c r="I459" s="10">
        <f>VLOOKUP(A459,import!A:J,9,0)</f>
        <v>17</v>
      </c>
      <c r="J459" s="11">
        <f>VLOOKUP(A459,import!A:J,10,0)</f>
        <v>0.18</v>
      </c>
      <c r="K459" s="10" t="s">
        <v>1114</v>
      </c>
      <c r="L459" s="10">
        <v>5.314239643E9</v>
      </c>
      <c r="M459" s="10" t="s">
        <v>156</v>
      </c>
      <c r="N459" s="10" t="s">
        <v>252</v>
      </c>
      <c r="O459" s="10" t="s">
        <v>2297</v>
      </c>
      <c r="P459" s="10" t="str">
        <f>VLOOKUP(A459,import!A:P,16,0)</f>
        <v>Geleneksel</v>
      </c>
      <c r="Q459" s="12"/>
      <c r="R459" s="12" t="b">
        <v>0</v>
      </c>
      <c r="S459" s="12" t="b">
        <v>0</v>
      </c>
      <c r="T459" s="13"/>
      <c r="U459" s="13"/>
      <c r="V459" s="13"/>
      <c r="W459" s="13"/>
      <c r="X459" s="15"/>
      <c r="Y459" s="15"/>
      <c r="Z459" s="16"/>
      <c r="AA459" s="16"/>
      <c r="AB459" s="16"/>
      <c r="AC459" s="16"/>
      <c r="AD459" s="16"/>
      <c r="AE459" s="17"/>
      <c r="AF459" s="16"/>
      <c r="AG459" s="17"/>
      <c r="AH459" s="16"/>
      <c r="AI459" s="16"/>
      <c r="AJ459" s="16"/>
      <c r="AK459" s="16"/>
      <c r="AL459" s="16"/>
      <c r="AM459" s="16"/>
      <c r="AN459" s="16"/>
      <c r="AO459" s="16"/>
      <c r="AP459" s="18" t="s">
        <v>58</v>
      </c>
      <c r="AQ459" s="16"/>
    </row>
    <row r="460" ht="15.75" customHeight="1">
      <c r="A460" s="10" t="s">
        <v>2298</v>
      </c>
      <c r="B460" s="10" t="s">
        <v>2299</v>
      </c>
      <c r="C460" s="10" t="str">
        <f>VLOOKUP(A460,import!A:C,3,0)</f>
        <v>YANLIŞ</v>
      </c>
      <c r="D460" s="10" t="s">
        <v>363</v>
      </c>
      <c r="E460" s="10">
        <f>VLOOKUP(A460,import!A:J,5,0)</f>
        <v>213</v>
      </c>
      <c r="F460" s="10" t="str">
        <f>VLOOKUP(A460,import!A:J,6,0)</f>
        <v/>
      </c>
      <c r="G460" s="10">
        <f>VLOOKUP(A460,import!A:J,7,0)</f>
        <v>0</v>
      </c>
      <c r="H460" s="10">
        <f>VLOOKUP(A460,import!A:J,8,0)</f>
        <v>30</v>
      </c>
      <c r="I460" s="10">
        <f>VLOOKUP(A460,import!A:J,9,0)</f>
        <v>30</v>
      </c>
      <c r="J460" s="11">
        <f>VLOOKUP(A460,import!A:J,10,0)</f>
        <v>0</v>
      </c>
      <c r="K460" s="10" t="s">
        <v>2300</v>
      </c>
      <c r="L460" s="10">
        <v>3.242393706E9</v>
      </c>
      <c r="M460" s="10" t="s">
        <v>137</v>
      </c>
      <c r="N460" s="10" t="s">
        <v>209</v>
      </c>
      <c r="O460" s="10" t="s">
        <v>2301</v>
      </c>
      <c r="P460" s="10" t="str">
        <f>VLOOKUP(A460,import!A:P,16,0)</f>
        <v>Geleneksel</v>
      </c>
      <c r="Q460" s="12" t="s">
        <v>75</v>
      </c>
      <c r="R460" s="12" t="b">
        <v>1</v>
      </c>
      <c r="S460" s="12" t="b">
        <v>1</v>
      </c>
      <c r="T460" s="37"/>
      <c r="U460" s="13"/>
      <c r="V460" s="13"/>
      <c r="W460" s="13" t="s">
        <v>2302</v>
      </c>
      <c r="X460" s="15"/>
      <c r="Y460" s="15"/>
      <c r="Z460" s="16"/>
      <c r="AA460" s="17" t="s">
        <v>55</v>
      </c>
      <c r="AB460" s="16">
        <v>44356.0</v>
      </c>
      <c r="AC460" s="17" t="s">
        <v>56</v>
      </c>
      <c r="AD460" s="16">
        <v>44539.0</v>
      </c>
      <c r="AE460" s="17"/>
      <c r="AF460" s="16"/>
      <c r="AG460" s="17"/>
      <c r="AH460" s="16"/>
      <c r="AI460" s="16"/>
      <c r="AJ460" s="16"/>
      <c r="AK460" s="17" t="s">
        <v>124</v>
      </c>
      <c r="AL460" s="17" t="s">
        <v>87</v>
      </c>
      <c r="AM460" s="16"/>
      <c r="AN460" s="16"/>
      <c r="AO460" s="16"/>
      <c r="AP460" s="18" t="s">
        <v>58</v>
      </c>
      <c r="AQ460" s="16"/>
    </row>
    <row r="461" ht="15.75" hidden="1" customHeight="1">
      <c r="A461" s="10" t="s">
        <v>2303</v>
      </c>
      <c r="B461" s="10" t="s">
        <v>2304</v>
      </c>
      <c r="C461" s="10" t="str">
        <f>VLOOKUP(A461,import!A:C,3,0)</f>
        <v>YANLIŞ</v>
      </c>
      <c r="D461" s="10" t="s">
        <v>363</v>
      </c>
      <c r="E461" s="10">
        <f>VLOOKUP(A461,import!A:J,5,0)</f>
        <v>24</v>
      </c>
      <c r="F461" s="10" t="str">
        <f>VLOOKUP(A461,import!A:J,6,0)</f>
        <v/>
      </c>
      <c r="G461" s="10">
        <f>VLOOKUP(A461,import!A:J,7,0)</f>
        <v>0</v>
      </c>
      <c r="H461" s="10">
        <f>VLOOKUP(A461,import!A:J,8,0)</f>
        <v>66</v>
      </c>
      <c r="I461" s="10">
        <f>VLOOKUP(A461,import!A:J,9,0)</f>
        <v>66</v>
      </c>
      <c r="J461" s="11">
        <f>VLOOKUP(A461,import!A:J,10,0)</f>
        <v>0</v>
      </c>
      <c r="K461" s="10" t="s">
        <v>2300</v>
      </c>
      <c r="L461" s="10">
        <v>3.243211127E9</v>
      </c>
      <c r="M461" s="10" t="s">
        <v>215</v>
      </c>
      <c r="N461" s="10" t="s">
        <v>658</v>
      </c>
      <c r="O461" s="10" t="s">
        <v>2305</v>
      </c>
      <c r="P461" s="10" t="str">
        <f>VLOOKUP(A461,import!A:P,16,0)</f>
        <v>Geleneksel</v>
      </c>
      <c r="Q461" s="12"/>
      <c r="R461" s="12" t="b">
        <v>1</v>
      </c>
      <c r="S461" s="12" t="b">
        <v>0</v>
      </c>
      <c r="T461" s="13" t="s">
        <v>327</v>
      </c>
      <c r="U461" s="13"/>
      <c r="V461" s="13"/>
      <c r="W461" s="13" t="s">
        <v>2306</v>
      </c>
      <c r="X461" s="15"/>
      <c r="Y461" s="15"/>
      <c r="Z461" s="16"/>
      <c r="AA461" s="17" t="s">
        <v>56</v>
      </c>
      <c r="AB461" s="16">
        <v>44558.0</v>
      </c>
      <c r="AC461" s="17" t="s">
        <v>56</v>
      </c>
      <c r="AD461" s="16">
        <v>44656.0</v>
      </c>
      <c r="AE461" s="17"/>
      <c r="AF461" s="16"/>
      <c r="AG461" s="17"/>
      <c r="AH461" s="16"/>
      <c r="AI461" s="16"/>
      <c r="AJ461" s="16"/>
      <c r="AK461" s="17" t="s">
        <v>133</v>
      </c>
      <c r="AL461" s="17" t="s">
        <v>103</v>
      </c>
      <c r="AM461" s="16"/>
      <c r="AN461" s="16"/>
      <c r="AO461" s="16"/>
      <c r="AP461" s="18"/>
      <c r="AQ461" s="16"/>
    </row>
    <row r="462" ht="15.75" hidden="1" customHeight="1">
      <c r="A462" s="10" t="s">
        <v>2307</v>
      </c>
      <c r="B462" s="10" t="s">
        <v>2308</v>
      </c>
      <c r="C462" s="10" t="str">
        <f>VLOOKUP(A462,import!A:C,3,0)</f>
        <v>YANLIŞ</v>
      </c>
      <c r="D462" s="10" t="s">
        <v>363</v>
      </c>
      <c r="E462" s="10">
        <f>VLOOKUP(A462,import!A:J,5,0)</f>
        <v>961</v>
      </c>
      <c r="F462" s="10" t="str">
        <f>VLOOKUP(A462,import!A:J,6,0)</f>
        <v/>
      </c>
      <c r="G462" s="10">
        <f>VLOOKUP(A462,import!A:J,7,0)</f>
        <v>0</v>
      </c>
      <c r="H462" s="10">
        <f>VLOOKUP(A462,import!A:J,8,0)</f>
        <v>42</v>
      </c>
      <c r="I462" s="10">
        <f>VLOOKUP(A462,import!A:J,9,0)</f>
        <v>42</v>
      </c>
      <c r="J462" s="11">
        <f>VLOOKUP(A462,import!A:J,10,0)</f>
        <v>0</v>
      </c>
      <c r="K462" s="10" t="s">
        <v>2300</v>
      </c>
      <c r="L462" s="10">
        <v>3.243410327E9</v>
      </c>
      <c r="M462" s="10" t="s">
        <v>72</v>
      </c>
      <c r="N462" s="10" t="s">
        <v>1090</v>
      </c>
      <c r="O462" s="10" t="s">
        <v>2309</v>
      </c>
      <c r="P462" s="10" t="str">
        <f>VLOOKUP(A462,import!A:P,16,0)</f>
        <v>Geleneksel</v>
      </c>
      <c r="Q462" s="12" t="s">
        <v>84</v>
      </c>
      <c r="R462" s="12" t="b">
        <v>1</v>
      </c>
      <c r="S462" s="12" t="b">
        <v>1</v>
      </c>
      <c r="T462" s="37"/>
      <c r="U462" s="13"/>
      <c r="V462" s="13"/>
      <c r="W462" s="13" t="s">
        <v>2302</v>
      </c>
      <c r="X462" s="15"/>
      <c r="Y462" s="15"/>
      <c r="Z462" s="16"/>
      <c r="AA462" s="17" t="s">
        <v>56</v>
      </c>
      <c r="AB462" s="16">
        <v>44477.0</v>
      </c>
      <c r="AC462" s="17" t="s">
        <v>56</v>
      </c>
      <c r="AD462" s="16">
        <v>44539.0</v>
      </c>
      <c r="AE462" s="17"/>
      <c r="AF462" s="16"/>
      <c r="AG462" s="17"/>
      <c r="AH462" s="16"/>
      <c r="AI462" s="16"/>
      <c r="AJ462" s="16"/>
      <c r="AK462" s="17" t="s">
        <v>171</v>
      </c>
      <c r="AL462" s="17" t="s">
        <v>87</v>
      </c>
      <c r="AM462" s="16"/>
      <c r="AN462" s="16"/>
      <c r="AO462" s="16"/>
      <c r="AP462" s="18" t="s">
        <v>58</v>
      </c>
      <c r="AQ462" s="16"/>
    </row>
    <row r="463" ht="15.75" hidden="1" customHeight="1">
      <c r="A463" s="10" t="s">
        <v>2310</v>
      </c>
      <c r="B463" s="10" t="s">
        <v>2311</v>
      </c>
      <c r="C463" s="10" t="str">
        <f>VLOOKUP(A463,import!A:C,3,0)</f>
        <v>DOĞRU</v>
      </c>
      <c r="D463" s="10" t="s">
        <v>363</v>
      </c>
      <c r="E463" s="10">
        <f>VLOOKUP(A463,import!A:J,5,0)</f>
        <v>14</v>
      </c>
      <c r="F463" s="10" t="str">
        <f>VLOOKUP(A463,import!A:J,6,0)</f>
        <v/>
      </c>
      <c r="G463" s="10">
        <f>VLOOKUP(A463,import!A:J,7,0)</f>
        <v>0</v>
      </c>
      <c r="H463" s="10">
        <f>VLOOKUP(A463,import!A:J,8,0)</f>
        <v>94</v>
      </c>
      <c r="I463" s="10">
        <f>VLOOKUP(A463,import!A:J,9,0)</f>
        <v>94</v>
      </c>
      <c r="J463" s="11">
        <f>VLOOKUP(A463,import!A:J,10,0)</f>
        <v>0</v>
      </c>
      <c r="K463" s="10" t="s">
        <v>2312</v>
      </c>
      <c r="L463" s="10">
        <v>3.24326009E9</v>
      </c>
      <c r="M463" s="10" t="s">
        <v>72</v>
      </c>
      <c r="N463" s="10" t="s">
        <v>73</v>
      </c>
      <c r="O463" s="10" t="s">
        <v>2313</v>
      </c>
      <c r="P463" s="10" t="str">
        <f>VLOOKUP(A463,import!A:P,16,0)</f>
        <v>Geleneksel</v>
      </c>
      <c r="Q463" s="12"/>
      <c r="R463" s="12" t="b">
        <v>1</v>
      </c>
      <c r="S463" s="12" t="b">
        <v>0</v>
      </c>
      <c r="T463" s="13" t="s">
        <v>199</v>
      </c>
      <c r="U463" s="13"/>
      <c r="V463" s="19"/>
      <c r="W463" s="13" t="s">
        <v>2314</v>
      </c>
      <c r="X463" s="15"/>
      <c r="Y463" s="15"/>
      <c r="Z463" s="16"/>
      <c r="AA463" s="17" t="s">
        <v>230</v>
      </c>
      <c r="AB463" s="16">
        <v>44540.0</v>
      </c>
      <c r="AC463" s="17" t="s">
        <v>230</v>
      </c>
      <c r="AD463" s="16">
        <v>44544.0</v>
      </c>
      <c r="AE463" s="17" t="s">
        <v>56</v>
      </c>
      <c r="AF463" s="16">
        <v>44544.0</v>
      </c>
      <c r="AG463" s="17" t="s">
        <v>230</v>
      </c>
      <c r="AH463" s="16">
        <v>44636.0</v>
      </c>
      <c r="AI463" s="16"/>
      <c r="AJ463" s="16"/>
      <c r="AK463" s="17" t="s">
        <v>89</v>
      </c>
      <c r="AL463" s="17" t="s">
        <v>108</v>
      </c>
      <c r="AM463" s="17" t="s">
        <v>108</v>
      </c>
      <c r="AN463" s="17" t="s">
        <v>133</v>
      </c>
      <c r="AO463" s="16"/>
      <c r="AP463" s="18" t="s">
        <v>58</v>
      </c>
      <c r="AQ463" s="16"/>
    </row>
    <row r="464" ht="15.75" customHeight="1">
      <c r="A464" s="10" t="s">
        <v>2315</v>
      </c>
      <c r="B464" s="10" t="s">
        <v>2316</v>
      </c>
      <c r="C464" s="10" t="str">
        <f>VLOOKUP(A464,import!A:C,3,0)</f>
        <v>DOĞRU</v>
      </c>
      <c r="D464" s="10" t="s">
        <v>167</v>
      </c>
      <c r="E464" s="10">
        <f>VLOOKUP(A464,import!A:J,5,0)</f>
        <v>24</v>
      </c>
      <c r="F464" s="10">
        <f>VLOOKUP(A464,import!A:J,6,0)</f>
        <v>3</v>
      </c>
      <c r="G464" s="10">
        <f>VLOOKUP(A464,import!A:J,7,0)</f>
        <v>6</v>
      </c>
      <c r="H464" s="10">
        <f>VLOOKUP(A464,import!A:J,8,0)</f>
        <v>4</v>
      </c>
      <c r="I464" s="10">
        <f>VLOOKUP(A464,import!A:J,9,0)</f>
        <v>10</v>
      </c>
      <c r="J464" s="11">
        <f>VLOOKUP(A464,import!A:J,10,0)</f>
        <v>0.6</v>
      </c>
      <c r="K464" s="10" t="s">
        <v>2317</v>
      </c>
      <c r="L464" s="10">
        <v>5.448333265E9</v>
      </c>
      <c r="M464" s="10" t="s">
        <v>137</v>
      </c>
      <c r="N464" s="10" t="s">
        <v>374</v>
      </c>
      <c r="O464" s="10" t="s">
        <v>2318</v>
      </c>
      <c r="P464" s="10" t="str">
        <f>VLOOKUP(A464,import!A:P,16,0)</f>
        <v>Geleneksel</v>
      </c>
      <c r="Q464" s="12"/>
      <c r="R464" s="12" t="b">
        <v>1</v>
      </c>
      <c r="S464" s="12" t="b">
        <v>0</v>
      </c>
      <c r="T464" s="13" t="s">
        <v>51</v>
      </c>
      <c r="U464" s="13" t="s">
        <v>89</v>
      </c>
      <c r="V464" s="17" t="s">
        <v>66</v>
      </c>
      <c r="W464" s="13"/>
      <c r="X464" s="15">
        <v>44649.0</v>
      </c>
      <c r="Y464" s="15">
        <v>44651.0</v>
      </c>
      <c r="Z464" s="16"/>
      <c r="AA464" s="17" t="s">
        <v>56</v>
      </c>
      <c r="AB464" s="16">
        <v>44649.0</v>
      </c>
      <c r="AC464" s="16"/>
      <c r="AD464" s="16"/>
      <c r="AE464" s="17"/>
      <c r="AF464" s="16"/>
      <c r="AG464" s="17"/>
      <c r="AH464" s="16"/>
      <c r="AI464" s="16"/>
      <c r="AJ464" s="16"/>
      <c r="AK464" s="17" t="s">
        <v>89</v>
      </c>
      <c r="AL464" s="16"/>
      <c r="AM464" s="16"/>
      <c r="AN464" s="16"/>
      <c r="AO464" s="16"/>
      <c r="AP464" s="18"/>
      <c r="AQ464" s="16"/>
    </row>
    <row r="465" ht="15.75" hidden="1" customHeight="1">
      <c r="A465" s="10" t="s">
        <v>2319</v>
      </c>
      <c r="B465" s="10" t="s">
        <v>2320</v>
      </c>
      <c r="C465" s="10" t="str">
        <f>VLOOKUP(A465,import!A:C,3,0)</f>
        <v>DOĞRU</v>
      </c>
      <c r="D465" s="10" t="s">
        <v>167</v>
      </c>
      <c r="E465" s="10">
        <f>VLOOKUP(A465,import!A:J,5,0)</f>
        <v>3</v>
      </c>
      <c r="F465" s="10">
        <f>VLOOKUP(A465,import!A:J,6,0)</f>
        <v>2</v>
      </c>
      <c r="G465" s="10">
        <f>VLOOKUP(A465,import!A:J,7,0)</f>
        <v>0</v>
      </c>
      <c r="H465" s="10">
        <f>VLOOKUP(A465,import!A:J,8,0)</f>
        <v>10</v>
      </c>
      <c r="I465" s="10">
        <f>VLOOKUP(A465,import!A:J,9,0)</f>
        <v>10</v>
      </c>
      <c r="J465" s="11">
        <f>VLOOKUP(A465,import!A:J,10,0)</f>
        <v>0</v>
      </c>
      <c r="K465" s="10" t="s">
        <v>2321</v>
      </c>
      <c r="L465" s="10">
        <v>5.331578233E9</v>
      </c>
      <c r="M465" s="10" t="s">
        <v>72</v>
      </c>
      <c r="N465" s="10" t="s">
        <v>1298</v>
      </c>
      <c r="O465" s="10" t="s">
        <v>2322</v>
      </c>
      <c r="P465" s="10" t="str">
        <f>VLOOKUP(A465,import!A:P,16,0)</f>
        <v>Geleneksel</v>
      </c>
      <c r="Q465" s="12"/>
      <c r="R465" s="12" t="b">
        <v>1</v>
      </c>
      <c r="S465" s="12" t="b">
        <v>0</v>
      </c>
      <c r="T465" s="13" t="s">
        <v>248</v>
      </c>
      <c r="U465" s="13"/>
      <c r="V465" s="13"/>
      <c r="W465" s="13"/>
      <c r="X465" s="15"/>
      <c r="Y465" s="15"/>
      <c r="Z465" s="16"/>
      <c r="AA465" s="17"/>
      <c r="AB465" s="16"/>
      <c r="AC465" s="16"/>
      <c r="AD465" s="16"/>
      <c r="AE465" s="17"/>
      <c r="AF465" s="16"/>
      <c r="AG465" s="17"/>
      <c r="AH465" s="16"/>
      <c r="AI465" s="16"/>
      <c r="AJ465" s="16"/>
      <c r="AK465" s="17"/>
      <c r="AL465" s="16"/>
      <c r="AM465" s="16"/>
      <c r="AN465" s="16"/>
      <c r="AO465" s="16"/>
      <c r="AP465" s="18"/>
      <c r="AQ465" s="16"/>
    </row>
    <row r="466" ht="15.75" customHeight="1">
      <c r="A466" s="10" t="s">
        <v>2323</v>
      </c>
      <c r="B466" s="10" t="s">
        <v>2324</v>
      </c>
      <c r="C466" s="10" t="str">
        <f>VLOOKUP(A466,import!A:C,3,0)</f>
        <v>DOĞRU</v>
      </c>
      <c r="D466" s="10" t="s">
        <v>80</v>
      </c>
      <c r="E466" s="10">
        <f>VLOOKUP(A466,import!A:J,5,0)</f>
        <v>1894</v>
      </c>
      <c r="F466" s="10">
        <f>VLOOKUP(A466,import!A:J,6,0)</f>
        <v>39</v>
      </c>
      <c r="G466" s="10">
        <f>VLOOKUP(A466,import!A:J,7,0)</f>
        <v>0</v>
      </c>
      <c r="H466" s="10">
        <f>VLOOKUP(A466,import!A:J,8,0)</f>
        <v>37</v>
      </c>
      <c r="I466" s="10">
        <f>VLOOKUP(A466,import!A:J,9,0)</f>
        <v>37</v>
      </c>
      <c r="J466" s="11">
        <f>VLOOKUP(A466,import!A:J,10,0)</f>
        <v>0</v>
      </c>
      <c r="K466" s="10" t="s">
        <v>2325</v>
      </c>
      <c r="L466" s="10">
        <v>5.438683302E9</v>
      </c>
      <c r="M466" s="10" t="s">
        <v>63</v>
      </c>
      <c r="N466" s="10" t="s">
        <v>100</v>
      </c>
      <c r="O466" s="10" t="s">
        <v>2326</v>
      </c>
      <c r="P466" s="10" t="str">
        <f>VLOOKUP(A466,import!A:P,16,0)</f>
        <v>Geleneksel</v>
      </c>
      <c r="Q466" s="12"/>
      <c r="R466" s="12" t="b">
        <v>1</v>
      </c>
      <c r="S466" s="12" t="b">
        <v>0</v>
      </c>
      <c r="T466" s="13" t="s">
        <v>199</v>
      </c>
      <c r="U466" s="13" t="s">
        <v>57</v>
      </c>
      <c r="V466" s="13" t="s">
        <v>66</v>
      </c>
      <c r="W466" s="13" t="s">
        <v>2327</v>
      </c>
      <c r="X466" s="15">
        <v>44517.0</v>
      </c>
      <c r="Y466" s="15">
        <v>44519.0</v>
      </c>
      <c r="Z466" s="17" t="s">
        <v>2328</v>
      </c>
      <c r="AA466" s="17" t="s">
        <v>56</v>
      </c>
      <c r="AB466" s="16">
        <v>44450.0</v>
      </c>
      <c r="AC466" s="17" t="s">
        <v>55</v>
      </c>
      <c r="AD466" s="16">
        <v>44495.0</v>
      </c>
      <c r="AE466" s="17" t="s">
        <v>55</v>
      </c>
      <c r="AF466" s="16">
        <v>44497.0</v>
      </c>
      <c r="AG466" s="17" t="s">
        <v>265</v>
      </c>
      <c r="AH466" s="16">
        <v>44546.0</v>
      </c>
      <c r="AI466" s="17" t="s">
        <v>56</v>
      </c>
      <c r="AJ466" s="16">
        <v>44560.0</v>
      </c>
      <c r="AK466" s="17" t="s">
        <v>108</v>
      </c>
      <c r="AL466" s="17" t="s">
        <v>89</v>
      </c>
      <c r="AM466" s="17" t="s">
        <v>267</v>
      </c>
      <c r="AN466" s="17" t="s">
        <v>87</v>
      </c>
      <c r="AO466" s="17" t="s">
        <v>89</v>
      </c>
      <c r="AP466" s="18" t="s">
        <v>58</v>
      </c>
      <c r="AQ466" s="16"/>
    </row>
    <row r="467" ht="15.75" hidden="1" customHeight="1">
      <c r="A467" s="10" t="s">
        <v>2329</v>
      </c>
      <c r="B467" s="10" t="s">
        <v>2330</v>
      </c>
      <c r="C467" s="10" t="str">
        <f>VLOOKUP(A467,import!A:C,3,0)</f>
        <v>DOĞRU</v>
      </c>
      <c r="D467" s="10" t="s">
        <v>80</v>
      </c>
      <c r="E467" s="10">
        <f>VLOOKUP(A467,import!A:J,5,0)</f>
        <v>2388</v>
      </c>
      <c r="F467" s="10">
        <f>VLOOKUP(A467,import!A:J,6,0)</f>
        <v>52</v>
      </c>
      <c r="G467" s="10">
        <f>VLOOKUP(A467,import!A:J,7,0)</f>
        <v>15</v>
      </c>
      <c r="H467" s="10">
        <f>VLOOKUP(A467,import!A:J,8,0)</f>
        <v>2</v>
      </c>
      <c r="I467" s="10">
        <f>VLOOKUP(A467,import!A:J,9,0)</f>
        <v>17</v>
      </c>
      <c r="J467" s="11">
        <f>VLOOKUP(A467,import!A:J,10,0)</f>
        <v>0.88</v>
      </c>
      <c r="K467" s="10" t="s">
        <v>2331</v>
      </c>
      <c r="L467" s="10">
        <v>3.243259329E9</v>
      </c>
      <c r="M467" s="10" t="s">
        <v>72</v>
      </c>
      <c r="N467" s="10" t="s">
        <v>73</v>
      </c>
      <c r="O467" s="10" t="s">
        <v>2332</v>
      </c>
      <c r="P467" s="10" t="str">
        <f>VLOOKUP(A467,import!A:P,16,0)</f>
        <v>Geleneksel</v>
      </c>
      <c r="Q467" s="12" t="s">
        <v>50</v>
      </c>
      <c r="R467" s="12" t="b">
        <v>1</v>
      </c>
      <c r="S467" s="12" t="b">
        <v>0</v>
      </c>
      <c r="T467" s="13" t="s">
        <v>51</v>
      </c>
      <c r="U467" s="13" t="s">
        <v>133</v>
      </c>
      <c r="V467" s="13" t="s">
        <v>66</v>
      </c>
      <c r="W467" s="13" t="s">
        <v>2333</v>
      </c>
      <c r="X467" s="15">
        <v>44278.0</v>
      </c>
      <c r="Y467" s="15">
        <v>44279.0</v>
      </c>
      <c r="Z467" s="16"/>
      <c r="AA467" s="16"/>
      <c r="AB467" s="16"/>
      <c r="AC467" s="16"/>
      <c r="AD467" s="16"/>
      <c r="AE467" s="17"/>
      <c r="AF467" s="16"/>
      <c r="AG467" s="17"/>
      <c r="AH467" s="16"/>
      <c r="AI467" s="16"/>
      <c r="AJ467" s="16"/>
      <c r="AK467" s="16"/>
      <c r="AL467" s="16"/>
      <c r="AM467" s="16"/>
      <c r="AN467" s="16"/>
      <c r="AO467" s="16"/>
      <c r="AP467" s="18" t="s">
        <v>58</v>
      </c>
      <c r="AQ467" s="16"/>
    </row>
    <row r="468" ht="15.75" hidden="1" customHeight="1">
      <c r="A468" s="10" t="s">
        <v>2334</v>
      </c>
      <c r="B468" s="10" t="s">
        <v>2330</v>
      </c>
      <c r="C468" s="10" t="str">
        <f>VLOOKUP(A468,import!A:C,3,0)</f>
        <v>DOĞRU</v>
      </c>
      <c r="D468" s="10" t="s">
        <v>80</v>
      </c>
      <c r="E468" s="10">
        <f>VLOOKUP(A468,import!A:J,5,0)</f>
        <v>692</v>
      </c>
      <c r="F468" s="10">
        <f>VLOOKUP(A468,import!A:J,6,0)</f>
        <v>87</v>
      </c>
      <c r="G468" s="10">
        <f>VLOOKUP(A468,import!A:J,7,0)</f>
        <v>9</v>
      </c>
      <c r="H468" s="10">
        <f>VLOOKUP(A468,import!A:J,8,0)</f>
        <v>6</v>
      </c>
      <c r="I468" s="10">
        <f>VLOOKUP(A468,import!A:J,9,0)</f>
        <v>15</v>
      </c>
      <c r="J468" s="11">
        <f>VLOOKUP(A468,import!A:J,10,0)</f>
        <v>0.6</v>
      </c>
      <c r="K468" s="10" t="s">
        <v>2335</v>
      </c>
      <c r="L468" s="10">
        <v>3.243262379E9</v>
      </c>
      <c r="M468" s="10" t="s">
        <v>72</v>
      </c>
      <c r="N468" s="10" t="s">
        <v>73</v>
      </c>
      <c r="O468" s="10" t="s">
        <v>2336</v>
      </c>
      <c r="P468" s="10" t="str">
        <f>VLOOKUP(A468,import!A:P,16,0)</f>
        <v>Geleneksel</v>
      </c>
      <c r="Q468" s="12"/>
      <c r="R468" s="12" t="b">
        <v>1</v>
      </c>
      <c r="S468" s="12" t="b">
        <v>0</v>
      </c>
      <c r="T468" s="13" t="s">
        <v>51</v>
      </c>
      <c r="U468" s="13" t="s">
        <v>52</v>
      </c>
      <c r="V468" s="13" t="s">
        <v>66</v>
      </c>
      <c r="W468" s="13">
        <v>5.541398721E9</v>
      </c>
      <c r="X468" s="15">
        <v>44627.0</v>
      </c>
      <c r="Y468" s="15">
        <v>44628.0</v>
      </c>
      <c r="Z468" s="16"/>
      <c r="AA468" s="17" t="s">
        <v>56</v>
      </c>
      <c r="AB468" s="16">
        <v>44627.0</v>
      </c>
      <c r="AC468" s="16"/>
      <c r="AD468" s="16"/>
      <c r="AE468" s="17"/>
      <c r="AF468" s="16"/>
      <c r="AG468" s="17"/>
      <c r="AH468" s="16"/>
      <c r="AI468" s="16"/>
      <c r="AJ468" s="16"/>
      <c r="AK468" s="17" t="s">
        <v>52</v>
      </c>
      <c r="AL468" s="16"/>
      <c r="AM468" s="16"/>
      <c r="AN468" s="16"/>
      <c r="AO468" s="16"/>
      <c r="AP468" s="18"/>
      <c r="AQ468" s="16"/>
    </row>
    <row r="469" ht="15.75" hidden="1" customHeight="1">
      <c r="A469" s="10" t="s">
        <v>2337</v>
      </c>
      <c r="B469" s="10" t="s">
        <v>2338</v>
      </c>
      <c r="C469" s="10" t="str">
        <f>VLOOKUP(A469,import!A:C,3,0)</f>
        <v>DOĞRU</v>
      </c>
      <c r="D469" s="10" t="s">
        <v>363</v>
      </c>
      <c r="E469" s="10">
        <f>VLOOKUP(A469,import!A:J,5,0)</f>
        <v>1703</v>
      </c>
      <c r="F469" s="10">
        <f>VLOOKUP(A469,import!A:J,6,0)</f>
        <v>109</v>
      </c>
      <c r="G469" s="10">
        <f>VLOOKUP(A469,import!A:J,7,0)</f>
        <v>20</v>
      </c>
      <c r="H469" s="10">
        <f>VLOOKUP(A469,import!A:J,8,0)</f>
        <v>40</v>
      </c>
      <c r="I469" s="10">
        <f>VLOOKUP(A469,import!A:J,9,0)</f>
        <v>60</v>
      </c>
      <c r="J469" s="11">
        <f>VLOOKUP(A469,import!A:J,10,0)</f>
        <v>0.33</v>
      </c>
      <c r="K469" s="10" t="s">
        <v>819</v>
      </c>
      <c r="L469" s="10">
        <v>5.443451303E9</v>
      </c>
      <c r="M469" s="10" t="s">
        <v>72</v>
      </c>
      <c r="N469" s="10" t="s">
        <v>82</v>
      </c>
      <c r="O469" s="10" t="s">
        <v>2339</v>
      </c>
      <c r="P469" s="10" t="str">
        <f>VLOOKUP(A469,import!A:P,16,0)</f>
        <v>Geleneksel</v>
      </c>
      <c r="Q469" s="12"/>
      <c r="R469" s="12" t="b">
        <v>1</v>
      </c>
      <c r="S469" s="12" t="b">
        <v>0</v>
      </c>
      <c r="T469" s="13" t="s">
        <v>51</v>
      </c>
      <c r="U469" s="13" t="s">
        <v>89</v>
      </c>
      <c r="V469" s="13" t="s">
        <v>53</v>
      </c>
      <c r="W469" s="13"/>
      <c r="X469" s="15">
        <v>44515.0</v>
      </c>
      <c r="Y469" s="15">
        <v>44515.0</v>
      </c>
      <c r="Z469" s="16"/>
      <c r="AA469" s="17" t="s">
        <v>56</v>
      </c>
      <c r="AB469" s="16">
        <v>44454.0</v>
      </c>
      <c r="AC469" s="17" t="s">
        <v>56</v>
      </c>
      <c r="AD469" s="16">
        <v>44515.0</v>
      </c>
      <c r="AE469" s="17"/>
      <c r="AF469" s="16"/>
      <c r="AG469" s="17"/>
      <c r="AH469" s="16"/>
      <c r="AI469" s="16"/>
      <c r="AJ469" s="16"/>
      <c r="AK469" s="17" t="s">
        <v>103</v>
      </c>
      <c r="AL469" s="17" t="s">
        <v>89</v>
      </c>
      <c r="AM469" s="16"/>
      <c r="AN469" s="16"/>
      <c r="AO469" s="16"/>
      <c r="AP469" s="18" t="s">
        <v>58</v>
      </c>
      <c r="AQ469" s="16"/>
    </row>
    <row r="470" ht="15.75" hidden="1" customHeight="1">
      <c r="A470" s="10" t="s">
        <v>2340</v>
      </c>
      <c r="B470" s="10" t="s">
        <v>2341</v>
      </c>
      <c r="C470" s="10" t="str">
        <f>VLOOKUP(A470,import!A:C,3,0)</f>
        <v>DOĞRU</v>
      </c>
      <c r="D470" s="10" t="s">
        <v>106</v>
      </c>
      <c r="E470" s="10" t="str">
        <f>VLOOKUP(A470,import!A:J,5,0)</f>
        <v/>
      </c>
      <c r="F470" s="10" t="str">
        <f>VLOOKUP(A470,import!A:J,6,0)</f>
        <v/>
      </c>
      <c r="G470" s="10">
        <f>VLOOKUP(A470,import!A:J,7,0)</f>
        <v>0</v>
      </c>
      <c r="H470" s="10">
        <f>VLOOKUP(A470,import!A:J,8,0)</f>
        <v>32</v>
      </c>
      <c r="I470" s="10">
        <f>VLOOKUP(A470,import!A:J,9,0)</f>
        <v>32</v>
      </c>
      <c r="J470" s="11">
        <f>VLOOKUP(A470,import!A:J,10,0)</f>
        <v>0</v>
      </c>
      <c r="K470" s="10" t="s">
        <v>2342</v>
      </c>
      <c r="L470" s="10">
        <v>3.24325007E9</v>
      </c>
      <c r="M470" s="10" t="s">
        <v>72</v>
      </c>
      <c r="N470" s="10" t="s">
        <v>181</v>
      </c>
      <c r="O470" s="10" t="s">
        <v>2343</v>
      </c>
      <c r="P470" s="10" t="str">
        <f>VLOOKUP(A470,import!A:P,16,0)</f>
        <v>Geleneksel</v>
      </c>
      <c r="Q470" s="12"/>
      <c r="R470" s="12" t="b">
        <v>1</v>
      </c>
      <c r="S470" s="12" t="b">
        <v>0</v>
      </c>
      <c r="T470" s="13" t="s">
        <v>51</v>
      </c>
      <c r="U470" s="13" t="s">
        <v>133</v>
      </c>
      <c r="V470" s="13" t="s">
        <v>66</v>
      </c>
      <c r="W470" s="13" t="s">
        <v>2344</v>
      </c>
      <c r="X470" s="15">
        <v>44642.0</v>
      </c>
      <c r="Y470" s="15">
        <v>44644.0</v>
      </c>
      <c r="Z470" s="16"/>
      <c r="AA470" s="17" t="s">
        <v>55</v>
      </c>
      <c r="AB470" s="16">
        <v>44578.0</v>
      </c>
      <c r="AC470" s="17" t="s">
        <v>55</v>
      </c>
      <c r="AD470" s="16">
        <v>44590.0</v>
      </c>
      <c r="AE470" s="17" t="s">
        <v>55</v>
      </c>
      <c r="AF470" s="16">
        <v>44641.0</v>
      </c>
      <c r="AG470" s="17" t="s">
        <v>56</v>
      </c>
      <c r="AH470" s="16">
        <v>44642.0</v>
      </c>
      <c r="AI470" s="16"/>
      <c r="AJ470" s="16"/>
      <c r="AK470" s="17" t="s">
        <v>89</v>
      </c>
      <c r="AL470" s="17" t="s">
        <v>133</v>
      </c>
      <c r="AM470" s="17" t="s">
        <v>89</v>
      </c>
      <c r="AN470" s="17" t="s">
        <v>133</v>
      </c>
      <c r="AO470" s="16"/>
      <c r="AP470" s="18"/>
      <c r="AQ470" s="16"/>
    </row>
    <row r="471" ht="15.75" hidden="1" customHeight="1">
      <c r="A471" s="10" t="s">
        <v>2345</v>
      </c>
      <c r="B471" s="10" t="s">
        <v>2346</v>
      </c>
      <c r="C471" s="10" t="str">
        <f>VLOOKUP(A471,import!A:C,3,0)</f>
        <v>DOĞRU</v>
      </c>
      <c r="D471" s="10" t="s">
        <v>564</v>
      </c>
      <c r="E471" s="10">
        <f>VLOOKUP(A471,import!A:J,5,0)</f>
        <v>2110</v>
      </c>
      <c r="F471" s="10">
        <f>VLOOKUP(A471,import!A:J,6,0)</f>
        <v>117</v>
      </c>
      <c r="G471" s="10">
        <f>VLOOKUP(A471,import!A:J,7,0)</f>
        <v>17</v>
      </c>
      <c r="H471" s="10">
        <f>VLOOKUP(A471,import!A:J,8,0)</f>
        <v>41</v>
      </c>
      <c r="I471" s="10">
        <f>VLOOKUP(A471,import!A:J,9,0)</f>
        <v>58</v>
      </c>
      <c r="J471" s="11">
        <f>VLOOKUP(A471,import!A:J,10,0)</f>
        <v>0.29</v>
      </c>
      <c r="K471" s="10" t="s">
        <v>2347</v>
      </c>
      <c r="L471" s="10">
        <v>5.324907323E9</v>
      </c>
      <c r="M471" s="10" t="s">
        <v>215</v>
      </c>
      <c r="N471" s="10" t="s">
        <v>263</v>
      </c>
      <c r="O471" s="10" t="s">
        <v>2348</v>
      </c>
      <c r="P471" s="10" t="str">
        <f>VLOOKUP(A471,import!A:P,16,0)</f>
        <v>Geleneksel</v>
      </c>
      <c r="Q471" s="12"/>
      <c r="R471" s="12" t="b">
        <v>1</v>
      </c>
      <c r="S471" s="12" t="b">
        <v>0</v>
      </c>
      <c r="T471" s="13" t="s">
        <v>51</v>
      </c>
      <c r="U471" s="13" t="s">
        <v>1218</v>
      </c>
      <c r="V471" s="13" t="s">
        <v>53</v>
      </c>
      <c r="W471" s="13" t="s">
        <v>2349</v>
      </c>
      <c r="X471" s="15">
        <v>44284.0</v>
      </c>
      <c r="Y471" s="15">
        <v>44285.0</v>
      </c>
      <c r="Z471" s="16"/>
      <c r="AA471" s="17" t="s">
        <v>56</v>
      </c>
      <c r="AB471" s="16">
        <v>44363.0</v>
      </c>
      <c r="AC471" s="17" t="s">
        <v>56</v>
      </c>
      <c r="AD471" s="16">
        <v>44393.0</v>
      </c>
      <c r="AE471" s="17"/>
      <c r="AF471" s="16"/>
      <c r="AG471" s="17"/>
      <c r="AH471" s="16"/>
      <c r="AI471" s="16"/>
      <c r="AJ471" s="16"/>
      <c r="AK471" s="17" t="s">
        <v>124</v>
      </c>
      <c r="AL471" s="16"/>
      <c r="AM471" s="16"/>
      <c r="AN471" s="16"/>
      <c r="AO471" s="16"/>
      <c r="AP471" s="18" t="s">
        <v>58</v>
      </c>
      <c r="AQ471" s="16"/>
    </row>
    <row r="472" ht="15.75" hidden="1" customHeight="1">
      <c r="A472" s="10" t="s">
        <v>2350</v>
      </c>
      <c r="B472" s="10" t="s">
        <v>2351</v>
      </c>
      <c r="C472" s="10" t="str">
        <f>VLOOKUP(A472,import!A:C,3,0)</f>
        <v>DOĞRU</v>
      </c>
      <c r="D472" s="10" t="s">
        <v>80</v>
      </c>
      <c r="E472" s="10">
        <f>VLOOKUP(A472,import!A:J,5,0)</f>
        <v>1833</v>
      </c>
      <c r="F472" s="10">
        <f>VLOOKUP(A472,import!A:J,6,0)</f>
        <v>113</v>
      </c>
      <c r="G472" s="10">
        <f>VLOOKUP(A472,import!A:J,7,0)</f>
        <v>0</v>
      </c>
      <c r="H472" s="10">
        <f>VLOOKUP(A472,import!A:J,8,0)</f>
        <v>10</v>
      </c>
      <c r="I472" s="10">
        <f>VLOOKUP(A472,import!A:J,9,0)</f>
        <v>10</v>
      </c>
      <c r="J472" s="11">
        <f>VLOOKUP(A472,import!A:J,10,0)</f>
        <v>0</v>
      </c>
      <c r="K472" s="10" t="s">
        <v>2352</v>
      </c>
      <c r="L472" s="10">
        <v>5.321673162E9</v>
      </c>
      <c r="M472" s="10" t="s">
        <v>72</v>
      </c>
      <c r="N472" s="10" t="s">
        <v>82</v>
      </c>
      <c r="O472" s="10" t="s">
        <v>2353</v>
      </c>
      <c r="P472" s="10" t="str">
        <f>VLOOKUP(A472,import!A:P,16,0)</f>
        <v>Geleneksel</v>
      </c>
      <c r="Q472" s="12" t="s">
        <v>50</v>
      </c>
      <c r="R472" s="12" t="b">
        <v>1</v>
      </c>
      <c r="S472" s="12" t="b">
        <v>0</v>
      </c>
      <c r="T472" s="13" t="s">
        <v>130</v>
      </c>
      <c r="U472" s="13"/>
      <c r="V472" s="13"/>
      <c r="W472" s="13" t="s">
        <v>2354</v>
      </c>
      <c r="X472" s="15"/>
      <c r="Y472" s="15"/>
      <c r="Z472" s="16"/>
      <c r="AA472" s="17" t="s">
        <v>55</v>
      </c>
      <c r="AB472" s="16">
        <v>44354.0</v>
      </c>
      <c r="AC472" s="17" t="s">
        <v>55</v>
      </c>
      <c r="AD472" s="16">
        <v>44483.0</v>
      </c>
      <c r="AE472" s="17" t="s">
        <v>55</v>
      </c>
      <c r="AF472" s="16">
        <v>44491.0</v>
      </c>
      <c r="AG472" s="17" t="s">
        <v>55</v>
      </c>
      <c r="AH472" s="16">
        <v>44509.0</v>
      </c>
      <c r="AI472" s="17" t="s">
        <v>55</v>
      </c>
      <c r="AJ472" s="16">
        <v>44559.0</v>
      </c>
      <c r="AK472" s="17" t="s">
        <v>123</v>
      </c>
      <c r="AL472" s="17" t="s">
        <v>103</v>
      </c>
      <c r="AM472" s="17" t="s">
        <v>52</v>
      </c>
      <c r="AN472" s="17" t="s">
        <v>103</v>
      </c>
      <c r="AO472" s="17" t="s">
        <v>103</v>
      </c>
      <c r="AP472" s="18" t="s">
        <v>58</v>
      </c>
      <c r="AQ472" s="17"/>
    </row>
    <row r="473" ht="15.75" hidden="1" customHeight="1">
      <c r="A473" s="10" t="s">
        <v>2355</v>
      </c>
      <c r="B473" s="10" t="s">
        <v>2356</v>
      </c>
      <c r="C473" s="10" t="str">
        <f>VLOOKUP(A473,import!A:C,3,0)</f>
        <v>DOĞRU</v>
      </c>
      <c r="D473" s="10" t="s">
        <v>61</v>
      </c>
      <c r="E473" s="10">
        <f>VLOOKUP(A473,import!A:J,5,0)</f>
        <v>386</v>
      </c>
      <c r="F473" s="10">
        <f>VLOOKUP(A473,import!A:J,6,0)</f>
        <v>95</v>
      </c>
      <c r="G473" s="10">
        <f>VLOOKUP(A473,import!A:J,7,0)</f>
        <v>30</v>
      </c>
      <c r="H473" s="10">
        <f>VLOOKUP(A473,import!A:J,8,0)</f>
        <v>7</v>
      </c>
      <c r="I473" s="10">
        <f>VLOOKUP(A473,import!A:J,9,0)</f>
        <v>37</v>
      </c>
      <c r="J473" s="11">
        <f>VLOOKUP(A473,import!A:J,10,0)</f>
        <v>0.81</v>
      </c>
      <c r="K473" s="10" t="s">
        <v>2357</v>
      </c>
      <c r="L473" s="10">
        <v>5.308179541E9</v>
      </c>
      <c r="M473" s="10" t="s">
        <v>72</v>
      </c>
      <c r="N473" s="10" t="s">
        <v>82</v>
      </c>
      <c r="O473" s="10" t="s">
        <v>2358</v>
      </c>
      <c r="P473" s="10" t="str">
        <f>VLOOKUP(A473,import!A:P,16,0)</f>
        <v>Geleneksel</v>
      </c>
      <c r="Q473" s="12"/>
      <c r="R473" s="12" t="b">
        <v>1</v>
      </c>
      <c r="S473" s="12" t="b">
        <v>0</v>
      </c>
      <c r="T473" s="13" t="s">
        <v>51</v>
      </c>
      <c r="U473" s="13" t="s">
        <v>52</v>
      </c>
      <c r="V473" s="13" t="s">
        <v>131</v>
      </c>
      <c r="X473" s="15">
        <v>44624.0</v>
      </c>
      <c r="Y473" s="15">
        <v>44627.0</v>
      </c>
      <c r="Z473" s="16"/>
      <c r="AA473" s="17" t="s">
        <v>56</v>
      </c>
      <c r="AB473" s="16">
        <v>44624.0</v>
      </c>
      <c r="AC473" s="16"/>
      <c r="AD473" s="16"/>
      <c r="AE473" s="17"/>
      <c r="AF473" s="16"/>
      <c r="AG473" s="17"/>
      <c r="AH473" s="16"/>
      <c r="AI473" s="16"/>
      <c r="AJ473" s="16"/>
      <c r="AK473" s="17" t="s">
        <v>52</v>
      </c>
      <c r="AL473" s="16"/>
      <c r="AM473" s="16"/>
      <c r="AN473" s="16"/>
      <c r="AO473" s="16"/>
      <c r="AP473" s="18"/>
      <c r="AQ473" s="16"/>
    </row>
    <row r="474" ht="15.75" hidden="1" customHeight="1">
      <c r="A474" s="10" t="s">
        <v>2359</v>
      </c>
      <c r="B474" s="10" t="s">
        <v>2360</v>
      </c>
      <c r="C474" s="10" t="str">
        <f>VLOOKUP(A474,import!A:C,3,0)</f>
        <v>DOĞRU</v>
      </c>
      <c r="D474" s="10" t="s">
        <v>451</v>
      </c>
      <c r="E474" s="10">
        <f>VLOOKUP(A474,import!A:J,5,0)</f>
        <v>235</v>
      </c>
      <c r="F474" s="10" t="str">
        <f>VLOOKUP(A474,import!A:J,6,0)</f>
        <v/>
      </c>
      <c r="G474" s="10">
        <f>VLOOKUP(A474,import!A:J,7,0)</f>
        <v>4</v>
      </c>
      <c r="H474" s="10">
        <f>VLOOKUP(A474,import!A:J,8,0)</f>
        <v>4</v>
      </c>
      <c r="I474" s="10">
        <f>VLOOKUP(A474,import!A:J,9,0)</f>
        <v>8</v>
      </c>
      <c r="J474" s="11">
        <f>VLOOKUP(A474,import!A:J,10,0)</f>
        <v>0.5</v>
      </c>
      <c r="K474" s="10" t="s">
        <v>2361</v>
      </c>
      <c r="L474" s="10">
        <v>5.445201788E9</v>
      </c>
      <c r="M474" s="10" t="s">
        <v>72</v>
      </c>
      <c r="N474" s="10" t="s">
        <v>415</v>
      </c>
      <c r="O474" s="10" t="s">
        <v>2362</v>
      </c>
      <c r="P474" s="10" t="str">
        <f>VLOOKUP(A474,import!A:P,16,0)</f>
        <v>Geleneksel</v>
      </c>
      <c r="Q474" s="12"/>
      <c r="R474" s="12" t="b">
        <v>1</v>
      </c>
      <c r="S474" s="12" t="b">
        <v>0</v>
      </c>
      <c r="T474" s="13" t="s">
        <v>51</v>
      </c>
      <c r="U474" s="13" t="s">
        <v>52</v>
      </c>
      <c r="V474" s="13" t="s">
        <v>53</v>
      </c>
      <c r="W474" s="13"/>
      <c r="X474" s="15">
        <v>44334.0</v>
      </c>
      <c r="Y474" s="15">
        <v>44335.0</v>
      </c>
      <c r="Z474" s="16"/>
      <c r="AA474" s="16"/>
      <c r="AB474" s="16"/>
      <c r="AC474" s="16"/>
      <c r="AD474" s="16"/>
      <c r="AE474" s="17"/>
      <c r="AF474" s="16"/>
      <c r="AG474" s="17"/>
      <c r="AH474" s="16"/>
      <c r="AI474" s="16"/>
      <c r="AJ474" s="16"/>
      <c r="AK474" s="16"/>
      <c r="AL474" s="16"/>
      <c r="AM474" s="16"/>
      <c r="AN474" s="16"/>
      <c r="AO474" s="16"/>
      <c r="AP474" s="18" t="s">
        <v>58</v>
      </c>
      <c r="AQ474" s="16"/>
    </row>
    <row r="475" ht="15.75" customHeight="1">
      <c r="A475" s="10" t="s">
        <v>2363</v>
      </c>
      <c r="B475" s="10" t="s">
        <v>2364</v>
      </c>
      <c r="C475" s="10" t="str">
        <f>VLOOKUP(A475,import!A:C,3,0)</f>
        <v>DOĞRU</v>
      </c>
      <c r="D475" s="10" t="s">
        <v>363</v>
      </c>
      <c r="E475" s="10">
        <f>VLOOKUP(A475,import!A:J,5,0)</f>
        <v>1506</v>
      </c>
      <c r="F475" s="10">
        <f>VLOOKUP(A475,import!A:J,6,0)</f>
        <v>88</v>
      </c>
      <c r="G475" s="10">
        <f>VLOOKUP(A475,import!A:J,7,0)</f>
        <v>25</v>
      </c>
      <c r="H475" s="10">
        <f>VLOOKUP(A475,import!A:J,8,0)</f>
        <v>35</v>
      </c>
      <c r="I475" s="10">
        <f>VLOOKUP(A475,import!A:J,9,0)</f>
        <v>60</v>
      </c>
      <c r="J475" s="11">
        <f>VLOOKUP(A475,import!A:J,10,0)</f>
        <v>0.42</v>
      </c>
      <c r="K475" s="10" t="s">
        <v>2365</v>
      </c>
      <c r="L475" s="10">
        <v>5.393352575E9</v>
      </c>
      <c r="M475" s="10" t="s">
        <v>63</v>
      </c>
      <c r="N475" s="10" t="s">
        <v>93</v>
      </c>
      <c r="O475" s="10" t="s">
        <v>2366</v>
      </c>
      <c r="P475" s="10" t="str">
        <f>VLOOKUP(A475,import!A:P,16,0)</f>
        <v>Geleneksel</v>
      </c>
      <c r="Q475" s="12"/>
      <c r="R475" s="12" t="b">
        <v>1</v>
      </c>
      <c r="S475" s="12" t="b">
        <v>0</v>
      </c>
      <c r="T475" s="13" t="s">
        <v>51</v>
      </c>
      <c r="U475" s="13" t="s">
        <v>1252</v>
      </c>
      <c r="V475" s="13" t="s">
        <v>53</v>
      </c>
      <c r="W475" s="13" t="s">
        <v>2367</v>
      </c>
      <c r="X475" s="15">
        <v>44417.0</v>
      </c>
      <c r="Y475" s="15">
        <v>44424.0</v>
      </c>
      <c r="Z475" s="17" t="s">
        <v>616</v>
      </c>
      <c r="AA475" s="17" t="s">
        <v>56</v>
      </c>
      <c r="AB475" s="16">
        <v>44417.0</v>
      </c>
      <c r="AC475" s="17" t="s">
        <v>56</v>
      </c>
      <c r="AD475" s="16">
        <v>44487.0</v>
      </c>
      <c r="AE475" s="17"/>
      <c r="AF475" s="16"/>
      <c r="AG475" s="17"/>
      <c r="AH475" s="16"/>
      <c r="AI475" s="16"/>
      <c r="AJ475" s="16"/>
      <c r="AK475" s="17" t="s">
        <v>1252</v>
      </c>
      <c r="AL475" s="17" t="s">
        <v>133</v>
      </c>
      <c r="AM475" s="16"/>
      <c r="AN475" s="16"/>
      <c r="AO475" s="16"/>
      <c r="AP475" s="18" t="s">
        <v>58</v>
      </c>
      <c r="AQ475" s="16"/>
    </row>
    <row r="476" ht="15.75" hidden="1" customHeight="1">
      <c r="A476" s="10" t="s">
        <v>2368</v>
      </c>
      <c r="B476" s="10" t="s">
        <v>2369</v>
      </c>
      <c r="C476" s="10" t="str">
        <f>VLOOKUP(A476,import!A:C,3,0)</f>
        <v>DOĞRU</v>
      </c>
      <c r="D476" s="10" t="s">
        <v>363</v>
      </c>
      <c r="E476" s="10">
        <f>VLOOKUP(A476,import!A:J,5,0)</f>
        <v>1646</v>
      </c>
      <c r="F476" s="10">
        <f>VLOOKUP(A476,import!A:J,6,0)</f>
        <v>199</v>
      </c>
      <c r="G476" s="10">
        <f>VLOOKUP(A476,import!A:J,7,0)</f>
        <v>17</v>
      </c>
      <c r="H476" s="10">
        <f>VLOOKUP(A476,import!A:J,8,0)</f>
        <v>82</v>
      </c>
      <c r="I476" s="10">
        <f>VLOOKUP(A476,import!A:J,9,0)</f>
        <v>99</v>
      </c>
      <c r="J476" s="11">
        <f>VLOOKUP(A476,import!A:J,10,0)</f>
        <v>0.17</v>
      </c>
      <c r="K476" s="10" t="s">
        <v>2370</v>
      </c>
      <c r="L476" s="10">
        <v>5.316303868E9</v>
      </c>
      <c r="M476" s="10" t="s">
        <v>72</v>
      </c>
      <c r="N476" s="10" t="s">
        <v>113</v>
      </c>
      <c r="O476" s="10" t="s">
        <v>2371</v>
      </c>
      <c r="P476" s="10" t="str">
        <f>VLOOKUP(A476,import!A:P,16,0)</f>
        <v>Geleneksel</v>
      </c>
      <c r="Q476" s="12"/>
      <c r="R476" s="12" t="b">
        <v>1</v>
      </c>
      <c r="S476" s="12" t="b">
        <v>1</v>
      </c>
      <c r="T476" s="13" t="s">
        <v>199</v>
      </c>
      <c r="U476" s="13"/>
      <c r="V476" s="13"/>
      <c r="W476" s="13" t="s">
        <v>2372</v>
      </c>
      <c r="X476" s="15"/>
      <c r="Y476" s="15"/>
      <c r="Z476" s="16"/>
      <c r="AA476" s="17" t="s">
        <v>56</v>
      </c>
      <c r="AB476" s="16">
        <v>44361.0</v>
      </c>
      <c r="AC476" s="17" t="s">
        <v>56</v>
      </c>
      <c r="AD476" s="16">
        <v>44477.0</v>
      </c>
      <c r="AE476" s="17" t="s">
        <v>56</v>
      </c>
      <c r="AF476" s="16">
        <v>44551.0</v>
      </c>
      <c r="AG476" s="17"/>
      <c r="AH476" s="16"/>
      <c r="AI476" s="16"/>
      <c r="AJ476" s="16"/>
      <c r="AK476" s="17" t="s">
        <v>88</v>
      </c>
      <c r="AL476" s="17" t="s">
        <v>171</v>
      </c>
      <c r="AM476" s="17" t="s">
        <v>314</v>
      </c>
      <c r="AN476" s="16"/>
      <c r="AO476" s="16"/>
      <c r="AP476" s="18" t="s">
        <v>58</v>
      </c>
      <c r="AQ476" s="16"/>
    </row>
    <row r="477" ht="15.75" hidden="1" customHeight="1">
      <c r="A477" s="10" t="s">
        <v>2373</v>
      </c>
      <c r="B477" s="10" t="s">
        <v>2374</v>
      </c>
      <c r="C477" s="10" t="str">
        <f>VLOOKUP(A477,import!A:C,3,0)</f>
        <v>DOĞRU</v>
      </c>
      <c r="D477" s="10" t="s">
        <v>363</v>
      </c>
      <c r="E477" s="10">
        <f>VLOOKUP(A477,import!A:J,5,0)</f>
        <v>418</v>
      </c>
      <c r="F477" s="10">
        <f>VLOOKUP(A477,import!A:J,6,0)</f>
        <v>13</v>
      </c>
      <c r="G477" s="10">
        <f>VLOOKUP(A477,import!A:J,7,0)</f>
        <v>25</v>
      </c>
      <c r="H477" s="10">
        <f>VLOOKUP(A477,import!A:J,8,0)</f>
        <v>10</v>
      </c>
      <c r="I477" s="10">
        <f>VLOOKUP(A477,import!A:J,9,0)</f>
        <v>35</v>
      </c>
      <c r="J477" s="11">
        <f>VLOOKUP(A477,import!A:J,10,0)</f>
        <v>0.71</v>
      </c>
      <c r="K477" s="10" t="s">
        <v>2375</v>
      </c>
      <c r="L477" s="10">
        <v>5.301560633E9</v>
      </c>
      <c r="M477" s="10" t="s">
        <v>72</v>
      </c>
      <c r="N477" s="10" t="s">
        <v>538</v>
      </c>
      <c r="O477" s="10" t="s">
        <v>2083</v>
      </c>
      <c r="P477" s="10" t="str">
        <f>VLOOKUP(A477,import!A:P,16,0)</f>
        <v>Geleneksel</v>
      </c>
      <c r="Q477" s="12"/>
      <c r="R477" s="12" t="b">
        <v>1</v>
      </c>
      <c r="S477" s="12" t="b">
        <v>0</v>
      </c>
      <c r="T477" s="13" t="s">
        <v>51</v>
      </c>
      <c r="U477" s="13" t="s">
        <v>367</v>
      </c>
      <c r="V477" s="13" t="s">
        <v>53</v>
      </c>
      <c r="W477" s="13" t="s">
        <v>2376</v>
      </c>
      <c r="X477" s="15">
        <v>44434.0</v>
      </c>
      <c r="Y477" s="15">
        <v>44438.0</v>
      </c>
      <c r="Z477" s="16"/>
      <c r="AA477" s="17" t="s">
        <v>56</v>
      </c>
      <c r="AB477" s="16">
        <v>44434.0</v>
      </c>
      <c r="AC477" s="16"/>
      <c r="AD477" s="16"/>
      <c r="AE477" s="17"/>
      <c r="AF477" s="16"/>
      <c r="AG477" s="17"/>
      <c r="AH477" s="16"/>
      <c r="AI477" s="16"/>
      <c r="AJ477" s="16"/>
      <c r="AK477" s="17" t="s">
        <v>367</v>
      </c>
      <c r="AL477" s="16"/>
      <c r="AM477" s="16"/>
      <c r="AN477" s="16"/>
      <c r="AO477" s="16"/>
      <c r="AP477" s="18" t="s">
        <v>58</v>
      </c>
      <c r="AQ477" s="16"/>
    </row>
    <row r="478" ht="15.75" hidden="1" customHeight="1">
      <c r="A478" s="10" t="s">
        <v>2377</v>
      </c>
      <c r="B478" s="10" t="s">
        <v>2378</v>
      </c>
      <c r="C478" s="10" t="str">
        <f>VLOOKUP(A478,import!A:C,3,0)</f>
        <v>DOĞRU</v>
      </c>
      <c r="D478" s="10" t="s">
        <v>363</v>
      </c>
      <c r="E478" s="10">
        <f>VLOOKUP(A478,import!A:J,5,0)</f>
        <v>1082</v>
      </c>
      <c r="F478" s="10">
        <f>VLOOKUP(A478,import!A:J,6,0)</f>
        <v>139</v>
      </c>
      <c r="G478" s="10">
        <f>VLOOKUP(A478,import!A:J,7,0)</f>
        <v>0</v>
      </c>
      <c r="H478" s="10">
        <f>VLOOKUP(A478,import!A:J,8,0)</f>
        <v>19</v>
      </c>
      <c r="I478" s="10">
        <f>VLOOKUP(A478,import!A:J,9,0)</f>
        <v>19</v>
      </c>
      <c r="J478" s="11">
        <f>VLOOKUP(A478,import!A:J,10,0)</f>
        <v>0</v>
      </c>
      <c r="K478" s="10" t="s">
        <v>2379</v>
      </c>
      <c r="L478" s="10">
        <v>5.449020027E9</v>
      </c>
      <c r="M478" s="10" t="s">
        <v>72</v>
      </c>
      <c r="N478" s="10" t="s">
        <v>415</v>
      </c>
      <c r="O478" s="10" t="s">
        <v>2380</v>
      </c>
      <c r="P478" s="10" t="str">
        <f>VLOOKUP(A478,import!A:P,16,0)</f>
        <v>Geleneksel</v>
      </c>
      <c r="Q478" s="12"/>
      <c r="R478" s="12" t="b">
        <v>1</v>
      </c>
      <c r="S478" s="12" t="b">
        <v>1</v>
      </c>
      <c r="T478" s="13"/>
      <c r="U478" s="13"/>
      <c r="V478" s="13"/>
      <c r="W478" s="13" t="s">
        <v>2381</v>
      </c>
      <c r="X478" s="15"/>
      <c r="Y478" s="15"/>
      <c r="Z478" s="16"/>
      <c r="AA478" s="17" t="s">
        <v>55</v>
      </c>
      <c r="AB478" s="16">
        <v>44354.0</v>
      </c>
      <c r="AC478" s="17" t="s">
        <v>56</v>
      </c>
      <c r="AD478" s="16">
        <v>44431.0</v>
      </c>
      <c r="AE478" s="17" t="s">
        <v>55</v>
      </c>
      <c r="AF478" s="16">
        <v>44483.0</v>
      </c>
      <c r="AG478" s="17" t="s">
        <v>56</v>
      </c>
      <c r="AH478" s="16">
        <v>44488.0</v>
      </c>
      <c r="AI478" s="17" t="s">
        <v>56</v>
      </c>
      <c r="AJ478" s="16">
        <v>44551.0</v>
      </c>
      <c r="AK478" s="17" t="s">
        <v>123</v>
      </c>
      <c r="AL478" s="17" t="s">
        <v>367</v>
      </c>
      <c r="AM478" s="17" t="s">
        <v>103</v>
      </c>
      <c r="AN478" s="17" t="s">
        <v>108</v>
      </c>
      <c r="AO478" s="17" t="s">
        <v>314</v>
      </c>
      <c r="AP478" s="18" t="s">
        <v>58</v>
      </c>
      <c r="AQ478" s="16"/>
    </row>
    <row r="479" ht="15.75" hidden="1" customHeight="1">
      <c r="A479" s="10" t="s">
        <v>2382</v>
      </c>
      <c r="B479" s="10" t="s">
        <v>2383</v>
      </c>
      <c r="C479" s="10" t="str">
        <f>VLOOKUP(A479,import!A:C,3,0)</f>
        <v>DOĞRU</v>
      </c>
      <c r="D479" s="10" t="s">
        <v>45</v>
      </c>
      <c r="E479" s="10">
        <f>VLOOKUP(A479,import!A:J,5,0)</f>
        <v>796</v>
      </c>
      <c r="F479" s="10">
        <f>VLOOKUP(A479,import!A:J,6,0)</f>
        <v>13</v>
      </c>
      <c r="G479" s="10">
        <f>VLOOKUP(A479,import!A:J,7,0)</f>
        <v>0</v>
      </c>
      <c r="H479" s="10">
        <f>VLOOKUP(A479,import!A:J,8,0)</f>
        <v>28</v>
      </c>
      <c r="I479" s="10">
        <f>VLOOKUP(A479,import!A:J,9,0)</f>
        <v>28</v>
      </c>
      <c r="J479" s="11">
        <f>VLOOKUP(A479,import!A:J,10,0)</f>
        <v>0</v>
      </c>
      <c r="K479" s="10" t="s">
        <v>2384</v>
      </c>
      <c r="L479" s="10">
        <v>5.462880502E9</v>
      </c>
      <c r="M479" s="10" t="s">
        <v>72</v>
      </c>
      <c r="N479" s="10" t="s">
        <v>73</v>
      </c>
      <c r="O479" s="10" t="s">
        <v>2164</v>
      </c>
      <c r="P479" s="10" t="str">
        <f>VLOOKUP(A479,import!A:P,16,0)</f>
        <v>Geleneksel</v>
      </c>
      <c r="Q479" s="12"/>
      <c r="R479" s="12" t="b">
        <v>0</v>
      </c>
      <c r="S479" s="12" t="b">
        <v>0</v>
      </c>
      <c r="T479" s="13" t="s">
        <v>248</v>
      </c>
      <c r="U479" s="13"/>
      <c r="V479" s="13"/>
      <c r="W479" s="13"/>
      <c r="X479" s="15"/>
      <c r="Y479" s="15"/>
      <c r="Z479" s="16"/>
      <c r="AA479" s="16"/>
      <c r="AB479" s="16"/>
      <c r="AC479" s="16"/>
      <c r="AD479" s="16"/>
      <c r="AE479" s="17"/>
      <c r="AF479" s="16"/>
      <c r="AG479" s="17"/>
      <c r="AH479" s="16"/>
      <c r="AI479" s="16"/>
      <c r="AJ479" s="16"/>
      <c r="AK479" s="16"/>
      <c r="AL479" s="16"/>
      <c r="AM479" s="16"/>
      <c r="AN479" s="16"/>
      <c r="AO479" s="16"/>
      <c r="AP479" s="18" t="s">
        <v>58</v>
      </c>
      <c r="AQ479" s="16"/>
    </row>
    <row r="480" ht="15.75" hidden="1" customHeight="1">
      <c r="A480" s="10" t="s">
        <v>2385</v>
      </c>
      <c r="B480" s="10" t="s">
        <v>2386</v>
      </c>
      <c r="C480" s="10" t="str">
        <f>VLOOKUP(A480,import!A:C,3,0)</f>
        <v>DOĞRU</v>
      </c>
      <c r="D480" s="10" t="s">
        <v>45</v>
      </c>
      <c r="E480" s="10">
        <f>VLOOKUP(A480,import!A:J,5,0)</f>
        <v>2931</v>
      </c>
      <c r="F480" s="10">
        <f>VLOOKUP(A480,import!A:J,6,0)</f>
        <v>115</v>
      </c>
      <c r="G480" s="10">
        <f>VLOOKUP(A480,import!A:J,7,0)</f>
        <v>0</v>
      </c>
      <c r="H480" s="10">
        <f>VLOOKUP(A480,import!A:J,8,0)</f>
        <v>12</v>
      </c>
      <c r="I480" s="10">
        <f>VLOOKUP(A480,import!A:J,9,0)</f>
        <v>12</v>
      </c>
      <c r="J480" s="11">
        <f>VLOOKUP(A480,import!A:J,10,0)</f>
        <v>0</v>
      </c>
      <c r="K480" s="10" t="s">
        <v>2387</v>
      </c>
      <c r="L480" s="10">
        <v>5.436595393E9</v>
      </c>
      <c r="M480" s="10" t="s">
        <v>187</v>
      </c>
      <c r="N480" s="10" t="s">
        <v>188</v>
      </c>
      <c r="O480" s="10" t="s">
        <v>2388</v>
      </c>
      <c r="P480" s="10" t="str">
        <f>VLOOKUP(A480,import!A:P,16,0)</f>
        <v>Geleneksel</v>
      </c>
      <c r="Q480" s="12"/>
      <c r="R480" s="12" t="b">
        <v>0</v>
      </c>
      <c r="S480" s="12" t="b">
        <v>0</v>
      </c>
      <c r="T480" s="13" t="s">
        <v>485</v>
      </c>
      <c r="U480" s="13"/>
      <c r="V480" s="13"/>
      <c r="W480" s="13"/>
      <c r="X480" s="15"/>
      <c r="Y480" s="15"/>
      <c r="Z480" s="16"/>
      <c r="AA480" s="16"/>
      <c r="AB480" s="16"/>
      <c r="AC480" s="16"/>
      <c r="AD480" s="16"/>
      <c r="AE480" s="17"/>
      <c r="AF480" s="16"/>
      <c r="AG480" s="17"/>
      <c r="AH480" s="16"/>
      <c r="AI480" s="16"/>
      <c r="AJ480" s="16"/>
      <c r="AK480" s="16"/>
      <c r="AL480" s="16"/>
      <c r="AM480" s="16"/>
      <c r="AN480" s="16"/>
      <c r="AO480" s="16"/>
      <c r="AP480" s="18" t="s">
        <v>58</v>
      </c>
      <c r="AQ480" s="16"/>
    </row>
    <row r="481" ht="15.75" hidden="1" customHeight="1">
      <c r="A481" s="18" t="s">
        <v>2389</v>
      </c>
      <c r="B481" s="18" t="s">
        <v>2390</v>
      </c>
      <c r="C481" s="10" t="str">
        <f>VLOOKUP(A481,import!A:C,3,0)</f>
        <v>DOĞRU</v>
      </c>
      <c r="D481" s="18" t="s">
        <v>70</v>
      </c>
      <c r="E481" s="10">
        <f>VLOOKUP(A481,import!A:J,5,0)</f>
        <v>51</v>
      </c>
      <c r="F481" s="10">
        <f>VLOOKUP(A481,import!A:J,6,0)</f>
        <v>51</v>
      </c>
      <c r="G481" s="10">
        <f>VLOOKUP(A481,import!A:J,7,0)</f>
        <v>0</v>
      </c>
      <c r="H481" s="10">
        <f>VLOOKUP(A481,import!A:J,8,0)</f>
        <v>11</v>
      </c>
      <c r="I481" s="10">
        <f>VLOOKUP(A481,import!A:J,9,0)</f>
        <v>11</v>
      </c>
      <c r="J481" s="11">
        <f>VLOOKUP(A481,import!A:J,10,0)</f>
        <v>0</v>
      </c>
      <c r="K481" s="18" t="s">
        <v>2391</v>
      </c>
      <c r="L481" s="18">
        <v>5.461233347E9</v>
      </c>
      <c r="M481" s="18" t="s">
        <v>215</v>
      </c>
      <c r="N481" s="18" t="s">
        <v>2392</v>
      </c>
      <c r="O481" s="18" t="s">
        <v>2393</v>
      </c>
      <c r="P481" s="10" t="str">
        <f>VLOOKUP(A481,import!A:P,16,0)</f>
        <v>Geleneksel</v>
      </c>
      <c r="Q481" s="12"/>
      <c r="R481" s="12" t="b">
        <v>1</v>
      </c>
      <c r="S481" s="12" t="b">
        <v>0</v>
      </c>
      <c r="T481" s="13" t="s">
        <v>130</v>
      </c>
      <c r="U481" s="13"/>
      <c r="V481" s="13"/>
      <c r="W481" s="13" t="s">
        <v>2394</v>
      </c>
      <c r="X481" s="15"/>
      <c r="Y481" s="15"/>
      <c r="Z481" s="16"/>
      <c r="AA481" s="17" t="s">
        <v>56</v>
      </c>
      <c r="AB481" s="16">
        <v>44671.0</v>
      </c>
      <c r="AC481" s="16"/>
      <c r="AD481" s="16"/>
      <c r="AE481" s="17"/>
      <c r="AF481" s="16"/>
      <c r="AG481" s="17"/>
      <c r="AH481" s="16"/>
      <c r="AI481" s="16"/>
      <c r="AJ481" s="16"/>
      <c r="AK481" s="17" t="s">
        <v>87</v>
      </c>
      <c r="AL481" s="16"/>
      <c r="AM481" s="16"/>
      <c r="AN481" s="16"/>
      <c r="AO481" s="16"/>
      <c r="AP481" s="18"/>
      <c r="AQ481" s="16"/>
    </row>
    <row r="482" ht="15.75" hidden="1" customHeight="1">
      <c r="A482" s="10" t="s">
        <v>2395</v>
      </c>
      <c r="B482" s="10" t="s">
        <v>2396</v>
      </c>
      <c r="C482" s="10" t="str">
        <f>VLOOKUP(A482,import!A:C,3,0)</f>
        <v>DOĞRU</v>
      </c>
      <c r="D482" s="10" t="s">
        <v>70</v>
      </c>
      <c r="E482" s="10">
        <f>VLOOKUP(A482,import!A:J,5,0)</f>
        <v>1004</v>
      </c>
      <c r="F482" s="10">
        <f>VLOOKUP(A482,import!A:J,6,0)</f>
        <v>94</v>
      </c>
      <c r="G482" s="10">
        <f>VLOOKUP(A482,import!A:J,7,0)</f>
        <v>0</v>
      </c>
      <c r="H482" s="10">
        <f>VLOOKUP(A482,import!A:J,8,0)</f>
        <v>11</v>
      </c>
      <c r="I482" s="10">
        <f>VLOOKUP(A482,import!A:J,9,0)</f>
        <v>11</v>
      </c>
      <c r="J482" s="11">
        <f>VLOOKUP(A482,import!A:J,10,0)</f>
        <v>0</v>
      </c>
      <c r="K482" s="10" t="s">
        <v>2397</v>
      </c>
      <c r="L482" s="10">
        <v>3.247120014E9</v>
      </c>
      <c r="M482" s="10" t="s">
        <v>187</v>
      </c>
      <c r="N482" s="10" t="s">
        <v>188</v>
      </c>
      <c r="O482" s="10" t="s">
        <v>2398</v>
      </c>
      <c r="P482" s="10" t="str">
        <f>VLOOKUP(A482,import!A:P,16,0)</f>
        <v>Geleneksel</v>
      </c>
      <c r="Q482" s="12"/>
      <c r="R482" s="12" t="b">
        <v>0</v>
      </c>
      <c r="S482" s="12" t="b">
        <v>0</v>
      </c>
      <c r="T482" s="13"/>
      <c r="U482" s="13"/>
      <c r="V482" s="13"/>
      <c r="W482" s="13"/>
      <c r="X482" s="15"/>
      <c r="Y482" s="15"/>
      <c r="Z482" s="16"/>
      <c r="AA482" s="16"/>
      <c r="AB482" s="16"/>
      <c r="AC482" s="16"/>
      <c r="AD482" s="16"/>
      <c r="AE482" s="17"/>
      <c r="AF482" s="16"/>
      <c r="AG482" s="17"/>
      <c r="AH482" s="16"/>
      <c r="AI482" s="16"/>
      <c r="AJ482" s="16"/>
      <c r="AK482" s="16"/>
      <c r="AL482" s="16"/>
      <c r="AM482" s="16"/>
      <c r="AN482" s="16"/>
      <c r="AO482" s="16"/>
      <c r="AP482" s="18"/>
      <c r="AQ482" s="16"/>
    </row>
    <row r="483" ht="15.75" hidden="1" customHeight="1">
      <c r="A483" s="10" t="s">
        <v>2399</v>
      </c>
      <c r="B483" s="10" t="s">
        <v>2400</v>
      </c>
      <c r="C483" s="10" t="str">
        <f>VLOOKUP(A483,import!A:C,3,0)</f>
        <v>DOĞRU</v>
      </c>
      <c r="D483" s="10" t="s">
        <v>372</v>
      </c>
      <c r="E483" s="10">
        <f>VLOOKUP(A483,import!A:J,5,0)</f>
        <v>3012</v>
      </c>
      <c r="F483" s="10">
        <f>VLOOKUP(A483,import!A:J,6,0)</f>
        <v>123</v>
      </c>
      <c r="G483" s="10">
        <f>VLOOKUP(A483,import!A:J,7,0)</f>
        <v>59</v>
      </c>
      <c r="H483" s="10">
        <f>VLOOKUP(A483,import!A:J,8,0)</f>
        <v>4</v>
      </c>
      <c r="I483" s="10">
        <f>VLOOKUP(A483,import!A:J,9,0)</f>
        <v>63</v>
      </c>
      <c r="J483" s="11">
        <f>VLOOKUP(A483,import!A:J,10,0)</f>
        <v>0.94</v>
      </c>
      <c r="K483" s="10" t="s">
        <v>2401</v>
      </c>
      <c r="L483" s="10">
        <v>5.523854963E9</v>
      </c>
      <c r="M483" s="10" t="s">
        <v>72</v>
      </c>
      <c r="N483" s="10" t="s">
        <v>716</v>
      </c>
      <c r="O483" s="10" t="s">
        <v>2402</v>
      </c>
      <c r="P483" s="10" t="str">
        <f>VLOOKUP(A483,import!A:P,16,0)</f>
        <v>Geleneksel</v>
      </c>
      <c r="Q483" s="12" t="s">
        <v>84</v>
      </c>
      <c r="R483" s="12" t="b">
        <v>1</v>
      </c>
      <c r="S483" s="12" t="b">
        <v>0</v>
      </c>
      <c r="T483" s="13" t="s">
        <v>51</v>
      </c>
      <c r="U483" s="13" t="s">
        <v>103</v>
      </c>
      <c r="V483" s="13" t="s">
        <v>66</v>
      </c>
      <c r="W483" s="38" t="s">
        <v>2403</v>
      </c>
      <c r="X483" s="15">
        <v>44483.0</v>
      </c>
      <c r="Y483" s="15">
        <v>44487.0</v>
      </c>
      <c r="Z483" s="16"/>
      <c r="AA483" s="17" t="s">
        <v>56</v>
      </c>
      <c r="AB483" s="16">
        <v>44358.0</v>
      </c>
      <c r="AC483" s="17" t="s">
        <v>56</v>
      </c>
      <c r="AD483" s="16">
        <v>44483.0</v>
      </c>
      <c r="AE483" s="17" t="s">
        <v>56</v>
      </c>
      <c r="AF483" s="16">
        <v>44538.0</v>
      </c>
      <c r="AG483" s="17" t="s">
        <v>56</v>
      </c>
      <c r="AH483" s="16">
        <v>44560.0</v>
      </c>
      <c r="AI483" s="16"/>
      <c r="AJ483" s="16"/>
      <c r="AK483" s="17" t="s">
        <v>163</v>
      </c>
      <c r="AL483" s="17" t="s">
        <v>103</v>
      </c>
      <c r="AM483" s="17" t="s">
        <v>87</v>
      </c>
      <c r="AN483" s="17" t="s">
        <v>87</v>
      </c>
      <c r="AO483" s="16"/>
      <c r="AP483" s="18" t="s">
        <v>58</v>
      </c>
      <c r="AQ483" s="16"/>
    </row>
    <row r="484" ht="15.75" hidden="1" customHeight="1">
      <c r="A484" s="10" t="s">
        <v>2404</v>
      </c>
      <c r="B484" s="10" t="s">
        <v>2405</v>
      </c>
      <c r="C484" s="10" t="str">
        <f>VLOOKUP(A484,import!A:C,3,0)</f>
        <v>DOĞRU</v>
      </c>
      <c r="D484" s="10" t="s">
        <v>754</v>
      </c>
      <c r="E484" s="10">
        <f>VLOOKUP(A484,import!A:J,5,0)</f>
        <v>460</v>
      </c>
      <c r="F484" s="10">
        <f>VLOOKUP(A484,import!A:J,6,0)</f>
        <v>25</v>
      </c>
      <c r="G484" s="10">
        <f>VLOOKUP(A484,import!A:J,7,0)</f>
        <v>0</v>
      </c>
      <c r="H484" s="10">
        <f>VLOOKUP(A484,import!A:J,8,0)</f>
        <v>21</v>
      </c>
      <c r="I484" s="10">
        <f>VLOOKUP(A484,import!A:J,9,0)</f>
        <v>21</v>
      </c>
      <c r="J484" s="11">
        <f>VLOOKUP(A484,import!A:J,10,0)</f>
        <v>0</v>
      </c>
      <c r="K484" s="10" t="s">
        <v>2406</v>
      </c>
      <c r="L484" s="10">
        <v>5.399411536E9</v>
      </c>
      <c r="M484" s="10" t="s">
        <v>72</v>
      </c>
      <c r="N484" s="10" t="s">
        <v>415</v>
      </c>
      <c r="O484" s="10" t="s">
        <v>2407</v>
      </c>
      <c r="P484" s="10" t="str">
        <f>VLOOKUP(A484,import!A:P,16,0)</f>
        <v>Geleneksel</v>
      </c>
      <c r="Q484" s="12"/>
      <c r="R484" s="12" t="b">
        <v>1</v>
      </c>
      <c r="S484" s="12" t="b">
        <v>1</v>
      </c>
      <c r="T484" s="13"/>
      <c r="U484" s="13"/>
      <c r="V484" s="13"/>
      <c r="W484" s="13" t="s">
        <v>2408</v>
      </c>
      <c r="X484" s="15"/>
      <c r="Y484" s="15"/>
      <c r="Z484" s="16"/>
      <c r="AA484" s="17" t="s">
        <v>56</v>
      </c>
      <c r="AB484" s="16">
        <v>44481.0</v>
      </c>
      <c r="AC484" s="17" t="s">
        <v>55</v>
      </c>
      <c r="AD484" s="16">
        <v>44551.0</v>
      </c>
      <c r="AE484" s="17"/>
      <c r="AF484" s="16"/>
      <c r="AG484" s="17"/>
      <c r="AH484" s="16"/>
      <c r="AI484" s="16"/>
      <c r="AJ484" s="16"/>
      <c r="AK484" s="17" t="s">
        <v>87</v>
      </c>
      <c r="AL484" s="17" t="s">
        <v>314</v>
      </c>
      <c r="AM484" s="16"/>
      <c r="AN484" s="16"/>
      <c r="AO484" s="16"/>
      <c r="AP484" s="18" t="s">
        <v>58</v>
      </c>
      <c r="AQ484" s="16"/>
    </row>
    <row r="485" ht="15.75" hidden="1" customHeight="1">
      <c r="A485" s="10" t="s">
        <v>2409</v>
      </c>
      <c r="B485" s="10" t="s">
        <v>2410</v>
      </c>
      <c r="C485" s="10" t="str">
        <f>VLOOKUP(A485,import!A:C,3,0)</f>
        <v>DOĞRU</v>
      </c>
      <c r="D485" s="10" t="s">
        <v>356</v>
      </c>
      <c r="E485" s="10">
        <f>VLOOKUP(A485,import!A:J,5,0)</f>
        <v>119</v>
      </c>
      <c r="F485" s="10">
        <f>VLOOKUP(A485,import!A:J,6,0)</f>
        <v>29</v>
      </c>
      <c r="G485" s="10">
        <f>VLOOKUP(A485,import!A:J,7,0)</f>
        <v>8</v>
      </c>
      <c r="H485" s="10">
        <f>VLOOKUP(A485,import!A:J,8,0)</f>
        <v>8</v>
      </c>
      <c r="I485" s="10">
        <f>VLOOKUP(A485,import!A:J,9,0)</f>
        <v>16</v>
      </c>
      <c r="J485" s="11">
        <f>VLOOKUP(A485,import!A:J,10,0)</f>
        <v>0.5</v>
      </c>
      <c r="K485" s="10" t="s">
        <v>2411</v>
      </c>
      <c r="L485" s="10">
        <v>5.423883533E9</v>
      </c>
      <c r="M485" s="10" t="s">
        <v>72</v>
      </c>
      <c r="N485" s="10" t="s">
        <v>509</v>
      </c>
      <c r="O485" s="10" t="s">
        <v>2412</v>
      </c>
      <c r="P485" s="10" t="str">
        <f>VLOOKUP(A485,import!A:P,16,0)</f>
        <v>Geleneksel</v>
      </c>
      <c r="Q485" s="12"/>
      <c r="R485" s="12" t="b">
        <v>1</v>
      </c>
      <c r="S485" s="12" t="b">
        <v>0</v>
      </c>
      <c r="T485" s="13" t="s">
        <v>51</v>
      </c>
      <c r="U485" s="13" t="s">
        <v>133</v>
      </c>
      <c r="V485" s="17" t="s">
        <v>131</v>
      </c>
      <c r="W485" s="13"/>
      <c r="X485" s="15">
        <v>44629.0</v>
      </c>
      <c r="Y485" s="15">
        <v>44630.0</v>
      </c>
      <c r="Z485" s="16"/>
      <c r="AA485" s="17" t="s">
        <v>56</v>
      </c>
      <c r="AB485" s="16">
        <v>44629.0</v>
      </c>
      <c r="AC485" s="16"/>
      <c r="AD485" s="16"/>
      <c r="AE485" s="17"/>
      <c r="AF485" s="16"/>
      <c r="AG485" s="17"/>
      <c r="AH485" s="16"/>
      <c r="AI485" s="16"/>
      <c r="AJ485" s="16"/>
      <c r="AK485" s="17" t="s">
        <v>133</v>
      </c>
      <c r="AL485" s="16"/>
      <c r="AM485" s="16"/>
      <c r="AN485" s="16"/>
      <c r="AO485" s="16"/>
      <c r="AP485" s="18"/>
      <c r="AQ485" s="16"/>
    </row>
    <row r="486" ht="15.75" hidden="1" customHeight="1">
      <c r="A486" s="10" t="s">
        <v>2413</v>
      </c>
      <c r="B486" s="10" t="s">
        <v>2414</v>
      </c>
      <c r="C486" s="10" t="str">
        <f>VLOOKUP(A486,import!A:C,3,0)</f>
        <v>DOĞRU</v>
      </c>
      <c r="D486" s="10" t="s">
        <v>80</v>
      </c>
      <c r="E486" s="10">
        <f>VLOOKUP(A486,import!A:J,5,0)</f>
        <v>361</v>
      </c>
      <c r="F486" s="10">
        <f>VLOOKUP(A486,import!A:J,6,0)</f>
        <v>9</v>
      </c>
      <c r="G486" s="10">
        <f>VLOOKUP(A486,import!A:J,7,0)</f>
        <v>10</v>
      </c>
      <c r="H486" s="10">
        <f>VLOOKUP(A486,import!A:J,8,0)</f>
        <v>5</v>
      </c>
      <c r="I486" s="10">
        <f>VLOOKUP(A486,import!A:J,9,0)</f>
        <v>15</v>
      </c>
      <c r="J486" s="11">
        <f>VLOOKUP(A486,import!A:J,10,0)</f>
        <v>0.67</v>
      </c>
      <c r="K486" s="10" t="s">
        <v>2415</v>
      </c>
      <c r="L486" s="10">
        <v>5.378902693E9</v>
      </c>
      <c r="M486" s="10" t="s">
        <v>215</v>
      </c>
      <c r="N486" s="10" t="s">
        <v>2416</v>
      </c>
      <c r="O486" s="10" t="s">
        <v>2417</v>
      </c>
      <c r="P486" s="10" t="str">
        <f>VLOOKUP(A486,import!A:P,16,0)</f>
        <v>Geleneksel</v>
      </c>
      <c r="Q486" s="12"/>
      <c r="R486" s="12" t="b">
        <v>1</v>
      </c>
      <c r="S486" s="12" t="b">
        <v>0</v>
      </c>
      <c r="T486" s="13" t="s">
        <v>51</v>
      </c>
      <c r="U486" s="13" t="s">
        <v>89</v>
      </c>
      <c r="V486" s="13" t="s">
        <v>53</v>
      </c>
      <c r="W486" s="13" t="s">
        <v>2418</v>
      </c>
      <c r="X486" s="15">
        <v>44548.0</v>
      </c>
      <c r="Y486" s="15">
        <v>44551.0</v>
      </c>
      <c r="Z486" s="16"/>
      <c r="AA486" s="17" t="s">
        <v>56</v>
      </c>
      <c r="AB486" s="16">
        <v>44508.0</v>
      </c>
      <c r="AC486" s="17" t="s">
        <v>56</v>
      </c>
      <c r="AD486" s="16">
        <v>44509.0</v>
      </c>
      <c r="AE486" s="17" t="s">
        <v>56</v>
      </c>
      <c r="AF486" s="16">
        <v>44548.0</v>
      </c>
      <c r="AG486" s="17"/>
      <c r="AH486" s="16"/>
      <c r="AI486" s="16"/>
      <c r="AJ486" s="16"/>
      <c r="AK486" s="17" t="s">
        <v>133</v>
      </c>
      <c r="AL486" s="17" t="s">
        <v>103</v>
      </c>
      <c r="AM486" s="17" t="s">
        <v>89</v>
      </c>
      <c r="AN486" s="16"/>
      <c r="AO486" s="16"/>
      <c r="AP486" s="18" t="s">
        <v>58</v>
      </c>
      <c r="AQ486" s="16"/>
    </row>
    <row r="487" ht="15.75" customHeight="1">
      <c r="A487" s="10" t="s">
        <v>2419</v>
      </c>
      <c r="B487" s="10" t="s">
        <v>2420</v>
      </c>
      <c r="C487" s="10" t="str">
        <f>VLOOKUP(A487,import!A:C,3,0)</f>
        <v>DOĞRU</v>
      </c>
      <c r="D487" s="10" t="s">
        <v>80</v>
      </c>
      <c r="E487" s="10">
        <f>VLOOKUP(A487,import!A:J,5,0)</f>
        <v>2062</v>
      </c>
      <c r="F487" s="10">
        <f>VLOOKUP(A487,import!A:J,6,0)</f>
        <v>75</v>
      </c>
      <c r="G487" s="10">
        <f>VLOOKUP(A487,import!A:J,7,0)</f>
        <v>3</v>
      </c>
      <c r="H487" s="10">
        <f>VLOOKUP(A487,import!A:J,8,0)</f>
        <v>3</v>
      </c>
      <c r="I487" s="10">
        <f>VLOOKUP(A487,import!A:J,9,0)</f>
        <v>6</v>
      </c>
      <c r="J487" s="11">
        <f>VLOOKUP(A487,import!A:J,10,0)</f>
        <v>0.5</v>
      </c>
      <c r="K487" s="10" t="s">
        <v>2421</v>
      </c>
      <c r="L487" s="10">
        <v>5.424706843E9</v>
      </c>
      <c r="M487" s="10" t="s">
        <v>137</v>
      </c>
      <c r="N487" s="10" t="s">
        <v>1524</v>
      </c>
      <c r="O487" s="10" t="s">
        <v>2422</v>
      </c>
      <c r="P487" s="10" t="str">
        <f>VLOOKUP(A487,import!A:P,16,0)</f>
        <v>Geleneksel</v>
      </c>
      <c r="Q487" s="12"/>
      <c r="R487" s="12" t="b">
        <v>1</v>
      </c>
      <c r="S487" s="12" t="b">
        <v>0</v>
      </c>
      <c r="T487" s="13" t="s">
        <v>51</v>
      </c>
      <c r="U487" s="13" t="s">
        <v>1470</v>
      </c>
      <c r="V487" s="13" t="s">
        <v>53</v>
      </c>
      <c r="W487" s="13"/>
      <c r="X487" s="15">
        <v>44332.0</v>
      </c>
      <c r="Y487" s="15">
        <v>44333.0</v>
      </c>
      <c r="Z487" s="16"/>
      <c r="AA487" s="16"/>
      <c r="AB487" s="16"/>
      <c r="AC487" s="16"/>
      <c r="AD487" s="16"/>
      <c r="AE487" s="17"/>
      <c r="AF487" s="16"/>
      <c r="AG487" s="17"/>
      <c r="AH487" s="16"/>
      <c r="AI487" s="16"/>
      <c r="AJ487" s="16"/>
      <c r="AK487" s="16"/>
      <c r="AL487" s="16"/>
      <c r="AM487" s="16"/>
      <c r="AN487" s="16"/>
      <c r="AO487" s="16"/>
      <c r="AP487" s="18" t="s">
        <v>58</v>
      </c>
      <c r="AQ487" s="16"/>
    </row>
    <row r="488" ht="15.75" customHeight="1">
      <c r="A488" s="10" t="s">
        <v>2423</v>
      </c>
      <c r="B488" s="10" t="s">
        <v>2424</v>
      </c>
      <c r="C488" s="10" t="str">
        <f>VLOOKUP(A488,import!A:C,3,0)</f>
        <v>DOĞRU</v>
      </c>
      <c r="D488" s="10" t="s">
        <v>80</v>
      </c>
      <c r="E488" s="10">
        <f>VLOOKUP(A488,import!A:J,5,0)</f>
        <v>723</v>
      </c>
      <c r="F488" s="10">
        <f>VLOOKUP(A488,import!A:J,6,0)</f>
        <v>86</v>
      </c>
      <c r="G488" s="10">
        <f>VLOOKUP(A488,import!A:J,7,0)</f>
        <v>0</v>
      </c>
      <c r="H488" s="10">
        <f>VLOOKUP(A488,import!A:J,8,0)</f>
        <v>24</v>
      </c>
      <c r="I488" s="10">
        <f>VLOOKUP(A488,import!A:J,9,0)</f>
        <v>24</v>
      </c>
      <c r="J488" s="11">
        <f>VLOOKUP(A488,import!A:J,10,0)</f>
        <v>0</v>
      </c>
      <c r="K488" s="10" t="s">
        <v>2425</v>
      </c>
      <c r="L488" s="10">
        <v>3.243584777E9</v>
      </c>
      <c r="M488" s="10" t="s">
        <v>63</v>
      </c>
      <c r="N488" s="10" t="s">
        <v>700</v>
      </c>
      <c r="O488" s="10" t="s">
        <v>2426</v>
      </c>
      <c r="P488" s="10" t="str">
        <f>VLOOKUP(A488,import!A:P,16,0)</f>
        <v>Geleneksel</v>
      </c>
      <c r="Q488" s="12"/>
      <c r="R488" s="12" t="b">
        <v>1</v>
      </c>
      <c r="S488" s="12" t="b">
        <v>0</v>
      </c>
      <c r="T488" s="13" t="s">
        <v>55</v>
      </c>
      <c r="U488" s="13"/>
      <c r="V488" s="13"/>
      <c r="W488" s="13" t="s">
        <v>1002</v>
      </c>
      <c r="X488" s="15"/>
      <c r="Y488" s="15"/>
      <c r="Z488" s="16"/>
      <c r="AA488" s="17" t="s">
        <v>55</v>
      </c>
      <c r="AB488" s="16">
        <v>44585.0</v>
      </c>
      <c r="AC488" s="17" t="s">
        <v>55</v>
      </c>
      <c r="AD488" s="16">
        <v>44590.0</v>
      </c>
      <c r="AE488" s="17"/>
      <c r="AF488" s="16"/>
      <c r="AG488" s="17"/>
      <c r="AH488" s="16"/>
      <c r="AI488" s="16"/>
      <c r="AJ488" s="16"/>
      <c r="AK488" s="17" t="s">
        <v>52</v>
      </c>
      <c r="AL488" s="17" t="s">
        <v>133</v>
      </c>
      <c r="AM488" s="16"/>
      <c r="AN488" s="16"/>
      <c r="AO488" s="16"/>
      <c r="AP488" s="18"/>
      <c r="AQ488" s="16"/>
    </row>
    <row r="489" ht="15.75" hidden="1" customHeight="1">
      <c r="A489" s="10" t="s">
        <v>2427</v>
      </c>
      <c r="B489" s="10" t="s">
        <v>2428</v>
      </c>
      <c r="C489" s="10" t="str">
        <f>VLOOKUP(A489,import!A:C,3,0)</f>
        <v>DOĞRU</v>
      </c>
      <c r="D489" s="10" t="s">
        <v>80</v>
      </c>
      <c r="E489" s="10">
        <f>VLOOKUP(A489,import!A:J,5,0)</f>
        <v>4955</v>
      </c>
      <c r="F489" s="10">
        <f>VLOOKUP(A489,import!A:J,6,0)</f>
        <v>269</v>
      </c>
      <c r="G489" s="10">
        <f>VLOOKUP(A489,import!A:J,7,0)</f>
        <v>16</v>
      </c>
      <c r="H489" s="10">
        <f>VLOOKUP(A489,import!A:J,8,0)</f>
        <v>2</v>
      </c>
      <c r="I489" s="10">
        <f>VLOOKUP(A489,import!A:J,9,0)</f>
        <v>18</v>
      </c>
      <c r="J489" s="11">
        <f>VLOOKUP(A489,import!A:J,10,0)</f>
        <v>0.89</v>
      </c>
      <c r="K489" s="10" t="s">
        <v>2429</v>
      </c>
      <c r="L489" s="10">
        <v>5.313942433E9</v>
      </c>
      <c r="M489" s="10" t="s">
        <v>72</v>
      </c>
      <c r="N489" s="10" t="s">
        <v>128</v>
      </c>
      <c r="O489" s="10" t="s">
        <v>2430</v>
      </c>
      <c r="P489" s="10" t="str">
        <f>VLOOKUP(A489,import!A:P,16,0)</f>
        <v>Geleneksel</v>
      </c>
      <c r="Q489" s="12" t="s">
        <v>146</v>
      </c>
      <c r="R489" s="12" t="b">
        <v>1</v>
      </c>
      <c r="S489" s="12" t="b">
        <v>0</v>
      </c>
      <c r="T489" s="13" t="s">
        <v>51</v>
      </c>
      <c r="U489" s="13" t="s">
        <v>654</v>
      </c>
      <c r="V489" s="13" t="s">
        <v>53</v>
      </c>
      <c r="W489" s="13" t="s">
        <v>2431</v>
      </c>
      <c r="X489" s="15">
        <v>44280.0</v>
      </c>
      <c r="Y489" s="15">
        <v>44280.0</v>
      </c>
      <c r="Z489" s="16"/>
      <c r="AA489" s="17"/>
      <c r="AB489" s="16"/>
      <c r="AC489" s="16"/>
      <c r="AD489" s="16"/>
      <c r="AE489" s="17"/>
      <c r="AF489" s="16"/>
      <c r="AG489" s="17"/>
      <c r="AH489" s="16"/>
      <c r="AI489" s="16"/>
      <c r="AJ489" s="16"/>
      <c r="AK489" s="16"/>
      <c r="AL489" s="16"/>
      <c r="AM489" s="16"/>
      <c r="AN489" s="16"/>
      <c r="AO489" s="16"/>
      <c r="AP489" s="18" t="s">
        <v>58</v>
      </c>
      <c r="AQ489" s="16"/>
    </row>
    <row r="490" ht="15.75" hidden="1" customHeight="1">
      <c r="A490" s="18" t="s">
        <v>2432</v>
      </c>
      <c r="B490" s="18" t="s">
        <v>2433</v>
      </c>
      <c r="C490" s="10" t="str">
        <f>VLOOKUP(A490,import!A:C,3,0)</f>
        <v>DOĞRU</v>
      </c>
      <c r="D490" s="18" t="s">
        <v>564</v>
      </c>
      <c r="E490" s="10">
        <f>VLOOKUP(A490,import!A:J,5,0)</f>
        <v>5</v>
      </c>
      <c r="F490" s="10">
        <f>VLOOKUP(A490,import!A:J,6,0)</f>
        <v>5</v>
      </c>
      <c r="G490" s="10">
        <f>VLOOKUP(A490,import!A:J,7,0)</f>
        <v>0</v>
      </c>
      <c r="H490" s="10">
        <f>VLOOKUP(A490,import!A:J,8,0)</f>
        <v>13</v>
      </c>
      <c r="I490" s="10">
        <f>VLOOKUP(A490,import!A:J,9,0)</f>
        <v>13</v>
      </c>
      <c r="J490" s="11">
        <f>VLOOKUP(A490,import!A:J,10,0)</f>
        <v>0</v>
      </c>
      <c r="K490" s="18" t="s">
        <v>2434</v>
      </c>
      <c r="L490" s="18">
        <v>5.465776644E9</v>
      </c>
      <c r="M490" s="18" t="s">
        <v>187</v>
      </c>
      <c r="N490" s="18" t="s">
        <v>2435</v>
      </c>
      <c r="O490" s="18" t="s">
        <v>2436</v>
      </c>
      <c r="P490" s="10" t="str">
        <f>VLOOKUP(A490,import!A:P,16,0)</f>
        <v>Geleneksel</v>
      </c>
      <c r="Q490" s="12"/>
      <c r="R490" s="12" t="b">
        <v>0</v>
      </c>
      <c r="S490" s="12" t="b">
        <v>0</v>
      </c>
      <c r="T490" s="13"/>
      <c r="U490" s="13"/>
      <c r="V490" s="13"/>
      <c r="W490" s="13"/>
      <c r="X490" s="15"/>
      <c r="Y490" s="15"/>
      <c r="Z490" s="16"/>
      <c r="AA490" s="17"/>
      <c r="AB490" s="16"/>
      <c r="AC490" s="16"/>
      <c r="AD490" s="16"/>
      <c r="AE490" s="17"/>
      <c r="AF490" s="16"/>
      <c r="AG490" s="17"/>
      <c r="AH490" s="16"/>
      <c r="AI490" s="16"/>
      <c r="AJ490" s="16"/>
      <c r="AK490" s="17"/>
      <c r="AL490" s="16"/>
      <c r="AM490" s="16"/>
      <c r="AN490" s="16"/>
      <c r="AO490" s="16"/>
      <c r="AP490" s="18"/>
      <c r="AQ490" s="16"/>
    </row>
    <row r="491" ht="15.75" hidden="1" customHeight="1">
      <c r="A491" s="10" t="s">
        <v>2437</v>
      </c>
      <c r="B491" s="10" t="s">
        <v>2438</v>
      </c>
      <c r="C491" s="10" t="str">
        <f>VLOOKUP(A491,import!A:C,3,0)</f>
        <v>DOĞRU</v>
      </c>
      <c r="D491" s="10" t="s">
        <v>70</v>
      </c>
      <c r="E491" s="10">
        <f>VLOOKUP(A491,import!A:J,5,0)</f>
        <v>1344</v>
      </c>
      <c r="F491" s="10">
        <f>VLOOKUP(A491,import!A:J,6,0)</f>
        <v>36</v>
      </c>
      <c r="G491" s="10">
        <f>VLOOKUP(A491,import!A:J,7,0)</f>
        <v>8</v>
      </c>
      <c r="H491" s="10">
        <f>VLOOKUP(A491,import!A:J,8,0)</f>
        <v>23</v>
      </c>
      <c r="I491" s="10">
        <f>VLOOKUP(A491,import!A:J,9,0)</f>
        <v>31</v>
      </c>
      <c r="J491" s="11">
        <f>VLOOKUP(A491,import!A:J,10,0)</f>
        <v>0.26</v>
      </c>
      <c r="K491" s="10" t="s">
        <v>2439</v>
      </c>
      <c r="L491" s="10">
        <v>3.245153712E9</v>
      </c>
      <c r="M491" s="10" t="s">
        <v>47</v>
      </c>
      <c r="N491" s="10" t="s">
        <v>489</v>
      </c>
      <c r="O491" s="10" t="s">
        <v>2440</v>
      </c>
      <c r="P491" s="10" t="str">
        <f>VLOOKUP(A491,import!A:P,16,0)</f>
        <v>Geleneksel</v>
      </c>
      <c r="Q491" s="12"/>
      <c r="R491" s="12" t="b">
        <v>1</v>
      </c>
      <c r="S491" s="12" t="b">
        <v>0</v>
      </c>
      <c r="T491" s="13" t="s">
        <v>51</v>
      </c>
      <c r="U491" s="13" t="s">
        <v>52</v>
      </c>
      <c r="V491" s="13" t="s">
        <v>66</v>
      </c>
      <c r="W491" s="13" t="s">
        <v>2441</v>
      </c>
      <c r="X491" s="15">
        <v>44531.0</v>
      </c>
      <c r="Y491" s="15">
        <v>44533.0</v>
      </c>
      <c r="Z491" s="16"/>
      <c r="AA491" s="17" t="s">
        <v>56</v>
      </c>
      <c r="AB491" s="16">
        <v>44508.0</v>
      </c>
      <c r="AC491" s="17" t="s">
        <v>56</v>
      </c>
      <c r="AD491" s="16">
        <v>44531.0</v>
      </c>
      <c r="AE491" s="17" t="s">
        <v>56</v>
      </c>
      <c r="AF491" s="16">
        <v>44576.0</v>
      </c>
      <c r="AG491" s="17"/>
      <c r="AH491" s="16"/>
      <c r="AI491" s="16"/>
      <c r="AJ491" s="16"/>
      <c r="AK491" s="17" t="s">
        <v>133</v>
      </c>
      <c r="AL491" s="17" t="s">
        <v>52</v>
      </c>
      <c r="AM491" s="17" t="s">
        <v>87</v>
      </c>
      <c r="AN491" s="16"/>
      <c r="AO491" s="16"/>
      <c r="AP491" s="18" t="s">
        <v>58</v>
      </c>
      <c r="AQ491" s="16"/>
    </row>
    <row r="492" ht="15.75" hidden="1" customHeight="1">
      <c r="A492" s="10" t="s">
        <v>2442</v>
      </c>
      <c r="B492" s="10" t="s">
        <v>2443</v>
      </c>
      <c r="C492" s="10" t="str">
        <f>VLOOKUP(A492,import!A:C,3,0)</f>
        <v>YANLIŞ</v>
      </c>
      <c r="D492" s="10" t="s">
        <v>61</v>
      </c>
      <c r="E492" s="10">
        <f>VLOOKUP(A492,import!A:J,5,0)</f>
        <v>8</v>
      </c>
      <c r="F492" s="10" t="str">
        <f>VLOOKUP(A492,import!A:J,6,0)</f>
        <v/>
      </c>
      <c r="G492" s="10">
        <f>VLOOKUP(A492,import!A:J,7,0)</f>
        <v>6</v>
      </c>
      <c r="H492" s="10">
        <f>VLOOKUP(A492,import!A:J,8,0)</f>
        <v>8</v>
      </c>
      <c r="I492" s="10">
        <f>VLOOKUP(A492,import!A:J,9,0)</f>
        <v>14</v>
      </c>
      <c r="J492" s="11">
        <f>VLOOKUP(A492,import!A:J,10,0)</f>
        <v>0.43</v>
      </c>
      <c r="K492" s="10" t="s">
        <v>2444</v>
      </c>
      <c r="L492" s="10">
        <v>3.2432166E9</v>
      </c>
      <c r="M492" s="10" t="s">
        <v>215</v>
      </c>
      <c r="N492" s="10" t="s">
        <v>789</v>
      </c>
      <c r="O492" s="10" t="s">
        <v>2445</v>
      </c>
      <c r="P492" s="10" t="str">
        <f>VLOOKUP(A492,import!A:P,16,0)</f>
        <v>Geleneksel</v>
      </c>
      <c r="Q492" s="12" t="s">
        <v>146</v>
      </c>
      <c r="R492" s="12" t="b">
        <v>1</v>
      </c>
      <c r="S492" s="13" t="b">
        <v>0</v>
      </c>
      <c r="T492" s="13" t="s">
        <v>51</v>
      </c>
      <c r="U492" s="13" t="s">
        <v>258</v>
      </c>
      <c r="V492" s="13" t="s">
        <v>278</v>
      </c>
      <c r="W492" s="13" t="s">
        <v>2446</v>
      </c>
      <c r="X492" s="15">
        <v>44285.0</v>
      </c>
      <c r="Y492" s="15">
        <v>44287.0</v>
      </c>
      <c r="Z492" s="16"/>
      <c r="AA492" s="16"/>
      <c r="AB492" s="16"/>
      <c r="AC492" s="16"/>
      <c r="AD492" s="16"/>
      <c r="AE492" s="17"/>
      <c r="AF492" s="16"/>
      <c r="AG492" s="17"/>
      <c r="AH492" s="16"/>
      <c r="AI492" s="16"/>
      <c r="AJ492" s="16"/>
      <c r="AK492" s="16"/>
      <c r="AL492" s="16"/>
      <c r="AM492" s="16"/>
      <c r="AN492" s="16"/>
      <c r="AO492" s="16"/>
      <c r="AP492" s="18" t="s">
        <v>58</v>
      </c>
      <c r="AQ492" s="16"/>
    </row>
    <row r="493" ht="15.75" hidden="1" customHeight="1">
      <c r="A493" s="10" t="s">
        <v>2447</v>
      </c>
      <c r="B493" s="10" t="s">
        <v>2448</v>
      </c>
      <c r="C493" s="10" t="str">
        <f>VLOOKUP(A493,import!A:C,3,0)</f>
        <v>DOĞRU</v>
      </c>
      <c r="D493" s="10" t="s">
        <v>70</v>
      </c>
      <c r="E493" s="10">
        <f>VLOOKUP(A493,import!A:J,5,0)</f>
        <v>523</v>
      </c>
      <c r="F493" s="10">
        <f>VLOOKUP(A493,import!A:J,6,0)</f>
        <v>18</v>
      </c>
      <c r="G493" s="10">
        <f>VLOOKUP(A493,import!A:J,7,0)</f>
        <v>14</v>
      </c>
      <c r="H493" s="10">
        <f>VLOOKUP(A493,import!A:J,8,0)</f>
        <v>2</v>
      </c>
      <c r="I493" s="10">
        <f>VLOOKUP(A493,import!A:J,9,0)</f>
        <v>16</v>
      </c>
      <c r="J493" s="11">
        <f>VLOOKUP(A493,import!A:J,10,0)</f>
        <v>0.88</v>
      </c>
      <c r="K493" s="10" t="s">
        <v>2449</v>
      </c>
      <c r="L493" s="10">
        <v>5.527983313E9</v>
      </c>
      <c r="M493" s="10" t="s">
        <v>72</v>
      </c>
      <c r="N493" s="10" t="s">
        <v>73</v>
      </c>
      <c r="O493" s="10" t="s">
        <v>2450</v>
      </c>
      <c r="P493" s="10" t="str">
        <f>VLOOKUP(A493,import!A:P,16,0)</f>
        <v>Geleneksel</v>
      </c>
      <c r="Q493" s="12" t="s">
        <v>50</v>
      </c>
      <c r="R493" s="12" t="b">
        <v>1</v>
      </c>
      <c r="S493" s="12" t="b">
        <v>0</v>
      </c>
      <c r="T493" s="13" t="s">
        <v>51</v>
      </c>
      <c r="U493" s="13" t="s">
        <v>103</v>
      </c>
      <c r="V493" s="13" t="s">
        <v>66</v>
      </c>
      <c r="W493" s="13" t="s">
        <v>2451</v>
      </c>
      <c r="X493" s="15">
        <v>44483.0</v>
      </c>
      <c r="Y493" s="15">
        <v>44484.0</v>
      </c>
      <c r="Z493" s="17" t="s">
        <v>616</v>
      </c>
      <c r="AA493" s="17" t="s">
        <v>56</v>
      </c>
      <c r="AB493" s="16">
        <v>44358.0</v>
      </c>
      <c r="AC493" s="17" t="s">
        <v>56</v>
      </c>
      <c r="AD493" s="16">
        <v>44483.0</v>
      </c>
      <c r="AE493" s="17"/>
      <c r="AF493" s="16"/>
      <c r="AG493" s="17"/>
      <c r="AH493" s="16"/>
      <c r="AI493" s="16"/>
      <c r="AJ493" s="16"/>
      <c r="AK493" s="17" t="s">
        <v>163</v>
      </c>
      <c r="AL493" s="17" t="s">
        <v>103</v>
      </c>
      <c r="AM493" s="16"/>
      <c r="AN493" s="16"/>
      <c r="AO493" s="16"/>
      <c r="AP493" s="18" t="s">
        <v>58</v>
      </c>
      <c r="AQ493" s="16"/>
    </row>
    <row r="494" ht="15.75" hidden="1" customHeight="1">
      <c r="A494" s="10" t="s">
        <v>2452</v>
      </c>
      <c r="B494" s="10" t="s">
        <v>2453</v>
      </c>
      <c r="C494" s="10" t="str">
        <f>VLOOKUP(A494,import!A:C,3,0)</f>
        <v>DOĞRU</v>
      </c>
      <c r="D494" s="10" t="s">
        <v>70</v>
      </c>
      <c r="E494" s="10">
        <f>VLOOKUP(A494,import!A:J,5,0)</f>
        <v>2245</v>
      </c>
      <c r="F494" s="10">
        <f>VLOOKUP(A494,import!A:J,6,0)</f>
        <v>411</v>
      </c>
      <c r="G494" s="10">
        <f>VLOOKUP(A494,import!A:J,7,0)</f>
        <v>0</v>
      </c>
      <c r="H494" s="10">
        <f>VLOOKUP(A494,import!A:J,8,0)</f>
        <v>10</v>
      </c>
      <c r="I494" s="10">
        <f>VLOOKUP(A494,import!A:J,9,0)</f>
        <v>10</v>
      </c>
      <c r="J494" s="11">
        <f>VLOOKUP(A494,import!A:J,10,0)</f>
        <v>0</v>
      </c>
      <c r="K494" s="10" t="s">
        <v>2454</v>
      </c>
      <c r="L494" s="10">
        <v>3.246246333E9</v>
      </c>
      <c r="M494" s="10" t="s">
        <v>156</v>
      </c>
      <c r="N494" s="10" t="s">
        <v>338</v>
      </c>
      <c r="O494" s="10" t="s">
        <v>2455</v>
      </c>
      <c r="P494" s="10" t="str">
        <f>VLOOKUP(A494,import!A:P,16,0)</f>
        <v>Geleneksel</v>
      </c>
      <c r="Q494" s="12"/>
      <c r="R494" s="12" t="b">
        <v>0</v>
      </c>
      <c r="S494" s="12" t="b">
        <v>0</v>
      </c>
      <c r="T494" s="13"/>
      <c r="U494" s="13"/>
      <c r="V494" s="13"/>
      <c r="W494" s="13"/>
      <c r="X494" s="15"/>
      <c r="Y494" s="15"/>
      <c r="Z494" s="16"/>
      <c r="AA494" s="17"/>
      <c r="AB494" s="16"/>
      <c r="AC494" s="16"/>
      <c r="AD494" s="16"/>
      <c r="AE494" s="17"/>
      <c r="AF494" s="16"/>
      <c r="AG494" s="17"/>
      <c r="AH494" s="16"/>
      <c r="AI494" s="16"/>
      <c r="AJ494" s="16"/>
      <c r="AK494" s="17"/>
      <c r="AL494" s="16"/>
      <c r="AM494" s="16"/>
      <c r="AN494" s="16"/>
      <c r="AO494" s="16"/>
      <c r="AP494" s="18"/>
      <c r="AQ494" s="16"/>
    </row>
    <row r="495" ht="15.75" hidden="1" customHeight="1">
      <c r="A495" s="10" t="s">
        <v>2456</v>
      </c>
      <c r="B495" s="10" t="s">
        <v>2457</v>
      </c>
      <c r="C495" s="10" t="str">
        <f>VLOOKUP(A495,import!A:C,3,0)</f>
        <v>DOĞRU</v>
      </c>
      <c r="D495" s="10" t="s">
        <v>106</v>
      </c>
      <c r="E495" s="10">
        <f>VLOOKUP(A495,import!A:J,5,0)</f>
        <v>3119</v>
      </c>
      <c r="F495" s="10">
        <f>VLOOKUP(A495,import!A:J,6,0)</f>
        <v>345</v>
      </c>
      <c r="G495" s="10">
        <f>VLOOKUP(A495,import!A:J,7,0)</f>
        <v>0</v>
      </c>
      <c r="H495" s="10">
        <f>VLOOKUP(A495,import!A:J,8,0)</f>
        <v>20</v>
      </c>
      <c r="I495" s="10">
        <f>VLOOKUP(A495,import!A:J,9,0)</f>
        <v>20</v>
      </c>
      <c r="J495" s="11">
        <f>VLOOKUP(A495,import!A:J,10,0)</f>
        <v>0</v>
      </c>
      <c r="K495" s="10" t="s">
        <v>2458</v>
      </c>
      <c r="L495" s="10">
        <v>3.243603077E9</v>
      </c>
      <c r="M495" s="10" t="s">
        <v>156</v>
      </c>
      <c r="N495" s="10" t="s">
        <v>338</v>
      </c>
      <c r="O495" s="10" t="s">
        <v>2459</v>
      </c>
      <c r="P495" s="10" t="str">
        <f>VLOOKUP(A495,import!A:P,16,0)</f>
        <v>Geleneksel</v>
      </c>
      <c r="Q495" s="12"/>
      <c r="R495" s="12" t="b">
        <v>0</v>
      </c>
      <c r="S495" s="12" t="b">
        <v>0</v>
      </c>
      <c r="T495" s="13"/>
      <c r="U495" s="13"/>
      <c r="V495" s="13"/>
      <c r="W495" s="13"/>
      <c r="X495" s="15"/>
      <c r="Y495" s="15"/>
      <c r="Z495" s="16"/>
      <c r="AA495" s="16"/>
      <c r="AB495" s="16"/>
      <c r="AC495" s="16"/>
      <c r="AD495" s="16"/>
      <c r="AE495" s="17"/>
      <c r="AF495" s="16"/>
      <c r="AG495" s="17"/>
      <c r="AH495" s="16"/>
      <c r="AI495" s="16"/>
      <c r="AJ495" s="16"/>
      <c r="AK495" s="16"/>
      <c r="AL495" s="16"/>
      <c r="AM495" s="16"/>
      <c r="AN495" s="16"/>
      <c r="AO495" s="16"/>
      <c r="AP495" s="18" t="s">
        <v>58</v>
      </c>
      <c r="AQ495" s="16"/>
    </row>
    <row r="496" ht="15.75" customHeight="1">
      <c r="A496" s="10" t="s">
        <v>2460</v>
      </c>
      <c r="B496" s="10" t="s">
        <v>2461</v>
      </c>
      <c r="C496" s="10" t="str">
        <f>VLOOKUP(A496,import!A:C,3,0)</f>
        <v>DOĞRU</v>
      </c>
      <c r="D496" s="10" t="s">
        <v>80</v>
      </c>
      <c r="E496" s="10">
        <f>VLOOKUP(A496,import!A:J,5,0)</f>
        <v>1495</v>
      </c>
      <c r="F496" s="10">
        <f>VLOOKUP(A496,import!A:J,6,0)</f>
        <v>46</v>
      </c>
      <c r="G496" s="10">
        <f>VLOOKUP(A496,import!A:J,7,0)</f>
        <v>17</v>
      </c>
      <c r="H496" s="10">
        <f>VLOOKUP(A496,import!A:J,8,0)</f>
        <v>1</v>
      </c>
      <c r="I496" s="10">
        <f>VLOOKUP(A496,import!A:J,9,0)</f>
        <v>18</v>
      </c>
      <c r="J496" s="11">
        <f>VLOOKUP(A496,import!A:J,10,0)</f>
        <v>0.94</v>
      </c>
      <c r="K496" s="10" t="s">
        <v>2462</v>
      </c>
      <c r="L496" s="10">
        <v>3.243575045E9</v>
      </c>
      <c r="M496" s="10" t="s">
        <v>63</v>
      </c>
      <c r="N496" s="10" t="s">
        <v>700</v>
      </c>
      <c r="O496" s="10" t="s">
        <v>2463</v>
      </c>
      <c r="P496" s="10" t="str">
        <f>VLOOKUP(A496,import!A:P,16,0)</f>
        <v>Geleneksel</v>
      </c>
      <c r="Q496" s="12" t="s">
        <v>146</v>
      </c>
      <c r="R496" s="12" t="b">
        <v>1</v>
      </c>
      <c r="S496" s="12" t="b">
        <v>0</v>
      </c>
      <c r="T496" s="13" t="s">
        <v>51</v>
      </c>
      <c r="U496" s="13" t="s">
        <v>133</v>
      </c>
      <c r="V496" s="13" t="s">
        <v>66</v>
      </c>
      <c r="W496" s="13" t="s">
        <v>2464</v>
      </c>
      <c r="X496" s="15">
        <v>44273.0</v>
      </c>
      <c r="Y496" s="15">
        <v>44274.0</v>
      </c>
      <c r="Z496" s="16"/>
      <c r="AA496" s="16"/>
      <c r="AB496" s="16"/>
      <c r="AC496" s="16"/>
      <c r="AD496" s="16"/>
      <c r="AE496" s="17"/>
      <c r="AF496" s="16"/>
      <c r="AG496" s="17"/>
      <c r="AH496" s="16"/>
      <c r="AI496" s="16"/>
      <c r="AJ496" s="16"/>
      <c r="AK496" s="16"/>
      <c r="AL496" s="16"/>
      <c r="AM496" s="16"/>
      <c r="AN496" s="16"/>
      <c r="AO496" s="16"/>
      <c r="AP496" s="18" t="s">
        <v>58</v>
      </c>
      <c r="AQ496" s="16"/>
    </row>
    <row r="497" ht="15.75" hidden="1" customHeight="1">
      <c r="A497" s="10" t="s">
        <v>2465</v>
      </c>
      <c r="B497" s="10" t="s">
        <v>2466</v>
      </c>
      <c r="C497" s="10" t="str">
        <f>VLOOKUP(A497,import!A:C,3,0)</f>
        <v>DOĞRU</v>
      </c>
      <c r="D497" s="10" t="s">
        <v>167</v>
      </c>
      <c r="E497" s="10">
        <f>VLOOKUP(A497,import!A:J,5,0)</f>
        <v>599</v>
      </c>
      <c r="F497" s="10">
        <f>VLOOKUP(A497,import!A:J,6,0)</f>
        <v>30</v>
      </c>
      <c r="G497" s="10">
        <f>VLOOKUP(A497,import!A:J,7,0)</f>
        <v>0</v>
      </c>
      <c r="H497" s="10">
        <f>VLOOKUP(A497,import!A:J,8,0)</f>
        <v>11</v>
      </c>
      <c r="I497" s="10">
        <f>VLOOKUP(A497,import!A:J,9,0)</f>
        <v>11</v>
      </c>
      <c r="J497" s="11">
        <f>VLOOKUP(A497,import!A:J,10,0)</f>
        <v>0</v>
      </c>
      <c r="K497" s="10" t="s">
        <v>2467</v>
      </c>
      <c r="L497" s="10">
        <v>5.372047478E9</v>
      </c>
      <c r="M497" s="10" t="s">
        <v>215</v>
      </c>
      <c r="N497" s="10" t="s">
        <v>745</v>
      </c>
      <c r="O497" s="10" t="s">
        <v>2468</v>
      </c>
      <c r="P497" s="10" t="str">
        <f>VLOOKUP(A497,import!A:P,16,0)</f>
        <v>Geleneksel</v>
      </c>
      <c r="Q497" s="12"/>
      <c r="R497" s="12" t="b">
        <v>1</v>
      </c>
      <c r="S497" s="12" t="b">
        <v>1</v>
      </c>
      <c r="T497" s="13" t="s">
        <v>199</v>
      </c>
      <c r="U497" s="13"/>
      <c r="V497" s="13"/>
      <c r="W497" s="13" t="s">
        <v>2469</v>
      </c>
      <c r="X497" s="15"/>
      <c r="Y497" s="15"/>
      <c r="Z497" s="16"/>
      <c r="AA497" s="17" t="s">
        <v>56</v>
      </c>
      <c r="AB497" s="16">
        <v>44347.0</v>
      </c>
      <c r="AC497" s="17" t="s">
        <v>56</v>
      </c>
      <c r="AD497" s="16">
        <v>44384.0</v>
      </c>
      <c r="AE497" s="17" t="s">
        <v>55</v>
      </c>
      <c r="AF497" s="16">
        <v>44491.0</v>
      </c>
      <c r="AG497" s="17"/>
      <c r="AH497" s="16"/>
      <c r="AI497" s="16"/>
      <c r="AJ497" s="16"/>
      <c r="AK497" s="16"/>
      <c r="AL497" s="17" t="s">
        <v>360</v>
      </c>
      <c r="AM497" s="17" t="s">
        <v>89</v>
      </c>
      <c r="AN497" s="16"/>
      <c r="AO497" s="16"/>
      <c r="AP497" s="18" t="s">
        <v>58</v>
      </c>
      <c r="AQ497" s="16"/>
    </row>
    <row r="498" ht="15.75" customHeight="1">
      <c r="A498" s="10" t="s">
        <v>2470</v>
      </c>
      <c r="B498" s="10" t="s">
        <v>2471</v>
      </c>
      <c r="C498" s="10" t="str">
        <f>VLOOKUP(A498,import!A:C,3,0)</f>
        <v>DOĞRU</v>
      </c>
      <c r="D498" s="10" t="s">
        <v>167</v>
      </c>
      <c r="E498" s="10">
        <f>VLOOKUP(A498,import!A:J,5,0)</f>
        <v>4</v>
      </c>
      <c r="F498" s="10" t="str">
        <f>VLOOKUP(A498,import!A:J,6,0)</f>
        <v/>
      </c>
      <c r="G498" s="10">
        <f>VLOOKUP(A498,import!A:J,7,0)</f>
        <v>0</v>
      </c>
      <c r="H498" s="10">
        <f>VLOOKUP(A498,import!A:J,8,0)</f>
        <v>14</v>
      </c>
      <c r="I498" s="10">
        <f>VLOOKUP(A498,import!A:J,9,0)</f>
        <v>14</v>
      </c>
      <c r="J498" s="11">
        <f>VLOOKUP(A498,import!A:J,10,0)</f>
        <v>0</v>
      </c>
      <c r="K498" s="10" t="s">
        <v>2472</v>
      </c>
      <c r="L498" s="10">
        <v>5.374924233E9</v>
      </c>
      <c r="M498" s="10" t="s">
        <v>137</v>
      </c>
      <c r="N498" s="10" t="s">
        <v>845</v>
      </c>
      <c r="O498" s="10" t="s">
        <v>2473</v>
      </c>
      <c r="P498" s="10" t="str">
        <f>VLOOKUP(A498,import!A:P,16,0)</f>
        <v>Geleneksel</v>
      </c>
      <c r="Q498" s="12"/>
      <c r="R498" s="12" t="b">
        <v>1</v>
      </c>
      <c r="S498" s="12" t="b">
        <v>0</v>
      </c>
      <c r="T498" s="13" t="s">
        <v>265</v>
      </c>
      <c r="U498" s="13"/>
      <c r="V498" s="13"/>
      <c r="W498" s="13"/>
      <c r="X498" s="15"/>
      <c r="Y498" s="15"/>
      <c r="Z498" s="16"/>
      <c r="AA498" s="17" t="s">
        <v>56</v>
      </c>
      <c r="AB498" s="16">
        <v>44536.0</v>
      </c>
      <c r="AC498" s="17" t="s">
        <v>55</v>
      </c>
      <c r="AD498" s="16">
        <v>44550.0</v>
      </c>
      <c r="AE498" s="17" t="s">
        <v>55</v>
      </c>
      <c r="AF498" s="16">
        <v>44557.0</v>
      </c>
      <c r="AG498" s="17"/>
      <c r="AH498" s="16"/>
      <c r="AI498" s="16"/>
      <c r="AJ498" s="16"/>
      <c r="AK498" s="17" t="s">
        <v>103</v>
      </c>
      <c r="AL498" s="17" t="s">
        <v>103</v>
      </c>
      <c r="AM498" s="17" t="s">
        <v>321</v>
      </c>
      <c r="AN498" s="16"/>
      <c r="AO498" s="16"/>
      <c r="AP498" s="18" t="s">
        <v>58</v>
      </c>
      <c r="AQ498" s="16"/>
    </row>
    <row r="499" ht="15.75" hidden="1" customHeight="1">
      <c r="A499" s="10" t="s">
        <v>2474</v>
      </c>
      <c r="B499" s="10" t="s">
        <v>2475</v>
      </c>
      <c r="C499" s="10" t="str">
        <f>VLOOKUP(A499,import!A:C,3,0)</f>
        <v>DOĞRU</v>
      </c>
      <c r="D499" s="10" t="s">
        <v>80</v>
      </c>
      <c r="E499" s="10">
        <f>VLOOKUP(A499,import!A:J,5,0)</f>
        <v>268</v>
      </c>
      <c r="F499" s="10">
        <f>VLOOKUP(A499,import!A:J,6,0)</f>
        <v>111</v>
      </c>
      <c r="G499" s="10">
        <f>VLOOKUP(A499,import!A:J,7,0)</f>
        <v>26</v>
      </c>
      <c r="H499" s="10">
        <f>VLOOKUP(A499,import!A:J,8,0)</f>
        <v>7</v>
      </c>
      <c r="I499" s="10">
        <f>VLOOKUP(A499,import!A:J,9,0)</f>
        <v>33</v>
      </c>
      <c r="J499" s="11">
        <f>VLOOKUP(A499,import!A:J,10,0)</f>
        <v>0.79</v>
      </c>
      <c r="K499" s="10" t="s">
        <v>2476</v>
      </c>
      <c r="L499" s="10">
        <v>3.245041127E9</v>
      </c>
      <c r="M499" s="10" t="s">
        <v>72</v>
      </c>
      <c r="N499" s="10" t="s">
        <v>82</v>
      </c>
      <c r="O499" s="10" t="s">
        <v>2477</v>
      </c>
      <c r="P499" s="10" t="str">
        <f>VLOOKUP(A499,import!A:P,16,0)</f>
        <v>Geleneksel</v>
      </c>
      <c r="Q499" s="12"/>
      <c r="R499" s="12" t="b">
        <v>1</v>
      </c>
      <c r="S499" s="12" t="b">
        <v>0</v>
      </c>
      <c r="T499" s="13" t="s">
        <v>51</v>
      </c>
      <c r="U499" s="13" t="s">
        <v>133</v>
      </c>
      <c r="V499" s="13" t="s">
        <v>66</v>
      </c>
      <c r="W499" s="13"/>
      <c r="X499" s="15">
        <v>44636.0</v>
      </c>
      <c r="Y499" s="15">
        <v>44637.0</v>
      </c>
      <c r="Z499" s="16"/>
      <c r="AA499" s="17" t="s">
        <v>265</v>
      </c>
      <c r="AB499" s="16">
        <v>44624.0</v>
      </c>
      <c r="AC499" s="17" t="s">
        <v>56</v>
      </c>
      <c r="AD499" s="16">
        <v>44636.0</v>
      </c>
      <c r="AE499" s="17"/>
      <c r="AF499" s="16"/>
      <c r="AG499" s="17"/>
      <c r="AH499" s="16"/>
      <c r="AI499" s="16"/>
      <c r="AJ499" s="16"/>
      <c r="AK499" s="17" t="s">
        <v>52</v>
      </c>
      <c r="AL499" s="17" t="s">
        <v>133</v>
      </c>
      <c r="AM499" s="16"/>
      <c r="AN499" s="16"/>
      <c r="AO499" s="16"/>
      <c r="AP499" s="18"/>
      <c r="AQ499" s="16"/>
    </row>
    <row r="500" ht="15.75" customHeight="1">
      <c r="A500" s="10" t="s">
        <v>2478</v>
      </c>
      <c r="B500" s="10" t="s">
        <v>2479</v>
      </c>
      <c r="C500" s="10" t="str">
        <f>VLOOKUP(A500,import!A:C,3,0)</f>
        <v>DOĞRU</v>
      </c>
      <c r="D500" s="10" t="s">
        <v>61</v>
      </c>
      <c r="E500" s="33">
        <f>VLOOKUP(A500,import!A:J,5,0)</f>
        <v>1866</v>
      </c>
      <c r="F500" s="10">
        <f>VLOOKUP(A500,import!A:J,6,0)</f>
        <v>95</v>
      </c>
      <c r="G500" s="10">
        <f>VLOOKUP(A500,import!A:J,7,0)</f>
        <v>20</v>
      </c>
      <c r="H500" s="10">
        <f>VLOOKUP(A500,import!A:J,8,0)</f>
        <v>10</v>
      </c>
      <c r="I500" s="10">
        <f>VLOOKUP(A500,import!A:J,9,0)</f>
        <v>30</v>
      </c>
      <c r="J500" s="11">
        <f>VLOOKUP(A500,import!A:J,10,0)</f>
        <v>0.67</v>
      </c>
      <c r="K500" s="10" t="s">
        <v>2476</v>
      </c>
      <c r="L500" s="10">
        <v>3.243370553E9</v>
      </c>
      <c r="M500" s="10" t="s">
        <v>137</v>
      </c>
      <c r="N500" s="10" t="s">
        <v>374</v>
      </c>
      <c r="O500" s="10" t="s">
        <v>2480</v>
      </c>
      <c r="P500" s="10" t="str">
        <f>VLOOKUP(A500,import!A:P,16,0)</f>
        <v>Geleneksel</v>
      </c>
      <c r="Q500" s="12"/>
      <c r="R500" s="12" t="b">
        <v>1</v>
      </c>
      <c r="S500" s="12" t="b">
        <v>0</v>
      </c>
      <c r="T500" s="13" t="s">
        <v>51</v>
      </c>
      <c r="U500" s="13" t="s">
        <v>103</v>
      </c>
      <c r="V500" s="13" t="s">
        <v>53</v>
      </c>
      <c r="W500" s="13" t="s">
        <v>2481</v>
      </c>
      <c r="X500" s="15">
        <v>44550.0</v>
      </c>
      <c r="Y500" s="15">
        <v>44552.0</v>
      </c>
      <c r="Z500" s="16"/>
      <c r="AA500" s="17" t="s">
        <v>56</v>
      </c>
      <c r="AB500" s="16">
        <v>44349.0</v>
      </c>
      <c r="AC500" s="17" t="s">
        <v>56</v>
      </c>
      <c r="AD500" s="16">
        <v>44547.0</v>
      </c>
      <c r="AE500" s="17" t="s">
        <v>56</v>
      </c>
      <c r="AF500" s="16">
        <v>44550.0</v>
      </c>
      <c r="AG500" s="17"/>
      <c r="AH500" s="16"/>
      <c r="AI500" s="16"/>
      <c r="AJ500" s="16"/>
      <c r="AK500" s="17" t="s">
        <v>124</v>
      </c>
      <c r="AL500" s="17" t="s">
        <v>103</v>
      </c>
      <c r="AM500" s="17" t="s">
        <v>103</v>
      </c>
      <c r="AN500" s="16"/>
      <c r="AO500" s="16"/>
      <c r="AP500" s="18" t="s">
        <v>58</v>
      </c>
      <c r="AQ500" s="16"/>
    </row>
    <row r="501" ht="15.75" hidden="1" customHeight="1">
      <c r="A501" s="10" t="s">
        <v>2482</v>
      </c>
      <c r="B501" s="10" t="s">
        <v>2483</v>
      </c>
      <c r="C501" s="10" t="str">
        <f>VLOOKUP(A501,import!A:C,3,0)</f>
        <v>DOĞRU</v>
      </c>
      <c r="D501" s="10" t="s">
        <v>167</v>
      </c>
      <c r="E501" s="10">
        <f>VLOOKUP(A501,import!A:J,5,0)</f>
        <v>515</v>
      </c>
      <c r="F501" s="10">
        <f>VLOOKUP(A501,import!A:J,6,0)</f>
        <v>14</v>
      </c>
      <c r="G501" s="10">
        <f>VLOOKUP(A501,import!A:J,7,0)</f>
        <v>6</v>
      </c>
      <c r="H501" s="10">
        <f>VLOOKUP(A501,import!A:J,8,0)</f>
        <v>20</v>
      </c>
      <c r="I501" s="10">
        <f>VLOOKUP(A501,import!A:J,9,0)</f>
        <v>26</v>
      </c>
      <c r="J501" s="11">
        <f>VLOOKUP(A501,import!A:J,10,0)</f>
        <v>0.23</v>
      </c>
      <c r="K501" s="10" t="s">
        <v>2484</v>
      </c>
      <c r="L501" s="10">
        <v>5.519591089E9</v>
      </c>
      <c r="M501" s="10" t="s">
        <v>72</v>
      </c>
      <c r="N501" s="10" t="s">
        <v>128</v>
      </c>
      <c r="O501" s="10" t="s">
        <v>908</v>
      </c>
      <c r="P501" s="10" t="str">
        <f>VLOOKUP(A501,import!A:P,16,0)</f>
        <v>Geleneksel</v>
      </c>
      <c r="Q501" s="12"/>
      <c r="R501" s="12" t="b">
        <v>1</v>
      </c>
      <c r="S501" s="12" t="b">
        <v>0</v>
      </c>
      <c r="T501" s="13" t="s">
        <v>51</v>
      </c>
      <c r="U501" s="13" t="s">
        <v>89</v>
      </c>
      <c r="V501" s="13" t="s">
        <v>66</v>
      </c>
      <c r="W501" s="13" t="s">
        <v>2485</v>
      </c>
      <c r="X501" s="15">
        <v>44578.0</v>
      </c>
      <c r="Y501" s="15">
        <v>44579.0</v>
      </c>
      <c r="Z501" s="16"/>
      <c r="AA501" s="17" t="s">
        <v>56</v>
      </c>
      <c r="AB501" s="16">
        <v>44442.0</v>
      </c>
      <c r="AC501" s="17" t="s">
        <v>55</v>
      </c>
      <c r="AD501" s="16">
        <v>44517.0</v>
      </c>
      <c r="AE501" s="17" t="s">
        <v>56</v>
      </c>
      <c r="AF501" s="16">
        <v>44551.0</v>
      </c>
      <c r="AG501" s="17" t="s">
        <v>56</v>
      </c>
      <c r="AH501" s="16">
        <v>44552.0</v>
      </c>
      <c r="AI501" s="17" t="s">
        <v>56</v>
      </c>
      <c r="AJ501" s="16">
        <v>44578.0</v>
      </c>
      <c r="AK501" s="17" t="s">
        <v>367</v>
      </c>
      <c r="AL501" s="17" t="s">
        <v>314</v>
      </c>
      <c r="AM501" s="17" t="s">
        <v>314</v>
      </c>
      <c r="AN501" s="17" t="s">
        <v>314</v>
      </c>
      <c r="AO501" s="17" t="s">
        <v>89</v>
      </c>
      <c r="AP501" s="18" t="s">
        <v>58</v>
      </c>
      <c r="AQ501" s="16"/>
    </row>
    <row r="502" ht="15.75" customHeight="1">
      <c r="A502" s="10" t="s">
        <v>2486</v>
      </c>
      <c r="B502" s="10" t="s">
        <v>2487</v>
      </c>
      <c r="C502" s="10" t="str">
        <f>VLOOKUP(A502,import!A:C,3,0)</f>
        <v>DOĞRU</v>
      </c>
      <c r="D502" s="10" t="s">
        <v>564</v>
      </c>
      <c r="E502" s="10">
        <f>VLOOKUP(A502,import!A:J,5,0)</f>
        <v>171</v>
      </c>
      <c r="F502" s="10" t="str">
        <f>VLOOKUP(A502,import!A:J,6,0)</f>
        <v/>
      </c>
      <c r="G502" s="10">
        <f>VLOOKUP(A502,import!A:J,7,0)</f>
        <v>7</v>
      </c>
      <c r="H502" s="10">
        <f>VLOOKUP(A502,import!A:J,8,0)</f>
        <v>9</v>
      </c>
      <c r="I502" s="10">
        <f>VLOOKUP(A502,import!A:J,9,0)</f>
        <v>16</v>
      </c>
      <c r="J502" s="11">
        <f>VLOOKUP(A502,import!A:J,10,0)</f>
        <v>0.44</v>
      </c>
      <c r="K502" s="10" t="s">
        <v>2488</v>
      </c>
      <c r="L502" s="10">
        <v>5.304452668E9</v>
      </c>
      <c r="M502" s="10" t="s">
        <v>63</v>
      </c>
      <c r="N502" s="10" t="s">
        <v>318</v>
      </c>
      <c r="O502" s="10" t="s">
        <v>2489</v>
      </c>
      <c r="P502" s="10" t="str">
        <f>VLOOKUP(A502,import!A:P,16,0)</f>
        <v>Geleneksel</v>
      </c>
      <c r="Q502" s="12"/>
      <c r="R502" s="12" t="b">
        <v>1</v>
      </c>
      <c r="S502" s="12" t="b">
        <v>0</v>
      </c>
      <c r="T502" s="13" t="s">
        <v>51</v>
      </c>
      <c r="U502" s="13" t="s">
        <v>103</v>
      </c>
      <c r="V502" s="13" t="s">
        <v>66</v>
      </c>
      <c r="W502" s="13" t="s">
        <v>211</v>
      </c>
      <c r="X502" s="15">
        <v>44522.0</v>
      </c>
      <c r="Y502" s="15">
        <v>44524.0</v>
      </c>
      <c r="Z502" s="16"/>
      <c r="AA502" s="17" t="s">
        <v>56</v>
      </c>
      <c r="AB502" s="16">
        <v>44522.0</v>
      </c>
      <c r="AC502" s="17" t="s">
        <v>56</v>
      </c>
      <c r="AD502" s="16">
        <v>44533.0</v>
      </c>
      <c r="AE502" s="17"/>
      <c r="AF502" s="16"/>
      <c r="AG502" s="17"/>
      <c r="AH502" s="16"/>
      <c r="AI502" s="16"/>
      <c r="AJ502" s="16"/>
      <c r="AK502" s="17" t="s">
        <v>103</v>
      </c>
      <c r="AL502" s="17" t="s">
        <v>108</v>
      </c>
      <c r="AM502" s="16"/>
      <c r="AN502" s="16"/>
      <c r="AO502" s="16"/>
      <c r="AP502" s="18" t="s">
        <v>58</v>
      </c>
      <c r="AQ502" s="16"/>
    </row>
    <row r="503" ht="15.75" hidden="1" customHeight="1">
      <c r="A503" s="10" t="s">
        <v>2490</v>
      </c>
      <c r="B503" s="10" t="s">
        <v>2491</v>
      </c>
      <c r="C503" s="10" t="str">
        <f>VLOOKUP(A503,import!A:C,3,0)</f>
        <v>DOĞRU</v>
      </c>
      <c r="D503" s="10" t="s">
        <v>363</v>
      </c>
      <c r="E503" s="10">
        <f>VLOOKUP(A503,import!A:J,5,0)</f>
        <v>460</v>
      </c>
      <c r="F503" s="10">
        <f>VLOOKUP(A503,import!A:J,6,0)</f>
        <v>49</v>
      </c>
      <c r="G503" s="10">
        <f>VLOOKUP(A503,import!A:J,7,0)</f>
        <v>4</v>
      </c>
      <c r="H503" s="10">
        <f>VLOOKUP(A503,import!A:J,8,0)</f>
        <v>14</v>
      </c>
      <c r="I503" s="10">
        <f>VLOOKUP(A503,import!A:J,9,0)</f>
        <v>18</v>
      </c>
      <c r="J503" s="11">
        <f>VLOOKUP(A503,import!A:J,10,0)</f>
        <v>0.22</v>
      </c>
      <c r="K503" s="10" t="s">
        <v>2492</v>
      </c>
      <c r="L503" s="10">
        <v>5.342123693E9</v>
      </c>
      <c r="M503" s="10" t="s">
        <v>156</v>
      </c>
      <c r="N503" s="10" t="s">
        <v>447</v>
      </c>
      <c r="O503" s="10" t="s">
        <v>2493</v>
      </c>
      <c r="P503" s="10" t="str">
        <f>VLOOKUP(A503,import!A:P,16,0)</f>
        <v>Geleneksel</v>
      </c>
      <c r="Q503" s="12"/>
      <c r="R503" s="12" t="b">
        <v>1</v>
      </c>
      <c r="S503" s="12" t="b">
        <v>0</v>
      </c>
      <c r="T503" s="13" t="s">
        <v>51</v>
      </c>
      <c r="U503" s="13" t="s">
        <v>52</v>
      </c>
      <c r="V503" s="13" t="s">
        <v>66</v>
      </c>
      <c r="W503" s="13" t="s">
        <v>2494</v>
      </c>
      <c r="X503" s="15">
        <v>44540.0</v>
      </c>
      <c r="Y503" s="15">
        <v>44543.0</v>
      </c>
      <c r="Z503" s="16"/>
      <c r="AA503" s="17" t="s">
        <v>56</v>
      </c>
      <c r="AB503" s="16">
        <v>44540.0</v>
      </c>
      <c r="AC503" s="16"/>
      <c r="AD503" s="16"/>
      <c r="AE503" s="17"/>
      <c r="AF503" s="16"/>
      <c r="AG503" s="17"/>
      <c r="AH503" s="16"/>
      <c r="AI503" s="16"/>
      <c r="AJ503" s="16"/>
      <c r="AK503" s="17" t="s">
        <v>52</v>
      </c>
      <c r="AL503" s="16"/>
      <c r="AM503" s="16"/>
      <c r="AN503" s="16"/>
      <c r="AO503" s="16"/>
      <c r="AP503" s="18" t="s">
        <v>58</v>
      </c>
      <c r="AQ503" s="16"/>
    </row>
    <row r="504" ht="15.75" hidden="1" customHeight="1">
      <c r="A504" s="10" t="s">
        <v>2495</v>
      </c>
      <c r="B504" s="10" t="s">
        <v>2496</v>
      </c>
      <c r="C504" s="10" t="str">
        <f>VLOOKUP(A504,import!A:C,3,0)</f>
        <v>DOĞRU</v>
      </c>
      <c r="D504" s="10" t="s">
        <v>372</v>
      </c>
      <c r="E504" s="10">
        <f>VLOOKUP(A504,import!A:J,5,0)</f>
        <v>7909</v>
      </c>
      <c r="F504" s="10">
        <f>VLOOKUP(A504,import!A:J,6,0)</f>
        <v>562</v>
      </c>
      <c r="G504" s="10">
        <f>VLOOKUP(A504,import!A:J,7,0)</f>
        <v>0</v>
      </c>
      <c r="H504" s="10">
        <f>VLOOKUP(A504,import!A:J,8,0)</f>
        <v>43</v>
      </c>
      <c r="I504" s="10">
        <f>VLOOKUP(A504,import!A:J,9,0)</f>
        <v>43</v>
      </c>
      <c r="J504" s="11">
        <f>VLOOKUP(A504,import!A:J,10,0)</f>
        <v>0</v>
      </c>
      <c r="K504" s="10" t="s">
        <v>2497</v>
      </c>
      <c r="L504" s="10">
        <v>3.2432848E9</v>
      </c>
      <c r="M504" s="10" t="s">
        <v>72</v>
      </c>
      <c r="N504" s="10" t="s">
        <v>128</v>
      </c>
      <c r="O504" s="10" t="s">
        <v>2498</v>
      </c>
      <c r="P504" s="10" t="str">
        <f>VLOOKUP(A504,import!A:P,16,0)</f>
        <v>Geleneksel</v>
      </c>
      <c r="Q504" s="12" t="s">
        <v>84</v>
      </c>
      <c r="R504" s="12" t="b">
        <v>1</v>
      </c>
      <c r="S504" s="12" t="b">
        <v>1</v>
      </c>
      <c r="T504" s="13"/>
      <c r="U504" s="13"/>
      <c r="V504" s="13"/>
      <c r="W504" s="13" t="s">
        <v>2499</v>
      </c>
      <c r="X504" s="15"/>
      <c r="Y504" s="15"/>
      <c r="Z504" s="16"/>
      <c r="AA504" s="17" t="s">
        <v>56</v>
      </c>
      <c r="AB504" s="16">
        <v>44477.0</v>
      </c>
      <c r="AC504" s="16"/>
      <c r="AD504" s="16"/>
      <c r="AE504" s="17"/>
      <c r="AF504" s="16"/>
      <c r="AG504" s="17"/>
      <c r="AH504" s="16"/>
      <c r="AI504" s="16"/>
      <c r="AJ504" s="16"/>
      <c r="AK504" s="17" t="s">
        <v>171</v>
      </c>
      <c r="AL504" s="16"/>
      <c r="AM504" s="16"/>
      <c r="AN504" s="16"/>
      <c r="AO504" s="16"/>
      <c r="AP504" s="18" t="s">
        <v>58</v>
      </c>
      <c r="AQ504" s="16"/>
    </row>
    <row r="505" ht="15.75" hidden="1" customHeight="1">
      <c r="A505" s="10" t="s">
        <v>2500</v>
      </c>
      <c r="B505" s="10" t="s">
        <v>2501</v>
      </c>
      <c r="C505" s="10" t="str">
        <f>VLOOKUP(A505,import!A:C,3,0)</f>
        <v>DOĞRU</v>
      </c>
      <c r="D505" s="10" t="s">
        <v>61</v>
      </c>
      <c r="E505" s="10">
        <f>VLOOKUP(A505,import!A:J,5,0)</f>
        <v>477</v>
      </c>
      <c r="F505" s="10">
        <f>VLOOKUP(A505,import!A:J,6,0)</f>
        <v>72</v>
      </c>
      <c r="G505" s="10">
        <f>VLOOKUP(A505,import!A:J,7,0)</f>
        <v>0</v>
      </c>
      <c r="H505" s="10">
        <f>VLOOKUP(A505,import!A:J,8,0)</f>
        <v>24</v>
      </c>
      <c r="I505" s="10">
        <f>VLOOKUP(A505,import!A:J,9,0)</f>
        <v>24</v>
      </c>
      <c r="J505" s="11">
        <f>VLOOKUP(A505,import!A:J,10,0)</f>
        <v>0</v>
      </c>
      <c r="K505" s="10" t="s">
        <v>2502</v>
      </c>
      <c r="L505" s="10">
        <v>5.521522428E9</v>
      </c>
      <c r="M505" s="10" t="s">
        <v>187</v>
      </c>
      <c r="N505" s="10" t="s">
        <v>188</v>
      </c>
      <c r="O505" s="10" t="s">
        <v>2503</v>
      </c>
      <c r="P505" s="10" t="str">
        <f>VLOOKUP(A505,import!A:P,16,0)</f>
        <v>Geleneksel</v>
      </c>
      <c r="Q505" s="12"/>
      <c r="R505" s="12" t="b">
        <v>0</v>
      </c>
      <c r="S505" s="12" t="b">
        <v>0</v>
      </c>
      <c r="T505" s="13"/>
      <c r="U505" s="13"/>
      <c r="V505" s="13"/>
      <c r="W505" s="13"/>
      <c r="X505" s="15"/>
      <c r="Y505" s="15"/>
      <c r="Z505" s="16"/>
      <c r="AA505" s="16"/>
      <c r="AB505" s="16"/>
      <c r="AC505" s="16"/>
      <c r="AD505" s="16"/>
      <c r="AE505" s="17"/>
      <c r="AF505" s="16"/>
      <c r="AG505" s="17"/>
      <c r="AH505" s="16"/>
      <c r="AI505" s="16"/>
      <c r="AJ505" s="16"/>
      <c r="AK505" s="16"/>
      <c r="AL505" s="16"/>
      <c r="AM505" s="16"/>
      <c r="AN505" s="16"/>
      <c r="AO505" s="16"/>
      <c r="AP505" s="18"/>
      <c r="AQ505" s="16"/>
    </row>
    <row r="506" ht="15.75" hidden="1" customHeight="1">
      <c r="A506" s="10" t="s">
        <v>2504</v>
      </c>
      <c r="B506" s="10" t="s">
        <v>2505</v>
      </c>
      <c r="C506" s="10" t="str">
        <f>VLOOKUP(A506,import!A:C,3,0)</f>
        <v>DOĞRU</v>
      </c>
      <c r="D506" s="10" t="s">
        <v>356</v>
      </c>
      <c r="E506" s="10">
        <f>VLOOKUP(A506,import!A:J,5,0)</f>
        <v>11</v>
      </c>
      <c r="F506" s="10">
        <f>VLOOKUP(A506,import!A:J,6,0)</f>
        <v>3</v>
      </c>
      <c r="G506" s="10">
        <f>VLOOKUP(A506,import!A:J,7,0)</f>
        <v>12</v>
      </c>
      <c r="H506" s="10">
        <f>VLOOKUP(A506,import!A:J,8,0)</f>
        <v>4</v>
      </c>
      <c r="I506" s="10">
        <f>VLOOKUP(A506,import!A:J,9,0)</f>
        <v>16</v>
      </c>
      <c r="J506" s="11">
        <f>VLOOKUP(A506,import!A:J,10,0)</f>
        <v>0.75</v>
      </c>
      <c r="K506" s="10" t="s">
        <v>2506</v>
      </c>
      <c r="L506" s="10">
        <v>5.302633378E9</v>
      </c>
      <c r="M506" s="10" t="s">
        <v>72</v>
      </c>
      <c r="N506" s="10" t="s">
        <v>538</v>
      </c>
      <c r="O506" s="10" t="s">
        <v>2507</v>
      </c>
      <c r="P506" s="10" t="str">
        <f>VLOOKUP(A506,import!A:P,16,0)</f>
        <v>Geleneksel</v>
      </c>
      <c r="Q506" s="12"/>
      <c r="R506" s="12" t="b">
        <v>1</v>
      </c>
      <c r="S506" s="12" t="b">
        <v>0</v>
      </c>
      <c r="T506" s="13" t="s">
        <v>51</v>
      </c>
      <c r="U506" s="13" t="s">
        <v>52</v>
      </c>
      <c r="V506" s="13" t="s">
        <v>131</v>
      </c>
      <c r="W506" s="13"/>
      <c r="X506" s="15">
        <v>44624.0</v>
      </c>
      <c r="Y506" s="15">
        <v>44600.0</v>
      </c>
      <c r="Z506" s="16"/>
      <c r="AA506" s="17" t="s">
        <v>56</v>
      </c>
      <c r="AB506" s="16">
        <v>44624.0</v>
      </c>
      <c r="AC506" s="16"/>
      <c r="AD506" s="16"/>
      <c r="AE506" s="17"/>
      <c r="AF506" s="16"/>
      <c r="AG506" s="17"/>
      <c r="AH506" s="16"/>
      <c r="AI506" s="16"/>
      <c r="AJ506" s="16"/>
      <c r="AK506" s="17" t="s">
        <v>52</v>
      </c>
      <c r="AL506" s="16"/>
      <c r="AM506" s="16"/>
      <c r="AN506" s="16"/>
      <c r="AO506" s="16"/>
      <c r="AP506" s="18"/>
      <c r="AQ506" s="16"/>
    </row>
    <row r="507" ht="15.75" hidden="1" customHeight="1">
      <c r="A507" s="10" t="s">
        <v>2508</v>
      </c>
      <c r="B507" s="10" t="s">
        <v>2509</v>
      </c>
      <c r="C507" s="10" t="str">
        <f>VLOOKUP(A507,import!A:C,3,0)</f>
        <v>YANLIŞ</v>
      </c>
      <c r="D507" s="10" t="s">
        <v>45</v>
      </c>
      <c r="E507" s="10">
        <f>VLOOKUP(A507,import!A:J,5,0)</f>
        <v>1</v>
      </c>
      <c r="F507" s="10" t="str">
        <f>VLOOKUP(A507,import!A:J,6,0)</f>
        <v/>
      </c>
      <c r="G507" s="10">
        <f>VLOOKUP(A507,import!A:J,7,0)</f>
        <v>0</v>
      </c>
      <c r="H507" s="10">
        <f>VLOOKUP(A507,import!A:J,8,0)</f>
        <v>32</v>
      </c>
      <c r="I507" s="10">
        <f>VLOOKUP(A507,import!A:J,9,0)</f>
        <v>32</v>
      </c>
      <c r="J507" s="11">
        <f>VLOOKUP(A507,import!A:J,10,0)</f>
        <v>0</v>
      </c>
      <c r="K507" s="10" t="s">
        <v>2510</v>
      </c>
      <c r="L507" s="10">
        <v>5.317632484E9</v>
      </c>
      <c r="M507" s="10" t="s">
        <v>72</v>
      </c>
      <c r="N507" s="10" t="s">
        <v>120</v>
      </c>
      <c r="O507" s="10" t="s">
        <v>2511</v>
      </c>
      <c r="P507" s="10" t="str">
        <f>VLOOKUP(A507,import!A:P,16,0)</f>
        <v>Geleneksel</v>
      </c>
      <c r="Q507" s="12"/>
      <c r="R507" s="12" t="b">
        <v>1</v>
      </c>
      <c r="S507" s="12"/>
      <c r="T507" s="13" t="s">
        <v>199</v>
      </c>
      <c r="U507" s="13"/>
      <c r="V507" s="13"/>
      <c r="W507" s="13" t="s">
        <v>2512</v>
      </c>
      <c r="X507" s="15"/>
      <c r="Y507" s="15"/>
      <c r="Z507" s="16"/>
      <c r="AA507" s="17" t="s">
        <v>56</v>
      </c>
      <c r="AB507" s="16">
        <v>44530.0</v>
      </c>
      <c r="AC507" s="17" t="s">
        <v>56</v>
      </c>
      <c r="AD507" s="16">
        <v>44551.0</v>
      </c>
      <c r="AE507" s="17" t="s">
        <v>56</v>
      </c>
      <c r="AF507" s="16">
        <v>44632.0</v>
      </c>
      <c r="AG507" s="17"/>
      <c r="AH507" s="16"/>
      <c r="AI507" s="16"/>
      <c r="AJ507" s="16"/>
      <c r="AK507" s="17" t="s">
        <v>89</v>
      </c>
      <c r="AL507" s="17" t="s">
        <v>314</v>
      </c>
      <c r="AM507" s="17" t="s">
        <v>133</v>
      </c>
      <c r="AN507" s="16"/>
      <c r="AO507" s="16"/>
      <c r="AP507" s="18" t="s">
        <v>58</v>
      </c>
      <c r="AQ507" s="16"/>
    </row>
    <row r="508" ht="15.75" hidden="1" customHeight="1">
      <c r="A508" s="10" t="s">
        <v>2513</v>
      </c>
      <c r="B508" s="10" t="s">
        <v>2514</v>
      </c>
      <c r="C508" s="10" t="str">
        <f>VLOOKUP(A508,import!A:C,3,0)</f>
        <v>DOĞRU</v>
      </c>
      <c r="D508" s="10" t="s">
        <v>118</v>
      </c>
      <c r="E508" s="10">
        <f>VLOOKUP(A508,import!A:J,5,0)</f>
        <v>341</v>
      </c>
      <c r="F508" s="10">
        <f>VLOOKUP(A508,import!A:J,6,0)</f>
        <v>7</v>
      </c>
      <c r="G508" s="10">
        <f>VLOOKUP(A508,import!A:J,7,0)</f>
        <v>0</v>
      </c>
      <c r="H508" s="10">
        <f>VLOOKUP(A508,import!A:J,8,0)</f>
        <v>6</v>
      </c>
      <c r="I508" s="10">
        <f>VLOOKUP(A508,import!A:J,9,0)</f>
        <v>6</v>
      </c>
      <c r="J508" s="11">
        <f>VLOOKUP(A508,import!A:J,10,0)</f>
        <v>0</v>
      </c>
      <c r="K508" s="10" t="s">
        <v>2515</v>
      </c>
      <c r="L508" s="10">
        <v>5.306125344E9</v>
      </c>
      <c r="M508" s="10" t="s">
        <v>72</v>
      </c>
      <c r="N508" s="10" t="s">
        <v>82</v>
      </c>
      <c r="O508" s="10" t="s">
        <v>2516</v>
      </c>
      <c r="P508" s="10" t="str">
        <f>VLOOKUP(A508,import!A:P,16,0)</f>
        <v>Geleneksel</v>
      </c>
      <c r="Q508" s="12" t="s">
        <v>75</v>
      </c>
      <c r="R508" s="12" t="b">
        <v>1</v>
      </c>
      <c r="S508" s="12" t="b">
        <v>0</v>
      </c>
      <c r="T508" s="13" t="s">
        <v>199</v>
      </c>
      <c r="U508" s="13" t="s">
        <v>89</v>
      </c>
      <c r="V508" s="13" t="s">
        <v>66</v>
      </c>
      <c r="W508" s="13" t="s">
        <v>2517</v>
      </c>
      <c r="X508" s="15">
        <v>44498.0</v>
      </c>
      <c r="Y508" s="15">
        <v>44501.0</v>
      </c>
      <c r="Z508" s="16"/>
      <c r="AA508" s="17" t="s">
        <v>56</v>
      </c>
      <c r="AB508" s="16">
        <v>44354.0</v>
      </c>
      <c r="AC508" s="17" t="s">
        <v>230</v>
      </c>
      <c r="AD508" s="16">
        <v>44393.0</v>
      </c>
      <c r="AE508" s="17" t="s">
        <v>55</v>
      </c>
      <c r="AF508" s="16">
        <v>44426.0</v>
      </c>
      <c r="AG508" s="17" t="s">
        <v>55</v>
      </c>
      <c r="AH508" s="16">
        <v>44431.0</v>
      </c>
      <c r="AI508" s="17" t="s">
        <v>56</v>
      </c>
      <c r="AJ508" s="16">
        <v>44498.0</v>
      </c>
      <c r="AK508" s="17" t="s">
        <v>123</v>
      </c>
      <c r="AL508" s="17" t="s">
        <v>1698</v>
      </c>
      <c r="AM508" s="17" t="s">
        <v>57</v>
      </c>
      <c r="AN508" s="17" t="s">
        <v>367</v>
      </c>
      <c r="AO508" s="17" t="s">
        <v>89</v>
      </c>
      <c r="AP508" s="18" t="s">
        <v>58</v>
      </c>
      <c r="AQ508" s="17"/>
    </row>
    <row r="509" ht="15.75" hidden="1" customHeight="1">
      <c r="A509" s="10" t="s">
        <v>2518</v>
      </c>
      <c r="B509" s="10" t="s">
        <v>2519</v>
      </c>
      <c r="C509" s="10" t="str">
        <f>VLOOKUP(A509,import!A:C,3,0)</f>
        <v>DOĞRU</v>
      </c>
      <c r="D509" s="10" t="s">
        <v>118</v>
      </c>
      <c r="E509" s="10">
        <f>VLOOKUP(A509,import!A:J,5,0)</f>
        <v>360</v>
      </c>
      <c r="F509" s="10">
        <f>VLOOKUP(A509,import!A:J,6,0)</f>
        <v>150</v>
      </c>
      <c r="G509" s="10">
        <f>VLOOKUP(A509,import!A:J,7,0)</f>
        <v>5</v>
      </c>
      <c r="H509" s="10">
        <f>VLOOKUP(A509,import!A:J,8,0)</f>
        <v>11</v>
      </c>
      <c r="I509" s="10">
        <f>VLOOKUP(A509,import!A:J,9,0)</f>
        <v>16</v>
      </c>
      <c r="J509" s="11">
        <f>VLOOKUP(A509,import!A:J,10,0)</f>
        <v>0.31</v>
      </c>
      <c r="K509" s="10" t="s">
        <v>2520</v>
      </c>
      <c r="L509" s="10">
        <v>5.306125344E9</v>
      </c>
      <c r="M509" s="10" t="s">
        <v>72</v>
      </c>
      <c r="N509" s="10" t="s">
        <v>82</v>
      </c>
      <c r="O509" s="10" t="s">
        <v>2521</v>
      </c>
      <c r="P509" s="10" t="str">
        <f>VLOOKUP(A509,import!A:P,16,0)</f>
        <v>Geleneksel</v>
      </c>
      <c r="Q509" s="12"/>
      <c r="R509" s="12" t="b">
        <v>1</v>
      </c>
      <c r="S509" s="12" t="b">
        <v>0</v>
      </c>
      <c r="T509" s="13" t="s">
        <v>51</v>
      </c>
      <c r="U509" s="13" t="s">
        <v>89</v>
      </c>
      <c r="V509" s="17" t="s">
        <v>66</v>
      </c>
      <c r="W509" s="13"/>
      <c r="X509" s="15">
        <v>44641.0</v>
      </c>
      <c r="Y509" s="15">
        <v>44642.0</v>
      </c>
      <c r="Z509" s="16"/>
      <c r="AA509" s="17" t="s">
        <v>56</v>
      </c>
      <c r="AB509" s="16">
        <v>44641.0</v>
      </c>
      <c r="AC509" s="16"/>
      <c r="AD509" s="16"/>
      <c r="AE509" s="17"/>
      <c r="AF509" s="16"/>
      <c r="AG509" s="17"/>
      <c r="AH509" s="16"/>
      <c r="AI509" s="16"/>
      <c r="AJ509" s="16"/>
      <c r="AK509" s="17" t="s">
        <v>89</v>
      </c>
      <c r="AL509" s="16"/>
      <c r="AM509" s="16"/>
      <c r="AN509" s="16"/>
      <c r="AO509" s="16"/>
      <c r="AP509" s="18"/>
      <c r="AQ509" s="16"/>
    </row>
    <row r="510" ht="15.75" customHeight="1">
      <c r="A510" s="10" t="s">
        <v>2522</v>
      </c>
      <c r="B510" s="10" t="s">
        <v>2523</v>
      </c>
      <c r="C510" s="10" t="str">
        <f>VLOOKUP(A510,import!A:C,3,0)</f>
        <v>DOĞRU</v>
      </c>
      <c r="D510" s="10" t="s">
        <v>80</v>
      </c>
      <c r="E510" s="10">
        <f>VLOOKUP(A510,import!A:J,5,0)</f>
        <v>73</v>
      </c>
      <c r="F510" s="10">
        <f>VLOOKUP(A510,import!A:J,6,0)</f>
        <v>32</v>
      </c>
      <c r="G510" s="10">
        <f>VLOOKUP(A510,import!A:J,7,0)</f>
        <v>9</v>
      </c>
      <c r="H510" s="10">
        <f>VLOOKUP(A510,import!A:J,8,0)</f>
        <v>0</v>
      </c>
      <c r="I510" s="10">
        <f>VLOOKUP(A510,import!A:J,9,0)</f>
        <v>9</v>
      </c>
      <c r="J510" s="11">
        <f>VLOOKUP(A510,import!A:J,10,0)</f>
        <v>1</v>
      </c>
      <c r="K510" s="10" t="s">
        <v>2524</v>
      </c>
      <c r="L510" s="10">
        <v>5.350566033E9</v>
      </c>
      <c r="M510" s="10" t="s">
        <v>63</v>
      </c>
      <c r="N510" s="10" t="s">
        <v>137</v>
      </c>
      <c r="O510" s="10" t="s">
        <v>2525</v>
      </c>
      <c r="P510" s="10" t="str">
        <f>VLOOKUP(A510,import!A:P,16,0)</f>
        <v>Geleneksel</v>
      </c>
      <c r="Q510" s="12"/>
      <c r="R510" s="12" t="b">
        <v>1</v>
      </c>
      <c r="S510" s="12" t="b">
        <v>0</v>
      </c>
      <c r="T510" s="13" t="s">
        <v>51</v>
      </c>
      <c r="U510" s="13" t="s">
        <v>89</v>
      </c>
      <c r="V510" s="17" t="s">
        <v>131</v>
      </c>
      <c r="W510" s="13"/>
      <c r="X510" s="15">
        <v>44635.0</v>
      </c>
      <c r="Y510" s="15">
        <v>44636.0</v>
      </c>
      <c r="Z510" s="16"/>
      <c r="AA510" s="17" t="s">
        <v>56</v>
      </c>
      <c r="AB510" s="16">
        <v>44635.0</v>
      </c>
      <c r="AC510" s="16"/>
      <c r="AD510" s="16"/>
      <c r="AE510" s="17"/>
      <c r="AF510" s="16"/>
      <c r="AG510" s="17"/>
      <c r="AH510" s="16"/>
      <c r="AI510" s="16"/>
      <c r="AJ510" s="16"/>
      <c r="AK510" s="17" t="s">
        <v>89</v>
      </c>
      <c r="AL510" s="16"/>
      <c r="AM510" s="16"/>
      <c r="AN510" s="16"/>
      <c r="AO510" s="16"/>
      <c r="AP510" s="18"/>
      <c r="AQ510" s="16"/>
    </row>
    <row r="511" ht="15.75" hidden="1" customHeight="1">
      <c r="A511" s="10" t="s">
        <v>2526</v>
      </c>
      <c r="B511" s="10" t="s">
        <v>2527</v>
      </c>
      <c r="C511" s="10" t="str">
        <f>VLOOKUP(A511,import!A:C,3,0)</f>
        <v>DOĞRU</v>
      </c>
      <c r="D511" s="10" t="s">
        <v>884</v>
      </c>
      <c r="E511" s="33">
        <f>VLOOKUP(A511,import!A:J,5,0)</f>
        <v>552</v>
      </c>
      <c r="F511" s="10" t="str">
        <f>VLOOKUP(A511,import!A:J,6,0)</f>
        <v/>
      </c>
      <c r="G511" s="10">
        <f>VLOOKUP(A511,import!A:J,7,0)</f>
        <v>34</v>
      </c>
      <c r="H511" s="10">
        <f>VLOOKUP(A511,import!A:J,8,0)</f>
        <v>35</v>
      </c>
      <c r="I511" s="10">
        <f>VLOOKUP(A511,import!A:J,9,0)</f>
        <v>69</v>
      </c>
      <c r="J511" s="11">
        <f>VLOOKUP(A511,import!A:J,10,0)</f>
        <v>0.49</v>
      </c>
      <c r="K511" s="10" t="s">
        <v>2528</v>
      </c>
      <c r="L511" s="10">
        <v>5.380305048E9</v>
      </c>
      <c r="M511" s="10" t="s">
        <v>72</v>
      </c>
      <c r="N511" s="10" t="s">
        <v>82</v>
      </c>
      <c r="O511" s="10" t="s">
        <v>2529</v>
      </c>
      <c r="P511" s="10" t="str">
        <f>VLOOKUP(A511,import!A:P,16,0)</f>
        <v>Geleneksel</v>
      </c>
      <c r="Q511" s="12"/>
      <c r="R511" s="12" t="b">
        <v>1</v>
      </c>
      <c r="S511" s="12" t="b">
        <v>0</v>
      </c>
      <c r="T511" s="13" t="s">
        <v>51</v>
      </c>
      <c r="U511" s="13" t="s">
        <v>89</v>
      </c>
      <c r="V511" s="13" t="s">
        <v>66</v>
      </c>
      <c r="W511" s="13" t="s">
        <v>211</v>
      </c>
      <c r="X511" s="15">
        <v>44515.0</v>
      </c>
      <c r="Y511" s="15">
        <v>44516.0</v>
      </c>
      <c r="Z511" s="16"/>
      <c r="AA511" s="17" t="s">
        <v>56</v>
      </c>
      <c r="AB511" s="16">
        <v>44515.0</v>
      </c>
      <c r="AC511" s="17" t="s">
        <v>56</v>
      </c>
      <c r="AD511" s="16">
        <v>44533.0</v>
      </c>
      <c r="AE511" s="17"/>
      <c r="AF511" s="16"/>
      <c r="AG511" s="17"/>
      <c r="AH511" s="16"/>
      <c r="AI511" s="16"/>
      <c r="AJ511" s="16"/>
      <c r="AK511" s="17" t="s">
        <v>89</v>
      </c>
      <c r="AL511" s="17" t="s">
        <v>108</v>
      </c>
      <c r="AM511" s="16"/>
      <c r="AN511" s="16"/>
      <c r="AO511" s="16"/>
      <c r="AP511" s="18" t="s">
        <v>58</v>
      </c>
      <c r="AQ511" s="16"/>
    </row>
    <row r="512" ht="15.75" customHeight="1">
      <c r="A512" s="10" t="s">
        <v>2530</v>
      </c>
      <c r="B512" s="10" t="s">
        <v>2531</v>
      </c>
      <c r="C512" s="10" t="str">
        <f>VLOOKUP(A512,import!A:C,3,0)</f>
        <v>DOĞRU</v>
      </c>
      <c r="D512" s="10" t="s">
        <v>884</v>
      </c>
      <c r="E512" s="10">
        <f>VLOOKUP(A512,import!A:J,5,0)</f>
        <v>34</v>
      </c>
      <c r="F512" s="10">
        <f>VLOOKUP(A512,import!A:J,6,0)</f>
        <v>4</v>
      </c>
      <c r="G512" s="10">
        <f>VLOOKUP(A512,import!A:J,7,0)</f>
        <v>20</v>
      </c>
      <c r="H512" s="10">
        <f>VLOOKUP(A512,import!A:J,8,0)</f>
        <v>31</v>
      </c>
      <c r="I512" s="10">
        <f>VLOOKUP(A512,import!A:J,9,0)</f>
        <v>51</v>
      </c>
      <c r="J512" s="11">
        <f>VLOOKUP(A512,import!A:J,10,0)</f>
        <v>0.39</v>
      </c>
      <c r="K512" s="10" t="s">
        <v>2532</v>
      </c>
      <c r="L512" s="10">
        <v>5.36622408E9</v>
      </c>
      <c r="M512" s="10" t="s">
        <v>63</v>
      </c>
      <c r="N512" s="10" t="s">
        <v>93</v>
      </c>
      <c r="O512" s="10" t="s">
        <v>2533</v>
      </c>
      <c r="P512" s="10" t="str">
        <f>VLOOKUP(A512,import!A:P,16,0)</f>
        <v>Geleneksel</v>
      </c>
      <c r="Q512" s="12"/>
      <c r="R512" s="12" t="b">
        <v>1</v>
      </c>
      <c r="S512" s="12" t="b">
        <v>0</v>
      </c>
      <c r="T512" s="13" t="s">
        <v>140</v>
      </c>
      <c r="U512" s="13"/>
      <c r="V512" s="19"/>
      <c r="W512" s="13" t="s">
        <v>2534</v>
      </c>
      <c r="X512" s="15"/>
      <c r="Y512" s="15"/>
      <c r="Z512" s="16"/>
      <c r="AA512" s="17" t="s">
        <v>56</v>
      </c>
      <c r="AB512" s="16">
        <v>44504.0</v>
      </c>
      <c r="AC512" s="16"/>
      <c r="AD512" s="16"/>
      <c r="AE512" s="17"/>
      <c r="AF512" s="16"/>
      <c r="AG512" s="17"/>
      <c r="AH512" s="16"/>
      <c r="AI512" s="16"/>
      <c r="AJ512" s="16"/>
      <c r="AK512" s="17" t="s">
        <v>108</v>
      </c>
      <c r="AL512" s="16"/>
      <c r="AM512" s="16"/>
      <c r="AN512" s="16"/>
      <c r="AO512" s="16"/>
      <c r="AP512" s="18" t="s">
        <v>58</v>
      </c>
      <c r="AQ512" s="16"/>
    </row>
    <row r="513" ht="15.75" hidden="1" customHeight="1">
      <c r="A513" s="10" t="s">
        <v>2535</v>
      </c>
      <c r="B513" s="10" t="s">
        <v>2536</v>
      </c>
      <c r="C513" s="10" t="str">
        <f>VLOOKUP(A513,import!A:C,3,0)</f>
        <v>DOĞRU</v>
      </c>
      <c r="D513" s="10" t="s">
        <v>884</v>
      </c>
      <c r="E513" s="10">
        <f>VLOOKUP(A513,import!A:J,5,0)</f>
        <v>18</v>
      </c>
      <c r="F513" s="10" t="str">
        <f>VLOOKUP(A513,import!A:J,6,0)</f>
        <v/>
      </c>
      <c r="G513" s="10">
        <f>VLOOKUP(A513,import!A:J,7,0)</f>
        <v>21</v>
      </c>
      <c r="H513" s="10">
        <f>VLOOKUP(A513,import!A:J,8,0)</f>
        <v>34</v>
      </c>
      <c r="I513" s="10">
        <f>VLOOKUP(A513,import!A:J,9,0)</f>
        <v>55</v>
      </c>
      <c r="J513" s="11">
        <f>VLOOKUP(A513,import!A:J,10,0)</f>
        <v>0.38</v>
      </c>
      <c r="K513" s="10" t="s">
        <v>2532</v>
      </c>
      <c r="L513" s="10">
        <v>5.305915033E9</v>
      </c>
      <c r="M513" s="10" t="s">
        <v>72</v>
      </c>
      <c r="N513" s="10" t="s">
        <v>915</v>
      </c>
      <c r="O513" s="10" t="s">
        <v>2537</v>
      </c>
      <c r="P513" s="10" t="str">
        <f>VLOOKUP(A513,import!A:P,16,0)</f>
        <v>Geleneksel</v>
      </c>
      <c r="Q513" s="12"/>
      <c r="R513" s="12" t="b">
        <v>1</v>
      </c>
      <c r="S513" s="12" t="b">
        <v>0</v>
      </c>
      <c r="T513" s="13" t="s">
        <v>51</v>
      </c>
      <c r="U513" s="13" t="s">
        <v>88</v>
      </c>
      <c r="V513" s="13" t="s">
        <v>53</v>
      </c>
      <c r="W513" s="13" t="s">
        <v>2538</v>
      </c>
      <c r="X513" s="15">
        <v>44350.0</v>
      </c>
      <c r="Y513" s="15">
        <v>44354.0</v>
      </c>
      <c r="Z513" s="16"/>
      <c r="AA513" s="17" t="s">
        <v>56</v>
      </c>
      <c r="AB513" s="16">
        <v>44350.0</v>
      </c>
      <c r="AC513" s="17" t="s">
        <v>56</v>
      </c>
      <c r="AD513" s="16">
        <v>44477.0</v>
      </c>
      <c r="AE513" s="17"/>
      <c r="AF513" s="16"/>
      <c r="AG513" s="17"/>
      <c r="AH513" s="16"/>
      <c r="AI513" s="16"/>
      <c r="AJ513" s="16"/>
      <c r="AK513" s="17" t="s">
        <v>88</v>
      </c>
      <c r="AL513" s="17" t="s">
        <v>171</v>
      </c>
      <c r="AM513" s="16"/>
      <c r="AN513" s="16"/>
      <c r="AO513" s="16"/>
      <c r="AP513" s="18" t="s">
        <v>58</v>
      </c>
      <c r="AQ513" s="16"/>
    </row>
    <row r="514" ht="15.75" hidden="1" customHeight="1">
      <c r="A514" s="18" t="s">
        <v>2539</v>
      </c>
      <c r="B514" s="18" t="s">
        <v>2540</v>
      </c>
      <c r="C514" s="10" t="str">
        <f>VLOOKUP(A514,import!A:C,3,0)</f>
        <v>DOĞRU</v>
      </c>
      <c r="D514" s="18" t="s">
        <v>80</v>
      </c>
      <c r="E514" s="10">
        <f>VLOOKUP(A514,import!A:J,5,0)</f>
        <v>39</v>
      </c>
      <c r="F514" s="10">
        <f>VLOOKUP(A514,import!A:J,6,0)</f>
        <v>39</v>
      </c>
      <c r="G514" s="10">
        <f>VLOOKUP(A514,import!A:J,7,0)</f>
        <v>0</v>
      </c>
      <c r="H514" s="10">
        <f>VLOOKUP(A514,import!A:J,8,0)</f>
        <v>11</v>
      </c>
      <c r="I514" s="10">
        <f>VLOOKUP(A514,import!A:J,9,0)</f>
        <v>11</v>
      </c>
      <c r="J514" s="11">
        <f>VLOOKUP(A514,import!A:J,10,0)</f>
        <v>0</v>
      </c>
      <c r="K514" s="18" t="s">
        <v>2541</v>
      </c>
      <c r="L514" s="18">
        <v>3.249994818E9</v>
      </c>
      <c r="M514" s="18" t="s">
        <v>72</v>
      </c>
      <c r="N514" s="18" t="s">
        <v>113</v>
      </c>
      <c r="O514" s="18" t="s">
        <v>840</v>
      </c>
      <c r="P514" s="10" t="str">
        <f>VLOOKUP(A514,import!A:P,16,0)</f>
        <v>Geleneksel</v>
      </c>
      <c r="Q514" s="12"/>
      <c r="R514" s="12" t="b">
        <v>0</v>
      </c>
      <c r="S514" s="12" t="b">
        <v>0</v>
      </c>
      <c r="T514" s="13"/>
      <c r="U514" s="13"/>
      <c r="V514" s="13"/>
      <c r="W514" s="13"/>
      <c r="X514" s="15"/>
      <c r="Y514" s="15"/>
      <c r="Z514" s="16"/>
      <c r="AA514" s="17"/>
      <c r="AB514" s="16"/>
      <c r="AC514" s="16"/>
      <c r="AD514" s="16"/>
      <c r="AE514" s="17"/>
      <c r="AF514" s="16"/>
      <c r="AG514" s="17"/>
      <c r="AH514" s="16"/>
      <c r="AI514" s="16"/>
      <c r="AJ514" s="16"/>
      <c r="AK514" s="17"/>
      <c r="AL514" s="16"/>
      <c r="AM514" s="16"/>
      <c r="AN514" s="16"/>
      <c r="AO514" s="16"/>
      <c r="AP514" s="18"/>
      <c r="AQ514" s="16"/>
    </row>
    <row r="515" ht="15.75" hidden="1" customHeight="1">
      <c r="A515" s="10" t="s">
        <v>2542</v>
      </c>
      <c r="B515" s="10" t="s">
        <v>2543</v>
      </c>
      <c r="C515" s="10" t="str">
        <f>VLOOKUP(A515,import!A:C,3,0)</f>
        <v>DOĞRU</v>
      </c>
      <c r="D515" s="10" t="s">
        <v>676</v>
      </c>
      <c r="E515" s="10">
        <f>VLOOKUP(A515,import!A:J,5,0)</f>
        <v>522</v>
      </c>
      <c r="F515" s="10">
        <f>VLOOKUP(A515,import!A:J,6,0)</f>
        <v>11</v>
      </c>
      <c r="G515" s="10">
        <f>VLOOKUP(A515,import!A:J,7,0)</f>
        <v>0</v>
      </c>
      <c r="H515" s="10">
        <f>VLOOKUP(A515,import!A:J,8,0)</f>
        <v>42</v>
      </c>
      <c r="I515" s="10">
        <f>VLOOKUP(A515,import!A:J,9,0)</f>
        <v>42</v>
      </c>
      <c r="J515" s="11">
        <f>VLOOKUP(A515,import!A:J,10,0)</f>
        <v>0</v>
      </c>
      <c r="K515" s="10" t="s">
        <v>2544</v>
      </c>
      <c r="L515" s="10">
        <v>5.527263433E9</v>
      </c>
      <c r="M515" s="10" t="s">
        <v>156</v>
      </c>
      <c r="N515" s="10" t="s">
        <v>222</v>
      </c>
      <c r="O515" s="10" t="s">
        <v>2545</v>
      </c>
      <c r="P515" s="10" t="str">
        <f>VLOOKUP(A515,import!A:P,16,0)</f>
        <v>Geleneksel</v>
      </c>
      <c r="Q515" s="12" t="s">
        <v>84</v>
      </c>
      <c r="R515" s="12" t="b">
        <v>1</v>
      </c>
      <c r="S515" s="12" t="b">
        <v>0</v>
      </c>
      <c r="T515" s="13" t="s">
        <v>130</v>
      </c>
      <c r="U515" s="13"/>
      <c r="V515" s="13"/>
      <c r="W515" s="13" t="s">
        <v>2546</v>
      </c>
      <c r="X515" s="15"/>
      <c r="Y515" s="15"/>
      <c r="Z515" s="16"/>
      <c r="AA515" s="16"/>
      <c r="AB515" s="16"/>
      <c r="AC515" s="16"/>
      <c r="AD515" s="16"/>
      <c r="AE515" s="17"/>
      <c r="AF515" s="16"/>
      <c r="AG515" s="17"/>
      <c r="AH515" s="16"/>
      <c r="AI515" s="16"/>
      <c r="AJ515" s="16"/>
      <c r="AK515" s="16"/>
      <c r="AL515" s="16"/>
      <c r="AM515" s="16"/>
      <c r="AN515" s="16"/>
      <c r="AO515" s="16"/>
      <c r="AP515" s="18" t="s">
        <v>58</v>
      </c>
      <c r="AQ515" s="16"/>
    </row>
    <row r="516" ht="15.75" hidden="1" customHeight="1">
      <c r="A516" s="10" t="s">
        <v>2547</v>
      </c>
      <c r="B516" s="10" t="s">
        <v>2548</v>
      </c>
      <c r="C516" s="10" t="str">
        <f>VLOOKUP(A516,import!A:C,3,0)</f>
        <v>DOĞRU</v>
      </c>
      <c r="D516" s="10" t="s">
        <v>913</v>
      </c>
      <c r="E516" s="10">
        <f>VLOOKUP(A516,import!A:J,5,0)</f>
        <v>252</v>
      </c>
      <c r="F516" s="10" t="str">
        <f>VLOOKUP(A516,import!A:J,6,0)</f>
        <v/>
      </c>
      <c r="G516" s="10">
        <f>VLOOKUP(A516,import!A:J,7,0)</f>
        <v>22</v>
      </c>
      <c r="H516" s="10">
        <f>VLOOKUP(A516,import!A:J,8,0)</f>
        <v>12</v>
      </c>
      <c r="I516" s="10">
        <f>VLOOKUP(A516,import!A:J,9,0)</f>
        <v>34</v>
      </c>
      <c r="J516" s="11">
        <f>VLOOKUP(A516,import!A:J,10,0)</f>
        <v>0.65</v>
      </c>
      <c r="K516" s="10" t="s">
        <v>2549</v>
      </c>
      <c r="L516" s="10">
        <v>3.243910061E9</v>
      </c>
      <c r="M516" s="10" t="s">
        <v>72</v>
      </c>
      <c r="N516" s="10" t="s">
        <v>538</v>
      </c>
      <c r="O516" s="10" t="s">
        <v>2550</v>
      </c>
      <c r="P516" s="10" t="str">
        <f>VLOOKUP(A516,import!A:P,16,0)</f>
        <v>Geleneksel</v>
      </c>
      <c r="Q516" s="12" t="s">
        <v>75</v>
      </c>
      <c r="R516" s="12" t="b">
        <v>1</v>
      </c>
      <c r="S516" s="12" t="b">
        <v>0</v>
      </c>
      <c r="T516" s="13" t="s">
        <v>51</v>
      </c>
      <c r="U516" s="13" t="s">
        <v>258</v>
      </c>
      <c r="V516" s="13" t="s">
        <v>66</v>
      </c>
      <c r="W516" s="13" t="s">
        <v>2551</v>
      </c>
      <c r="X516" s="15">
        <v>44294.0</v>
      </c>
      <c r="Y516" s="15">
        <v>44300.0</v>
      </c>
      <c r="Z516" s="16"/>
      <c r="AA516" s="16"/>
      <c r="AB516" s="16"/>
      <c r="AC516" s="16"/>
      <c r="AD516" s="16"/>
      <c r="AE516" s="17"/>
      <c r="AF516" s="16"/>
      <c r="AG516" s="17"/>
      <c r="AH516" s="16"/>
      <c r="AI516" s="16"/>
      <c r="AJ516" s="16"/>
      <c r="AK516" s="16"/>
      <c r="AL516" s="16"/>
      <c r="AM516" s="16"/>
      <c r="AN516" s="16"/>
      <c r="AO516" s="16"/>
      <c r="AP516" s="18" t="s">
        <v>58</v>
      </c>
      <c r="AQ516" s="16"/>
    </row>
    <row r="517" ht="15.75" hidden="1" customHeight="1">
      <c r="A517" s="10" t="s">
        <v>2552</v>
      </c>
      <c r="B517" s="10" t="s">
        <v>2553</v>
      </c>
      <c r="C517" s="10" t="str">
        <f>VLOOKUP(A517,import!A:C,3,0)</f>
        <v>DOĞRU</v>
      </c>
      <c r="D517" s="10" t="s">
        <v>676</v>
      </c>
      <c r="E517" s="10">
        <f>VLOOKUP(A517,import!A:J,5,0)</f>
        <v>465</v>
      </c>
      <c r="F517" s="10">
        <f>VLOOKUP(A517,import!A:J,6,0)</f>
        <v>22</v>
      </c>
      <c r="G517" s="10">
        <f>VLOOKUP(A517,import!A:J,7,0)</f>
        <v>34</v>
      </c>
      <c r="H517" s="10">
        <f>VLOOKUP(A517,import!A:J,8,0)</f>
        <v>34</v>
      </c>
      <c r="I517" s="10">
        <f>VLOOKUP(A517,import!A:J,9,0)</f>
        <v>68</v>
      </c>
      <c r="J517" s="11">
        <f>VLOOKUP(A517,import!A:J,10,0)</f>
        <v>0.5</v>
      </c>
      <c r="K517" s="10" t="s">
        <v>2554</v>
      </c>
      <c r="L517" s="10">
        <v>5.51172732E9</v>
      </c>
      <c r="M517" s="10" t="s">
        <v>72</v>
      </c>
      <c r="N517" s="10" t="s">
        <v>82</v>
      </c>
      <c r="O517" s="10" t="s">
        <v>2555</v>
      </c>
      <c r="P517" s="10" t="str">
        <f>VLOOKUP(A517,import!A:P,16,0)</f>
        <v>Geleneksel</v>
      </c>
      <c r="Q517" s="12" t="s">
        <v>84</v>
      </c>
      <c r="R517" s="12" t="b">
        <v>1</v>
      </c>
      <c r="S517" s="12" t="b">
        <v>0</v>
      </c>
      <c r="T517" s="13" t="s">
        <v>51</v>
      </c>
      <c r="U517" s="13" t="s">
        <v>1218</v>
      </c>
      <c r="V517" s="13" t="s">
        <v>53</v>
      </c>
      <c r="W517" s="13" t="s">
        <v>2556</v>
      </c>
      <c r="X517" s="15">
        <v>44287.0</v>
      </c>
      <c r="Y517" s="15">
        <v>44291.0</v>
      </c>
      <c r="Z517" s="16"/>
      <c r="AA517" s="16"/>
      <c r="AB517" s="16"/>
      <c r="AC517" s="16"/>
      <c r="AD517" s="16"/>
      <c r="AE517" s="17"/>
      <c r="AF517" s="16"/>
      <c r="AG517" s="17"/>
      <c r="AH517" s="16"/>
      <c r="AI517" s="16"/>
      <c r="AJ517" s="16"/>
      <c r="AK517" s="16"/>
      <c r="AL517" s="16"/>
      <c r="AM517" s="16"/>
      <c r="AN517" s="16"/>
      <c r="AO517" s="16"/>
      <c r="AP517" s="18" t="s">
        <v>58</v>
      </c>
      <c r="AQ517" s="16"/>
    </row>
    <row r="518" ht="15.75" hidden="1" customHeight="1">
      <c r="A518" s="10" t="s">
        <v>2557</v>
      </c>
      <c r="B518" s="10" t="s">
        <v>2558</v>
      </c>
      <c r="C518" s="10" t="str">
        <f>VLOOKUP(A518,import!A:C,3,0)</f>
        <v>DOĞRU</v>
      </c>
      <c r="D518" s="10" t="s">
        <v>118</v>
      </c>
      <c r="E518" s="10">
        <f>VLOOKUP(A518,import!A:J,5,0)</f>
        <v>423</v>
      </c>
      <c r="F518" s="10">
        <f>VLOOKUP(A518,import!A:J,6,0)</f>
        <v>5</v>
      </c>
      <c r="G518" s="10">
        <f>VLOOKUP(A518,import!A:J,7,0)</f>
        <v>5</v>
      </c>
      <c r="H518" s="10">
        <f>VLOOKUP(A518,import!A:J,8,0)</f>
        <v>14</v>
      </c>
      <c r="I518" s="10">
        <f>VLOOKUP(A518,import!A:J,9,0)</f>
        <v>19</v>
      </c>
      <c r="J518" s="11">
        <f>VLOOKUP(A518,import!A:J,10,0)</f>
        <v>0.26</v>
      </c>
      <c r="K518" s="10" t="s">
        <v>2559</v>
      </c>
      <c r="L518" s="10">
        <v>5.51041622E9</v>
      </c>
      <c r="M518" s="10" t="s">
        <v>215</v>
      </c>
      <c r="N518" s="10" t="s">
        <v>1190</v>
      </c>
      <c r="O518" s="10" t="s">
        <v>2560</v>
      </c>
      <c r="P518" s="10" t="str">
        <f>VLOOKUP(A518,import!A:P,16,0)</f>
        <v>Geleneksel</v>
      </c>
      <c r="Q518" s="12"/>
      <c r="R518" s="12" t="b">
        <v>1</v>
      </c>
      <c r="S518" s="12" t="b">
        <v>0</v>
      </c>
      <c r="T518" s="13" t="s">
        <v>51</v>
      </c>
      <c r="U518" s="13" t="s">
        <v>367</v>
      </c>
      <c r="V518" s="13" t="s">
        <v>53</v>
      </c>
      <c r="W518" s="13" t="s">
        <v>2561</v>
      </c>
      <c r="X518" s="15">
        <v>44498.0</v>
      </c>
      <c r="Y518" s="15">
        <v>44501.0</v>
      </c>
      <c r="Z518" s="16"/>
      <c r="AA518" s="17" t="s">
        <v>56</v>
      </c>
      <c r="AB518" s="16">
        <v>44393.0</v>
      </c>
      <c r="AC518" s="17" t="s">
        <v>86</v>
      </c>
      <c r="AD518" s="16">
        <v>44412.0</v>
      </c>
      <c r="AE518" s="17" t="s">
        <v>86</v>
      </c>
      <c r="AF518" s="16">
        <v>44480.0</v>
      </c>
      <c r="AG518" s="17" t="s">
        <v>55</v>
      </c>
      <c r="AH518" s="16">
        <v>44491.0</v>
      </c>
      <c r="AI518" s="17" t="s">
        <v>56</v>
      </c>
      <c r="AJ518" s="16">
        <v>44498.0</v>
      </c>
      <c r="AK518" s="17" t="s">
        <v>52</v>
      </c>
      <c r="AL518" s="17" t="s">
        <v>57</v>
      </c>
      <c r="AM518" s="17" t="s">
        <v>87</v>
      </c>
      <c r="AN518" s="17" t="s">
        <v>89</v>
      </c>
      <c r="AO518" s="17" t="s">
        <v>367</v>
      </c>
      <c r="AP518" s="18" t="s">
        <v>58</v>
      </c>
      <c r="AQ518" s="17"/>
    </row>
    <row r="519" ht="15.75" hidden="1" customHeight="1">
      <c r="A519" s="10" t="s">
        <v>2562</v>
      </c>
      <c r="B519" s="10" t="s">
        <v>2563</v>
      </c>
      <c r="C519" s="10" t="str">
        <f>VLOOKUP(A519,import!A:C,3,0)</f>
        <v>DOĞRU</v>
      </c>
      <c r="D519" s="10" t="s">
        <v>451</v>
      </c>
      <c r="E519" s="10">
        <f>VLOOKUP(A519,import!A:J,5,0)</f>
        <v>6021</v>
      </c>
      <c r="F519" s="10">
        <f>VLOOKUP(A519,import!A:J,6,0)</f>
        <v>370</v>
      </c>
      <c r="G519" s="10">
        <f>VLOOKUP(A519,import!A:J,7,0)</f>
        <v>15</v>
      </c>
      <c r="H519" s="10">
        <f>VLOOKUP(A519,import!A:J,8,0)</f>
        <v>15</v>
      </c>
      <c r="I519" s="10">
        <f>VLOOKUP(A519,import!A:J,9,0)</f>
        <v>30</v>
      </c>
      <c r="J519" s="11">
        <f>VLOOKUP(A519,import!A:J,10,0)</f>
        <v>0.5</v>
      </c>
      <c r="K519" s="10" t="s">
        <v>2564</v>
      </c>
      <c r="L519" s="10">
        <v>3.245020666E9</v>
      </c>
      <c r="M519" s="10" t="s">
        <v>72</v>
      </c>
      <c r="N519" s="10" t="s">
        <v>82</v>
      </c>
      <c r="O519" s="10" t="s">
        <v>2565</v>
      </c>
      <c r="P519" s="10" t="str">
        <f>VLOOKUP(A519,import!A:P,16,0)</f>
        <v>Geleneksel</v>
      </c>
      <c r="Q519" s="12" t="s">
        <v>146</v>
      </c>
      <c r="R519" s="12" t="b">
        <v>1</v>
      </c>
      <c r="S519" s="12" t="b">
        <v>0</v>
      </c>
      <c r="T519" s="13" t="s">
        <v>51</v>
      </c>
      <c r="U519" s="13" t="s">
        <v>1218</v>
      </c>
      <c r="V519" s="13" t="s">
        <v>278</v>
      </c>
      <c r="W519" s="13" t="s">
        <v>2566</v>
      </c>
      <c r="X519" s="15">
        <v>44287.0</v>
      </c>
      <c r="Y519" s="15">
        <v>44291.0</v>
      </c>
      <c r="Z519" s="16"/>
      <c r="AA519" s="17" t="s">
        <v>56</v>
      </c>
      <c r="AB519" s="16">
        <v>44501.0</v>
      </c>
      <c r="AC519" s="16"/>
      <c r="AD519" s="16"/>
      <c r="AE519" s="17"/>
      <c r="AF519" s="16"/>
      <c r="AG519" s="17"/>
      <c r="AH519" s="16"/>
      <c r="AI519" s="16"/>
      <c r="AJ519" s="16"/>
      <c r="AK519" s="17" t="s">
        <v>133</v>
      </c>
      <c r="AL519" s="16"/>
      <c r="AM519" s="16"/>
      <c r="AN519" s="16"/>
      <c r="AO519" s="16"/>
      <c r="AP519" s="18" t="s">
        <v>58</v>
      </c>
      <c r="AQ519" s="16"/>
    </row>
    <row r="520" ht="15.75" hidden="1" customHeight="1">
      <c r="A520" s="18" t="s">
        <v>2567</v>
      </c>
      <c r="B520" s="18" t="s">
        <v>2563</v>
      </c>
      <c r="C520" s="10" t="str">
        <f>VLOOKUP(A520,import!A:C,3,0)</f>
        <v>DOĞRU</v>
      </c>
      <c r="D520" s="18" t="s">
        <v>451</v>
      </c>
      <c r="E520" s="10" t="str">
        <f>VLOOKUP(A520,import!A:J,5,0)</f>
        <v/>
      </c>
      <c r="F520" s="10" t="str">
        <f>VLOOKUP(A520,import!A:J,6,0)</f>
        <v/>
      </c>
      <c r="G520" s="10">
        <f>VLOOKUP(A520,import!A:J,7,0)</f>
        <v>0</v>
      </c>
      <c r="H520" s="10">
        <f>VLOOKUP(A520,import!A:J,8,0)</f>
        <v>31</v>
      </c>
      <c r="I520" s="10">
        <f>VLOOKUP(A520,import!A:J,9,0)</f>
        <v>31</v>
      </c>
      <c r="J520" s="11">
        <f>VLOOKUP(A520,import!A:J,10,0)</f>
        <v>0</v>
      </c>
      <c r="K520" s="18" t="s">
        <v>2568</v>
      </c>
      <c r="L520" s="18">
        <v>3.245020666E9</v>
      </c>
      <c r="M520" s="18" t="s">
        <v>72</v>
      </c>
      <c r="N520" s="18" t="s">
        <v>82</v>
      </c>
      <c r="O520" s="18" t="s">
        <v>2565</v>
      </c>
      <c r="P520" s="10" t="str">
        <f>VLOOKUP(A520,import!A:P,16,0)</f>
        <v>Geleneksel</v>
      </c>
      <c r="Q520" s="12"/>
      <c r="R520" s="12" t="b">
        <v>0</v>
      </c>
      <c r="S520" s="12" t="b">
        <v>0</v>
      </c>
      <c r="T520" s="13"/>
      <c r="U520" s="13"/>
      <c r="V520" s="13"/>
      <c r="W520" s="13"/>
      <c r="X520" s="15"/>
      <c r="Y520" s="15"/>
      <c r="Z520" s="16"/>
      <c r="AA520" s="17"/>
      <c r="AB520" s="16"/>
      <c r="AC520" s="16"/>
      <c r="AD520" s="16"/>
      <c r="AE520" s="17"/>
      <c r="AF520" s="16"/>
      <c r="AG520" s="17"/>
      <c r="AH520" s="16"/>
      <c r="AI520" s="16"/>
      <c r="AJ520" s="16"/>
      <c r="AK520" s="17"/>
      <c r="AL520" s="16"/>
      <c r="AM520" s="16"/>
      <c r="AN520" s="16"/>
      <c r="AO520" s="16"/>
      <c r="AP520" s="18"/>
      <c r="AQ520" s="16"/>
    </row>
    <row r="521" ht="15.75" customHeight="1">
      <c r="A521" s="10" t="s">
        <v>2569</v>
      </c>
      <c r="B521" s="10" t="s">
        <v>2570</v>
      </c>
      <c r="C521" s="10" t="str">
        <f>VLOOKUP(A521,import!A:C,3,0)</f>
        <v>DOĞRU</v>
      </c>
      <c r="D521" s="10" t="s">
        <v>70</v>
      </c>
      <c r="E521" s="10">
        <f>VLOOKUP(A521,import!A:J,5,0)</f>
        <v>1212</v>
      </c>
      <c r="F521" s="10">
        <f>VLOOKUP(A521,import!A:J,6,0)</f>
        <v>78</v>
      </c>
      <c r="G521" s="10">
        <f>VLOOKUP(A521,import!A:J,7,0)</f>
        <v>0</v>
      </c>
      <c r="H521" s="10">
        <f>VLOOKUP(A521,import!A:J,8,0)</f>
        <v>15</v>
      </c>
      <c r="I521" s="10">
        <f>VLOOKUP(A521,import!A:J,9,0)</f>
        <v>15</v>
      </c>
      <c r="J521" s="11">
        <f>VLOOKUP(A521,import!A:J,10,0)</f>
        <v>0</v>
      </c>
      <c r="K521" s="10" t="s">
        <v>2571</v>
      </c>
      <c r="L521" s="10">
        <v>3.242384056E9</v>
      </c>
      <c r="M521" s="10" t="s">
        <v>137</v>
      </c>
      <c r="N521" s="10" t="s">
        <v>144</v>
      </c>
      <c r="O521" s="10" t="s">
        <v>2572</v>
      </c>
      <c r="P521" s="10" t="str">
        <f>VLOOKUP(A521,import!A:P,16,0)</f>
        <v>Geleneksel</v>
      </c>
      <c r="Q521" s="12"/>
      <c r="R521" s="12" t="b">
        <v>1</v>
      </c>
      <c r="S521" s="12" t="b">
        <v>0</v>
      </c>
      <c r="T521" s="13" t="s">
        <v>521</v>
      </c>
      <c r="U521" s="13" t="s">
        <v>87</v>
      </c>
      <c r="V521" s="13" t="s">
        <v>66</v>
      </c>
      <c r="W521" s="23" t="s">
        <v>2573</v>
      </c>
      <c r="X521" s="15">
        <v>44495.0</v>
      </c>
      <c r="Y521" s="15">
        <v>44496.0</v>
      </c>
      <c r="Z521" s="16"/>
      <c r="AA521" s="17" t="s">
        <v>56</v>
      </c>
      <c r="AB521" s="16">
        <v>44484.0</v>
      </c>
      <c r="AC521" s="17" t="s">
        <v>56</v>
      </c>
      <c r="AD521" s="16">
        <v>44490.0</v>
      </c>
      <c r="AE521" s="17" t="s">
        <v>56</v>
      </c>
      <c r="AF521" s="16">
        <v>44495.0</v>
      </c>
      <c r="AG521" s="17" t="s">
        <v>56</v>
      </c>
      <c r="AH521" s="16">
        <v>44497.0</v>
      </c>
      <c r="AI521" s="16"/>
      <c r="AJ521" s="16"/>
      <c r="AK521" s="17" t="s">
        <v>367</v>
      </c>
      <c r="AL521" s="17" t="s">
        <v>103</v>
      </c>
      <c r="AM521" s="17" t="s">
        <v>87</v>
      </c>
      <c r="AN521" s="17" t="s">
        <v>52</v>
      </c>
      <c r="AO521" s="16"/>
      <c r="AP521" s="18" t="s">
        <v>58</v>
      </c>
      <c r="AQ521" s="16"/>
    </row>
    <row r="522" ht="15.75" customHeight="1">
      <c r="A522" s="10" t="s">
        <v>2574</v>
      </c>
      <c r="B522" s="10" t="s">
        <v>2575</v>
      </c>
      <c r="C522" s="10" t="str">
        <f>VLOOKUP(A522,import!A:C,3,0)</f>
        <v>YANLIŞ</v>
      </c>
      <c r="D522" s="10" t="s">
        <v>70</v>
      </c>
      <c r="E522" s="10">
        <f>VLOOKUP(A522,import!A:J,5,0)</f>
        <v>3141</v>
      </c>
      <c r="F522" s="10" t="str">
        <f>VLOOKUP(A522,import!A:J,6,0)</f>
        <v/>
      </c>
      <c r="G522" s="10">
        <f>VLOOKUP(A522,import!A:J,7,0)</f>
        <v>14</v>
      </c>
      <c r="H522" s="10">
        <f>VLOOKUP(A522,import!A:J,8,0)</f>
        <v>4</v>
      </c>
      <c r="I522" s="10">
        <f>VLOOKUP(A522,import!A:J,9,0)</f>
        <v>18</v>
      </c>
      <c r="J522" s="11">
        <f>VLOOKUP(A522,import!A:J,10,0)</f>
        <v>0.78</v>
      </c>
      <c r="K522" s="10" t="s">
        <v>2576</v>
      </c>
      <c r="L522" s="10">
        <v>3.242904445E9</v>
      </c>
      <c r="M522" s="10" t="s">
        <v>63</v>
      </c>
      <c r="N522" s="10" t="s">
        <v>137</v>
      </c>
      <c r="O522" s="10" t="s">
        <v>2577</v>
      </c>
      <c r="P522" s="10" t="str">
        <f>VLOOKUP(A522,import!A:P,16,0)</f>
        <v>Geleneksel</v>
      </c>
      <c r="Q522" s="12"/>
      <c r="R522" s="12" t="b">
        <v>1</v>
      </c>
      <c r="S522" s="12" t="b">
        <v>0</v>
      </c>
      <c r="T522" s="13" t="s">
        <v>51</v>
      </c>
      <c r="U522" s="13" t="s">
        <v>89</v>
      </c>
      <c r="V522" s="13" t="s">
        <v>66</v>
      </c>
      <c r="W522" s="13" t="s">
        <v>2578</v>
      </c>
      <c r="X522" s="15">
        <v>44495.0</v>
      </c>
      <c r="Y522" s="15">
        <v>44496.0</v>
      </c>
      <c r="Z522" s="16"/>
      <c r="AA522" s="17" t="s">
        <v>86</v>
      </c>
      <c r="AB522" s="16">
        <v>44481.0</v>
      </c>
      <c r="AC522" s="17" t="s">
        <v>56</v>
      </c>
      <c r="AD522" s="16">
        <v>44495.0</v>
      </c>
      <c r="AE522" s="17"/>
      <c r="AF522" s="16"/>
      <c r="AG522" s="17"/>
      <c r="AH522" s="16"/>
      <c r="AI522" s="16"/>
      <c r="AJ522" s="16"/>
      <c r="AK522" s="17" t="s">
        <v>87</v>
      </c>
      <c r="AL522" s="17" t="s">
        <v>89</v>
      </c>
      <c r="AM522" s="16"/>
      <c r="AN522" s="16"/>
      <c r="AO522" s="16"/>
      <c r="AP522" s="18" t="s">
        <v>58</v>
      </c>
      <c r="AQ522" s="16"/>
    </row>
    <row r="523" ht="15.75" hidden="1" customHeight="1">
      <c r="A523" s="10" t="s">
        <v>2579</v>
      </c>
      <c r="B523" s="10" t="s">
        <v>2580</v>
      </c>
      <c r="C523" s="10" t="str">
        <f>VLOOKUP(A523,import!A:C,3,0)</f>
        <v>DOĞRU</v>
      </c>
      <c r="D523" s="10" t="s">
        <v>70</v>
      </c>
      <c r="E523" s="10">
        <f>VLOOKUP(A523,import!A:J,5,0)</f>
        <v>2666</v>
      </c>
      <c r="F523" s="10">
        <f>VLOOKUP(A523,import!A:J,6,0)</f>
        <v>24</v>
      </c>
      <c r="G523" s="10">
        <f>VLOOKUP(A523,import!A:J,7,0)</f>
        <v>0</v>
      </c>
      <c r="H523" s="10">
        <f>VLOOKUP(A523,import!A:J,8,0)</f>
        <v>12</v>
      </c>
      <c r="I523" s="10">
        <f>VLOOKUP(A523,import!A:J,9,0)</f>
        <v>12</v>
      </c>
      <c r="J523" s="11">
        <f>VLOOKUP(A523,import!A:J,10,0)</f>
        <v>0</v>
      </c>
      <c r="K523" s="10" t="s">
        <v>2581</v>
      </c>
      <c r="L523" s="10">
        <v>5.355753871E9</v>
      </c>
      <c r="M523" s="10" t="s">
        <v>72</v>
      </c>
      <c r="N523" s="10" t="s">
        <v>113</v>
      </c>
      <c r="O523" s="10" t="s">
        <v>2582</v>
      </c>
      <c r="P523" s="10" t="str">
        <f>VLOOKUP(A523,import!A:P,16,0)</f>
        <v>Geleneksel</v>
      </c>
      <c r="Q523" s="12" t="s">
        <v>50</v>
      </c>
      <c r="R523" s="12" t="b">
        <v>1</v>
      </c>
      <c r="S523" s="12" t="b">
        <v>0</v>
      </c>
      <c r="T523" s="13" t="s">
        <v>272</v>
      </c>
      <c r="U523" s="13" t="s">
        <v>163</v>
      </c>
      <c r="V523" s="13" t="s">
        <v>53</v>
      </c>
      <c r="W523" s="13" t="s">
        <v>2583</v>
      </c>
      <c r="X523" s="15">
        <v>44364.0</v>
      </c>
      <c r="Y523" s="15">
        <v>44368.0</v>
      </c>
      <c r="Z523" s="16"/>
      <c r="AA523" s="17" t="s">
        <v>56</v>
      </c>
      <c r="AB523" s="16">
        <v>44358.0</v>
      </c>
      <c r="AC523" s="16"/>
      <c r="AD523" s="16"/>
      <c r="AE523" s="17"/>
      <c r="AF523" s="16"/>
      <c r="AG523" s="17"/>
      <c r="AH523" s="16"/>
      <c r="AI523" s="16"/>
      <c r="AJ523" s="16"/>
      <c r="AK523" s="17" t="s">
        <v>163</v>
      </c>
      <c r="AL523" s="16"/>
      <c r="AM523" s="16"/>
      <c r="AN523" s="16"/>
      <c r="AO523" s="16"/>
      <c r="AP523" s="18" t="s">
        <v>58</v>
      </c>
      <c r="AQ523" s="16"/>
    </row>
    <row r="524" ht="15.75" hidden="1" customHeight="1">
      <c r="A524" s="10" t="s">
        <v>2584</v>
      </c>
      <c r="B524" s="10" t="s">
        <v>2585</v>
      </c>
      <c r="C524" s="10" t="str">
        <f>VLOOKUP(A524,import!A:C,3,0)</f>
        <v>DOĞRU</v>
      </c>
      <c r="D524" s="10" t="s">
        <v>70</v>
      </c>
      <c r="E524" s="10">
        <f>VLOOKUP(A524,import!A:J,5,0)</f>
        <v>5413</v>
      </c>
      <c r="F524" s="10">
        <f>VLOOKUP(A524,import!A:J,6,0)</f>
        <v>241</v>
      </c>
      <c r="G524" s="10">
        <f>VLOOKUP(A524,import!A:J,7,0)</f>
        <v>16</v>
      </c>
      <c r="H524" s="10">
        <f>VLOOKUP(A524,import!A:J,8,0)</f>
        <v>18</v>
      </c>
      <c r="I524" s="10">
        <f>VLOOKUP(A524,import!A:J,9,0)</f>
        <v>34</v>
      </c>
      <c r="J524" s="11">
        <f>VLOOKUP(A524,import!A:J,10,0)</f>
        <v>0.47</v>
      </c>
      <c r="K524" s="10" t="s">
        <v>2586</v>
      </c>
      <c r="L524" s="10">
        <v>3.243610272E9</v>
      </c>
      <c r="M524" s="10" t="s">
        <v>72</v>
      </c>
      <c r="N524" s="10" t="s">
        <v>82</v>
      </c>
      <c r="O524" s="10" t="s">
        <v>2587</v>
      </c>
      <c r="P524" s="10" t="str">
        <f>VLOOKUP(A524,import!A:P,16,0)</f>
        <v>Geleneksel</v>
      </c>
      <c r="Q524" s="12"/>
      <c r="R524" s="12" t="b">
        <v>1</v>
      </c>
      <c r="S524" s="12" t="b">
        <v>0</v>
      </c>
      <c r="T524" s="13" t="s">
        <v>51</v>
      </c>
      <c r="U524" s="13" t="s">
        <v>367</v>
      </c>
      <c r="V524" s="13" t="s">
        <v>53</v>
      </c>
      <c r="W524" s="13" t="s">
        <v>2588</v>
      </c>
      <c r="X524" s="15">
        <v>44434.0</v>
      </c>
      <c r="Y524" s="15">
        <v>44438.0</v>
      </c>
      <c r="Z524" s="16"/>
      <c r="AA524" s="17" t="s">
        <v>86</v>
      </c>
      <c r="AB524" s="16">
        <v>44350.0</v>
      </c>
      <c r="AC524" s="17" t="s">
        <v>56</v>
      </c>
      <c r="AD524" s="16">
        <v>44350.0</v>
      </c>
      <c r="AE524" s="17" t="s">
        <v>56</v>
      </c>
      <c r="AF524" s="16">
        <v>44426.0</v>
      </c>
      <c r="AG524" s="17" t="s">
        <v>56</v>
      </c>
      <c r="AH524" s="16">
        <v>44434.0</v>
      </c>
      <c r="AI524" s="16"/>
      <c r="AJ524" s="16"/>
      <c r="AK524" s="17" t="s">
        <v>88</v>
      </c>
      <c r="AL524" s="17" t="s">
        <v>88</v>
      </c>
      <c r="AM524" s="17" t="s">
        <v>57</v>
      </c>
      <c r="AN524" s="17" t="s">
        <v>367</v>
      </c>
      <c r="AO524" s="16"/>
      <c r="AP524" s="18" t="s">
        <v>58</v>
      </c>
      <c r="AQ524" s="16"/>
    </row>
    <row r="525" ht="15.75" hidden="1" customHeight="1">
      <c r="A525" s="18" t="s">
        <v>2589</v>
      </c>
      <c r="B525" s="18" t="s">
        <v>2590</v>
      </c>
      <c r="C525" s="10" t="str">
        <f>VLOOKUP(A525,import!A:C,3,0)</f>
        <v>DOĞRU</v>
      </c>
      <c r="D525" s="18" t="s">
        <v>70</v>
      </c>
      <c r="E525" s="10" t="str">
        <f>VLOOKUP(A525,import!A:J,5,0)</f>
        <v/>
      </c>
      <c r="F525" s="10" t="str">
        <f>VLOOKUP(A525,import!A:J,6,0)</f>
        <v/>
      </c>
      <c r="G525" s="10">
        <f>VLOOKUP(A525,import!A:J,7,0)</f>
        <v>0</v>
      </c>
      <c r="H525" s="10">
        <f>VLOOKUP(A525,import!A:J,8,0)</f>
        <v>27</v>
      </c>
      <c r="I525" s="10">
        <f>VLOOKUP(A525,import!A:J,9,0)</f>
        <v>27</v>
      </c>
      <c r="J525" s="11">
        <f>VLOOKUP(A525,import!A:J,10,0)</f>
        <v>0</v>
      </c>
      <c r="K525" s="18" t="s">
        <v>2591</v>
      </c>
      <c r="L525" s="18">
        <v>3.245020231E9</v>
      </c>
      <c r="M525" s="18" t="s">
        <v>72</v>
      </c>
      <c r="N525" s="18" t="s">
        <v>983</v>
      </c>
      <c r="O525" s="18" t="s">
        <v>2592</v>
      </c>
      <c r="P525" s="10" t="str">
        <f>VLOOKUP(A525,import!A:P,16,0)</f>
        <v>Geleneksel</v>
      </c>
      <c r="Q525" s="12"/>
      <c r="R525" s="12" t="b">
        <v>0</v>
      </c>
      <c r="S525" s="12" t="b">
        <v>0</v>
      </c>
      <c r="T525" s="13"/>
      <c r="U525" s="13"/>
      <c r="V525" s="13"/>
      <c r="W525" s="13"/>
      <c r="X525" s="15"/>
      <c r="Y525" s="15"/>
      <c r="Z525" s="16"/>
      <c r="AA525" s="17"/>
      <c r="AB525" s="16"/>
      <c r="AC525" s="16"/>
      <c r="AD525" s="16"/>
      <c r="AE525" s="17"/>
      <c r="AF525" s="16"/>
      <c r="AG525" s="17"/>
      <c r="AH525" s="16"/>
      <c r="AI525" s="16"/>
      <c r="AJ525" s="16"/>
      <c r="AK525" s="17"/>
      <c r="AL525" s="16"/>
      <c r="AM525" s="16"/>
      <c r="AN525" s="16"/>
      <c r="AO525" s="16"/>
      <c r="AP525" s="18"/>
      <c r="AQ525" s="16"/>
    </row>
    <row r="526" ht="15.75" hidden="1" customHeight="1">
      <c r="A526" s="10" t="s">
        <v>2593</v>
      </c>
      <c r="B526" s="10" t="s">
        <v>2594</v>
      </c>
      <c r="C526" s="10" t="str">
        <f>VLOOKUP(A526,import!A:C,3,0)</f>
        <v>DOĞRU</v>
      </c>
      <c r="D526" s="10" t="s">
        <v>70</v>
      </c>
      <c r="E526" s="10">
        <f>VLOOKUP(A526,import!A:J,5,0)</f>
        <v>5643</v>
      </c>
      <c r="F526" s="10">
        <f>VLOOKUP(A526,import!A:J,6,0)</f>
        <v>284</v>
      </c>
      <c r="G526" s="10">
        <f>VLOOKUP(A526,import!A:J,7,0)</f>
        <v>3</v>
      </c>
      <c r="H526" s="10">
        <f>VLOOKUP(A526,import!A:J,8,0)</f>
        <v>21</v>
      </c>
      <c r="I526" s="10">
        <f>VLOOKUP(A526,import!A:J,9,0)</f>
        <v>24</v>
      </c>
      <c r="J526" s="11">
        <f>VLOOKUP(A526,import!A:J,10,0)</f>
        <v>0.13</v>
      </c>
      <c r="K526" s="10" t="s">
        <v>2595</v>
      </c>
      <c r="L526" s="10">
        <v>3.245020231E9</v>
      </c>
      <c r="M526" s="10" t="s">
        <v>72</v>
      </c>
      <c r="N526" s="10" t="s">
        <v>82</v>
      </c>
      <c r="O526" s="10" t="s">
        <v>2596</v>
      </c>
      <c r="P526" s="10" t="str">
        <f>VLOOKUP(A526,import!A:P,16,0)</f>
        <v>Geleneksel</v>
      </c>
      <c r="Q526" s="12" t="s">
        <v>50</v>
      </c>
      <c r="R526" s="12" t="b">
        <v>1</v>
      </c>
      <c r="S526" s="12" t="b">
        <v>0</v>
      </c>
      <c r="T526" s="13" t="s">
        <v>51</v>
      </c>
      <c r="U526" s="13" t="s">
        <v>76</v>
      </c>
      <c r="V526" s="13" t="s">
        <v>278</v>
      </c>
      <c r="W526" s="13" t="s">
        <v>2597</v>
      </c>
      <c r="X526" s="15">
        <v>44293.0</v>
      </c>
      <c r="Y526" s="15">
        <v>44294.0</v>
      </c>
      <c r="Z526" s="16"/>
      <c r="AA526" s="16"/>
      <c r="AB526" s="16"/>
      <c r="AC526" s="16"/>
      <c r="AD526" s="16"/>
      <c r="AE526" s="17"/>
      <c r="AF526" s="16"/>
      <c r="AG526" s="17"/>
      <c r="AH526" s="16"/>
      <c r="AI526" s="16"/>
      <c r="AJ526" s="16"/>
      <c r="AK526" s="16"/>
      <c r="AL526" s="16"/>
      <c r="AM526" s="16"/>
      <c r="AN526" s="16"/>
      <c r="AO526" s="16"/>
      <c r="AP526" s="18" t="s">
        <v>58</v>
      </c>
      <c r="AQ526" s="16"/>
    </row>
    <row r="527" ht="15.75" hidden="1" customHeight="1">
      <c r="A527" s="10" t="s">
        <v>2598</v>
      </c>
      <c r="B527" s="10" t="s">
        <v>2599</v>
      </c>
      <c r="C527" s="10" t="str">
        <f>VLOOKUP(A527,import!A:C,3,0)</f>
        <v>DOĞRU</v>
      </c>
      <c r="D527" s="10" t="s">
        <v>70</v>
      </c>
      <c r="E527" s="10">
        <f>VLOOKUP(A527,import!A:J,5,0)</f>
        <v>12547</v>
      </c>
      <c r="F527" s="10">
        <f>VLOOKUP(A527,import!A:J,6,0)</f>
        <v>233</v>
      </c>
      <c r="G527" s="10">
        <f>VLOOKUP(A527,import!A:J,7,0)</f>
        <v>5</v>
      </c>
      <c r="H527" s="10">
        <f>VLOOKUP(A527,import!A:J,8,0)</f>
        <v>22</v>
      </c>
      <c r="I527" s="10">
        <f>VLOOKUP(A527,import!A:J,9,0)</f>
        <v>27</v>
      </c>
      <c r="J527" s="11">
        <f>VLOOKUP(A527,import!A:J,10,0)</f>
        <v>0.19</v>
      </c>
      <c r="K527" s="10" t="s">
        <v>2600</v>
      </c>
      <c r="L527" s="10">
        <v>3.243610166E9</v>
      </c>
      <c r="M527" s="10" t="s">
        <v>72</v>
      </c>
      <c r="N527" s="10" t="s">
        <v>82</v>
      </c>
      <c r="O527" s="10" t="s">
        <v>2601</v>
      </c>
      <c r="P527" s="10" t="str">
        <f>VLOOKUP(A527,import!A:P,16,0)</f>
        <v>Geleneksel</v>
      </c>
      <c r="Q527" s="12" t="s">
        <v>50</v>
      </c>
      <c r="R527" s="12" t="b">
        <v>1</v>
      </c>
      <c r="S527" s="12" t="b">
        <v>0</v>
      </c>
      <c r="T527" s="14" t="s">
        <v>51</v>
      </c>
      <c r="U527" s="14" t="s">
        <v>87</v>
      </c>
      <c r="V527" s="14" t="s">
        <v>66</v>
      </c>
      <c r="W527" s="14" t="s">
        <v>2116</v>
      </c>
      <c r="X527" s="29">
        <v>44519.0</v>
      </c>
      <c r="Y527" s="29">
        <v>44522.0</v>
      </c>
      <c r="Z527" s="16"/>
      <c r="AA527" s="17" t="s">
        <v>56</v>
      </c>
      <c r="AB527" s="16">
        <v>44519.0</v>
      </c>
      <c r="AC527" s="16"/>
      <c r="AD527" s="16"/>
      <c r="AE527" s="17"/>
      <c r="AF527" s="16"/>
      <c r="AG527" s="17"/>
      <c r="AH527" s="16"/>
      <c r="AI527" s="16"/>
      <c r="AJ527" s="16"/>
      <c r="AK527" s="17" t="s">
        <v>87</v>
      </c>
      <c r="AL527" s="16"/>
      <c r="AM527" s="16"/>
      <c r="AN527" s="16"/>
      <c r="AO527" s="16"/>
      <c r="AP527" s="18" t="s">
        <v>58</v>
      </c>
      <c r="AQ527" s="16"/>
    </row>
    <row r="528" ht="15.75" customHeight="1">
      <c r="A528" s="10" t="s">
        <v>2602</v>
      </c>
      <c r="B528" s="10" t="s">
        <v>2603</v>
      </c>
      <c r="C528" s="10" t="str">
        <f>VLOOKUP(A528,import!A:C,3,0)</f>
        <v>DOĞRU</v>
      </c>
      <c r="D528" s="10" t="s">
        <v>80</v>
      </c>
      <c r="E528" s="10">
        <f>VLOOKUP(A528,import!A:J,5,0)</f>
        <v>238</v>
      </c>
      <c r="F528" s="10" t="str">
        <f>VLOOKUP(A528,import!A:J,6,0)</f>
        <v/>
      </c>
      <c r="G528" s="10">
        <f>VLOOKUP(A528,import!A:J,7,0)</f>
        <v>9</v>
      </c>
      <c r="H528" s="10">
        <f>VLOOKUP(A528,import!A:J,8,0)</f>
        <v>1</v>
      </c>
      <c r="I528" s="10">
        <f>VLOOKUP(A528,import!A:J,9,0)</f>
        <v>10</v>
      </c>
      <c r="J528" s="11">
        <f>VLOOKUP(A528,import!A:J,10,0)</f>
        <v>0.9</v>
      </c>
      <c r="K528" s="10" t="s">
        <v>2604</v>
      </c>
      <c r="L528" s="10">
        <v>3.243370693E9</v>
      </c>
      <c r="M528" s="10" t="s">
        <v>137</v>
      </c>
      <c r="N528" s="10" t="s">
        <v>526</v>
      </c>
      <c r="O528" s="10" t="s">
        <v>2605</v>
      </c>
      <c r="P528" s="10" t="str">
        <f>VLOOKUP(A528,import!A:P,16,0)</f>
        <v>Geleneksel</v>
      </c>
      <c r="Q528" s="12" t="s">
        <v>50</v>
      </c>
      <c r="R528" s="12" t="b">
        <v>1</v>
      </c>
      <c r="S528" s="12" t="b">
        <v>0</v>
      </c>
      <c r="T528" s="13" t="s">
        <v>51</v>
      </c>
      <c r="U528" s="13" t="s">
        <v>545</v>
      </c>
      <c r="V528" s="13" t="s">
        <v>278</v>
      </c>
      <c r="W528" s="13" t="s">
        <v>2606</v>
      </c>
      <c r="X528" s="15">
        <v>44295.0</v>
      </c>
      <c r="Y528" s="15">
        <v>44298.0</v>
      </c>
      <c r="Z528" s="16"/>
      <c r="AA528" s="16"/>
      <c r="AB528" s="16"/>
      <c r="AC528" s="16"/>
      <c r="AD528" s="16"/>
      <c r="AE528" s="17"/>
      <c r="AF528" s="16"/>
      <c r="AG528" s="17"/>
      <c r="AH528" s="16"/>
      <c r="AI528" s="16"/>
      <c r="AJ528" s="16"/>
      <c r="AK528" s="16"/>
      <c r="AL528" s="16"/>
      <c r="AM528" s="16"/>
      <c r="AN528" s="16"/>
      <c r="AO528" s="16"/>
      <c r="AP528" s="18" t="s">
        <v>58</v>
      </c>
      <c r="AQ528" s="16"/>
    </row>
    <row r="529" ht="15.75" hidden="1" customHeight="1">
      <c r="A529" s="10" t="s">
        <v>2607</v>
      </c>
      <c r="B529" s="10" t="s">
        <v>2608</v>
      </c>
      <c r="C529" s="10" t="str">
        <f>VLOOKUP(A529,import!A:C,3,0)</f>
        <v>DOĞRU</v>
      </c>
      <c r="D529" s="10" t="s">
        <v>80</v>
      </c>
      <c r="E529" s="10">
        <f>VLOOKUP(A529,import!A:J,5,0)</f>
        <v>25</v>
      </c>
      <c r="F529" s="10" t="str">
        <f>VLOOKUP(A529,import!A:J,6,0)</f>
        <v/>
      </c>
      <c r="G529" s="10">
        <f>VLOOKUP(A529,import!A:J,7,0)</f>
        <v>0</v>
      </c>
      <c r="H529" s="10">
        <f>VLOOKUP(A529,import!A:J,8,0)</f>
        <v>13</v>
      </c>
      <c r="I529" s="10">
        <f>VLOOKUP(A529,import!A:J,9,0)</f>
        <v>13</v>
      </c>
      <c r="J529" s="11">
        <f>VLOOKUP(A529,import!A:J,10,0)</f>
        <v>0</v>
      </c>
      <c r="K529" s="10" t="s">
        <v>2609</v>
      </c>
      <c r="L529" s="10">
        <v>3.243212223E9</v>
      </c>
      <c r="M529" s="10" t="s">
        <v>215</v>
      </c>
      <c r="N529" s="10" t="s">
        <v>1053</v>
      </c>
      <c r="O529" s="10" t="s">
        <v>2610</v>
      </c>
      <c r="P529" s="10" t="str">
        <f>VLOOKUP(A529,import!A:P,16,0)</f>
        <v>Geleneksel</v>
      </c>
      <c r="Q529" s="12"/>
      <c r="R529" s="12" t="b">
        <v>1</v>
      </c>
      <c r="S529" s="12" t="b">
        <v>0</v>
      </c>
      <c r="T529" s="13" t="s">
        <v>199</v>
      </c>
      <c r="U529" s="13" t="s">
        <v>133</v>
      </c>
      <c r="V529" s="13"/>
      <c r="W529" s="39" t="s">
        <v>2611</v>
      </c>
      <c r="X529" s="15">
        <v>44523.0</v>
      </c>
      <c r="Y529" s="15">
        <v>44529.0</v>
      </c>
      <c r="Z529" s="16"/>
      <c r="AA529" s="17" t="s">
        <v>56</v>
      </c>
      <c r="AB529" s="16">
        <v>44523.0</v>
      </c>
      <c r="AC529" s="16"/>
      <c r="AD529" s="16"/>
      <c r="AE529" s="17"/>
      <c r="AF529" s="16"/>
      <c r="AG529" s="17"/>
      <c r="AH529" s="16"/>
      <c r="AI529" s="16"/>
      <c r="AJ529" s="16"/>
      <c r="AK529" s="17" t="s">
        <v>133</v>
      </c>
      <c r="AL529" s="16"/>
      <c r="AM529" s="16"/>
      <c r="AN529" s="16"/>
      <c r="AO529" s="16"/>
      <c r="AP529" s="18" t="s">
        <v>58</v>
      </c>
      <c r="AQ529" s="16"/>
    </row>
    <row r="530" ht="15.75" hidden="1" customHeight="1">
      <c r="A530" s="10" t="s">
        <v>2612</v>
      </c>
      <c r="B530" s="10" t="s">
        <v>2613</v>
      </c>
      <c r="C530" s="10" t="str">
        <f>VLOOKUP(A530,import!A:C,3,0)</f>
        <v>DOĞRU</v>
      </c>
      <c r="D530" s="10" t="s">
        <v>80</v>
      </c>
      <c r="E530" s="10">
        <f>VLOOKUP(A530,import!A:J,5,0)</f>
        <v>5553</v>
      </c>
      <c r="F530" s="10">
        <f>VLOOKUP(A530,import!A:J,6,0)</f>
        <v>205</v>
      </c>
      <c r="G530" s="10">
        <f>VLOOKUP(A530,import!A:J,7,0)</f>
        <v>0</v>
      </c>
      <c r="H530" s="10">
        <f>VLOOKUP(A530,import!A:J,8,0)</f>
        <v>20</v>
      </c>
      <c r="I530" s="10">
        <f>VLOOKUP(A530,import!A:J,9,0)</f>
        <v>20</v>
      </c>
      <c r="J530" s="11">
        <f>VLOOKUP(A530,import!A:J,10,0)</f>
        <v>0</v>
      </c>
      <c r="K530" s="10" t="s">
        <v>2614</v>
      </c>
      <c r="L530" s="10">
        <v>3.243210456E9</v>
      </c>
      <c r="M530" s="10" t="s">
        <v>215</v>
      </c>
      <c r="N530" s="10" t="s">
        <v>634</v>
      </c>
      <c r="O530" s="10" t="s">
        <v>2615</v>
      </c>
      <c r="P530" s="10" t="str">
        <f>VLOOKUP(A530,import!A:P,16,0)</f>
        <v>Geleneksel</v>
      </c>
      <c r="Q530" s="12" t="s">
        <v>146</v>
      </c>
      <c r="R530" s="12" t="b">
        <v>1</v>
      </c>
      <c r="S530" s="12" t="b">
        <v>1</v>
      </c>
      <c r="T530" s="13"/>
      <c r="U530" s="13"/>
      <c r="V530" s="19"/>
      <c r="W530" s="13" t="s">
        <v>2616</v>
      </c>
      <c r="X530" s="15"/>
      <c r="Y530" s="15"/>
      <c r="Z530" s="16"/>
      <c r="AA530" s="17" t="s">
        <v>86</v>
      </c>
      <c r="AB530" s="16">
        <v>44348.0</v>
      </c>
      <c r="AC530" s="17" t="s">
        <v>86</v>
      </c>
      <c r="AD530" s="16">
        <v>44348.0</v>
      </c>
      <c r="AE530" s="17" t="s">
        <v>86</v>
      </c>
      <c r="AF530" s="16">
        <v>44384.0</v>
      </c>
      <c r="AG530" s="17" t="s">
        <v>55</v>
      </c>
      <c r="AH530" s="16">
        <v>44393.0</v>
      </c>
      <c r="AI530" s="17" t="s">
        <v>55</v>
      </c>
      <c r="AJ530" s="16">
        <v>44552.0</v>
      </c>
      <c r="AK530" s="16"/>
      <c r="AL530" s="17" t="s">
        <v>124</v>
      </c>
      <c r="AM530" s="17" t="s">
        <v>1465</v>
      </c>
      <c r="AN530" s="17" t="s">
        <v>52</v>
      </c>
      <c r="AO530" s="17" t="s">
        <v>314</v>
      </c>
      <c r="AP530" s="18" t="s">
        <v>58</v>
      </c>
      <c r="AQ530" s="17"/>
    </row>
    <row r="531" ht="15.75" hidden="1" customHeight="1">
      <c r="A531" s="10" t="s">
        <v>2617</v>
      </c>
      <c r="B531" s="10" t="s">
        <v>2618</v>
      </c>
      <c r="C531" s="10" t="str">
        <f>VLOOKUP(A531,import!A:C,3,0)</f>
        <v>DOĞRU</v>
      </c>
      <c r="D531" s="10" t="s">
        <v>80</v>
      </c>
      <c r="E531" s="10">
        <f>VLOOKUP(A531,import!A:J,5,0)</f>
        <v>1730</v>
      </c>
      <c r="F531" s="10">
        <f>VLOOKUP(A531,import!A:J,6,0)</f>
        <v>79</v>
      </c>
      <c r="G531" s="10">
        <f>VLOOKUP(A531,import!A:J,7,0)</f>
        <v>0</v>
      </c>
      <c r="H531" s="10">
        <f>VLOOKUP(A531,import!A:J,8,0)</f>
        <v>17</v>
      </c>
      <c r="I531" s="10">
        <f>VLOOKUP(A531,import!A:J,9,0)</f>
        <v>17</v>
      </c>
      <c r="J531" s="11">
        <f>VLOOKUP(A531,import!A:J,10,0)</f>
        <v>0</v>
      </c>
      <c r="K531" s="10" t="s">
        <v>2614</v>
      </c>
      <c r="L531" s="10">
        <v>3.243213356E9</v>
      </c>
      <c r="M531" s="10" t="s">
        <v>215</v>
      </c>
      <c r="N531" s="10" t="s">
        <v>239</v>
      </c>
      <c r="O531" s="10" t="s">
        <v>2619</v>
      </c>
      <c r="P531" s="10" t="str">
        <f>VLOOKUP(A531,import!A:P,16,0)</f>
        <v>Geleneksel</v>
      </c>
      <c r="Q531" s="12" t="s">
        <v>146</v>
      </c>
      <c r="R531" s="12" t="b">
        <v>1</v>
      </c>
      <c r="S531" s="12" t="b">
        <v>0</v>
      </c>
      <c r="T531" s="13" t="s">
        <v>199</v>
      </c>
      <c r="U531" s="13"/>
      <c r="V531" s="13"/>
      <c r="W531" s="13" t="s">
        <v>2620</v>
      </c>
      <c r="X531" s="15"/>
      <c r="Y531" s="15"/>
      <c r="Z531" s="16"/>
      <c r="AA531" s="17" t="s">
        <v>56</v>
      </c>
      <c r="AB531" s="16">
        <v>44363.0</v>
      </c>
      <c r="AC531" s="17" t="s">
        <v>56</v>
      </c>
      <c r="AD531" s="16">
        <v>44417.0</v>
      </c>
      <c r="AE531" s="17" t="s">
        <v>230</v>
      </c>
      <c r="AF531" s="16">
        <v>44498.0</v>
      </c>
      <c r="AG531" s="17" t="s">
        <v>56</v>
      </c>
      <c r="AH531" s="16">
        <v>44511.0</v>
      </c>
      <c r="AI531" s="16"/>
      <c r="AJ531" s="16"/>
      <c r="AK531" s="17" t="s">
        <v>124</v>
      </c>
      <c r="AL531" s="17" t="s">
        <v>1252</v>
      </c>
      <c r="AM531" s="17" t="s">
        <v>89</v>
      </c>
      <c r="AN531" s="17" t="s">
        <v>89</v>
      </c>
      <c r="AO531" s="16"/>
      <c r="AP531" s="18" t="s">
        <v>58</v>
      </c>
      <c r="AQ531" s="16"/>
    </row>
    <row r="532" ht="15.75" hidden="1" customHeight="1">
      <c r="A532" s="10" t="s">
        <v>2621</v>
      </c>
      <c r="B532" s="10" t="s">
        <v>2622</v>
      </c>
      <c r="C532" s="10" t="str">
        <f>VLOOKUP(A532,import!A:C,3,0)</f>
        <v>DOĞRU</v>
      </c>
      <c r="D532" s="10" t="s">
        <v>70</v>
      </c>
      <c r="E532" s="10">
        <f>VLOOKUP(A532,import!A:J,5,0)</f>
        <v>201</v>
      </c>
      <c r="F532" s="10">
        <f>VLOOKUP(A532,import!A:J,6,0)</f>
        <v>19</v>
      </c>
      <c r="G532" s="10">
        <f>VLOOKUP(A532,import!A:J,7,0)</f>
        <v>0</v>
      </c>
      <c r="H532" s="10">
        <f>VLOOKUP(A532,import!A:J,8,0)</f>
        <v>5</v>
      </c>
      <c r="I532" s="10">
        <f>VLOOKUP(A532,import!A:J,9,0)</f>
        <v>5</v>
      </c>
      <c r="J532" s="11">
        <f>VLOOKUP(A532,import!A:J,10,0)</f>
        <v>0</v>
      </c>
      <c r="K532" s="10" t="s">
        <v>2623</v>
      </c>
      <c r="L532" s="10">
        <v>5.06806388E9</v>
      </c>
      <c r="M532" s="10" t="s">
        <v>47</v>
      </c>
      <c r="N532" s="10" t="s">
        <v>48</v>
      </c>
      <c r="O532" s="10" t="s">
        <v>2624</v>
      </c>
      <c r="P532" s="10" t="str">
        <f>VLOOKUP(A532,import!A:P,16,0)</f>
        <v>Geleneksel</v>
      </c>
      <c r="Q532" s="12"/>
      <c r="R532" s="12" t="b">
        <v>0</v>
      </c>
      <c r="S532" s="12" t="b">
        <v>0</v>
      </c>
      <c r="T532" s="13" t="s">
        <v>485</v>
      </c>
      <c r="U532" s="13"/>
      <c r="V532" s="13"/>
      <c r="W532" s="13"/>
      <c r="X532" s="15"/>
      <c r="Y532" s="15"/>
      <c r="Z532" s="16"/>
      <c r="AA532" s="16"/>
      <c r="AB532" s="16"/>
      <c r="AC532" s="16"/>
      <c r="AD532" s="16"/>
      <c r="AE532" s="17"/>
      <c r="AF532" s="16"/>
      <c r="AG532" s="17"/>
      <c r="AH532" s="16"/>
      <c r="AI532" s="16"/>
      <c r="AJ532" s="16"/>
      <c r="AK532" s="16"/>
      <c r="AL532" s="16"/>
      <c r="AM532" s="16"/>
      <c r="AN532" s="16"/>
      <c r="AO532" s="16"/>
      <c r="AP532" s="18"/>
      <c r="AQ532" s="16"/>
    </row>
    <row r="533" ht="15.75" hidden="1" customHeight="1">
      <c r="A533" s="10" t="s">
        <v>2625</v>
      </c>
      <c r="B533" s="10" t="s">
        <v>2626</v>
      </c>
      <c r="C533" s="10" t="str">
        <f>VLOOKUP(A533,import!A:C,3,0)</f>
        <v>DOĞRU</v>
      </c>
      <c r="D533" s="10" t="s">
        <v>118</v>
      </c>
      <c r="E533" s="10">
        <f>VLOOKUP(A533,import!A:J,5,0)</f>
        <v>1403</v>
      </c>
      <c r="F533" s="10">
        <f>VLOOKUP(A533,import!A:J,6,0)</f>
        <v>61</v>
      </c>
      <c r="G533" s="10">
        <f>VLOOKUP(A533,import!A:J,7,0)</f>
        <v>0</v>
      </c>
      <c r="H533" s="10">
        <f>VLOOKUP(A533,import!A:J,8,0)</f>
        <v>13</v>
      </c>
      <c r="I533" s="10">
        <f>VLOOKUP(A533,import!A:J,9,0)</f>
        <v>13</v>
      </c>
      <c r="J533" s="11">
        <f>VLOOKUP(A533,import!A:J,10,0)</f>
        <v>0</v>
      </c>
      <c r="K533" s="10" t="s">
        <v>2627</v>
      </c>
      <c r="L533" s="10">
        <v>5.510334596E9</v>
      </c>
      <c r="M533" s="10" t="s">
        <v>215</v>
      </c>
      <c r="N533" s="10" t="s">
        <v>227</v>
      </c>
      <c r="O533" s="10" t="s">
        <v>2628</v>
      </c>
      <c r="P533" s="10" t="str">
        <f>VLOOKUP(A533,import!A:P,16,0)</f>
        <v>Geleneksel</v>
      </c>
      <c r="Q533" s="12"/>
      <c r="R533" s="12" t="b">
        <v>1</v>
      </c>
      <c r="S533" s="12" t="b">
        <v>0</v>
      </c>
      <c r="T533" s="13" t="s">
        <v>199</v>
      </c>
      <c r="U533" s="13"/>
      <c r="V533" s="13"/>
      <c r="W533" s="13" t="s">
        <v>2629</v>
      </c>
      <c r="X533" s="15"/>
      <c r="Y533" s="15"/>
      <c r="Z533" s="16"/>
      <c r="AA533" s="17" t="s">
        <v>56</v>
      </c>
      <c r="AB533" s="16">
        <v>44348.0</v>
      </c>
      <c r="AC533" s="17" t="s">
        <v>55</v>
      </c>
      <c r="AD533" s="16">
        <v>44412.0</v>
      </c>
      <c r="AE533" s="17" t="s">
        <v>56</v>
      </c>
      <c r="AF533" s="16">
        <v>44492.0</v>
      </c>
      <c r="AG533" s="17" t="s">
        <v>56</v>
      </c>
      <c r="AH533" s="16">
        <v>44499.0</v>
      </c>
      <c r="AI533" s="17" t="s">
        <v>230</v>
      </c>
      <c r="AJ533" s="16">
        <v>44548.0</v>
      </c>
      <c r="AK533" s="16"/>
      <c r="AL533" s="17" t="s">
        <v>124</v>
      </c>
      <c r="AM533" s="17" t="s">
        <v>89</v>
      </c>
      <c r="AN533" s="17" t="s">
        <v>89</v>
      </c>
      <c r="AO533" s="17" t="s">
        <v>89</v>
      </c>
      <c r="AP533" s="18" t="s">
        <v>58</v>
      </c>
      <c r="AQ533" s="16"/>
    </row>
    <row r="534" ht="15.75" hidden="1" customHeight="1">
      <c r="A534" s="10" t="s">
        <v>2630</v>
      </c>
      <c r="B534" s="10" t="s">
        <v>2631</v>
      </c>
      <c r="C534" s="10" t="str">
        <f>VLOOKUP(A534,import!A:C,3,0)</f>
        <v>DOĞRU</v>
      </c>
      <c r="D534" s="10" t="s">
        <v>118</v>
      </c>
      <c r="E534" s="10">
        <f>VLOOKUP(A534,import!A:J,5,0)</f>
        <v>909</v>
      </c>
      <c r="F534" s="10">
        <f>VLOOKUP(A534,import!A:J,6,0)</f>
        <v>84</v>
      </c>
      <c r="G534" s="10">
        <f>VLOOKUP(A534,import!A:J,7,0)</f>
        <v>0</v>
      </c>
      <c r="H534" s="10">
        <f>VLOOKUP(A534,import!A:J,8,0)</f>
        <v>12</v>
      </c>
      <c r="I534" s="10">
        <f>VLOOKUP(A534,import!A:J,9,0)</f>
        <v>12</v>
      </c>
      <c r="J534" s="11">
        <f>VLOOKUP(A534,import!A:J,10,0)</f>
        <v>0</v>
      </c>
      <c r="K534" s="10" t="s">
        <v>2632</v>
      </c>
      <c r="L534" s="10">
        <v>5.456190169E9</v>
      </c>
      <c r="M534" s="10" t="s">
        <v>156</v>
      </c>
      <c r="N534" s="10" t="s">
        <v>252</v>
      </c>
      <c r="O534" s="10" t="s">
        <v>2633</v>
      </c>
      <c r="P534" s="10" t="str">
        <f>VLOOKUP(A534,import!A:P,16,0)</f>
        <v>Geleneksel</v>
      </c>
      <c r="Q534" s="12" t="s">
        <v>50</v>
      </c>
      <c r="R534" s="12" t="b">
        <v>1</v>
      </c>
      <c r="S534" s="12" t="b">
        <v>0</v>
      </c>
      <c r="T534" s="13" t="s">
        <v>199</v>
      </c>
      <c r="U534" s="13"/>
      <c r="V534" s="19"/>
      <c r="W534" s="13" t="s">
        <v>2634</v>
      </c>
      <c r="X534" s="15"/>
      <c r="Y534" s="15"/>
      <c r="Z534" s="16"/>
      <c r="AA534" s="16"/>
      <c r="AB534" s="16"/>
      <c r="AC534" s="16"/>
      <c r="AD534" s="16"/>
      <c r="AE534" s="17"/>
      <c r="AF534" s="16"/>
      <c r="AG534" s="17"/>
      <c r="AH534" s="16"/>
      <c r="AI534" s="16"/>
      <c r="AJ534" s="16"/>
      <c r="AK534" s="16"/>
      <c r="AL534" s="16"/>
      <c r="AM534" s="16"/>
      <c r="AN534" s="16"/>
      <c r="AO534" s="16"/>
      <c r="AP534" s="18" t="s">
        <v>58</v>
      </c>
      <c r="AQ534" s="16"/>
    </row>
    <row r="535" ht="15.75" hidden="1" customHeight="1">
      <c r="A535" s="10" t="s">
        <v>2635</v>
      </c>
      <c r="B535" s="10" t="s">
        <v>2636</v>
      </c>
      <c r="C535" s="10" t="str">
        <f>VLOOKUP(A535,import!A:C,3,0)</f>
        <v>YANLIŞ</v>
      </c>
      <c r="D535" s="10" t="s">
        <v>118</v>
      </c>
      <c r="E535" s="10">
        <f>VLOOKUP(A535,import!A:J,5,0)</f>
        <v>16</v>
      </c>
      <c r="F535" s="10" t="str">
        <f>VLOOKUP(A535,import!A:J,6,0)</f>
        <v/>
      </c>
      <c r="G535" s="10">
        <f>VLOOKUP(A535,import!A:J,7,0)</f>
        <v>0</v>
      </c>
      <c r="H535" s="10">
        <f>VLOOKUP(A535,import!A:J,8,0)</f>
        <v>14</v>
      </c>
      <c r="I535" s="10">
        <f>VLOOKUP(A535,import!A:J,9,0)</f>
        <v>14</v>
      </c>
      <c r="J535" s="11">
        <f>VLOOKUP(A535,import!A:J,10,0)</f>
        <v>0</v>
      </c>
      <c r="K535" s="10" t="s">
        <v>2637</v>
      </c>
      <c r="L535" s="10">
        <v>5.075218228E9</v>
      </c>
      <c r="M535" s="10" t="s">
        <v>47</v>
      </c>
      <c r="N535" s="10" t="s">
        <v>48</v>
      </c>
      <c r="O535" s="10" t="s">
        <v>2638</v>
      </c>
      <c r="P535" s="10" t="str">
        <f>VLOOKUP(A535,import!A:P,16,0)</f>
        <v>Geleneksel</v>
      </c>
      <c r="Q535" s="12" t="s">
        <v>50</v>
      </c>
      <c r="R535" s="12" t="b">
        <v>0</v>
      </c>
      <c r="S535" s="12" t="b">
        <v>0</v>
      </c>
      <c r="T535" s="13" t="s">
        <v>485</v>
      </c>
      <c r="U535" s="13"/>
      <c r="V535" s="13"/>
      <c r="W535" s="13"/>
      <c r="X535" s="15"/>
      <c r="Y535" s="15"/>
      <c r="Z535" s="16"/>
      <c r="AA535" s="16"/>
      <c r="AB535" s="16"/>
      <c r="AC535" s="16"/>
      <c r="AD535" s="16"/>
      <c r="AE535" s="17"/>
      <c r="AF535" s="16"/>
      <c r="AG535" s="17"/>
      <c r="AH535" s="16"/>
      <c r="AI535" s="16"/>
      <c r="AJ535" s="16"/>
      <c r="AK535" s="16"/>
      <c r="AL535" s="16"/>
      <c r="AM535" s="16"/>
      <c r="AN535" s="16"/>
      <c r="AO535" s="16"/>
      <c r="AP535" s="18" t="s">
        <v>58</v>
      </c>
      <c r="AQ535" s="16"/>
    </row>
    <row r="536" ht="15.75" hidden="1" customHeight="1">
      <c r="A536" s="10" t="s">
        <v>2639</v>
      </c>
      <c r="B536" s="10" t="s">
        <v>2640</v>
      </c>
      <c r="C536" s="10" t="str">
        <f>VLOOKUP(A536,import!A:C,3,0)</f>
        <v>DOĞRU</v>
      </c>
      <c r="D536" s="10" t="s">
        <v>118</v>
      </c>
      <c r="E536" s="10">
        <f>VLOOKUP(A536,import!A:J,5,0)</f>
        <v>784</v>
      </c>
      <c r="F536" s="10">
        <f>VLOOKUP(A536,import!A:J,6,0)</f>
        <v>37</v>
      </c>
      <c r="G536" s="10">
        <f>VLOOKUP(A536,import!A:J,7,0)</f>
        <v>0</v>
      </c>
      <c r="H536" s="10">
        <f>VLOOKUP(A536,import!A:J,8,0)</f>
        <v>22</v>
      </c>
      <c r="I536" s="10">
        <f>VLOOKUP(A536,import!A:J,9,0)</f>
        <v>22</v>
      </c>
      <c r="J536" s="11">
        <f>VLOOKUP(A536,import!A:J,10,0)</f>
        <v>0</v>
      </c>
      <c r="K536" s="10" t="s">
        <v>2641</v>
      </c>
      <c r="L536" s="10">
        <v>5.369431356E9</v>
      </c>
      <c r="M536" s="10" t="s">
        <v>156</v>
      </c>
      <c r="N536" s="10" t="s">
        <v>338</v>
      </c>
      <c r="O536" s="10" t="s">
        <v>2642</v>
      </c>
      <c r="P536" s="10" t="str">
        <f>VLOOKUP(A536,import!A:P,16,0)</f>
        <v>Geleneksel</v>
      </c>
      <c r="Q536" s="12" t="s">
        <v>50</v>
      </c>
      <c r="R536" s="12" t="b">
        <v>1</v>
      </c>
      <c r="S536" s="12" t="b">
        <v>0</v>
      </c>
      <c r="T536" s="13" t="s">
        <v>130</v>
      </c>
      <c r="U536" s="13"/>
      <c r="V536" s="13"/>
      <c r="W536" s="13" t="s">
        <v>2643</v>
      </c>
      <c r="X536" s="15"/>
      <c r="Y536" s="15"/>
      <c r="Z536" s="16"/>
      <c r="AA536" s="16"/>
      <c r="AB536" s="16"/>
      <c r="AC536" s="16"/>
      <c r="AD536" s="16"/>
      <c r="AE536" s="17"/>
      <c r="AF536" s="16"/>
      <c r="AG536" s="17"/>
      <c r="AH536" s="16"/>
      <c r="AI536" s="16"/>
      <c r="AJ536" s="16"/>
      <c r="AK536" s="16"/>
      <c r="AL536" s="16"/>
      <c r="AM536" s="16"/>
      <c r="AN536" s="16"/>
      <c r="AO536" s="16"/>
      <c r="AP536" s="18" t="s">
        <v>58</v>
      </c>
      <c r="AQ536" s="16"/>
    </row>
    <row r="537" ht="15.75" hidden="1" customHeight="1">
      <c r="A537" s="10" t="s">
        <v>2644</v>
      </c>
      <c r="B537" s="10" t="s">
        <v>2645</v>
      </c>
      <c r="C537" s="10" t="str">
        <f>VLOOKUP(A537,import!A:C,3,0)</f>
        <v>YANLIŞ</v>
      </c>
      <c r="D537" s="10" t="s">
        <v>118</v>
      </c>
      <c r="E537" s="10">
        <f>VLOOKUP(A537,import!A:J,5,0)</f>
        <v>67</v>
      </c>
      <c r="F537" s="10" t="str">
        <f>VLOOKUP(A537,import!A:J,6,0)</f>
        <v/>
      </c>
      <c r="G537" s="10">
        <f>VLOOKUP(A537,import!A:J,7,0)</f>
        <v>0</v>
      </c>
      <c r="H537" s="10">
        <f>VLOOKUP(A537,import!A:J,8,0)</f>
        <v>13</v>
      </c>
      <c r="I537" s="10">
        <f>VLOOKUP(A537,import!A:J,9,0)</f>
        <v>13</v>
      </c>
      <c r="J537" s="11">
        <f>VLOOKUP(A537,import!A:J,10,0)</f>
        <v>0</v>
      </c>
      <c r="K537" s="10" t="s">
        <v>2646</v>
      </c>
      <c r="L537" s="10">
        <v>5.07057937E9</v>
      </c>
      <c r="M537" s="10" t="s">
        <v>47</v>
      </c>
      <c r="N537" s="10" t="s">
        <v>2647</v>
      </c>
      <c r="O537" s="10" t="s">
        <v>2648</v>
      </c>
      <c r="P537" s="10" t="str">
        <f>VLOOKUP(A537,import!A:P,16,0)</f>
        <v>Geleneksel</v>
      </c>
      <c r="Q537" s="12" t="s">
        <v>50</v>
      </c>
      <c r="R537" s="12" t="b">
        <v>0</v>
      </c>
      <c r="S537" s="12" t="b">
        <v>0</v>
      </c>
      <c r="T537" s="13" t="s">
        <v>485</v>
      </c>
      <c r="U537" s="13"/>
      <c r="V537" s="13"/>
      <c r="W537" s="13"/>
      <c r="X537" s="15"/>
      <c r="Y537" s="15"/>
      <c r="Z537" s="16"/>
      <c r="AA537" s="16"/>
      <c r="AB537" s="16"/>
      <c r="AC537" s="16"/>
      <c r="AD537" s="16"/>
      <c r="AE537" s="17"/>
      <c r="AF537" s="16"/>
      <c r="AG537" s="17"/>
      <c r="AH537" s="16"/>
      <c r="AI537" s="16"/>
      <c r="AJ537" s="16"/>
      <c r="AK537" s="16"/>
      <c r="AL537" s="16"/>
      <c r="AM537" s="16"/>
      <c r="AN537" s="16"/>
      <c r="AO537" s="16"/>
      <c r="AP537" s="18" t="s">
        <v>58</v>
      </c>
      <c r="AQ537" s="16"/>
    </row>
    <row r="538" ht="15.75" hidden="1" customHeight="1">
      <c r="A538" s="10" t="s">
        <v>2649</v>
      </c>
      <c r="B538" s="10" t="s">
        <v>2650</v>
      </c>
      <c r="C538" s="10" t="str">
        <f>VLOOKUP(A538,import!A:C,3,0)</f>
        <v>DOĞRU</v>
      </c>
      <c r="D538" s="10" t="s">
        <v>45</v>
      </c>
      <c r="E538" s="10">
        <f>VLOOKUP(A538,import!A:J,5,0)</f>
        <v>82</v>
      </c>
      <c r="F538" s="10">
        <f>VLOOKUP(A538,import!A:J,6,0)</f>
        <v>5</v>
      </c>
      <c r="G538" s="10">
        <f>VLOOKUP(A538,import!A:J,7,0)</f>
        <v>0</v>
      </c>
      <c r="H538" s="10">
        <f>VLOOKUP(A538,import!A:J,8,0)</f>
        <v>20</v>
      </c>
      <c r="I538" s="10">
        <f>VLOOKUP(A538,import!A:J,9,0)</f>
        <v>20</v>
      </c>
      <c r="J538" s="11">
        <f>VLOOKUP(A538,import!A:J,10,0)</f>
        <v>0</v>
      </c>
      <c r="K538" s="10" t="s">
        <v>2651</v>
      </c>
      <c r="L538" s="10">
        <v>3.243262614E9</v>
      </c>
      <c r="M538" s="10" t="s">
        <v>72</v>
      </c>
      <c r="N538" s="10" t="s">
        <v>716</v>
      </c>
      <c r="O538" s="10" t="s">
        <v>2652</v>
      </c>
      <c r="P538" s="10" t="str">
        <f>VLOOKUP(A538,import!A:P,16,0)</f>
        <v>Geleneksel</v>
      </c>
      <c r="Q538" s="12"/>
      <c r="R538" s="12" t="b">
        <v>1</v>
      </c>
      <c r="S538" s="12" t="b">
        <v>1</v>
      </c>
      <c r="T538" s="13"/>
      <c r="U538" s="13"/>
      <c r="V538" s="19"/>
      <c r="W538" s="13" t="s">
        <v>2653</v>
      </c>
      <c r="X538" s="15"/>
      <c r="Y538" s="15"/>
      <c r="Z538" s="16"/>
      <c r="AA538" s="17" t="s">
        <v>56</v>
      </c>
      <c r="AB538" s="16">
        <v>44578.0</v>
      </c>
      <c r="AC538" s="16"/>
      <c r="AD538" s="16"/>
      <c r="AE538" s="17"/>
      <c r="AF538" s="16"/>
      <c r="AG538" s="17"/>
      <c r="AH538" s="16"/>
      <c r="AI538" s="16"/>
      <c r="AJ538" s="16"/>
      <c r="AK538" s="17" t="s">
        <v>89</v>
      </c>
      <c r="AL538" s="16"/>
      <c r="AM538" s="16"/>
      <c r="AN538" s="16"/>
      <c r="AO538" s="16"/>
      <c r="AP538" s="18"/>
      <c r="AQ538" s="16"/>
    </row>
    <row r="539" ht="15.75" hidden="1" customHeight="1">
      <c r="A539" s="10" t="s">
        <v>2654</v>
      </c>
      <c r="B539" s="10" t="s">
        <v>2655</v>
      </c>
      <c r="C539" s="10" t="str">
        <f>VLOOKUP(A539,import!A:C,3,0)</f>
        <v>YANLIŞ</v>
      </c>
      <c r="D539" s="10" t="s">
        <v>1947</v>
      </c>
      <c r="E539" s="10">
        <f>VLOOKUP(A539,import!A:J,5,0)</f>
        <v>127</v>
      </c>
      <c r="F539" s="10" t="str">
        <f>VLOOKUP(A539,import!A:J,6,0)</f>
        <v/>
      </c>
      <c r="G539" s="10">
        <f>VLOOKUP(A539,import!A:J,7,0)</f>
        <v>0</v>
      </c>
      <c r="H539" s="10">
        <f>VLOOKUP(A539,import!A:J,8,0)</f>
        <v>22</v>
      </c>
      <c r="I539" s="10">
        <f>VLOOKUP(A539,import!A:J,9,0)</f>
        <v>22</v>
      </c>
      <c r="J539" s="11">
        <f>VLOOKUP(A539,import!A:J,10,0)</f>
        <v>0</v>
      </c>
      <c r="K539" s="10" t="s">
        <v>2656</v>
      </c>
      <c r="L539" s="10">
        <v>3.243610191E9</v>
      </c>
      <c r="M539" s="10" t="s">
        <v>72</v>
      </c>
      <c r="N539" s="10" t="s">
        <v>82</v>
      </c>
      <c r="O539" s="10" t="s">
        <v>984</v>
      </c>
      <c r="P539" s="10" t="str">
        <f>VLOOKUP(A539,import!A:P,16,0)</f>
        <v>Geleneksel</v>
      </c>
      <c r="Q539" s="12"/>
      <c r="R539" s="12" t="b">
        <v>1</v>
      </c>
      <c r="S539" s="12" t="b">
        <v>1</v>
      </c>
      <c r="T539" s="13"/>
      <c r="U539" s="13"/>
      <c r="V539" s="13"/>
      <c r="W539" s="13" t="s">
        <v>2657</v>
      </c>
      <c r="X539" s="15"/>
      <c r="Y539" s="15"/>
      <c r="Z539" s="16"/>
      <c r="AA539" s="17" t="s">
        <v>56</v>
      </c>
      <c r="AB539" s="16">
        <v>44475.0</v>
      </c>
      <c r="AC539" s="16"/>
      <c r="AD539" s="16"/>
      <c r="AE539" s="17"/>
      <c r="AF539" s="16"/>
      <c r="AG539" s="17"/>
      <c r="AH539" s="16"/>
      <c r="AI539" s="16"/>
      <c r="AJ539" s="16"/>
      <c r="AK539" s="17" t="s">
        <v>171</v>
      </c>
      <c r="AL539" s="16"/>
      <c r="AM539" s="16"/>
      <c r="AN539" s="16"/>
      <c r="AO539" s="16"/>
      <c r="AP539" s="18" t="s">
        <v>58</v>
      </c>
      <c r="AQ539" s="16"/>
    </row>
    <row r="540" ht="15.75" hidden="1" customHeight="1">
      <c r="A540" s="18" t="s">
        <v>2658</v>
      </c>
      <c r="B540" s="18" t="s">
        <v>2659</v>
      </c>
      <c r="C540" s="10" t="str">
        <f>VLOOKUP(A540,import!A:C,3,0)</f>
        <v>DOĞRU</v>
      </c>
      <c r="D540" s="18" t="s">
        <v>363</v>
      </c>
      <c r="E540" s="10">
        <f>VLOOKUP(A540,import!A:J,5,0)</f>
        <v>45</v>
      </c>
      <c r="F540" s="10">
        <f>VLOOKUP(A540,import!A:J,6,0)</f>
        <v>40</v>
      </c>
      <c r="G540" s="10">
        <f>VLOOKUP(A540,import!A:J,7,0)</f>
        <v>0</v>
      </c>
      <c r="H540" s="10">
        <f>VLOOKUP(A540,import!A:J,8,0)</f>
        <v>36</v>
      </c>
      <c r="I540" s="10">
        <f>VLOOKUP(A540,import!A:J,9,0)</f>
        <v>36</v>
      </c>
      <c r="J540" s="11">
        <f>VLOOKUP(A540,import!A:J,10,0)</f>
        <v>0</v>
      </c>
      <c r="K540" s="18" t="s">
        <v>2660</v>
      </c>
      <c r="L540" s="18">
        <v>3.243253454E9</v>
      </c>
      <c r="M540" s="18" t="s">
        <v>72</v>
      </c>
      <c r="N540" s="18" t="s">
        <v>1298</v>
      </c>
      <c r="O540" s="18" t="s">
        <v>2661</v>
      </c>
      <c r="P540" s="10" t="str">
        <f>VLOOKUP(A540,import!A:P,16,0)</f>
        <v>Geleneksel</v>
      </c>
      <c r="Q540" s="12"/>
      <c r="R540" s="12" t="b">
        <v>0</v>
      </c>
      <c r="S540" s="12" t="b">
        <v>0</v>
      </c>
      <c r="T540" s="13"/>
      <c r="U540" s="13"/>
      <c r="V540" s="13"/>
      <c r="W540" s="13"/>
      <c r="X540" s="15"/>
      <c r="Y540" s="15"/>
      <c r="Z540" s="16"/>
      <c r="AA540" s="17"/>
      <c r="AB540" s="16"/>
      <c r="AC540" s="16"/>
      <c r="AD540" s="16"/>
      <c r="AE540" s="17"/>
      <c r="AF540" s="16"/>
      <c r="AG540" s="17"/>
      <c r="AH540" s="16"/>
      <c r="AI540" s="16"/>
      <c r="AJ540" s="16"/>
      <c r="AK540" s="17"/>
      <c r="AL540" s="16"/>
      <c r="AM540" s="16"/>
      <c r="AN540" s="16"/>
      <c r="AO540" s="16"/>
      <c r="AP540" s="18"/>
      <c r="AQ540" s="16"/>
    </row>
    <row r="541" ht="15.75" hidden="1" customHeight="1">
      <c r="A541" s="10" t="s">
        <v>2662</v>
      </c>
      <c r="B541" s="10" t="s">
        <v>2663</v>
      </c>
      <c r="C541" s="10" t="str">
        <f>VLOOKUP(A541,import!A:C,3,0)</f>
        <v>DOĞRU</v>
      </c>
      <c r="D541" s="10" t="s">
        <v>363</v>
      </c>
      <c r="E541" s="10">
        <f>VLOOKUP(A541,import!A:J,5,0)</f>
        <v>319</v>
      </c>
      <c r="F541" s="10">
        <f>VLOOKUP(A541,import!A:J,6,0)</f>
        <v>51</v>
      </c>
      <c r="G541" s="10">
        <f>VLOOKUP(A541,import!A:J,7,0)</f>
        <v>16</v>
      </c>
      <c r="H541" s="10">
        <f>VLOOKUP(A541,import!A:J,8,0)</f>
        <v>4</v>
      </c>
      <c r="I541" s="10">
        <f>VLOOKUP(A541,import!A:J,9,0)</f>
        <v>20</v>
      </c>
      <c r="J541" s="11">
        <f>VLOOKUP(A541,import!A:J,10,0)</f>
        <v>0.8</v>
      </c>
      <c r="K541" s="10" t="s">
        <v>2664</v>
      </c>
      <c r="L541" s="10">
        <v>3.243277069E9</v>
      </c>
      <c r="M541" s="10" t="s">
        <v>72</v>
      </c>
      <c r="N541" s="10" t="s">
        <v>915</v>
      </c>
      <c r="O541" s="10" t="s">
        <v>2665</v>
      </c>
      <c r="P541" s="10" t="str">
        <f>VLOOKUP(A541,import!A:P,16,0)</f>
        <v>Geleneksel</v>
      </c>
      <c r="Q541" s="12"/>
      <c r="R541" s="12" t="b">
        <v>1</v>
      </c>
      <c r="S541" s="12" t="b">
        <v>0</v>
      </c>
      <c r="T541" s="13" t="s">
        <v>51</v>
      </c>
      <c r="U541" s="13" t="s">
        <v>1250</v>
      </c>
      <c r="V541" s="13" t="s">
        <v>53</v>
      </c>
      <c r="W541" s="13" t="s">
        <v>2588</v>
      </c>
      <c r="X541" s="15">
        <v>44434.0</v>
      </c>
      <c r="Y541" s="15">
        <v>44438.0</v>
      </c>
      <c r="Z541" s="16"/>
      <c r="AA541" s="17" t="s">
        <v>56</v>
      </c>
      <c r="AB541" s="16">
        <v>44358.0</v>
      </c>
      <c r="AC541" s="17" t="s">
        <v>56</v>
      </c>
      <c r="AD541" s="16">
        <v>44426.0</v>
      </c>
      <c r="AE541" s="17" t="s">
        <v>56</v>
      </c>
      <c r="AF541" s="16">
        <v>44434.0</v>
      </c>
      <c r="AG541" s="17"/>
      <c r="AH541" s="16"/>
      <c r="AI541" s="16"/>
      <c r="AJ541" s="16"/>
      <c r="AK541" s="17" t="s">
        <v>163</v>
      </c>
      <c r="AL541" s="17" t="s">
        <v>57</v>
      </c>
      <c r="AM541" s="17" t="s">
        <v>1250</v>
      </c>
      <c r="AN541" s="16"/>
      <c r="AO541" s="16"/>
      <c r="AP541" s="18" t="s">
        <v>58</v>
      </c>
      <c r="AQ541" s="16"/>
    </row>
    <row r="542" ht="15.75" customHeight="1">
      <c r="A542" s="10" t="s">
        <v>2666</v>
      </c>
      <c r="B542" s="10" t="s">
        <v>2667</v>
      </c>
      <c r="C542" s="10" t="str">
        <f>VLOOKUP(A542,import!A:C,3,0)</f>
        <v>DOĞRU</v>
      </c>
      <c r="D542" s="10" t="s">
        <v>363</v>
      </c>
      <c r="E542" s="10">
        <f>VLOOKUP(A542,import!A:J,5,0)</f>
        <v>108</v>
      </c>
      <c r="F542" s="10">
        <f>VLOOKUP(A542,import!A:J,6,0)</f>
        <v>40</v>
      </c>
      <c r="G542" s="10">
        <f>VLOOKUP(A542,import!A:J,7,0)</f>
        <v>7</v>
      </c>
      <c r="H542" s="10">
        <f>VLOOKUP(A542,import!A:J,8,0)</f>
        <v>4</v>
      </c>
      <c r="I542" s="10">
        <f>VLOOKUP(A542,import!A:J,9,0)</f>
        <v>11</v>
      </c>
      <c r="J542" s="11">
        <f>VLOOKUP(A542,import!A:J,10,0)</f>
        <v>0.64</v>
      </c>
      <c r="K542" s="10" t="s">
        <v>2668</v>
      </c>
      <c r="L542" s="10">
        <v>3.24232133E9</v>
      </c>
      <c r="M542" s="10" t="s">
        <v>137</v>
      </c>
      <c r="N542" s="10" t="s">
        <v>311</v>
      </c>
      <c r="O542" s="10" t="s">
        <v>2669</v>
      </c>
      <c r="P542" s="10" t="str">
        <f>VLOOKUP(A542,import!A:P,16,0)</f>
        <v>Geleneksel</v>
      </c>
      <c r="Q542" s="12"/>
      <c r="R542" s="12" t="b">
        <v>1</v>
      </c>
      <c r="S542" s="12" t="b">
        <v>0</v>
      </c>
      <c r="T542" s="27" t="s">
        <v>140</v>
      </c>
      <c r="U542" s="13"/>
      <c r="V542" s="13"/>
      <c r="W542" s="13"/>
      <c r="X542" s="15"/>
      <c r="Y542" s="15"/>
      <c r="Z542" s="16"/>
      <c r="AA542" s="16"/>
      <c r="AB542" s="16"/>
      <c r="AC542" s="16"/>
      <c r="AD542" s="16"/>
      <c r="AE542" s="17"/>
      <c r="AF542" s="16"/>
      <c r="AG542" s="17"/>
      <c r="AH542" s="16"/>
      <c r="AI542" s="16"/>
      <c r="AJ542" s="16"/>
      <c r="AK542" s="16"/>
      <c r="AL542" s="16"/>
      <c r="AM542" s="16"/>
      <c r="AN542" s="16"/>
      <c r="AO542" s="16"/>
      <c r="AP542" s="18" t="s">
        <v>58</v>
      </c>
      <c r="AQ542" s="16"/>
    </row>
    <row r="543" ht="15.75" customHeight="1">
      <c r="A543" s="10" t="s">
        <v>2670</v>
      </c>
      <c r="B543" s="10" t="s">
        <v>2671</v>
      </c>
      <c r="C543" s="10" t="str">
        <f>VLOOKUP(A543,import!A:C,3,0)</f>
        <v>DOĞRU</v>
      </c>
      <c r="D543" s="10" t="s">
        <v>363</v>
      </c>
      <c r="E543" s="10">
        <f>VLOOKUP(A543,import!A:J,5,0)</f>
        <v>209</v>
      </c>
      <c r="F543" s="10">
        <f>VLOOKUP(A543,import!A:J,6,0)</f>
        <v>22</v>
      </c>
      <c r="G543" s="10">
        <f>VLOOKUP(A543,import!A:J,7,0)</f>
        <v>2</v>
      </c>
      <c r="H543" s="10">
        <f>VLOOKUP(A543,import!A:J,8,0)</f>
        <v>9</v>
      </c>
      <c r="I543" s="10">
        <f>VLOOKUP(A543,import!A:J,9,0)</f>
        <v>11</v>
      </c>
      <c r="J543" s="11">
        <f>VLOOKUP(A543,import!A:J,10,0)</f>
        <v>0.18</v>
      </c>
      <c r="K543" s="10" t="s">
        <v>2672</v>
      </c>
      <c r="L543" s="10">
        <v>5.461000042E9</v>
      </c>
      <c r="M543" s="10" t="s">
        <v>63</v>
      </c>
      <c r="N543" s="10" t="s">
        <v>100</v>
      </c>
      <c r="O543" s="10" t="s">
        <v>2673</v>
      </c>
      <c r="P543" s="10" t="str">
        <f>VLOOKUP(A543,import!A:P,16,0)</f>
        <v>Geleneksel</v>
      </c>
      <c r="Q543" s="12" t="s">
        <v>50</v>
      </c>
      <c r="R543" s="12" t="b">
        <v>1</v>
      </c>
      <c r="S543" s="12" t="b">
        <v>0</v>
      </c>
      <c r="T543" s="13" t="s">
        <v>51</v>
      </c>
      <c r="U543" s="13" t="s">
        <v>654</v>
      </c>
      <c r="V543" s="13" t="s">
        <v>66</v>
      </c>
      <c r="W543" s="13" t="s">
        <v>2674</v>
      </c>
      <c r="X543" s="15">
        <v>44279.0</v>
      </c>
      <c r="Y543" s="15">
        <v>44281.0</v>
      </c>
      <c r="Z543" s="16"/>
      <c r="AA543" s="16"/>
      <c r="AB543" s="16"/>
      <c r="AC543" s="16"/>
      <c r="AD543" s="16"/>
      <c r="AE543" s="17"/>
      <c r="AF543" s="16"/>
      <c r="AG543" s="17"/>
      <c r="AH543" s="16"/>
      <c r="AI543" s="16"/>
      <c r="AJ543" s="16"/>
      <c r="AK543" s="16"/>
      <c r="AL543" s="16"/>
      <c r="AM543" s="16"/>
      <c r="AN543" s="16"/>
      <c r="AO543" s="16"/>
      <c r="AP543" s="18" t="s">
        <v>58</v>
      </c>
      <c r="AQ543" s="16"/>
    </row>
    <row r="544" ht="15.75" customHeight="1">
      <c r="A544" s="10" t="s">
        <v>2675</v>
      </c>
      <c r="B544" s="10" t="s">
        <v>2676</v>
      </c>
      <c r="C544" s="10" t="str">
        <f>VLOOKUP(A544,import!A:C,3,0)</f>
        <v>DOĞRU</v>
      </c>
      <c r="D544" s="10" t="s">
        <v>363</v>
      </c>
      <c r="E544" s="10">
        <f>VLOOKUP(A544,import!A:J,5,0)</f>
        <v>193</v>
      </c>
      <c r="F544" s="10">
        <f>VLOOKUP(A544,import!A:J,6,0)</f>
        <v>76</v>
      </c>
      <c r="G544" s="10">
        <f>VLOOKUP(A544,import!A:J,7,0)</f>
        <v>0</v>
      </c>
      <c r="H544" s="10">
        <f>VLOOKUP(A544,import!A:J,8,0)</f>
        <v>13</v>
      </c>
      <c r="I544" s="10">
        <f>VLOOKUP(A544,import!A:J,9,0)</f>
        <v>13</v>
      </c>
      <c r="J544" s="11">
        <f>VLOOKUP(A544,import!A:J,10,0)</f>
        <v>0</v>
      </c>
      <c r="K544" s="10" t="s">
        <v>2677</v>
      </c>
      <c r="L544" s="10">
        <v>3.245037861E9</v>
      </c>
      <c r="M544" s="10" t="s">
        <v>63</v>
      </c>
      <c r="N544" s="10" t="s">
        <v>93</v>
      </c>
      <c r="O544" s="10" t="s">
        <v>2678</v>
      </c>
      <c r="P544" s="10" t="str">
        <f>VLOOKUP(A544,import!A:P,16,0)</f>
        <v>Geleneksel</v>
      </c>
      <c r="Q544" s="12"/>
      <c r="R544" s="12" t="b">
        <v>1</v>
      </c>
      <c r="S544" s="12" t="b">
        <v>0</v>
      </c>
      <c r="T544" s="13"/>
      <c r="U544" s="13"/>
      <c r="V544" s="13"/>
      <c r="W544" s="13" t="s">
        <v>2679</v>
      </c>
      <c r="X544" s="15"/>
      <c r="Y544" s="15"/>
      <c r="Z544" s="16"/>
      <c r="AA544" s="17" t="s">
        <v>86</v>
      </c>
      <c r="AB544" s="16">
        <v>44571.0</v>
      </c>
      <c r="AC544" s="16"/>
      <c r="AD544" s="16"/>
      <c r="AE544" s="17"/>
      <c r="AF544" s="16"/>
      <c r="AG544" s="17"/>
      <c r="AH544" s="16"/>
      <c r="AI544" s="16"/>
      <c r="AJ544" s="16"/>
      <c r="AK544" s="17" t="s">
        <v>89</v>
      </c>
      <c r="AL544" s="16"/>
      <c r="AM544" s="16"/>
      <c r="AN544" s="16"/>
      <c r="AO544" s="16"/>
      <c r="AP544" s="18"/>
      <c r="AQ544" s="16"/>
    </row>
    <row r="545" ht="15.75" hidden="1" customHeight="1">
      <c r="A545" s="10" t="s">
        <v>2680</v>
      </c>
      <c r="B545" s="10" t="s">
        <v>2681</v>
      </c>
      <c r="C545" s="10" t="str">
        <f>VLOOKUP(A545,import!A:C,3,0)</f>
        <v>DOĞRU</v>
      </c>
      <c r="D545" s="10" t="s">
        <v>363</v>
      </c>
      <c r="E545" s="10">
        <f>VLOOKUP(A545,import!A:J,5,0)</f>
        <v>489</v>
      </c>
      <c r="F545" s="10">
        <f>VLOOKUP(A545,import!A:J,6,0)</f>
        <v>86</v>
      </c>
      <c r="G545" s="10">
        <f>VLOOKUP(A545,import!A:J,7,0)</f>
        <v>8</v>
      </c>
      <c r="H545" s="10">
        <f>VLOOKUP(A545,import!A:J,8,0)</f>
        <v>1</v>
      </c>
      <c r="I545" s="10">
        <f>VLOOKUP(A545,import!A:J,9,0)</f>
        <v>9</v>
      </c>
      <c r="J545" s="11">
        <f>VLOOKUP(A545,import!A:J,10,0)</f>
        <v>0.89</v>
      </c>
      <c r="K545" s="10" t="s">
        <v>2682</v>
      </c>
      <c r="L545" s="10">
        <v>5.416014088E9</v>
      </c>
      <c r="M545" s="10" t="s">
        <v>72</v>
      </c>
      <c r="N545" s="10" t="s">
        <v>915</v>
      </c>
      <c r="O545" s="10" t="s">
        <v>2683</v>
      </c>
      <c r="P545" s="10" t="str">
        <f>VLOOKUP(A545,import!A:P,16,0)</f>
        <v>Geleneksel</v>
      </c>
      <c r="Q545" s="12"/>
      <c r="R545" s="12" t="b">
        <v>1</v>
      </c>
      <c r="S545" s="12" t="b">
        <v>0</v>
      </c>
      <c r="T545" s="13" t="s">
        <v>51</v>
      </c>
      <c r="U545" s="13" t="s">
        <v>163</v>
      </c>
      <c r="V545" s="13" t="s">
        <v>53</v>
      </c>
      <c r="W545" s="13"/>
      <c r="X545" s="15">
        <v>44355.0</v>
      </c>
      <c r="Y545" s="15">
        <v>44358.0</v>
      </c>
      <c r="Z545" s="16"/>
      <c r="AA545" s="17" t="s">
        <v>56</v>
      </c>
      <c r="AB545" s="16">
        <v>44355.0</v>
      </c>
      <c r="AC545" s="16"/>
      <c r="AD545" s="16"/>
      <c r="AE545" s="17"/>
      <c r="AF545" s="16"/>
      <c r="AG545" s="17"/>
      <c r="AH545" s="16"/>
      <c r="AI545" s="16"/>
      <c r="AJ545" s="16"/>
      <c r="AK545" s="17" t="s">
        <v>163</v>
      </c>
      <c r="AL545" s="16"/>
      <c r="AM545" s="16"/>
      <c r="AN545" s="16"/>
      <c r="AO545" s="16"/>
      <c r="AP545" s="18" t="s">
        <v>58</v>
      </c>
      <c r="AQ545" s="16"/>
    </row>
    <row r="546" ht="15.75" hidden="1" customHeight="1">
      <c r="A546" s="10" t="s">
        <v>2684</v>
      </c>
      <c r="B546" s="10" t="s">
        <v>2685</v>
      </c>
      <c r="C546" s="10" t="str">
        <f>VLOOKUP(A546,import!A:C,3,0)</f>
        <v>DOĞRU</v>
      </c>
      <c r="D546" s="10" t="s">
        <v>363</v>
      </c>
      <c r="E546" s="10">
        <f>VLOOKUP(A546,import!A:J,5,0)</f>
        <v>674</v>
      </c>
      <c r="F546" s="10">
        <f>VLOOKUP(A546,import!A:J,6,0)</f>
        <v>73</v>
      </c>
      <c r="G546" s="10">
        <f>VLOOKUP(A546,import!A:J,7,0)</f>
        <v>0</v>
      </c>
      <c r="H546" s="10">
        <f>VLOOKUP(A546,import!A:J,8,0)</f>
        <v>16</v>
      </c>
      <c r="I546" s="10">
        <f>VLOOKUP(A546,import!A:J,9,0)</f>
        <v>16</v>
      </c>
      <c r="J546" s="11">
        <f>VLOOKUP(A546,import!A:J,10,0)</f>
        <v>0</v>
      </c>
      <c r="K546" s="10" t="s">
        <v>2686</v>
      </c>
      <c r="L546" s="10">
        <v>5.445651769E9</v>
      </c>
      <c r="M546" s="10" t="s">
        <v>72</v>
      </c>
      <c r="N546" s="10" t="s">
        <v>82</v>
      </c>
      <c r="O546" s="10" t="s">
        <v>2687</v>
      </c>
      <c r="P546" s="10" t="str">
        <f>VLOOKUP(A546,import!A:P,16,0)</f>
        <v>Geleneksel</v>
      </c>
      <c r="Q546" s="12"/>
      <c r="R546" s="12" t="b">
        <v>1</v>
      </c>
      <c r="S546" s="12" t="b">
        <v>0</v>
      </c>
      <c r="T546" s="27" t="s">
        <v>140</v>
      </c>
      <c r="U546" s="13" t="s">
        <v>89</v>
      </c>
      <c r="V546" s="13" t="s">
        <v>66</v>
      </c>
      <c r="W546" s="13" t="s">
        <v>2688</v>
      </c>
      <c r="X546" s="15">
        <v>44530.0</v>
      </c>
      <c r="Y546" s="15">
        <v>44531.0</v>
      </c>
      <c r="Z546" s="16"/>
      <c r="AA546" s="17" t="s">
        <v>56</v>
      </c>
      <c r="AB546" s="16">
        <v>44456.0</v>
      </c>
      <c r="AC546" s="17" t="s">
        <v>55</v>
      </c>
      <c r="AD546" s="16">
        <v>44491.0</v>
      </c>
      <c r="AE546" s="17" t="s">
        <v>56</v>
      </c>
      <c r="AF546" s="16">
        <v>44516.0</v>
      </c>
      <c r="AG546" s="17" t="s">
        <v>56</v>
      </c>
      <c r="AH546" s="16">
        <v>44530.0</v>
      </c>
      <c r="AI546" s="17" t="s">
        <v>56</v>
      </c>
      <c r="AJ546" s="16">
        <v>44532.0</v>
      </c>
      <c r="AK546" s="17" t="s">
        <v>171</v>
      </c>
      <c r="AL546" s="17" t="s">
        <v>52</v>
      </c>
      <c r="AM546" s="17" t="s">
        <v>108</v>
      </c>
      <c r="AN546" s="17" t="s">
        <v>89</v>
      </c>
      <c r="AO546" s="17" t="s">
        <v>108</v>
      </c>
      <c r="AP546" s="18" t="s">
        <v>58</v>
      </c>
      <c r="AQ546" s="17"/>
    </row>
    <row r="547" ht="15.75" hidden="1" customHeight="1">
      <c r="A547" s="10" t="s">
        <v>2689</v>
      </c>
      <c r="B547" s="10" t="s">
        <v>2690</v>
      </c>
      <c r="C547" s="10" t="str">
        <f>VLOOKUP(A547,import!A:C,3,0)</f>
        <v>DOĞRU</v>
      </c>
      <c r="D547" s="10" t="s">
        <v>363</v>
      </c>
      <c r="E547" s="10">
        <f>VLOOKUP(A547,import!A:J,5,0)</f>
        <v>1607</v>
      </c>
      <c r="F547" s="10">
        <f>VLOOKUP(A547,import!A:J,6,0)</f>
        <v>80</v>
      </c>
      <c r="G547" s="10">
        <f>VLOOKUP(A547,import!A:J,7,0)</f>
        <v>20</v>
      </c>
      <c r="H547" s="10">
        <f>VLOOKUP(A547,import!A:J,8,0)</f>
        <v>5</v>
      </c>
      <c r="I547" s="10">
        <f>VLOOKUP(A547,import!A:J,9,0)</f>
        <v>25</v>
      </c>
      <c r="J547" s="11">
        <f>VLOOKUP(A547,import!A:J,10,0)</f>
        <v>0.8</v>
      </c>
      <c r="K547" s="10" t="s">
        <v>2691</v>
      </c>
      <c r="L547" s="10">
        <v>5.071532191E9</v>
      </c>
      <c r="M547" s="10" t="s">
        <v>72</v>
      </c>
      <c r="N547" s="10" t="s">
        <v>716</v>
      </c>
      <c r="O547" s="10" t="s">
        <v>2692</v>
      </c>
      <c r="P547" s="10" t="str">
        <f>VLOOKUP(A547,import!A:P,16,0)</f>
        <v>Geleneksel</v>
      </c>
      <c r="Q547" s="12" t="s">
        <v>50</v>
      </c>
      <c r="R547" s="12" t="b">
        <v>1</v>
      </c>
      <c r="S547" s="12" t="b">
        <v>0</v>
      </c>
      <c r="T547" s="13" t="s">
        <v>51</v>
      </c>
      <c r="U547" s="13" t="s">
        <v>654</v>
      </c>
      <c r="V547" s="13" t="s">
        <v>53</v>
      </c>
      <c r="W547" s="13"/>
      <c r="X547" s="15">
        <v>44281.0</v>
      </c>
      <c r="Y547" s="15">
        <v>44281.0</v>
      </c>
      <c r="Z547" s="16"/>
      <c r="AA547" s="16"/>
      <c r="AB547" s="16"/>
      <c r="AC547" s="16"/>
      <c r="AD547" s="16"/>
      <c r="AE547" s="17"/>
      <c r="AF547" s="16"/>
      <c r="AG547" s="17"/>
      <c r="AH547" s="16"/>
      <c r="AI547" s="16"/>
      <c r="AJ547" s="16"/>
      <c r="AK547" s="16"/>
      <c r="AL547" s="16"/>
      <c r="AM547" s="16"/>
      <c r="AN547" s="16"/>
      <c r="AO547" s="16"/>
      <c r="AP547" s="18" t="s">
        <v>58</v>
      </c>
      <c r="AQ547" s="16"/>
    </row>
    <row r="548" ht="15.75" hidden="1" customHeight="1">
      <c r="A548" s="10" t="s">
        <v>2693</v>
      </c>
      <c r="B548" s="10" t="s">
        <v>2694</v>
      </c>
      <c r="C548" s="10" t="str">
        <f>VLOOKUP(A548,import!A:C,3,0)</f>
        <v>DOĞRU</v>
      </c>
      <c r="D548" s="10" t="s">
        <v>363</v>
      </c>
      <c r="E548" s="10">
        <f>VLOOKUP(A548,import!A:J,5,0)</f>
        <v>50</v>
      </c>
      <c r="F548" s="10">
        <f>VLOOKUP(A548,import!A:J,6,0)</f>
        <v>27</v>
      </c>
      <c r="G548" s="10">
        <f>VLOOKUP(A548,import!A:J,7,0)</f>
        <v>22</v>
      </c>
      <c r="H548" s="10">
        <f>VLOOKUP(A548,import!A:J,8,0)</f>
        <v>0</v>
      </c>
      <c r="I548" s="10">
        <f>VLOOKUP(A548,import!A:J,9,0)</f>
        <v>22</v>
      </c>
      <c r="J548" s="11">
        <f>VLOOKUP(A548,import!A:J,10,0)</f>
        <v>1</v>
      </c>
      <c r="K548" s="10" t="s">
        <v>2695</v>
      </c>
      <c r="L548" s="10">
        <v>5.36484584E9</v>
      </c>
      <c r="M548" s="10" t="s">
        <v>72</v>
      </c>
      <c r="N548" s="10" t="s">
        <v>128</v>
      </c>
      <c r="O548" s="10" t="s">
        <v>2696</v>
      </c>
      <c r="P548" s="10" t="str">
        <f>VLOOKUP(A548,import!A:P,16,0)</f>
        <v>Geleneksel</v>
      </c>
      <c r="Q548" s="12"/>
      <c r="R548" s="12" t="b">
        <v>1</v>
      </c>
      <c r="S548" s="12" t="b">
        <v>0</v>
      </c>
      <c r="T548" s="13" t="s">
        <v>51</v>
      </c>
      <c r="U548" s="13" t="s">
        <v>133</v>
      </c>
      <c r="V548" s="17" t="s">
        <v>66</v>
      </c>
      <c r="W548" s="13"/>
      <c r="X548" s="15">
        <v>44635.0</v>
      </c>
      <c r="Y548" s="15">
        <v>44637.0</v>
      </c>
      <c r="Z548" s="16"/>
      <c r="AA548" s="17" t="s">
        <v>56</v>
      </c>
      <c r="AB548" s="16">
        <v>44629.0</v>
      </c>
      <c r="AC548" s="17" t="s">
        <v>56</v>
      </c>
      <c r="AD548" s="16">
        <v>44635.0</v>
      </c>
      <c r="AE548" s="17"/>
      <c r="AF548" s="16"/>
      <c r="AG548" s="17"/>
      <c r="AH548" s="16"/>
      <c r="AI548" s="16"/>
      <c r="AJ548" s="16"/>
      <c r="AK548" s="17" t="s">
        <v>133</v>
      </c>
      <c r="AL548" s="17" t="s">
        <v>133</v>
      </c>
      <c r="AM548" s="16"/>
      <c r="AN548" s="16"/>
      <c r="AO548" s="16"/>
      <c r="AP548" s="18"/>
      <c r="AQ548" s="16"/>
    </row>
    <row r="549" ht="15.75" customHeight="1">
      <c r="A549" s="10" t="s">
        <v>2697</v>
      </c>
      <c r="B549" s="10" t="s">
        <v>2698</v>
      </c>
      <c r="C549" s="10" t="str">
        <f>VLOOKUP(A549,import!A:C,3,0)</f>
        <v>DOĞRU</v>
      </c>
      <c r="D549" s="10" t="s">
        <v>363</v>
      </c>
      <c r="E549" s="10">
        <f>VLOOKUP(A549,import!A:J,5,0)</f>
        <v>319</v>
      </c>
      <c r="F549" s="10">
        <f>VLOOKUP(A549,import!A:J,6,0)</f>
        <v>14</v>
      </c>
      <c r="G549" s="10">
        <f>VLOOKUP(A549,import!A:J,7,0)</f>
        <v>16</v>
      </c>
      <c r="H549" s="10">
        <f>VLOOKUP(A549,import!A:J,8,0)</f>
        <v>8</v>
      </c>
      <c r="I549" s="10">
        <f>VLOOKUP(A549,import!A:J,9,0)</f>
        <v>24</v>
      </c>
      <c r="J549" s="11">
        <f>VLOOKUP(A549,import!A:J,10,0)</f>
        <v>0.67</v>
      </c>
      <c r="K549" s="10" t="s">
        <v>2691</v>
      </c>
      <c r="L549" s="10">
        <v>5.303294832E9</v>
      </c>
      <c r="M549" s="10" t="s">
        <v>63</v>
      </c>
      <c r="N549" s="10" t="s">
        <v>318</v>
      </c>
      <c r="O549" s="10" t="s">
        <v>2699</v>
      </c>
      <c r="P549" s="10" t="str">
        <f>VLOOKUP(A549,import!A:P,16,0)</f>
        <v>Geleneksel</v>
      </c>
      <c r="Q549" s="12" t="s">
        <v>50</v>
      </c>
      <c r="R549" s="12" t="b">
        <v>1</v>
      </c>
      <c r="S549" s="12" t="b">
        <v>0</v>
      </c>
      <c r="T549" s="27" t="s">
        <v>140</v>
      </c>
      <c r="U549" s="13"/>
      <c r="V549" s="13"/>
      <c r="W549" s="13" t="s">
        <v>2700</v>
      </c>
      <c r="X549" s="15"/>
      <c r="Y549" s="15"/>
      <c r="Z549" s="16"/>
      <c r="AA549" s="16"/>
      <c r="AB549" s="16"/>
      <c r="AC549" s="16"/>
      <c r="AD549" s="16"/>
      <c r="AE549" s="17"/>
      <c r="AF549" s="16"/>
      <c r="AG549" s="17"/>
      <c r="AH549" s="16"/>
      <c r="AI549" s="16"/>
      <c r="AJ549" s="16"/>
      <c r="AK549" s="16"/>
      <c r="AL549" s="16"/>
      <c r="AM549" s="16"/>
      <c r="AN549" s="16"/>
      <c r="AO549" s="16"/>
      <c r="AP549" s="18" t="s">
        <v>58</v>
      </c>
      <c r="AQ549" s="16"/>
    </row>
    <row r="550" ht="15.75" hidden="1" customHeight="1">
      <c r="A550" s="10" t="s">
        <v>2701</v>
      </c>
      <c r="B550" s="10" t="s">
        <v>2702</v>
      </c>
      <c r="C550" s="10" t="str">
        <f>VLOOKUP(A550,import!A:C,3,0)</f>
        <v>DOĞRU</v>
      </c>
      <c r="D550" s="10" t="s">
        <v>45</v>
      </c>
      <c r="E550" s="10">
        <f>VLOOKUP(A550,import!A:J,5,0)</f>
        <v>3360</v>
      </c>
      <c r="F550" s="10">
        <f>VLOOKUP(A550,import!A:J,6,0)</f>
        <v>152</v>
      </c>
      <c r="G550" s="10">
        <f>VLOOKUP(A550,import!A:J,7,0)</f>
        <v>1</v>
      </c>
      <c r="H550" s="10">
        <f>VLOOKUP(A550,import!A:J,8,0)</f>
        <v>68</v>
      </c>
      <c r="I550" s="10">
        <f>VLOOKUP(A550,import!A:J,9,0)</f>
        <v>69</v>
      </c>
      <c r="J550" s="11">
        <f>VLOOKUP(A550,import!A:J,10,0)</f>
        <v>0.01</v>
      </c>
      <c r="K550" s="10" t="s">
        <v>2703</v>
      </c>
      <c r="L550" s="10">
        <v>3.245161333E9</v>
      </c>
      <c r="M550" s="10" t="s">
        <v>47</v>
      </c>
      <c r="N550" s="10" t="s">
        <v>515</v>
      </c>
      <c r="O550" s="10" t="s">
        <v>2704</v>
      </c>
      <c r="P550" s="10" t="str">
        <f>VLOOKUP(A550,import!A:P,16,0)</f>
        <v>Geleneksel</v>
      </c>
      <c r="Q550" s="12"/>
      <c r="R550" s="12" t="b">
        <v>1</v>
      </c>
      <c r="S550" s="12" t="b">
        <v>0</v>
      </c>
      <c r="T550" s="13" t="s">
        <v>130</v>
      </c>
      <c r="U550" s="13"/>
      <c r="V550" s="13"/>
      <c r="W550" s="13" t="s">
        <v>2705</v>
      </c>
      <c r="X550" s="15"/>
      <c r="Y550" s="15"/>
      <c r="Z550" s="16"/>
      <c r="AA550" s="17" t="s">
        <v>56</v>
      </c>
      <c r="AB550" s="16">
        <v>44504.0</v>
      </c>
      <c r="AC550" s="16"/>
      <c r="AD550" s="16"/>
      <c r="AE550" s="17"/>
      <c r="AF550" s="16"/>
      <c r="AG550" s="17"/>
      <c r="AH550" s="16"/>
      <c r="AI550" s="16"/>
      <c r="AJ550" s="16"/>
      <c r="AK550" s="17" t="s">
        <v>108</v>
      </c>
      <c r="AL550" s="16"/>
      <c r="AM550" s="16"/>
      <c r="AN550" s="16"/>
      <c r="AO550" s="16"/>
      <c r="AP550" s="18" t="s">
        <v>58</v>
      </c>
      <c r="AQ550" s="16"/>
    </row>
    <row r="551" ht="15.75" hidden="1" customHeight="1">
      <c r="A551" s="10" t="s">
        <v>2706</v>
      </c>
      <c r="B551" s="10" t="s">
        <v>2707</v>
      </c>
      <c r="C551" s="10" t="str">
        <f>VLOOKUP(A551,import!A:C,3,0)</f>
        <v>DOĞRU</v>
      </c>
      <c r="D551" s="10" t="s">
        <v>45</v>
      </c>
      <c r="E551" s="10">
        <f>VLOOKUP(A551,import!A:J,5,0)</f>
        <v>4383</v>
      </c>
      <c r="F551" s="10">
        <f>VLOOKUP(A551,import!A:J,6,0)</f>
        <v>249</v>
      </c>
      <c r="G551" s="10">
        <f>VLOOKUP(A551,import!A:J,7,0)</f>
        <v>0</v>
      </c>
      <c r="H551" s="10">
        <f>VLOOKUP(A551,import!A:J,8,0)</f>
        <v>25</v>
      </c>
      <c r="I551" s="10">
        <f>VLOOKUP(A551,import!A:J,9,0)</f>
        <v>25</v>
      </c>
      <c r="J551" s="11">
        <f>VLOOKUP(A551,import!A:J,10,0)</f>
        <v>0</v>
      </c>
      <c r="K551" s="10" t="s">
        <v>2708</v>
      </c>
      <c r="L551" s="10">
        <v>5.3312712E9</v>
      </c>
      <c r="M551" s="10" t="s">
        <v>156</v>
      </c>
      <c r="N551" s="10" t="s">
        <v>222</v>
      </c>
      <c r="O551" s="10" t="s">
        <v>2709</v>
      </c>
      <c r="P551" s="10" t="str">
        <f>VLOOKUP(A551,import!A:P,16,0)</f>
        <v>Geleneksel</v>
      </c>
      <c r="Q551" s="12" t="s">
        <v>84</v>
      </c>
      <c r="R551" s="12" t="b">
        <v>1</v>
      </c>
      <c r="S551" s="12" t="b">
        <v>1</v>
      </c>
      <c r="T551" s="14"/>
      <c r="U551" s="14"/>
      <c r="V551" s="14"/>
      <c r="W551" s="14"/>
      <c r="X551" s="29"/>
      <c r="Y551" s="29"/>
      <c r="Z551" s="16"/>
      <c r="AA551" s="16"/>
      <c r="AB551" s="16"/>
      <c r="AC551" s="16"/>
      <c r="AD551" s="16"/>
      <c r="AE551" s="17"/>
      <c r="AF551" s="16"/>
      <c r="AG551" s="17"/>
      <c r="AH551" s="16"/>
      <c r="AI551" s="16"/>
      <c r="AJ551" s="16"/>
      <c r="AK551" s="16"/>
      <c r="AL551" s="16"/>
      <c r="AM551" s="16"/>
      <c r="AN551" s="16"/>
      <c r="AO551" s="16"/>
      <c r="AP551" s="18" t="s">
        <v>58</v>
      </c>
      <c r="AQ551" s="16"/>
    </row>
    <row r="552" ht="15.75" hidden="1" customHeight="1">
      <c r="A552" s="10" t="s">
        <v>2710</v>
      </c>
      <c r="B552" s="10" t="s">
        <v>2711</v>
      </c>
      <c r="C552" s="10" t="str">
        <f>VLOOKUP(A552,import!A:C,3,0)</f>
        <v>DOĞRU</v>
      </c>
      <c r="D552" s="10" t="s">
        <v>45</v>
      </c>
      <c r="E552" s="10">
        <f>VLOOKUP(A552,import!A:J,5,0)</f>
        <v>5105</v>
      </c>
      <c r="F552" s="10">
        <f>VLOOKUP(A552,import!A:J,6,0)</f>
        <v>228</v>
      </c>
      <c r="G552" s="10">
        <f>VLOOKUP(A552,import!A:J,7,0)</f>
        <v>0</v>
      </c>
      <c r="H552" s="10">
        <f>VLOOKUP(A552,import!A:J,8,0)</f>
        <v>34</v>
      </c>
      <c r="I552" s="10">
        <f>VLOOKUP(A552,import!A:J,9,0)</f>
        <v>34</v>
      </c>
      <c r="J552" s="11">
        <f>VLOOKUP(A552,import!A:J,10,0)</f>
        <v>0</v>
      </c>
      <c r="K552" s="10" t="s">
        <v>2708</v>
      </c>
      <c r="L552" s="10">
        <v>5.3312712E9</v>
      </c>
      <c r="M552" s="10" t="s">
        <v>156</v>
      </c>
      <c r="N552" s="10" t="s">
        <v>338</v>
      </c>
      <c r="O552" s="10" t="s">
        <v>2712</v>
      </c>
      <c r="P552" s="10" t="str">
        <f>VLOOKUP(A552,import!A:P,16,0)</f>
        <v>Geleneksel</v>
      </c>
      <c r="Q552" s="12" t="s">
        <v>84</v>
      </c>
      <c r="R552" s="12" t="b">
        <v>1</v>
      </c>
      <c r="S552" s="12" t="b">
        <v>1</v>
      </c>
      <c r="T552" s="13"/>
      <c r="U552" s="13"/>
      <c r="V552" s="13"/>
      <c r="W552" s="13" t="s">
        <v>2713</v>
      </c>
      <c r="X552" s="15"/>
      <c r="Y552" s="15"/>
      <c r="Z552" s="16"/>
      <c r="AA552" s="16"/>
      <c r="AB552" s="16"/>
      <c r="AC552" s="16"/>
      <c r="AD552" s="16"/>
      <c r="AE552" s="17"/>
      <c r="AF552" s="16"/>
      <c r="AG552" s="17"/>
      <c r="AH552" s="16"/>
      <c r="AI552" s="16"/>
      <c r="AJ552" s="16"/>
      <c r="AK552" s="16"/>
      <c r="AL552" s="16"/>
      <c r="AM552" s="16"/>
      <c r="AN552" s="16"/>
      <c r="AO552" s="16"/>
      <c r="AP552" s="18" t="s">
        <v>58</v>
      </c>
      <c r="AQ552" s="16"/>
    </row>
    <row r="553" ht="15.75" customHeight="1">
      <c r="A553" s="10" t="s">
        <v>2714</v>
      </c>
      <c r="B553" s="10" t="s">
        <v>2715</v>
      </c>
      <c r="C553" s="10" t="str">
        <f>VLOOKUP(A553,import!A:C,3,0)</f>
        <v>DOĞRU</v>
      </c>
      <c r="D553" s="10" t="s">
        <v>80</v>
      </c>
      <c r="E553" s="10">
        <f>VLOOKUP(A553,import!A:J,5,0)</f>
        <v>93</v>
      </c>
      <c r="F553" s="10">
        <f>VLOOKUP(A553,import!A:J,6,0)</f>
        <v>31</v>
      </c>
      <c r="G553" s="10">
        <f>VLOOKUP(A553,import!A:J,7,0)</f>
        <v>13</v>
      </c>
      <c r="H553" s="10">
        <f>VLOOKUP(A553,import!A:J,8,0)</f>
        <v>21</v>
      </c>
      <c r="I553" s="10">
        <f>VLOOKUP(A553,import!A:J,9,0)</f>
        <v>34</v>
      </c>
      <c r="J553" s="11">
        <f>VLOOKUP(A553,import!A:J,10,0)</f>
        <v>0.38</v>
      </c>
      <c r="K553" s="10" t="s">
        <v>2716</v>
      </c>
      <c r="L553" s="10">
        <v>3.243598989E9</v>
      </c>
      <c r="M553" s="10" t="s">
        <v>63</v>
      </c>
      <c r="N553" s="10" t="s">
        <v>100</v>
      </c>
      <c r="O553" s="10" t="s">
        <v>2717</v>
      </c>
      <c r="P553" s="10" t="str">
        <f>VLOOKUP(A553,import!A:P,16,0)</f>
        <v>Geleneksel</v>
      </c>
      <c r="Q553" s="12"/>
      <c r="R553" s="12" t="b">
        <v>1</v>
      </c>
      <c r="S553" s="12" t="b">
        <v>0</v>
      </c>
      <c r="T553" s="13" t="s">
        <v>51</v>
      </c>
      <c r="U553" s="13" t="s">
        <v>267</v>
      </c>
      <c r="V553" s="13"/>
      <c r="W553" s="13" t="s">
        <v>2718</v>
      </c>
      <c r="X553" s="15">
        <v>44551.0</v>
      </c>
      <c r="Y553" s="15">
        <v>44554.0</v>
      </c>
      <c r="Z553" s="16"/>
      <c r="AA553" s="17" t="s">
        <v>55</v>
      </c>
      <c r="AB553" s="16">
        <v>44557.0</v>
      </c>
      <c r="AC553" s="16"/>
      <c r="AD553" s="16"/>
      <c r="AE553" s="17"/>
      <c r="AF553" s="16"/>
      <c r="AG553" s="17"/>
      <c r="AH553" s="16"/>
      <c r="AI553" s="16"/>
      <c r="AJ553" s="16"/>
      <c r="AK553" s="17" t="s">
        <v>52</v>
      </c>
      <c r="AL553" s="16"/>
      <c r="AM553" s="16"/>
      <c r="AN553" s="16"/>
      <c r="AO553" s="16"/>
      <c r="AP553" s="18"/>
      <c r="AQ553" s="16"/>
    </row>
    <row r="554" ht="15.75" hidden="1" customHeight="1">
      <c r="A554" s="10" t="s">
        <v>2719</v>
      </c>
      <c r="B554" s="10" t="s">
        <v>2720</v>
      </c>
      <c r="C554" s="10" t="str">
        <f>VLOOKUP(A554,import!A:C,3,0)</f>
        <v>DOĞRU</v>
      </c>
      <c r="D554" s="10" t="s">
        <v>363</v>
      </c>
      <c r="E554" s="10">
        <f>VLOOKUP(A554,import!A:J,5,0)</f>
        <v>994</v>
      </c>
      <c r="F554" s="10">
        <f>VLOOKUP(A554,import!A:J,6,0)</f>
        <v>36</v>
      </c>
      <c r="G554" s="10">
        <f>VLOOKUP(A554,import!A:J,7,0)</f>
        <v>0</v>
      </c>
      <c r="H554" s="10">
        <f>VLOOKUP(A554,import!A:J,8,0)</f>
        <v>86</v>
      </c>
      <c r="I554" s="10">
        <f>VLOOKUP(A554,import!A:J,9,0)</f>
        <v>86</v>
      </c>
      <c r="J554" s="11">
        <f>VLOOKUP(A554,import!A:J,10,0)</f>
        <v>0</v>
      </c>
      <c r="K554" s="10" t="s">
        <v>2721</v>
      </c>
      <c r="L554" s="10">
        <v>3.245150335E9</v>
      </c>
      <c r="M554" s="10" t="s">
        <v>47</v>
      </c>
      <c r="N554" s="10" t="s">
        <v>365</v>
      </c>
      <c r="O554" s="10" t="s">
        <v>2722</v>
      </c>
      <c r="P554" s="10" t="str">
        <f>VLOOKUP(A554,import!A:P,16,0)</f>
        <v>Geleneksel</v>
      </c>
      <c r="Q554" s="12"/>
      <c r="R554" s="12" t="b">
        <v>1</v>
      </c>
      <c r="S554" s="12" t="b">
        <v>0</v>
      </c>
      <c r="T554" s="13"/>
      <c r="U554" s="13"/>
      <c r="V554" s="13"/>
      <c r="W554" s="13" t="s">
        <v>2723</v>
      </c>
      <c r="X554" s="15"/>
      <c r="Y554" s="15"/>
      <c r="Z554" s="16"/>
      <c r="AA554" s="17" t="s">
        <v>230</v>
      </c>
      <c r="AB554" s="16">
        <v>44504.0</v>
      </c>
      <c r="AC554" s="17" t="s">
        <v>56</v>
      </c>
      <c r="AD554" s="16">
        <v>44531.0</v>
      </c>
      <c r="AE554" s="17"/>
      <c r="AF554" s="16"/>
      <c r="AG554" s="17"/>
      <c r="AH554" s="16"/>
      <c r="AI554" s="16"/>
      <c r="AJ554" s="16"/>
      <c r="AK554" s="17" t="s">
        <v>108</v>
      </c>
      <c r="AL554" s="17" t="s">
        <v>52</v>
      </c>
      <c r="AM554" s="16"/>
      <c r="AN554" s="16"/>
      <c r="AO554" s="16"/>
      <c r="AP554" s="18" t="s">
        <v>58</v>
      </c>
      <c r="AQ554" s="16"/>
    </row>
    <row r="555" ht="15.75" hidden="1" customHeight="1">
      <c r="A555" s="10" t="s">
        <v>2724</v>
      </c>
      <c r="B555" s="10" t="s">
        <v>2725</v>
      </c>
      <c r="C555" s="10" t="str">
        <f>VLOOKUP(A555,import!A:C,3,0)</f>
        <v>DOĞRU</v>
      </c>
      <c r="D555" s="10" t="s">
        <v>2207</v>
      </c>
      <c r="E555" s="10">
        <f>VLOOKUP(A555,import!A:J,5,0)</f>
        <v>735</v>
      </c>
      <c r="F555" s="10">
        <f>VLOOKUP(A555,import!A:J,6,0)</f>
        <v>63</v>
      </c>
      <c r="G555" s="10">
        <f>VLOOKUP(A555,import!A:J,7,0)</f>
        <v>6</v>
      </c>
      <c r="H555" s="10">
        <f>VLOOKUP(A555,import!A:J,8,0)</f>
        <v>6</v>
      </c>
      <c r="I555" s="10">
        <f>VLOOKUP(A555,import!A:J,9,0)</f>
        <v>12</v>
      </c>
      <c r="J555" s="11">
        <f>VLOOKUP(A555,import!A:J,10,0)</f>
        <v>0.5</v>
      </c>
      <c r="K555" s="10" t="s">
        <v>2726</v>
      </c>
      <c r="L555" s="10">
        <v>3.243259592E9</v>
      </c>
      <c r="M555" s="10" t="s">
        <v>72</v>
      </c>
      <c r="N555" s="10" t="s">
        <v>1298</v>
      </c>
      <c r="O555" s="10" t="s">
        <v>2727</v>
      </c>
      <c r="P555" s="10" t="str">
        <f>VLOOKUP(A555,import!A:P,16,0)</f>
        <v>Geleneksel</v>
      </c>
      <c r="Q555" s="12"/>
      <c r="R555" s="12" t="b">
        <v>1</v>
      </c>
      <c r="S555" s="12" t="b">
        <v>0</v>
      </c>
      <c r="T555" s="13" t="s">
        <v>51</v>
      </c>
      <c r="U555" s="13" t="s">
        <v>89</v>
      </c>
      <c r="V555" s="13" t="s">
        <v>66</v>
      </c>
      <c r="W555" s="13" t="s">
        <v>2728</v>
      </c>
      <c r="X555" s="15">
        <v>44498.0</v>
      </c>
      <c r="Y555" s="15">
        <v>44501.0</v>
      </c>
      <c r="Z555" s="16"/>
      <c r="AA555" s="17" t="s">
        <v>55</v>
      </c>
      <c r="AB555" s="16">
        <v>44426.0</v>
      </c>
      <c r="AC555" s="17" t="s">
        <v>56</v>
      </c>
      <c r="AD555" s="16">
        <v>44426.0</v>
      </c>
      <c r="AE555" s="17" t="s">
        <v>56</v>
      </c>
      <c r="AF555" s="16">
        <v>44426.0</v>
      </c>
      <c r="AG555" s="17" t="s">
        <v>55</v>
      </c>
      <c r="AH555" s="16">
        <v>44491.0</v>
      </c>
      <c r="AI555" s="17" t="s">
        <v>56</v>
      </c>
      <c r="AJ555" s="16">
        <v>44581.0</v>
      </c>
      <c r="AK555" s="17" t="s">
        <v>57</v>
      </c>
      <c r="AL555" s="17" t="s">
        <v>57</v>
      </c>
      <c r="AM555" s="17" t="s">
        <v>57</v>
      </c>
      <c r="AN555" s="17" t="s">
        <v>52</v>
      </c>
      <c r="AO555" s="17" t="s">
        <v>89</v>
      </c>
      <c r="AP555" s="18" t="s">
        <v>58</v>
      </c>
      <c r="AQ555" s="17"/>
    </row>
    <row r="556" ht="15.75" hidden="1" customHeight="1">
      <c r="A556" s="18" t="s">
        <v>2729</v>
      </c>
      <c r="B556" s="18" t="s">
        <v>2730</v>
      </c>
      <c r="C556" s="10" t="str">
        <f>VLOOKUP(A556,import!A:C,3,0)</f>
        <v>DOĞRU</v>
      </c>
      <c r="D556" s="18" t="s">
        <v>70</v>
      </c>
      <c r="E556" s="10">
        <f>VLOOKUP(A556,import!A:J,5,0)</f>
        <v>5</v>
      </c>
      <c r="F556" s="10">
        <f>VLOOKUP(A556,import!A:J,6,0)</f>
        <v>5</v>
      </c>
      <c r="G556" s="10">
        <f>VLOOKUP(A556,import!A:J,7,0)</f>
        <v>0</v>
      </c>
      <c r="H556" s="10">
        <f>VLOOKUP(A556,import!A:J,8,0)</f>
        <v>3</v>
      </c>
      <c r="I556" s="10">
        <f>VLOOKUP(A556,import!A:J,9,0)</f>
        <v>3</v>
      </c>
      <c r="J556" s="11">
        <f>VLOOKUP(A556,import!A:J,10,0)</f>
        <v>0</v>
      </c>
      <c r="K556" s="18" t="s">
        <v>2731</v>
      </c>
      <c r="L556" s="18">
        <v>5.075357373E9</v>
      </c>
      <c r="M556" s="18" t="s">
        <v>47</v>
      </c>
      <c r="N556" s="18" t="s">
        <v>48</v>
      </c>
      <c r="O556" s="18" t="s">
        <v>2732</v>
      </c>
      <c r="P556" s="10" t="str">
        <f>VLOOKUP(A556,import!A:P,16,0)</f>
        <v>Geleneksel</v>
      </c>
      <c r="Q556" s="12"/>
      <c r="R556" s="12" t="b">
        <v>0</v>
      </c>
      <c r="S556" s="12" t="b">
        <v>0</v>
      </c>
      <c r="T556" s="13"/>
      <c r="U556" s="13"/>
      <c r="V556" s="13"/>
      <c r="W556" s="13"/>
      <c r="X556" s="15"/>
      <c r="Y556" s="15"/>
      <c r="Z556" s="16"/>
      <c r="AA556" s="17"/>
      <c r="AB556" s="16"/>
      <c r="AC556" s="16"/>
      <c r="AD556" s="16"/>
      <c r="AE556" s="17"/>
      <c r="AF556" s="16"/>
      <c r="AG556" s="17"/>
      <c r="AH556" s="16"/>
      <c r="AI556" s="16"/>
      <c r="AJ556" s="16"/>
      <c r="AK556" s="17"/>
      <c r="AL556" s="16"/>
      <c r="AM556" s="16"/>
      <c r="AN556" s="16"/>
      <c r="AO556" s="16"/>
      <c r="AP556" s="18"/>
      <c r="AQ556" s="16"/>
    </row>
    <row r="557" ht="15.75" hidden="1" customHeight="1">
      <c r="A557" s="10" t="s">
        <v>2733</v>
      </c>
      <c r="B557" s="10" t="s">
        <v>2734</v>
      </c>
      <c r="C557" s="10" t="str">
        <f>VLOOKUP(A557,import!A:C,3,0)</f>
        <v>DOĞRU</v>
      </c>
      <c r="D557" s="10" t="s">
        <v>70</v>
      </c>
      <c r="E557" s="10">
        <f>VLOOKUP(A557,import!A:J,5,0)</f>
        <v>842</v>
      </c>
      <c r="F557" s="10">
        <f>VLOOKUP(A557,import!A:J,6,0)</f>
        <v>70</v>
      </c>
      <c r="G557" s="10">
        <f>VLOOKUP(A557,import!A:J,7,0)</f>
        <v>0</v>
      </c>
      <c r="H557" s="10">
        <f>VLOOKUP(A557,import!A:J,8,0)</f>
        <v>31</v>
      </c>
      <c r="I557" s="10">
        <f>VLOOKUP(A557,import!A:J,9,0)</f>
        <v>31</v>
      </c>
      <c r="J557" s="11">
        <f>VLOOKUP(A557,import!A:J,10,0)</f>
        <v>0</v>
      </c>
      <c r="K557" s="10"/>
      <c r="L557" s="10">
        <v>3.246244243E9</v>
      </c>
      <c r="M557" s="10" t="s">
        <v>156</v>
      </c>
      <c r="N557" s="10" t="s">
        <v>2057</v>
      </c>
      <c r="O557" s="10" t="s">
        <v>2058</v>
      </c>
      <c r="P557" s="10" t="str">
        <f>VLOOKUP(A557,import!A:P,16,0)</f>
        <v>Geleneksel</v>
      </c>
      <c r="Q557" s="12" t="s">
        <v>84</v>
      </c>
      <c r="R557" s="12" t="b">
        <v>0</v>
      </c>
      <c r="S557" s="13" t="b">
        <v>0</v>
      </c>
      <c r="T557" s="13"/>
      <c r="U557" s="13"/>
      <c r="V557" s="13"/>
      <c r="W557" s="13"/>
      <c r="X557" s="15"/>
      <c r="Y557" s="15"/>
      <c r="Z557" s="16"/>
      <c r="AA557" s="16"/>
      <c r="AB557" s="16"/>
      <c r="AC557" s="16"/>
      <c r="AD557" s="16"/>
      <c r="AE557" s="17"/>
      <c r="AF557" s="16"/>
      <c r="AG557" s="17"/>
      <c r="AH557" s="16"/>
      <c r="AI557" s="16"/>
      <c r="AJ557" s="16"/>
      <c r="AK557" s="16"/>
      <c r="AL557" s="16"/>
      <c r="AM557" s="16"/>
      <c r="AN557" s="16"/>
      <c r="AO557" s="16"/>
      <c r="AP557" s="18" t="s">
        <v>898</v>
      </c>
      <c r="AQ557" s="16"/>
    </row>
    <row r="558" ht="15.75" customHeight="1">
      <c r="A558" s="10" t="s">
        <v>2735</v>
      </c>
      <c r="B558" s="10" t="s">
        <v>2736</v>
      </c>
      <c r="C558" s="10" t="str">
        <f>VLOOKUP(A558,import!A:C,3,0)</f>
        <v>DOĞRU</v>
      </c>
      <c r="D558" s="10" t="s">
        <v>754</v>
      </c>
      <c r="E558" s="10">
        <f>VLOOKUP(A558,import!A:J,5,0)</f>
        <v>1016</v>
      </c>
      <c r="F558" s="10">
        <f>VLOOKUP(A558,import!A:J,6,0)</f>
        <v>63</v>
      </c>
      <c r="G558" s="10">
        <f>VLOOKUP(A558,import!A:J,7,0)</f>
        <v>0</v>
      </c>
      <c r="H558" s="10">
        <f>VLOOKUP(A558,import!A:J,8,0)</f>
        <v>24</v>
      </c>
      <c r="I558" s="10">
        <f>VLOOKUP(A558,import!A:J,9,0)</f>
        <v>24</v>
      </c>
      <c r="J558" s="11">
        <f>VLOOKUP(A558,import!A:J,10,0)</f>
        <v>0</v>
      </c>
      <c r="K558" s="10" t="s">
        <v>2737</v>
      </c>
      <c r="L558" s="10">
        <v>5.53091881E9</v>
      </c>
      <c r="M558" s="10" t="s">
        <v>137</v>
      </c>
      <c r="N558" s="10" t="s">
        <v>318</v>
      </c>
      <c r="O558" s="10" t="s">
        <v>2738</v>
      </c>
      <c r="P558" s="10" t="str">
        <f>VLOOKUP(A558,import!A:P,16,0)</f>
        <v>Geleneksel</v>
      </c>
      <c r="Q558" s="12"/>
      <c r="R558" s="12" t="b">
        <v>1</v>
      </c>
      <c r="S558" s="12" t="b">
        <v>1</v>
      </c>
      <c r="T558" s="13"/>
      <c r="U558" s="13"/>
      <c r="V558" s="13"/>
      <c r="W558" s="13" t="s">
        <v>2739</v>
      </c>
      <c r="X558" s="15"/>
      <c r="Y558" s="15"/>
      <c r="Z558" s="16"/>
      <c r="AA558" s="17" t="s">
        <v>230</v>
      </c>
      <c r="AB558" s="16">
        <v>44349.0</v>
      </c>
      <c r="AC558" s="17" t="s">
        <v>56</v>
      </c>
      <c r="AD558" s="16">
        <v>44356.0</v>
      </c>
      <c r="AE558" s="17" t="s">
        <v>56</v>
      </c>
      <c r="AF558" s="16">
        <v>44494.0</v>
      </c>
      <c r="AG558" s="17" t="s">
        <v>56</v>
      </c>
      <c r="AH558" s="16">
        <v>44550.0</v>
      </c>
      <c r="AI558" s="16"/>
      <c r="AJ558" s="16"/>
      <c r="AK558" s="17" t="s">
        <v>124</v>
      </c>
      <c r="AL558" s="17" t="s">
        <v>124</v>
      </c>
      <c r="AM558" s="17" t="s">
        <v>89</v>
      </c>
      <c r="AN558" s="17" t="s">
        <v>89</v>
      </c>
      <c r="AO558" s="16"/>
      <c r="AP558" s="18" t="s">
        <v>58</v>
      </c>
      <c r="AQ558" s="16"/>
    </row>
    <row r="559" ht="15.75" hidden="1" customHeight="1">
      <c r="A559" s="10" t="s">
        <v>2740</v>
      </c>
      <c r="B559" s="10" t="s">
        <v>2741</v>
      </c>
      <c r="C559" s="10" t="str">
        <f>VLOOKUP(A559,import!A:C,3,0)</f>
        <v>DOĞRU</v>
      </c>
      <c r="D559" s="10" t="s">
        <v>80</v>
      </c>
      <c r="E559" s="10">
        <f>VLOOKUP(A559,import!A:J,5,0)</f>
        <v>6833</v>
      </c>
      <c r="F559" s="10">
        <f>VLOOKUP(A559,import!A:J,6,0)</f>
        <v>703</v>
      </c>
      <c r="G559" s="10">
        <f>VLOOKUP(A559,import!A:J,7,0)</f>
        <v>0</v>
      </c>
      <c r="H559" s="10">
        <f>VLOOKUP(A559,import!A:J,8,0)</f>
        <v>15</v>
      </c>
      <c r="I559" s="10">
        <f>VLOOKUP(A559,import!A:J,9,0)</f>
        <v>15</v>
      </c>
      <c r="J559" s="11">
        <f>VLOOKUP(A559,import!A:J,10,0)</f>
        <v>0</v>
      </c>
      <c r="K559" s="10" t="s">
        <v>2742</v>
      </c>
      <c r="L559" s="10">
        <v>3.245151318E9</v>
      </c>
      <c r="M559" s="10" t="s">
        <v>47</v>
      </c>
      <c r="N559" s="10" t="s">
        <v>489</v>
      </c>
      <c r="O559" s="10" t="s">
        <v>2743</v>
      </c>
      <c r="P559" s="10" t="str">
        <f>VLOOKUP(A559,import!A:P,16,0)</f>
        <v>Geleneksel</v>
      </c>
      <c r="Q559" s="12"/>
      <c r="R559" s="12" t="b">
        <v>0</v>
      </c>
      <c r="S559" s="12" t="b">
        <v>0</v>
      </c>
      <c r="T559" s="13" t="s">
        <v>485</v>
      </c>
      <c r="U559" s="13"/>
      <c r="V559" s="13"/>
      <c r="W559" s="13" t="s">
        <v>2744</v>
      </c>
      <c r="X559" s="15"/>
      <c r="Y559" s="15"/>
      <c r="Z559" s="16"/>
      <c r="AA559" s="17" t="s">
        <v>86</v>
      </c>
      <c r="AB559" s="16">
        <v>44538.0</v>
      </c>
      <c r="AC559" s="16"/>
      <c r="AD559" s="16"/>
      <c r="AE559" s="17"/>
      <c r="AF559" s="16"/>
      <c r="AG559" s="17"/>
      <c r="AH559" s="16"/>
      <c r="AI559" s="16"/>
      <c r="AJ559" s="16"/>
      <c r="AK559" s="17" t="s">
        <v>103</v>
      </c>
      <c r="AL559" s="16"/>
      <c r="AM559" s="16"/>
      <c r="AN559" s="16"/>
      <c r="AO559" s="16"/>
      <c r="AP559" s="18" t="s">
        <v>58</v>
      </c>
      <c r="AQ559" s="16"/>
    </row>
    <row r="560" ht="15.75" hidden="1" customHeight="1">
      <c r="A560" s="10" t="s">
        <v>2745</v>
      </c>
      <c r="B560" s="10" t="s">
        <v>2746</v>
      </c>
      <c r="C560" s="10" t="str">
        <f>VLOOKUP(A560,import!A:C,3,0)</f>
        <v>DOĞRU</v>
      </c>
      <c r="D560" s="10" t="s">
        <v>372</v>
      </c>
      <c r="E560" s="10">
        <f>VLOOKUP(A560,import!A:J,5,0)</f>
        <v>131</v>
      </c>
      <c r="F560" s="10">
        <f>VLOOKUP(A560,import!A:J,6,0)</f>
        <v>5</v>
      </c>
      <c r="G560" s="10">
        <f>VLOOKUP(A560,import!A:J,7,0)</f>
        <v>0</v>
      </c>
      <c r="H560" s="10">
        <f>VLOOKUP(A560,import!A:J,8,0)</f>
        <v>34</v>
      </c>
      <c r="I560" s="10">
        <f>VLOOKUP(A560,import!A:J,9,0)</f>
        <v>34</v>
      </c>
      <c r="J560" s="11">
        <f>VLOOKUP(A560,import!A:J,10,0)</f>
        <v>0</v>
      </c>
      <c r="K560" s="10" t="s">
        <v>2747</v>
      </c>
      <c r="L560" s="10">
        <v>5.527456785E9</v>
      </c>
      <c r="M560" s="10" t="s">
        <v>47</v>
      </c>
      <c r="N560" s="10" t="s">
        <v>608</v>
      </c>
      <c r="O560" s="10" t="s">
        <v>2748</v>
      </c>
      <c r="P560" s="10" t="str">
        <f>VLOOKUP(A560,import!A:P,16,0)</f>
        <v>Geleneksel</v>
      </c>
      <c r="Q560" s="12"/>
      <c r="R560" s="12" t="b">
        <v>0</v>
      </c>
      <c r="S560" s="12" t="b">
        <v>0</v>
      </c>
      <c r="T560" s="13"/>
      <c r="U560" s="13"/>
      <c r="V560" s="13"/>
      <c r="W560" s="13"/>
      <c r="X560" s="15"/>
      <c r="Y560" s="15"/>
      <c r="Z560" s="16"/>
      <c r="AA560" s="17"/>
      <c r="AB560" s="16"/>
      <c r="AC560" s="16"/>
      <c r="AD560" s="16"/>
      <c r="AE560" s="17"/>
      <c r="AF560" s="16"/>
      <c r="AG560" s="17"/>
      <c r="AH560" s="16"/>
      <c r="AI560" s="16"/>
      <c r="AJ560" s="16"/>
      <c r="AK560" s="17"/>
      <c r="AL560" s="16"/>
      <c r="AM560" s="16"/>
      <c r="AN560" s="16"/>
      <c r="AO560" s="16"/>
      <c r="AP560" s="18"/>
      <c r="AQ560" s="16"/>
    </row>
    <row r="561" ht="15.75" customHeight="1">
      <c r="A561" s="10" t="s">
        <v>2749</v>
      </c>
      <c r="B561" s="10" t="s">
        <v>2750</v>
      </c>
      <c r="C561" s="10" t="str">
        <f>VLOOKUP(A561,import!A:C,3,0)</f>
        <v>DOĞRU</v>
      </c>
      <c r="D561" s="10" t="s">
        <v>118</v>
      </c>
      <c r="E561" s="10">
        <f>VLOOKUP(A561,import!A:J,5,0)</f>
        <v>1949</v>
      </c>
      <c r="F561" s="10">
        <f>VLOOKUP(A561,import!A:J,6,0)</f>
        <v>83</v>
      </c>
      <c r="G561" s="10">
        <f>VLOOKUP(A561,import!A:J,7,0)</f>
        <v>0</v>
      </c>
      <c r="H561" s="10">
        <f>VLOOKUP(A561,import!A:J,8,0)</f>
        <v>18</v>
      </c>
      <c r="I561" s="10">
        <f>VLOOKUP(A561,import!A:J,9,0)</f>
        <v>18</v>
      </c>
      <c r="J561" s="11">
        <f>VLOOKUP(A561,import!A:J,10,0)</f>
        <v>0</v>
      </c>
      <c r="K561" s="10" t="s">
        <v>2751</v>
      </c>
      <c r="L561" s="10">
        <v>3.242322101E9</v>
      </c>
      <c r="M561" s="10" t="s">
        <v>137</v>
      </c>
      <c r="N561" s="10" t="s">
        <v>138</v>
      </c>
      <c r="O561" s="10" t="s">
        <v>2752</v>
      </c>
      <c r="P561" s="10" t="str">
        <f>VLOOKUP(A561,import!A:P,16,0)</f>
        <v>Geleneksel</v>
      </c>
      <c r="Q561" s="12" t="s">
        <v>146</v>
      </c>
      <c r="R561" s="12" t="b">
        <v>1</v>
      </c>
      <c r="S561" s="12" t="b">
        <v>1</v>
      </c>
      <c r="T561" s="14"/>
      <c r="U561" s="14"/>
      <c r="V561" s="14"/>
      <c r="W561" s="14" t="s">
        <v>2753</v>
      </c>
      <c r="X561" s="29"/>
      <c r="Y561" s="29"/>
      <c r="Z561" s="16"/>
      <c r="AA561" s="16"/>
      <c r="AB561" s="16"/>
      <c r="AC561" s="16"/>
      <c r="AD561" s="16"/>
      <c r="AE561" s="17"/>
      <c r="AF561" s="16"/>
      <c r="AG561" s="17"/>
      <c r="AH561" s="16"/>
      <c r="AI561" s="16"/>
      <c r="AJ561" s="16"/>
      <c r="AK561" s="16"/>
      <c r="AL561" s="16"/>
      <c r="AM561" s="16"/>
      <c r="AN561" s="16"/>
      <c r="AO561" s="16"/>
      <c r="AP561" s="18" t="s">
        <v>58</v>
      </c>
      <c r="AQ561" s="16"/>
    </row>
    <row r="562" ht="15.75" hidden="1" customHeight="1">
      <c r="A562" s="10" t="s">
        <v>2754</v>
      </c>
      <c r="B562" s="10" t="s">
        <v>2755</v>
      </c>
      <c r="C562" s="10" t="str">
        <f>VLOOKUP(A562,import!A:C,3,0)</f>
        <v>DOĞRU</v>
      </c>
      <c r="D562" s="10" t="s">
        <v>106</v>
      </c>
      <c r="E562" s="10">
        <f>VLOOKUP(A562,import!A:J,5,0)</f>
        <v>1680</v>
      </c>
      <c r="F562" s="10">
        <f>VLOOKUP(A562,import!A:J,6,0)</f>
        <v>168</v>
      </c>
      <c r="G562" s="10">
        <f>VLOOKUP(A562,import!A:J,7,0)</f>
        <v>14</v>
      </c>
      <c r="H562" s="10">
        <f>VLOOKUP(A562,import!A:J,8,0)</f>
        <v>26</v>
      </c>
      <c r="I562" s="10">
        <f>VLOOKUP(A562,import!A:J,9,0)</f>
        <v>40</v>
      </c>
      <c r="J562" s="11">
        <f>VLOOKUP(A562,import!A:J,10,0)</f>
        <v>0.35</v>
      </c>
      <c r="K562" s="10" t="s">
        <v>2756</v>
      </c>
      <c r="L562" s="10">
        <v>5.386555757E9</v>
      </c>
      <c r="M562" s="10" t="s">
        <v>47</v>
      </c>
      <c r="N562" s="10" t="s">
        <v>489</v>
      </c>
      <c r="O562" s="10" t="s">
        <v>2757</v>
      </c>
      <c r="P562" s="10" t="str">
        <f>VLOOKUP(A562,import!A:P,16,0)</f>
        <v>Geleneksel</v>
      </c>
      <c r="Q562" s="12"/>
      <c r="R562" s="12" t="b">
        <v>1</v>
      </c>
      <c r="S562" s="12" t="b">
        <v>0</v>
      </c>
      <c r="T562" s="13" t="s">
        <v>51</v>
      </c>
      <c r="U562" s="13" t="s">
        <v>103</v>
      </c>
      <c r="V562" s="13" t="s">
        <v>66</v>
      </c>
      <c r="W562" s="13" t="s">
        <v>2758</v>
      </c>
      <c r="X562" s="15">
        <v>44538.0</v>
      </c>
      <c r="Y562" s="15">
        <v>44540.0</v>
      </c>
      <c r="Z562" s="16"/>
      <c r="AA562" s="17" t="s">
        <v>56</v>
      </c>
      <c r="AB562" s="16">
        <v>44538.0</v>
      </c>
      <c r="AC562" s="16"/>
      <c r="AD562" s="16"/>
      <c r="AE562" s="17"/>
      <c r="AF562" s="16"/>
      <c r="AG562" s="17"/>
      <c r="AH562" s="16"/>
      <c r="AI562" s="16"/>
      <c r="AJ562" s="16"/>
      <c r="AK562" s="17" t="s">
        <v>103</v>
      </c>
      <c r="AL562" s="16"/>
      <c r="AM562" s="16"/>
      <c r="AN562" s="16"/>
      <c r="AO562" s="16"/>
      <c r="AP562" s="18" t="s">
        <v>58</v>
      </c>
      <c r="AQ562" s="16"/>
    </row>
    <row r="563" ht="15.75" hidden="1" customHeight="1">
      <c r="A563" s="10" t="s">
        <v>2759</v>
      </c>
      <c r="B563" s="10" t="s">
        <v>2760</v>
      </c>
      <c r="C563" s="10" t="str">
        <f>VLOOKUP(A563,import!A:C,3,0)</f>
        <v>DOĞRU</v>
      </c>
      <c r="D563" s="10" t="s">
        <v>80</v>
      </c>
      <c r="E563" s="10">
        <f>VLOOKUP(A563,import!A:J,5,0)</f>
        <v>37</v>
      </c>
      <c r="F563" s="10">
        <f>VLOOKUP(A563,import!A:J,6,0)</f>
        <v>1</v>
      </c>
      <c r="G563" s="10">
        <f>VLOOKUP(A563,import!A:J,7,0)</f>
        <v>0</v>
      </c>
      <c r="H563" s="10">
        <f>VLOOKUP(A563,import!A:J,8,0)</f>
        <v>10</v>
      </c>
      <c r="I563" s="10">
        <f>VLOOKUP(A563,import!A:J,9,0)</f>
        <v>10</v>
      </c>
      <c r="J563" s="11">
        <f>VLOOKUP(A563,import!A:J,10,0)</f>
        <v>0</v>
      </c>
      <c r="K563" s="10" t="s">
        <v>2761</v>
      </c>
      <c r="L563" s="10">
        <v>3.24515404E9</v>
      </c>
      <c r="M563" s="10" t="s">
        <v>47</v>
      </c>
      <c r="N563" s="10" t="s">
        <v>489</v>
      </c>
      <c r="O563" s="10" t="s">
        <v>2762</v>
      </c>
      <c r="P563" s="10" t="str">
        <f>VLOOKUP(A563,import!A:P,16,0)</f>
        <v>Geleneksel</v>
      </c>
      <c r="Q563" s="12"/>
      <c r="R563" s="12" t="b">
        <v>1</v>
      </c>
      <c r="S563" s="12" t="b">
        <v>0</v>
      </c>
      <c r="T563" s="13" t="s">
        <v>51</v>
      </c>
      <c r="U563" s="13" t="s">
        <v>367</v>
      </c>
      <c r="V563" s="34" t="s">
        <v>368</v>
      </c>
      <c r="W563" s="13"/>
      <c r="X563" s="15">
        <v>44694.0</v>
      </c>
      <c r="Y563" s="15">
        <v>44695.0</v>
      </c>
      <c r="Z563" s="16"/>
      <c r="AA563" s="17" t="s">
        <v>56</v>
      </c>
      <c r="AB563" s="15">
        <v>44694.0</v>
      </c>
      <c r="AC563" s="16"/>
      <c r="AD563" s="16"/>
      <c r="AE563" s="17"/>
      <c r="AF563" s="16"/>
      <c r="AG563" s="17"/>
      <c r="AH563" s="16"/>
      <c r="AI563" s="16"/>
      <c r="AJ563" s="16"/>
      <c r="AK563" s="17" t="s">
        <v>367</v>
      </c>
      <c r="AL563" s="16"/>
      <c r="AM563" s="16"/>
      <c r="AN563" s="16"/>
      <c r="AO563" s="16"/>
      <c r="AP563" s="18"/>
      <c r="AQ563" s="16"/>
    </row>
    <row r="564" ht="15.75" hidden="1" customHeight="1">
      <c r="A564" s="18" t="s">
        <v>2763</v>
      </c>
      <c r="B564" s="18" t="s">
        <v>2764</v>
      </c>
      <c r="C564" s="10" t="str">
        <f>VLOOKUP(A564,import!A:C,3,0)</f>
        <v>DOĞRU</v>
      </c>
      <c r="D564" s="18" t="s">
        <v>80</v>
      </c>
      <c r="E564" s="10">
        <f>VLOOKUP(A564,import!A:J,5,0)</f>
        <v>12</v>
      </c>
      <c r="F564" s="10">
        <f>VLOOKUP(A564,import!A:J,6,0)</f>
        <v>12</v>
      </c>
      <c r="G564" s="10">
        <f>VLOOKUP(A564,import!A:J,7,0)</f>
        <v>0</v>
      </c>
      <c r="H564" s="10">
        <f>VLOOKUP(A564,import!A:J,8,0)</f>
        <v>10</v>
      </c>
      <c r="I564" s="10">
        <f>VLOOKUP(A564,import!A:J,9,0)</f>
        <v>10</v>
      </c>
      <c r="J564" s="11">
        <f>VLOOKUP(A564,import!A:J,10,0)</f>
        <v>0</v>
      </c>
      <c r="K564" s="18" t="s">
        <v>2765</v>
      </c>
      <c r="L564" s="18">
        <v>5.397226633E9</v>
      </c>
      <c r="M564" s="18" t="s">
        <v>156</v>
      </c>
      <c r="N564" s="18" t="s">
        <v>2766</v>
      </c>
      <c r="O564" s="18" t="s">
        <v>2767</v>
      </c>
      <c r="P564" s="10" t="str">
        <f>VLOOKUP(A564,import!A:P,16,0)</f>
        <v>Geleneksel</v>
      </c>
      <c r="Q564" s="12"/>
      <c r="R564" s="12" t="b">
        <v>0</v>
      </c>
      <c r="S564" s="12" t="b">
        <v>0</v>
      </c>
      <c r="T564" s="13"/>
      <c r="U564" s="13"/>
      <c r="V564" s="13"/>
      <c r="W564" s="13"/>
      <c r="X564" s="15"/>
      <c r="Y564" s="15"/>
      <c r="Z564" s="16"/>
      <c r="AA564" s="17"/>
      <c r="AB564" s="16"/>
      <c r="AC564" s="16"/>
      <c r="AD564" s="16"/>
      <c r="AE564" s="17"/>
      <c r="AF564" s="16"/>
      <c r="AG564" s="17"/>
      <c r="AH564" s="16"/>
      <c r="AI564" s="16"/>
      <c r="AJ564" s="16"/>
      <c r="AK564" s="17"/>
      <c r="AL564" s="16"/>
      <c r="AM564" s="16"/>
      <c r="AN564" s="16"/>
      <c r="AO564" s="16"/>
      <c r="AP564" s="18"/>
      <c r="AQ564" s="16"/>
    </row>
    <row r="565" ht="15.75" hidden="1" customHeight="1">
      <c r="A565" s="10" t="s">
        <v>2768</v>
      </c>
      <c r="B565" s="10" t="s">
        <v>2769</v>
      </c>
      <c r="C565" s="10" t="str">
        <f>VLOOKUP(A565,import!A:C,3,0)</f>
        <v>DOĞRU</v>
      </c>
      <c r="D565" s="10" t="s">
        <v>80</v>
      </c>
      <c r="E565" s="10">
        <f>VLOOKUP(A565,import!A:J,5,0)</f>
        <v>410</v>
      </c>
      <c r="F565" s="10">
        <f>VLOOKUP(A565,import!A:J,6,0)</f>
        <v>30</v>
      </c>
      <c r="G565" s="10">
        <f>VLOOKUP(A565,import!A:J,7,0)</f>
        <v>0</v>
      </c>
      <c r="H565" s="10">
        <f>VLOOKUP(A565,import!A:J,8,0)</f>
        <v>13</v>
      </c>
      <c r="I565" s="10">
        <f>VLOOKUP(A565,import!A:J,9,0)</f>
        <v>13</v>
      </c>
      <c r="J565" s="11">
        <f>VLOOKUP(A565,import!A:J,10,0)</f>
        <v>0</v>
      </c>
      <c r="K565" s="10" t="s">
        <v>2770</v>
      </c>
      <c r="L565" s="10">
        <v>5.448383633E9</v>
      </c>
      <c r="M565" s="10" t="s">
        <v>47</v>
      </c>
      <c r="N565" s="10" t="s">
        <v>515</v>
      </c>
      <c r="O565" s="10" t="s">
        <v>2771</v>
      </c>
      <c r="P565" s="10" t="str">
        <f>VLOOKUP(A565,import!A:P,16,0)</f>
        <v>Geleneksel</v>
      </c>
      <c r="Q565" s="12"/>
      <c r="R565" s="12" t="b">
        <v>0</v>
      </c>
      <c r="S565" s="12" t="b">
        <v>0</v>
      </c>
      <c r="T565" s="13" t="s">
        <v>485</v>
      </c>
      <c r="U565" s="13"/>
      <c r="V565" s="13"/>
      <c r="W565" s="13"/>
      <c r="X565" s="15"/>
      <c r="Y565" s="15"/>
      <c r="Z565" s="16"/>
      <c r="AA565" s="16"/>
      <c r="AB565" s="16"/>
      <c r="AC565" s="16"/>
      <c r="AD565" s="16"/>
      <c r="AE565" s="17"/>
      <c r="AF565" s="16"/>
      <c r="AG565" s="17"/>
      <c r="AH565" s="16"/>
      <c r="AI565" s="16"/>
      <c r="AJ565" s="16"/>
      <c r="AK565" s="16"/>
      <c r="AL565" s="16"/>
      <c r="AM565" s="16"/>
      <c r="AN565" s="16"/>
      <c r="AO565" s="16"/>
      <c r="AP565" s="18" t="s">
        <v>58</v>
      </c>
      <c r="AQ565" s="16"/>
    </row>
    <row r="566" ht="15.75" hidden="1" customHeight="1">
      <c r="A566" s="10" t="s">
        <v>2772</v>
      </c>
      <c r="B566" s="10" t="s">
        <v>2773</v>
      </c>
      <c r="C566" s="10" t="str">
        <f>VLOOKUP(A566,import!A:C,3,0)</f>
        <v>DOĞRU</v>
      </c>
      <c r="D566" s="10" t="s">
        <v>80</v>
      </c>
      <c r="E566" s="10">
        <f>VLOOKUP(A566,import!A:J,5,0)</f>
        <v>335</v>
      </c>
      <c r="F566" s="10">
        <f>VLOOKUP(A566,import!A:J,6,0)</f>
        <v>16</v>
      </c>
      <c r="G566" s="10">
        <f>VLOOKUP(A566,import!A:J,7,0)</f>
        <v>0</v>
      </c>
      <c r="H566" s="10">
        <f>VLOOKUP(A566,import!A:J,8,0)</f>
        <v>4</v>
      </c>
      <c r="I566" s="10">
        <f>VLOOKUP(A566,import!A:J,9,0)</f>
        <v>4</v>
      </c>
      <c r="J566" s="11">
        <f>VLOOKUP(A566,import!A:J,10,0)</f>
        <v>0</v>
      </c>
      <c r="K566" s="10" t="s">
        <v>2774</v>
      </c>
      <c r="L566" s="10">
        <v>5.366473839E9</v>
      </c>
      <c r="M566" s="10" t="s">
        <v>72</v>
      </c>
      <c r="N566" s="10" t="s">
        <v>1277</v>
      </c>
      <c r="O566" s="10" t="s">
        <v>2775</v>
      </c>
      <c r="P566" s="10" t="str">
        <f>VLOOKUP(A566,import!A:P,16,0)</f>
        <v>Geleneksel</v>
      </c>
      <c r="Q566" s="12" t="s">
        <v>50</v>
      </c>
      <c r="R566" s="12" t="b">
        <v>1</v>
      </c>
      <c r="S566" s="12" t="b">
        <v>0</v>
      </c>
      <c r="T566" s="13" t="s">
        <v>130</v>
      </c>
      <c r="U566" s="13" t="s">
        <v>52</v>
      </c>
      <c r="V566" s="13" t="s">
        <v>278</v>
      </c>
      <c r="W566" s="13" t="s">
        <v>2776</v>
      </c>
      <c r="X566" s="15">
        <v>44267.0</v>
      </c>
      <c r="Y566" s="15">
        <v>44271.0</v>
      </c>
      <c r="Z566" s="16"/>
      <c r="AA566" s="17" t="s">
        <v>55</v>
      </c>
      <c r="AB566" s="16">
        <v>44426.0</v>
      </c>
      <c r="AC566" s="17" t="s">
        <v>56</v>
      </c>
      <c r="AD566" s="16">
        <v>44350.0</v>
      </c>
      <c r="AE566" s="17" t="s">
        <v>55</v>
      </c>
      <c r="AF566" s="16">
        <v>44482.0</v>
      </c>
      <c r="AG566" s="17" t="s">
        <v>55</v>
      </c>
      <c r="AH566" s="16">
        <v>44494.0</v>
      </c>
      <c r="AI566" s="17" t="s">
        <v>55</v>
      </c>
      <c r="AJ566" s="16">
        <v>44603.0</v>
      </c>
      <c r="AK566" s="17" t="s">
        <v>57</v>
      </c>
      <c r="AL566" s="17" t="s">
        <v>88</v>
      </c>
      <c r="AM566" s="17" t="s">
        <v>52</v>
      </c>
      <c r="AN566" s="17" t="s">
        <v>52</v>
      </c>
      <c r="AO566" s="17" t="s">
        <v>103</v>
      </c>
      <c r="AP566" s="18" t="s">
        <v>58</v>
      </c>
      <c r="AQ566" s="17"/>
    </row>
    <row r="567" ht="15.75" hidden="1" customHeight="1">
      <c r="A567" s="10" t="s">
        <v>2777</v>
      </c>
      <c r="B567" s="10" t="s">
        <v>2778</v>
      </c>
      <c r="C567" s="10" t="str">
        <f>VLOOKUP(A567,import!A:C,3,0)</f>
        <v>DOĞRU</v>
      </c>
      <c r="D567" s="10" t="s">
        <v>45</v>
      </c>
      <c r="E567" s="10">
        <f>VLOOKUP(A567,import!A:J,5,0)</f>
        <v>381</v>
      </c>
      <c r="F567" s="10">
        <f>VLOOKUP(A567,import!A:J,6,0)</f>
        <v>139</v>
      </c>
      <c r="G567" s="10">
        <f>VLOOKUP(A567,import!A:J,7,0)</f>
        <v>0</v>
      </c>
      <c r="H567" s="10">
        <f>VLOOKUP(A567,import!A:J,8,0)</f>
        <v>44</v>
      </c>
      <c r="I567" s="10">
        <f>VLOOKUP(A567,import!A:J,9,0)</f>
        <v>44</v>
      </c>
      <c r="J567" s="11">
        <f>VLOOKUP(A567,import!A:J,10,0)</f>
        <v>0</v>
      </c>
      <c r="K567" s="10" t="s">
        <v>2779</v>
      </c>
      <c r="L567" s="10">
        <v>3.245162525E9</v>
      </c>
      <c r="M567" s="10" t="s">
        <v>47</v>
      </c>
      <c r="N567" s="10" t="s">
        <v>365</v>
      </c>
      <c r="O567" s="10" t="s">
        <v>2780</v>
      </c>
      <c r="P567" s="10" t="str">
        <f>VLOOKUP(A567,import!A:P,16,0)</f>
        <v>Geleneksel</v>
      </c>
      <c r="Q567" s="12"/>
      <c r="R567" s="12" t="b">
        <v>0</v>
      </c>
      <c r="S567" s="12" t="b">
        <v>0</v>
      </c>
      <c r="T567" s="13"/>
      <c r="U567" s="13"/>
      <c r="V567" s="13"/>
      <c r="W567" s="13"/>
      <c r="X567" s="15"/>
      <c r="Y567" s="15"/>
      <c r="Z567" s="16"/>
      <c r="AA567" s="17"/>
      <c r="AB567" s="16"/>
      <c r="AC567" s="16"/>
      <c r="AD567" s="16"/>
      <c r="AE567" s="17"/>
      <c r="AF567" s="16"/>
      <c r="AG567" s="17"/>
      <c r="AH567" s="16"/>
      <c r="AI567" s="16"/>
      <c r="AJ567" s="16"/>
      <c r="AK567" s="17"/>
      <c r="AL567" s="16"/>
      <c r="AM567" s="16"/>
      <c r="AN567" s="16"/>
      <c r="AO567" s="16"/>
      <c r="AP567" s="18"/>
      <c r="AQ567" s="16"/>
    </row>
    <row r="568" ht="15.75" hidden="1" customHeight="1">
      <c r="A568" s="10" t="s">
        <v>2781</v>
      </c>
      <c r="B568" s="10" t="s">
        <v>2782</v>
      </c>
      <c r="C568" s="10" t="str">
        <f>VLOOKUP(A568,import!A:C,3,0)</f>
        <v>DOĞRU</v>
      </c>
      <c r="D568" s="10" t="s">
        <v>451</v>
      </c>
      <c r="E568" s="10">
        <f>VLOOKUP(A568,import!A:J,5,0)</f>
        <v>942</v>
      </c>
      <c r="F568" s="10">
        <f>VLOOKUP(A568,import!A:J,6,0)</f>
        <v>59</v>
      </c>
      <c r="G568" s="10">
        <f>VLOOKUP(A568,import!A:J,7,0)</f>
        <v>5</v>
      </c>
      <c r="H568" s="10">
        <f>VLOOKUP(A568,import!A:J,8,0)</f>
        <v>20</v>
      </c>
      <c r="I568" s="10">
        <f>VLOOKUP(A568,import!A:J,9,0)</f>
        <v>25</v>
      </c>
      <c r="J568" s="11">
        <f>VLOOKUP(A568,import!A:J,10,0)</f>
        <v>0.2</v>
      </c>
      <c r="K568" s="10" t="s">
        <v>2783</v>
      </c>
      <c r="L568" s="10">
        <v>5.461226066E9</v>
      </c>
      <c r="M568" s="10" t="s">
        <v>215</v>
      </c>
      <c r="N568" s="10" t="s">
        <v>1613</v>
      </c>
      <c r="O568" s="10" t="s">
        <v>2784</v>
      </c>
      <c r="P568" s="10" t="str">
        <f>VLOOKUP(A568,import!A:P,16,0)</f>
        <v>Geleneksel</v>
      </c>
      <c r="Q568" s="12"/>
      <c r="R568" s="12" t="b">
        <v>1</v>
      </c>
      <c r="S568" s="12" t="b">
        <v>0</v>
      </c>
      <c r="T568" s="13" t="s">
        <v>51</v>
      </c>
      <c r="U568" s="13" t="s">
        <v>103</v>
      </c>
      <c r="V568" s="19" t="s">
        <v>53</v>
      </c>
      <c r="W568" s="13" t="s">
        <v>2035</v>
      </c>
      <c r="X568" s="15">
        <v>44483.0</v>
      </c>
      <c r="Y568" s="15">
        <v>44484.0</v>
      </c>
      <c r="Z568" s="16"/>
      <c r="AA568" s="17" t="s">
        <v>56</v>
      </c>
      <c r="AB568" s="16">
        <v>44483.0</v>
      </c>
      <c r="AC568" s="17" t="s">
        <v>56</v>
      </c>
      <c r="AD568" s="16">
        <v>44559.0</v>
      </c>
      <c r="AE568" s="17"/>
      <c r="AF568" s="16"/>
      <c r="AG568" s="17"/>
      <c r="AH568" s="16"/>
      <c r="AI568" s="16"/>
      <c r="AJ568" s="16"/>
      <c r="AK568" s="17" t="s">
        <v>103</v>
      </c>
      <c r="AL568" s="17" t="s">
        <v>133</v>
      </c>
      <c r="AM568" s="16"/>
      <c r="AN568" s="16"/>
      <c r="AO568" s="16"/>
      <c r="AP568" s="18" t="s">
        <v>58</v>
      </c>
      <c r="AQ568" s="16"/>
    </row>
    <row r="569" ht="15.75" hidden="1" customHeight="1">
      <c r="A569" s="10" t="s">
        <v>2785</v>
      </c>
      <c r="B569" s="10" t="s">
        <v>2786</v>
      </c>
      <c r="C569" s="10" t="str">
        <f>VLOOKUP(A569,import!A:C,3,0)</f>
        <v>DOĞRU</v>
      </c>
      <c r="D569" s="10" t="s">
        <v>948</v>
      </c>
      <c r="E569" s="10">
        <f>VLOOKUP(A569,import!A:J,5,0)</f>
        <v>734</v>
      </c>
      <c r="F569" s="10">
        <f>VLOOKUP(A569,import!A:J,6,0)</f>
        <v>23</v>
      </c>
      <c r="G569" s="10">
        <f>VLOOKUP(A569,import!A:J,7,0)</f>
        <v>25</v>
      </c>
      <c r="H569" s="10">
        <f>VLOOKUP(A569,import!A:J,8,0)</f>
        <v>4</v>
      </c>
      <c r="I569" s="10">
        <f>VLOOKUP(A569,import!A:J,9,0)</f>
        <v>29</v>
      </c>
      <c r="J569" s="11">
        <f>VLOOKUP(A569,import!A:J,10,0)</f>
        <v>0.86</v>
      </c>
      <c r="K569" s="10" t="s">
        <v>2787</v>
      </c>
      <c r="L569" s="10">
        <v>5.465457373E9</v>
      </c>
      <c r="M569" s="10" t="s">
        <v>47</v>
      </c>
      <c r="N569" s="10" t="s">
        <v>2788</v>
      </c>
      <c r="O569" s="10" t="s">
        <v>2789</v>
      </c>
      <c r="P569" s="10" t="str">
        <f>VLOOKUP(A569,import!A:P,16,0)</f>
        <v>Geleneksel</v>
      </c>
      <c r="Q569" s="12" t="s">
        <v>75</v>
      </c>
      <c r="R569" s="12" t="b">
        <v>0</v>
      </c>
      <c r="S569" s="12" t="b">
        <v>0</v>
      </c>
      <c r="T569" s="27" t="s">
        <v>248</v>
      </c>
      <c r="U569" s="13"/>
      <c r="V569" s="13"/>
      <c r="W569" s="13"/>
      <c r="X569" s="15"/>
      <c r="Y569" s="15"/>
      <c r="Z569" s="16"/>
      <c r="AA569" s="16"/>
      <c r="AB569" s="16"/>
      <c r="AC569" s="16"/>
      <c r="AD569" s="16"/>
      <c r="AE569" s="17"/>
      <c r="AF569" s="16"/>
      <c r="AG569" s="17"/>
      <c r="AH569" s="16"/>
      <c r="AI569" s="16"/>
      <c r="AJ569" s="16"/>
      <c r="AK569" s="16"/>
      <c r="AL569" s="16"/>
      <c r="AM569" s="16"/>
      <c r="AN569" s="16"/>
      <c r="AO569" s="16"/>
      <c r="AP569" s="18" t="s">
        <v>58</v>
      </c>
      <c r="AQ569" s="16"/>
    </row>
    <row r="570" ht="15.75" hidden="1" customHeight="1">
      <c r="A570" s="10" t="s">
        <v>2790</v>
      </c>
      <c r="B570" s="10" t="s">
        <v>2791</v>
      </c>
      <c r="C570" s="10" t="str">
        <f>VLOOKUP(A570,import!A:C,3,0)</f>
        <v>DOĞRU</v>
      </c>
      <c r="D570" s="10" t="s">
        <v>948</v>
      </c>
      <c r="E570" s="10">
        <f>VLOOKUP(A570,import!A:J,5,0)</f>
        <v>49</v>
      </c>
      <c r="F570" s="10">
        <f>VLOOKUP(A570,import!A:J,6,0)</f>
        <v>8</v>
      </c>
      <c r="G570" s="10">
        <f>VLOOKUP(A570,import!A:J,7,0)</f>
        <v>0</v>
      </c>
      <c r="H570" s="10">
        <f>VLOOKUP(A570,import!A:J,8,0)</f>
        <v>20</v>
      </c>
      <c r="I570" s="10">
        <f>VLOOKUP(A570,import!A:J,9,0)</f>
        <v>20</v>
      </c>
      <c r="J570" s="11">
        <f>VLOOKUP(A570,import!A:J,10,0)</f>
        <v>0</v>
      </c>
      <c r="K570" s="10" t="s">
        <v>2792</v>
      </c>
      <c r="L570" s="10">
        <v>5.386817578E9</v>
      </c>
      <c r="M570" s="10" t="s">
        <v>156</v>
      </c>
      <c r="N570" s="10" t="s">
        <v>252</v>
      </c>
      <c r="O570" s="10" t="s">
        <v>2793</v>
      </c>
      <c r="P570" s="10" t="str">
        <f>VLOOKUP(A570,import!A:P,16,0)</f>
        <v>Geleneksel</v>
      </c>
      <c r="Q570" s="12"/>
      <c r="R570" s="12" t="b">
        <v>0</v>
      </c>
      <c r="S570" s="12" t="b">
        <v>0</v>
      </c>
      <c r="T570" s="13"/>
      <c r="U570" s="13"/>
      <c r="V570" s="13"/>
      <c r="W570" s="13"/>
      <c r="X570" s="15"/>
      <c r="Y570" s="15"/>
      <c r="Z570" s="16"/>
      <c r="AA570" s="17"/>
      <c r="AB570" s="16"/>
      <c r="AC570" s="16"/>
      <c r="AD570" s="16"/>
      <c r="AE570" s="17"/>
      <c r="AF570" s="16"/>
      <c r="AG570" s="17"/>
      <c r="AH570" s="16"/>
      <c r="AI570" s="16"/>
      <c r="AJ570" s="16"/>
      <c r="AK570" s="17"/>
      <c r="AL570" s="16"/>
      <c r="AM570" s="16"/>
      <c r="AN570" s="16"/>
      <c r="AO570" s="16"/>
      <c r="AP570" s="18"/>
      <c r="AQ570" s="16"/>
    </row>
    <row r="571" ht="15.75" customHeight="1">
      <c r="A571" s="10" t="s">
        <v>2794</v>
      </c>
      <c r="B571" s="10" t="s">
        <v>2795</v>
      </c>
      <c r="C571" s="10" t="str">
        <f>VLOOKUP(A571,import!A:C,3,0)</f>
        <v>DOĞRU</v>
      </c>
      <c r="D571" s="10" t="s">
        <v>80</v>
      </c>
      <c r="E571" s="10">
        <f>VLOOKUP(A571,import!A:J,5,0)</f>
        <v>183</v>
      </c>
      <c r="F571" s="10">
        <f>VLOOKUP(A571,import!A:J,6,0)</f>
        <v>18</v>
      </c>
      <c r="G571" s="10">
        <f>VLOOKUP(A571,import!A:J,7,0)</f>
        <v>14</v>
      </c>
      <c r="H571" s="10">
        <f>VLOOKUP(A571,import!A:J,8,0)</f>
        <v>32</v>
      </c>
      <c r="I571" s="10">
        <f>VLOOKUP(A571,import!A:J,9,0)</f>
        <v>46</v>
      </c>
      <c r="J571" s="11">
        <f>VLOOKUP(A571,import!A:J,10,0)</f>
        <v>0.3</v>
      </c>
      <c r="K571" s="10" t="s">
        <v>2796</v>
      </c>
      <c r="L571" s="10">
        <v>3.242326067E9</v>
      </c>
      <c r="M571" s="10" t="s">
        <v>137</v>
      </c>
      <c r="N571" s="10" t="s">
        <v>318</v>
      </c>
      <c r="O571" s="10" t="s">
        <v>2797</v>
      </c>
      <c r="P571" s="10" t="str">
        <f>VLOOKUP(A571,import!A:P,16,0)</f>
        <v>Geleneksel</v>
      </c>
      <c r="Q571" s="12"/>
      <c r="R571" s="12" t="b">
        <v>1</v>
      </c>
      <c r="S571" s="12" t="b">
        <v>0</v>
      </c>
      <c r="T571" s="13" t="s">
        <v>199</v>
      </c>
      <c r="U571" s="13" t="s">
        <v>87</v>
      </c>
      <c r="V571" s="19" t="s">
        <v>53</v>
      </c>
      <c r="W571" s="13" t="s">
        <v>2116</v>
      </c>
      <c r="X571" s="15">
        <v>44547.0</v>
      </c>
      <c r="Y571" s="15">
        <v>44550.0</v>
      </c>
      <c r="Z571" s="16"/>
      <c r="AA571" s="17" t="s">
        <v>56</v>
      </c>
      <c r="AB571" s="16"/>
      <c r="AC571" s="17" t="s">
        <v>230</v>
      </c>
      <c r="AD571" s="16">
        <v>44495.0</v>
      </c>
      <c r="AE571" s="17" t="s">
        <v>56</v>
      </c>
      <c r="AF571" s="16">
        <v>44547.0</v>
      </c>
      <c r="AG571" s="17" t="s">
        <v>56</v>
      </c>
      <c r="AH571" s="16">
        <v>44555.0</v>
      </c>
      <c r="AI571" s="16"/>
      <c r="AJ571" s="16"/>
      <c r="AK571" s="17" t="s">
        <v>124</v>
      </c>
      <c r="AL571" s="17" t="s">
        <v>87</v>
      </c>
      <c r="AM571" s="17" t="s">
        <v>87</v>
      </c>
      <c r="AN571" s="17" t="s">
        <v>329</v>
      </c>
      <c r="AO571" s="16"/>
      <c r="AP571" s="18" t="s">
        <v>58</v>
      </c>
      <c r="AQ571" s="16"/>
    </row>
    <row r="572" ht="15.75" customHeight="1">
      <c r="A572" s="10" t="s">
        <v>2798</v>
      </c>
      <c r="B572" s="10" t="s">
        <v>2799</v>
      </c>
      <c r="C572" s="10" t="str">
        <f>VLOOKUP(A572,import!A:C,3,0)</f>
        <v>DOĞRU</v>
      </c>
      <c r="D572" s="10" t="s">
        <v>363</v>
      </c>
      <c r="E572" s="10">
        <f>VLOOKUP(A572,import!A:J,5,0)</f>
        <v>211</v>
      </c>
      <c r="F572" s="10">
        <f>VLOOKUP(A572,import!A:J,6,0)</f>
        <v>17</v>
      </c>
      <c r="G572" s="10">
        <f>VLOOKUP(A572,import!A:J,7,0)</f>
        <v>4</v>
      </c>
      <c r="H572" s="10">
        <f>VLOOKUP(A572,import!A:J,8,0)</f>
        <v>1</v>
      </c>
      <c r="I572" s="10">
        <f>VLOOKUP(A572,import!A:J,9,0)</f>
        <v>5</v>
      </c>
      <c r="J572" s="11">
        <f>VLOOKUP(A572,import!A:J,10,0)</f>
        <v>0.8</v>
      </c>
      <c r="K572" s="10" t="s">
        <v>2800</v>
      </c>
      <c r="L572" s="10">
        <v>3.242385673E9</v>
      </c>
      <c r="M572" s="10" t="s">
        <v>137</v>
      </c>
      <c r="N572" s="10" t="s">
        <v>209</v>
      </c>
      <c r="O572" s="10" t="s">
        <v>2801</v>
      </c>
      <c r="P572" s="10" t="str">
        <f>VLOOKUP(A572,import!A:P,16,0)</f>
        <v>Geleneksel</v>
      </c>
      <c r="Q572" s="12"/>
      <c r="R572" s="12" t="b">
        <v>1</v>
      </c>
      <c r="S572" s="12" t="b">
        <v>0</v>
      </c>
      <c r="T572" s="27" t="s">
        <v>248</v>
      </c>
      <c r="U572" s="13"/>
      <c r="V572" s="13"/>
      <c r="W572" s="13" t="s">
        <v>2802</v>
      </c>
      <c r="X572" s="15"/>
      <c r="Y572" s="15"/>
      <c r="Z572" s="16"/>
      <c r="AA572" s="17" t="s">
        <v>55</v>
      </c>
      <c r="AB572" s="16">
        <v>44489.0</v>
      </c>
      <c r="AC572" s="17" t="s">
        <v>56</v>
      </c>
      <c r="AD572" s="16">
        <v>44494.0</v>
      </c>
      <c r="AE572" s="17"/>
      <c r="AF572" s="16"/>
      <c r="AG572" s="17"/>
      <c r="AH572" s="16"/>
      <c r="AI572" s="16"/>
      <c r="AJ572" s="16"/>
      <c r="AK572" s="17" t="s">
        <v>103</v>
      </c>
      <c r="AL572" s="17" t="s">
        <v>52</v>
      </c>
      <c r="AM572" s="16"/>
      <c r="AN572" s="16"/>
      <c r="AO572" s="16"/>
      <c r="AP572" s="18" t="s">
        <v>58</v>
      </c>
      <c r="AQ572" s="16"/>
    </row>
    <row r="573" ht="15.75" hidden="1" customHeight="1">
      <c r="A573" s="10" t="s">
        <v>2803</v>
      </c>
      <c r="B573" s="10" t="s">
        <v>2804</v>
      </c>
      <c r="C573" s="10" t="str">
        <f>VLOOKUP(A573,import!A:C,3,0)</f>
        <v>DOĞRU</v>
      </c>
      <c r="D573" s="10" t="s">
        <v>363</v>
      </c>
      <c r="E573" s="10">
        <f>VLOOKUP(A573,import!A:J,5,0)</f>
        <v>431</v>
      </c>
      <c r="F573" s="10">
        <f>VLOOKUP(A573,import!A:J,6,0)</f>
        <v>74</v>
      </c>
      <c r="G573" s="10">
        <f>VLOOKUP(A573,import!A:J,7,0)</f>
        <v>24</v>
      </c>
      <c r="H573" s="10">
        <f>VLOOKUP(A573,import!A:J,8,0)</f>
        <v>17</v>
      </c>
      <c r="I573" s="10">
        <f>VLOOKUP(A573,import!A:J,9,0)</f>
        <v>41</v>
      </c>
      <c r="J573" s="11">
        <f>VLOOKUP(A573,import!A:J,10,0)</f>
        <v>0.59</v>
      </c>
      <c r="K573" s="10" t="s">
        <v>2805</v>
      </c>
      <c r="L573" s="10">
        <v>3.246250161E9</v>
      </c>
      <c r="M573" s="10" t="s">
        <v>156</v>
      </c>
      <c r="N573" s="10" t="s">
        <v>306</v>
      </c>
      <c r="O573" s="10" t="s">
        <v>2806</v>
      </c>
      <c r="P573" s="10" t="str">
        <f>VLOOKUP(A573,import!A:P,16,0)</f>
        <v>Geleneksel</v>
      </c>
      <c r="Q573" s="12"/>
      <c r="R573" s="12" t="b">
        <v>0</v>
      </c>
      <c r="S573" s="12" t="b">
        <v>0</v>
      </c>
      <c r="T573" s="13"/>
      <c r="U573" s="13"/>
      <c r="V573" s="13"/>
      <c r="W573" s="13"/>
      <c r="X573" s="15"/>
      <c r="Y573" s="15"/>
      <c r="Z573" s="16"/>
      <c r="AA573" s="17"/>
      <c r="AB573" s="16"/>
      <c r="AC573" s="16"/>
      <c r="AD573" s="16"/>
      <c r="AE573" s="17"/>
      <c r="AF573" s="16"/>
      <c r="AG573" s="17"/>
      <c r="AH573" s="16"/>
      <c r="AI573" s="16"/>
      <c r="AJ573" s="16"/>
      <c r="AK573" s="17"/>
      <c r="AL573" s="16"/>
      <c r="AM573" s="16"/>
      <c r="AN573" s="16"/>
      <c r="AO573" s="16"/>
      <c r="AP573" s="18"/>
      <c r="AQ573" s="16"/>
    </row>
    <row r="574" ht="15.75" hidden="1" customHeight="1">
      <c r="A574" s="10" t="s">
        <v>2807</v>
      </c>
      <c r="B574" s="10" t="s">
        <v>2808</v>
      </c>
      <c r="C574" s="10" t="str">
        <f>VLOOKUP(A574,import!A:C,3,0)</f>
        <v>DOĞRU</v>
      </c>
      <c r="D574" s="10" t="s">
        <v>363</v>
      </c>
      <c r="E574" s="10">
        <f>VLOOKUP(A574,import!A:J,5,0)</f>
        <v>630</v>
      </c>
      <c r="F574" s="10">
        <f>VLOOKUP(A574,import!A:J,6,0)</f>
        <v>7</v>
      </c>
      <c r="G574" s="10">
        <f>VLOOKUP(A574,import!A:J,7,0)</f>
        <v>9</v>
      </c>
      <c r="H574" s="10">
        <f>VLOOKUP(A574,import!A:J,8,0)</f>
        <v>17</v>
      </c>
      <c r="I574" s="10">
        <f>VLOOKUP(A574,import!A:J,9,0)</f>
        <v>26</v>
      </c>
      <c r="J574" s="11">
        <f>VLOOKUP(A574,import!A:J,10,0)</f>
        <v>0.35</v>
      </c>
      <c r="K574" s="10" t="s">
        <v>2809</v>
      </c>
      <c r="L574" s="10">
        <v>5.444218611E9</v>
      </c>
      <c r="M574" s="10" t="s">
        <v>72</v>
      </c>
      <c r="N574" s="10" t="s">
        <v>82</v>
      </c>
      <c r="O574" s="10" t="s">
        <v>2810</v>
      </c>
      <c r="P574" s="10" t="str">
        <f>VLOOKUP(A574,import!A:P,16,0)</f>
        <v>Geleneksel</v>
      </c>
      <c r="Q574" s="12" t="s">
        <v>84</v>
      </c>
      <c r="R574" s="12" t="b">
        <v>1</v>
      </c>
      <c r="S574" s="12" t="b">
        <v>0</v>
      </c>
      <c r="T574" s="13" t="s">
        <v>51</v>
      </c>
      <c r="U574" s="13" t="s">
        <v>545</v>
      </c>
      <c r="V574" s="13" t="s">
        <v>278</v>
      </c>
      <c r="W574" s="13" t="s">
        <v>2811</v>
      </c>
      <c r="X574" s="15">
        <v>44285.0</v>
      </c>
      <c r="Y574" s="15">
        <v>44285.0</v>
      </c>
      <c r="Z574" s="16"/>
      <c r="AA574" s="17" t="s">
        <v>56</v>
      </c>
      <c r="AB574" s="16">
        <v>44519.0</v>
      </c>
      <c r="AC574" s="16"/>
      <c r="AD574" s="16"/>
      <c r="AE574" s="17"/>
      <c r="AF574" s="16"/>
      <c r="AG574" s="17"/>
      <c r="AH574" s="16"/>
      <c r="AI574" s="16"/>
      <c r="AJ574" s="16"/>
      <c r="AK574" s="16"/>
      <c r="AL574" s="16"/>
      <c r="AM574" s="16"/>
      <c r="AN574" s="16"/>
      <c r="AO574" s="16"/>
      <c r="AP574" s="18" t="s">
        <v>58</v>
      </c>
      <c r="AQ574" s="16"/>
    </row>
    <row r="575" ht="15.75" hidden="1" customHeight="1">
      <c r="A575" s="10" t="s">
        <v>2812</v>
      </c>
      <c r="B575" s="10" t="s">
        <v>2813</v>
      </c>
      <c r="C575" s="10" t="str">
        <f>VLOOKUP(A575,import!A:C,3,0)</f>
        <v>DOĞRU</v>
      </c>
      <c r="D575" s="10" t="s">
        <v>118</v>
      </c>
      <c r="E575" s="10">
        <f>VLOOKUP(A575,import!A:J,5,0)</f>
        <v>9</v>
      </c>
      <c r="F575" s="10" t="str">
        <f>VLOOKUP(A575,import!A:J,6,0)</f>
        <v/>
      </c>
      <c r="G575" s="10">
        <f>VLOOKUP(A575,import!A:J,7,0)</f>
        <v>5</v>
      </c>
      <c r="H575" s="10">
        <f>VLOOKUP(A575,import!A:J,8,0)</f>
        <v>1</v>
      </c>
      <c r="I575" s="10">
        <f>VLOOKUP(A575,import!A:J,9,0)</f>
        <v>6</v>
      </c>
      <c r="J575" s="11">
        <f>VLOOKUP(A575,import!A:J,10,0)</f>
        <v>0.83</v>
      </c>
      <c r="K575" s="10" t="s">
        <v>2814</v>
      </c>
      <c r="L575" s="10">
        <v>3.243285935E9</v>
      </c>
      <c r="M575" s="10" t="s">
        <v>72</v>
      </c>
      <c r="N575" s="10" t="s">
        <v>120</v>
      </c>
      <c r="O575" s="10" t="s">
        <v>2815</v>
      </c>
      <c r="P575" s="10" t="str">
        <f>VLOOKUP(A575,import!A:P,16,0)</f>
        <v>Geleneksel</v>
      </c>
      <c r="Q575" s="12" t="s">
        <v>84</v>
      </c>
      <c r="R575" s="12" t="b">
        <v>1</v>
      </c>
      <c r="S575" s="13" t="b">
        <v>0</v>
      </c>
      <c r="T575" s="13" t="s">
        <v>51</v>
      </c>
      <c r="U575" s="13" t="s">
        <v>76</v>
      </c>
      <c r="V575" s="13" t="s">
        <v>278</v>
      </c>
      <c r="W575" s="13" t="s">
        <v>2816</v>
      </c>
      <c r="X575" s="15">
        <v>44291.0</v>
      </c>
      <c r="Y575" s="15">
        <v>44293.0</v>
      </c>
      <c r="Z575" s="16"/>
      <c r="AA575" s="16"/>
      <c r="AB575" s="16"/>
      <c r="AC575" s="16"/>
      <c r="AD575" s="16"/>
      <c r="AE575" s="17"/>
      <c r="AF575" s="16"/>
      <c r="AG575" s="17"/>
      <c r="AH575" s="16"/>
      <c r="AI575" s="16"/>
      <c r="AJ575" s="16"/>
      <c r="AK575" s="16"/>
      <c r="AL575" s="16"/>
      <c r="AM575" s="16"/>
      <c r="AN575" s="16"/>
      <c r="AO575" s="16"/>
      <c r="AP575" s="18" t="s">
        <v>58</v>
      </c>
      <c r="AQ575" s="16"/>
    </row>
    <row r="576" ht="15.75" hidden="1" customHeight="1">
      <c r="A576" s="10" t="s">
        <v>2817</v>
      </c>
      <c r="B576" s="10" t="s">
        <v>2818</v>
      </c>
      <c r="C576" s="10" t="str">
        <f>VLOOKUP(A576,import!A:C,3,0)</f>
        <v>DOĞRU</v>
      </c>
      <c r="D576" s="10" t="s">
        <v>564</v>
      </c>
      <c r="E576" s="10">
        <f>VLOOKUP(A576,import!A:J,5,0)</f>
        <v>200</v>
      </c>
      <c r="F576" s="10">
        <f>VLOOKUP(A576,import!A:J,6,0)</f>
        <v>12</v>
      </c>
      <c r="G576" s="10">
        <f>VLOOKUP(A576,import!A:J,7,0)</f>
        <v>0</v>
      </c>
      <c r="H576" s="10">
        <f>VLOOKUP(A576,import!A:J,8,0)</f>
        <v>49</v>
      </c>
      <c r="I576" s="10">
        <f>VLOOKUP(A576,import!A:J,9,0)</f>
        <v>49</v>
      </c>
      <c r="J576" s="11">
        <f>VLOOKUP(A576,import!A:J,10,0)</f>
        <v>0</v>
      </c>
      <c r="K576" s="10" t="s">
        <v>2819</v>
      </c>
      <c r="L576" s="10">
        <v>3.247413327E9</v>
      </c>
      <c r="M576" s="10" t="s">
        <v>187</v>
      </c>
      <c r="N576" s="10" t="s">
        <v>1533</v>
      </c>
      <c r="O576" s="10" t="s">
        <v>2820</v>
      </c>
      <c r="P576" s="10" t="str">
        <f>VLOOKUP(A576,import!A:P,16,0)</f>
        <v>Geleneksel</v>
      </c>
      <c r="Q576" s="12"/>
      <c r="R576" s="12" t="b">
        <v>0</v>
      </c>
      <c r="S576" s="12" t="b">
        <v>0</v>
      </c>
      <c r="T576" s="13" t="s">
        <v>485</v>
      </c>
      <c r="U576" s="13"/>
      <c r="V576" s="13"/>
      <c r="W576" s="13"/>
      <c r="X576" s="15"/>
      <c r="Y576" s="15"/>
      <c r="Z576" s="16"/>
      <c r="AA576" s="16"/>
      <c r="AB576" s="16"/>
      <c r="AC576" s="16"/>
      <c r="AD576" s="16"/>
      <c r="AE576" s="17"/>
      <c r="AF576" s="16"/>
      <c r="AG576" s="17"/>
      <c r="AH576" s="16"/>
      <c r="AI576" s="16"/>
      <c r="AJ576" s="16"/>
      <c r="AK576" s="16"/>
      <c r="AL576" s="16"/>
      <c r="AM576" s="16"/>
      <c r="AN576" s="16"/>
      <c r="AO576" s="16"/>
      <c r="AP576" s="18" t="s">
        <v>58</v>
      </c>
      <c r="AQ576" s="16"/>
    </row>
    <row r="577" ht="15.75" hidden="1" customHeight="1">
      <c r="A577" s="10" t="s">
        <v>2821</v>
      </c>
      <c r="B577" s="10" t="s">
        <v>2822</v>
      </c>
      <c r="C577" s="10" t="str">
        <f>VLOOKUP(A577,import!A:C,3,0)</f>
        <v>DOĞRU</v>
      </c>
      <c r="D577" s="10" t="s">
        <v>118</v>
      </c>
      <c r="E577" s="10">
        <f>VLOOKUP(A577,import!A:J,5,0)</f>
        <v>3632</v>
      </c>
      <c r="F577" s="10">
        <f>VLOOKUP(A577,import!A:J,6,0)</f>
        <v>213</v>
      </c>
      <c r="G577" s="10">
        <f>VLOOKUP(A577,import!A:J,7,0)</f>
        <v>8</v>
      </c>
      <c r="H577" s="10">
        <f>VLOOKUP(A577,import!A:J,8,0)</f>
        <v>7</v>
      </c>
      <c r="I577" s="10">
        <f>VLOOKUP(A577,import!A:J,9,0)</f>
        <v>15</v>
      </c>
      <c r="J577" s="11">
        <f>VLOOKUP(A577,import!A:J,10,0)</f>
        <v>0.53</v>
      </c>
      <c r="K577" s="10" t="s">
        <v>2823</v>
      </c>
      <c r="L577" s="10">
        <v>5.53355635E9</v>
      </c>
      <c r="M577" s="10" t="s">
        <v>215</v>
      </c>
      <c r="N577" s="10" t="s">
        <v>1053</v>
      </c>
      <c r="O577" s="10" t="s">
        <v>2824</v>
      </c>
      <c r="P577" s="10" t="str">
        <f>VLOOKUP(A577,import!A:P,16,0)</f>
        <v>Geleneksel</v>
      </c>
      <c r="Q577" s="12"/>
      <c r="R577" s="12" t="b">
        <v>1</v>
      </c>
      <c r="S577" s="12" t="b">
        <v>0</v>
      </c>
      <c r="T577" s="13" t="s">
        <v>51</v>
      </c>
      <c r="U577" s="13" t="s">
        <v>52</v>
      </c>
      <c r="V577" s="17" t="s">
        <v>131</v>
      </c>
      <c r="W577" s="39"/>
      <c r="X577" s="15">
        <v>44670.0</v>
      </c>
      <c r="Y577" s="15">
        <v>44672.0</v>
      </c>
      <c r="Z577" s="16"/>
      <c r="AA577" s="17" t="s">
        <v>56</v>
      </c>
      <c r="AB577" s="16">
        <v>44523.0</v>
      </c>
      <c r="AC577" s="17" t="s">
        <v>56</v>
      </c>
      <c r="AD577" s="16">
        <v>44533.0</v>
      </c>
      <c r="AE577" s="17" t="s">
        <v>56</v>
      </c>
      <c r="AF577" s="16">
        <v>44533.0</v>
      </c>
      <c r="AG577" s="17" t="s">
        <v>56</v>
      </c>
      <c r="AH577" s="16">
        <v>44670.0</v>
      </c>
      <c r="AI577" s="16"/>
      <c r="AJ577" s="16"/>
      <c r="AK577" s="17" t="s">
        <v>133</v>
      </c>
      <c r="AL577" s="17" t="s">
        <v>103</v>
      </c>
      <c r="AM577" s="17" t="s">
        <v>329</v>
      </c>
      <c r="AN577" s="17" t="s">
        <v>52</v>
      </c>
      <c r="AO577" s="16"/>
      <c r="AP577" s="18" t="s">
        <v>58</v>
      </c>
      <c r="AQ577" s="16"/>
    </row>
    <row r="578" ht="15.75" customHeight="1">
      <c r="A578" s="10" t="s">
        <v>2825</v>
      </c>
      <c r="B578" s="10" t="s">
        <v>2826</v>
      </c>
      <c r="C578" s="10" t="str">
        <f>VLOOKUP(A578,import!A:C,3,0)</f>
        <v>DOĞRU</v>
      </c>
      <c r="D578" s="10" t="s">
        <v>118</v>
      </c>
      <c r="E578" s="33">
        <f>VLOOKUP(A578,import!A:J,5,0)</f>
        <v>896</v>
      </c>
      <c r="F578" s="10">
        <f>VLOOKUP(A578,import!A:J,6,0)</f>
        <v>20</v>
      </c>
      <c r="G578" s="10">
        <f>VLOOKUP(A578,import!A:J,7,0)</f>
        <v>0</v>
      </c>
      <c r="H578" s="10">
        <f>VLOOKUP(A578,import!A:J,8,0)</f>
        <v>45</v>
      </c>
      <c r="I578" s="10">
        <f>VLOOKUP(A578,import!A:J,9,0)</f>
        <v>45</v>
      </c>
      <c r="J578" s="11">
        <f>VLOOKUP(A578,import!A:J,10,0)</f>
        <v>0</v>
      </c>
      <c r="K578" s="10" t="s">
        <v>2827</v>
      </c>
      <c r="L578" s="10">
        <v>5.32436545E9</v>
      </c>
      <c r="M578" s="10" t="s">
        <v>63</v>
      </c>
      <c r="N578" s="10" t="s">
        <v>2828</v>
      </c>
      <c r="O578" s="10" t="s">
        <v>2829</v>
      </c>
      <c r="P578" s="10" t="str">
        <f>VLOOKUP(A578,import!A:P,16,0)</f>
        <v>Geleneksel</v>
      </c>
      <c r="Q578" s="12" t="s">
        <v>84</v>
      </c>
      <c r="R578" s="12" t="b">
        <v>1</v>
      </c>
      <c r="S578" s="12" t="b">
        <v>0</v>
      </c>
      <c r="T578" s="14" t="s">
        <v>199</v>
      </c>
      <c r="U578" s="14"/>
      <c r="V578" s="14"/>
      <c r="W578" s="13" t="s">
        <v>2830</v>
      </c>
      <c r="X578" s="29"/>
      <c r="Y578" s="29"/>
      <c r="Z578" s="16"/>
      <c r="AA578" s="17" t="s">
        <v>55</v>
      </c>
      <c r="AB578" s="16">
        <v>44450.0</v>
      </c>
      <c r="AC578" s="17" t="s">
        <v>56</v>
      </c>
      <c r="AD578" s="16">
        <v>44450.0</v>
      </c>
      <c r="AE578" s="17" t="s">
        <v>56</v>
      </c>
      <c r="AF578" s="16">
        <v>44456.0</v>
      </c>
      <c r="AG578" s="17" t="s">
        <v>86</v>
      </c>
      <c r="AH578" s="16">
        <v>44495.0</v>
      </c>
      <c r="AI578" s="17" t="s">
        <v>56</v>
      </c>
      <c r="AJ578" s="16">
        <v>44560.0</v>
      </c>
      <c r="AK578" s="17" t="s">
        <v>108</v>
      </c>
      <c r="AL578" s="17" t="s">
        <v>108</v>
      </c>
      <c r="AM578" s="17" t="s">
        <v>171</v>
      </c>
      <c r="AN578" s="17" t="s">
        <v>89</v>
      </c>
      <c r="AO578" s="17" t="s">
        <v>89</v>
      </c>
      <c r="AP578" s="18" t="s">
        <v>58</v>
      </c>
      <c r="AQ578" s="16"/>
    </row>
    <row r="579" ht="15.75" hidden="1" customHeight="1">
      <c r="A579" s="10" t="s">
        <v>2831</v>
      </c>
      <c r="B579" s="10" t="s">
        <v>2832</v>
      </c>
      <c r="C579" s="10" t="str">
        <f>VLOOKUP(A579,import!A:C,3,0)</f>
        <v>DOĞRU</v>
      </c>
      <c r="D579" s="10" t="s">
        <v>106</v>
      </c>
      <c r="E579" s="10">
        <f>VLOOKUP(A579,import!A:J,5,0)</f>
        <v>373</v>
      </c>
      <c r="F579" s="10">
        <f>VLOOKUP(A579,import!A:J,6,0)</f>
        <v>67</v>
      </c>
      <c r="G579" s="10">
        <f>VLOOKUP(A579,import!A:J,7,0)</f>
        <v>0</v>
      </c>
      <c r="H579" s="10">
        <f>VLOOKUP(A579,import!A:J,8,0)</f>
        <v>8</v>
      </c>
      <c r="I579" s="10">
        <f>VLOOKUP(A579,import!A:J,9,0)</f>
        <v>8</v>
      </c>
      <c r="J579" s="11">
        <f>VLOOKUP(A579,import!A:J,10,0)</f>
        <v>0</v>
      </c>
      <c r="K579" s="10" t="s">
        <v>2833</v>
      </c>
      <c r="L579" s="10">
        <v>3.246245E9</v>
      </c>
      <c r="M579" s="10" t="s">
        <v>156</v>
      </c>
      <c r="N579" s="10" t="s">
        <v>596</v>
      </c>
      <c r="O579" s="10" t="s">
        <v>2834</v>
      </c>
      <c r="P579" s="10" t="str">
        <f>VLOOKUP(A579,import!A:P,16,0)</f>
        <v>Geleneksel</v>
      </c>
      <c r="Q579" s="12"/>
      <c r="R579" s="12" t="b">
        <v>0</v>
      </c>
      <c r="S579" s="12" t="b">
        <v>0</v>
      </c>
      <c r="T579" s="13"/>
      <c r="U579" s="13"/>
      <c r="V579" s="13"/>
      <c r="W579" s="13"/>
      <c r="X579" s="15"/>
      <c r="Y579" s="15"/>
      <c r="Z579" s="16"/>
      <c r="AA579" s="17"/>
      <c r="AB579" s="16"/>
      <c r="AC579" s="16"/>
      <c r="AD579" s="16"/>
      <c r="AE579" s="17"/>
      <c r="AF579" s="16"/>
      <c r="AG579" s="17"/>
      <c r="AH579" s="16"/>
      <c r="AI579" s="16"/>
      <c r="AJ579" s="16"/>
      <c r="AK579" s="17"/>
      <c r="AL579" s="16"/>
      <c r="AM579" s="16"/>
      <c r="AN579" s="16"/>
      <c r="AO579" s="16"/>
      <c r="AP579" s="18"/>
      <c r="AQ579" s="16"/>
    </row>
    <row r="580" ht="15.75" hidden="1" customHeight="1">
      <c r="A580" s="18" t="s">
        <v>2835</v>
      </c>
      <c r="B580" s="18" t="s">
        <v>2836</v>
      </c>
      <c r="C580" s="10" t="str">
        <f>VLOOKUP(A580,import!A:C,3,0)</f>
        <v>DOĞRU</v>
      </c>
      <c r="D580" s="18" t="s">
        <v>80</v>
      </c>
      <c r="E580" s="10">
        <f>VLOOKUP(A580,import!A:J,5,0)</f>
        <v>14</v>
      </c>
      <c r="F580" s="10">
        <f>VLOOKUP(A580,import!A:J,6,0)</f>
        <v>14</v>
      </c>
      <c r="G580" s="10">
        <f>VLOOKUP(A580,import!A:J,7,0)</f>
        <v>0</v>
      </c>
      <c r="H580" s="10">
        <f>VLOOKUP(A580,import!A:J,8,0)</f>
        <v>13</v>
      </c>
      <c r="I580" s="10">
        <f>VLOOKUP(A580,import!A:J,9,0)</f>
        <v>13</v>
      </c>
      <c r="J580" s="11">
        <f>VLOOKUP(A580,import!A:J,10,0)</f>
        <v>0</v>
      </c>
      <c r="K580" s="18" t="s">
        <v>2837</v>
      </c>
      <c r="L580" s="18">
        <v>3.24888001E9</v>
      </c>
      <c r="M580" s="18" t="s">
        <v>902</v>
      </c>
      <c r="N580" s="18" t="s">
        <v>1667</v>
      </c>
      <c r="O580" s="18" t="s">
        <v>2838</v>
      </c>
      <c r="P580" s="10" t="str">
        <f>VLOOKUP(A580,import!A:P,16,0)</f>
        <v>Geleneksel</v>
      </c>
      <c r="Q580" s="12"/>
      <c r="R580" s="12" t="b">
        <v>0</v>
      </c>
      <c r="S580" s="12" t="b">
        <v>0</v>
      </c>
      <c r="T580" s="13"/>
      <c r="U580" s="13"/>
      <c r="V580" s="13"/>
      <c r="W580" s="13"/>
      <c r="X580" s="15"/>
      <c r="Y580" s="15"/>
      <c r="Z580" s="16"/>
      <c r="AA580" s="17"/>
      <c r="AB580" s="16"/>
      <c r="AC580" s="16"/>
      <c r="AD580" s="16"/>
      <c r="AE580" s="17"/>
      <c r="AF580" s="16"/>
      <c r="AG580" s="17"/>
      <c r="AH580" s="16"/>
      <c r="AI580" s="16"/>
      <c r="AJ580" s="16"/>
      <c r="AK580" s="17"/>
      <c r="AL580" s="16"/>
      <c r="AM580" s="16"/>
      <c r="AN580" s="16"/>
      <c r="AO580" s="16"/>
      <c r="AP580" s="18"/>
      <c r="AQ580" s="16"/>
    </row>
    <row r="581" ht="15.75" hidden="1" customHeight="1">
      <c r="A581" s="10" t="s">
        <v>2839</v>
      </c>
      <c r="B581" s="10" t="s">
        <v>2840</v>
      </c>
      <c r="C581" s="10" t="str">
        <f>VLOOKUP(A581,import!A:C,3,0)</f>
        <v>DOĞRU</v>
      </c>
      <c r="D581" s="10" t="s">
        <v>356</v>
      </c>
      <c r="E581" s="10">
        <f>VLOOKUP(A581,import!A:J,5,0)</f>
        <v>290</v>
      </c>
      <c r="F581" s="10">
        <f>VLOOKUP(A581,import!A:J,6,0)</f>
        <v>17</v>
      </c>
      <c r="G581" s="10">
        <f>VLOOKUP(A581,import!A:J,7,0)</f>
        <v>17</v>
      </c>
      <c r="H581" s="10">
        <f>VLOOKUP(A581,import!A:J,8,0)</f>
        <v>2</v>
      </c>
      <c r="I581" s="10">
        <f>VLOOKUP(A581,import!A:J,9,0)</f>
        <v>19</v>
      </c>
      <c r="J581" s="11">
        <f>VLOOKUP(A581,import!A:J,10,0)</f>
        <v>0.89</v>
      </c>
      <c r="K581" s="10" t="s">
        <v>2841</v>
      </c>
      <c r="L581" s="10">
        <v>5.39229078E9</v>
      </c>
      <c r="M581" s="10" t="s">
        <v>215</v>
      </c>
      <c r="N581" s="10" t="s">
        <v>239</v>
      </c>
      <c r="O581" s="10" t="s">
        <v>2842</v>
      </c>
      <c r="P581" s="10" t="str">
        <f>VLOOKUP(A581,import!A:P,16,0)</f>
        <v>Geleneksel</v>
      </c>
      <c r="Q581" s="12"/>
      <c r="R581" s="12" t="b">
        <v>1</v>
      </c>
      <c r="S581" s="12" t="b">
        <v>0</v>
      </c>
      <c r="T581" s="13" t="s">
        <v>51</v>
      </c>
      <c r="U581" s="13" t="s">
        <v>329</v>
      </c>
      <c r="V581" s="17" t="s">
        <v>131</v>
      </c>
      <c r="W581" s="13" t="s">
        <v>1007</v>
      </c>
      <c r="X581" s="15">
        <v>44657.0</v>
      </c>
      <c r="Y581" s="15">
        <v>44658.0</v>
      </c>
      <c r="Z581" s="16"/>
      <c r="AA581" s="17" t="s">
        <v>55</v>
      </c>
      <c r="AB581" s="16">
        <v>44384.0</v>
      </c>
      <c r="AC581" s="17" t="s">
        <v>56</v>
      </c>
      <c r="AD581" s="16">
        <v>44412.0</v>
      </c>
      <c r="AE581" s="17" t="s">
        <v>55</v>
      </c>
      <c r="AF581" s="16">
        <v>44412.0</v>
      </c>
      <c r="AG581" s="17" t="s">
        <v>56</v>
      </c>
      <c r="AH581" s="16">
        <v>44499.0</v>
      </c>
      <c r="AI581" s="17" t="s">
        <v>56</v>
      </c>
      <c r="AJ581" s="16">
        <v>44657.0</v>
      </c>
      <c r="AK581" s="17" t="s">
        <v>1465</v>
      </c>
      <c r="AL581" s="17" t="s">
        <v>1252</v>
      </c>
      <c r="AM581" s="17" t="s">
        <v>57</v>
      </c>
      <c r="AN581" s="17" t="s">
        <v>89</v>
      </c>
      <c r="AO581" s="17" t="s">
        <v>329</v>
      </c>
      <c r="AP581" s="18" t="s">
        <v>58</v>
      </c>
      <c r="AQ581" s="17"/>
    </row>
    <row r="582" ht="15.75" hidden="1" customHeight="1">
      <c r="A582" s="10" t="s">
        <v>2843</v>
      </c>
      <c r="B582" s="10" t="s">
        <v>2844</v>
      </c>
      <c r="C582" s="10" t="str">
        <f>VLOOKUP(A582,import!A:C,3,0)</f>
        <v>DOĞRU</v>
      </c>
      <c r="D582" s="10" t="s">
        <v>118</v>
      </c>
      <c r="E582" s="10">
        <f>VLOOKUP(A582,import!A:J,5,0)</f>
        <v>167</v>
      </c>
      <c r="F582" s="10">
        <f>VLOOKUP(A582,import!A:J,6,0)</f>
        <v>14</v>
      </c>
      <c r="G582" s="10">
        <f>VLOOKUP(A582,import!A:J,7,0)</f>
        <v>0</v>
      </c>
      <c r="H582" s="10">
        <f>VLOOKUP(A582,import!A:J,8,0)</f>
        <v>22</v>
      </c>
      <c r="I582" s="10">
        <f>VLOOKUP(A582,import!A:J,9,0)</f>
        <v>22</v>
      </c>
      <c r="J582" s="11">
        <f>VLOOKUP(A582,import!A:J,10,0)</f>
        <v>0</v>
      </c>
      <c r="K582" s="10" t="s">
        <v>2105</v>
      </c>
      <c r="L582" s="10">
        <v>3.243412525E9</v>
      </c>
      <c r="M582" s="10" t="s">
        <v>72</v>
      </c>
      <c r="N582" s="10" t="s">
        <v>548</v>
      </c>
      <c r="O582" s="10" t="s">
        <v>2845</v>
      </c>
      <c r="P582" s="10" t="str">
        <f>VLOOKUP(A582,import!A:P,16,0)</f>
        <v>Geleneksel</v>
      </c>
      <c r="Q582" s="12"/>
      <c r="R582" s="12" t="b">
        <v>1</v>
      </c>
      <c r="S582" s="12" t="b">
        <v>1</v>
      </c>
      <c r="T582" s="13"/>
      <c r="U582" s="13"/>
      <c r="V582" s="13"/>
      <c r="W582" s="13" t="s">
        <v>2846</v>
      </c>
      <c r="X582" s="15"/>
      <c r="Y582" s="15"/>
      <c r="Z582" s="16"/>
      <c r="AA582" s="17" t="s">
        <v>230</v>
      </c>
      <c r="AB582" s="16">
        <v>44501.0</v>
      </c>
      <c r="AC582" s="17" t="s">
        <v>56</v>
      </c>
      <c r="AD582" s="16">
        <v>44506.0</v>
      </c>
      <c r="AE582" s="17"/>
      <c r="AF582" s="16"/>
      <c r="AG582" s="17"/>
      <c r="AH582" s="16"/>
      <c r="AI582" s="16"/>
      <c r="AJ582" s="16"/>
      <c r="AK582" s="17" t="s">
        <v>52</v>
      </c>
      <c r="AL582" s="17" t="s">
        <v>89</v>
      </c>
      <c r="AM582" s="16"/>
      <c r="AN582" s="16"/>
      <c r="AO582" s="16"/>
      <c r="AP582" s="18" t="s">
        <v>58</v>
      </c>
      <c r="AQ582" s="16"/>
    </row>
    <row r="583" ht="15.75" hidden="1" customHeight="1">
      <c r="A583" s="18" t="s">
        <v>2847</v>
      </c>
      <c r="B583" s="18" t="s">
        <v>2848</v>
      </c>
      <c r="C583" s="10" t="str">
        <f>VLOOKUP(A583,import!A:C,3,0)</f>
        <v>DOĞRU</v>
      </c>
      <c r="D583" s="18" t="s">
        <v>1136</v>
      </c>
      <c r="E583" s="10" t="str">
        <f>VLOOKUP(A583,import!A:J,5,0)</f>
        <v/>
      </c>
      <c r="F583" s="10" t="str">
        <f>VLOOKUP(A583,import!A:J,6,0)</f>
        <v/>
      </c>
      <c r="G583" s="10">
        <f>VLOOKUP(A583,import!A:J,7,0)</f>
        <v>0</v>
      </c>
      <c r="H583" s="10">
        <f>VLOOKUP(A583,import!A:J,8,0)</f>
        <v>44</v>
      </c>
      <c r="I583" s="10">
        <f>VLOOKUP(A583,import!A:J,9,0)</f>
        <v>44</v>
      </c>
      <c r="J583" s="11">
        <f>VLOOKUP(A583,import!A:J,10,0)</f>
        <v>0</v>
      </c>
      <c r="K583" s="18" t="s">
        <v>603</v>
      </c>
      <c r="L583" s="18">
        <v>5.313470333E9</v>
      </c>
      <c r="M583" s="18" t="s">
        <v>72</v>
      </c>
      <c r="N583" s="18" t="s">
        <v>113</v>
      </c>
      <c r="O583" s="18" t="s">
        <v>2849</v>
      </c>
      <c r="P583" s="10" t="str">
        <f>VLOOKUP(A583,import!A:P,16,0)</f>
        <v>Geleneksel</v>
      </c>
      <c r="Q583" s="12"/>
      <c r="R583" s="12" t="b">
        <v>0</v>
      </c>
      <c r="S583" s="12" t="b">
        <v>0</v>
      </c>
      <c r="T583" s="13"/>
      <c r="U583" s="13"/>
      <c r="V583" s="13"/>
      <c r="W583" s="13"/>
      <c r="X583" s="15"/>
      <c r="Y583" s="15"/>
      <c r="Z583" s="16"/>
      <c r="AA583" s="17"/>
      <c r="AB583" s="16"/>
      <c r="AC583" s="16"/>
      <c r="AD583" s="16"/>
      <c r="AE583" s="17"/>
      <c r="AF583" s="16"/>
      <c r="AG583" s="17"/>
      <c r="AH583" s="16"/>
      <c r="AI583" s="16"/>
      <c r="AJ583" s="16"/>
      <c r="AK583" s="17"/>
      <c r="AL583" s="16"/>
      <c r="AM583" s="16"/>
      <c r="AN583" s="16"/>
      <c r="AO583" s="16"/>
      <c r="AP583" s="18"/>
      <c r="AQ583" s="16"/>
    </row>
    <row r="584" ht="15.75" hidden="1" customHeight="1">
      <c r="A584" s="10" t="s">
        <v>2850</v>
      </c>
      <c r="B584" s="10" t="s">
        <v>2851</v>
      </c>
      <c r="C584" s="10" t="str">
        <f>VLOOKUP(A584,import!A:C,3,0)</f>
        <v>DOĞRU</v>
      </c>
      <c r="D584" s="10" t="s">
        <v>80</v>
      </c>
      <c r="E584" s="10" t="str">
        <f>VLOOKUP(A584,import!A:J,5,0)</f>
        <v/>
      </c>
      <c r="F584" s="10" t="str">
        <f>VLOOKUP(A584,import!A:J,6,0)</f>
        <v/>
      </c>
      <c r="G584" s="10">
        <f>VLOOKUP(A584,import!A:J,7,0)</f>
        <v>0</v>
      </c>
      <c r="H584" s="10">
        <f>VLOOKUP(A584,import!A:J,8,0)</f>
        <v>14</v>
      </c>
      <c r="I584" s="10">
        <f>VLOOKUP(A584,import!A:J,9,0)</f>
        <v>14</v>
      </c>
      <c r="J584" s="11">
        <f>VLOOKUP(A584,import!A:J,10,0)</f>
        <v>0</v>
      </c>
      <c r="K584" s="10" t="s">
        <v>2852</v>
      </c>
      <c r="L584" s="10">
        <v>5.39227102E9</v>
      </c>
      <c r="M584" s="10" t="s">
        <v>72</v>
      </c>
      <c r="N584" s="10" t="s">
        <v>415</v>
      </c>
      <c r="O584" s="10" t="s">
        <v>2853</v>
      </c>
      <c r="P584" s="10" t="str">
        <f>VLOOKUP(A584,import!A:P,16,0)</f>
        <v>Geleneksel</v>
      </c>
      <c r="Q584" s="12"/>
      <c r="R584" s="12" t="b">
        <v>1</v>
      </c>
      <c r="S584" s="12" t="b">
        <v>0</v>
      </c>
      <c r="T584" s="13" t="s">
        <v>591</v>
      </c>
      <c r="U584" s="13"/>
      <c r="V584" s="13"/>
      <c r="W584" s="13" t="s">
        <v>2854</v>
      </c>
      <c r="X584" s="15"/>
      <c r="Y584" s="15"/>
      <c r="Z584" s="16"/>
      <c r="AA584" s="17" t="s">
        <v>265</v>
      </c>
      <c r="AB584" s="16">
        <v>44544.0</v>
      </c>
      <c r="AC584" s="17" t="s">
        <v>55</v>
      </c>
      <c r="AD584" s="16">
        <v>44561.0</v>
      </c>
      <c r="AE584" s="17" t="s">
        <v>56</v>
      </c>
      <c r="AF584" s="16">
        <v>44565.0</v>
      </c>
      <c r="AG584" s="17"/>
      <c r="AH584" s="16"/>
      <c r="AI584" s="16"/>
      <c r="AJ584" s="16"/>
      <c r="AK584" s="17" t="s">
        <v>108</v>
      </c>
      <c r="AL584" s="17" t="s">
        <v>89</v>
      </c>
      <c r="AM584" s="17" t="s">
        <v>89</v>
      </c>
      <c r="AN584" s="16"/>
      <c r="AO584" s="16"/>
      <c r="AP584" s="18" t="s">
        <v>58</v>
      </c>
      <c r="AQ584" s="16"/>
    </row>
    <row r="585" ht="15.75" customHeight="1">
      <c r="A585" s="10" t="s">
        <v>2855</v>
      </c>
      <c r="B585" s="10" t="s">
        <v>2856</v>
      </c>
      <c r="C585" s="10" t="str">
        <f>VLOOKUP(A585,import!A:C,3,0)</f>
        <v>DOĞRU</v>
      </c>
      <c r="D585" s="10" t="s">
        <v>363</v>
      </c>
      <c r="E585" s="10">
        <f>VLOOKUP(A585,import!A:J,5,0)</f>
        <v>982</v>
      </c>
      <c r="F585" s="10">
        <f>VLOOKUP(A585,import!A:J,6,0)</f>
        <v>97</v>
      </c>
      <c r="G585" s="10">
        <f>VLOOKUP(A585,import!A:J,7,0)</f>
        <v>36</v>
      </c>
      <c r="H585" s="10">
        <f>VLOOKUP(A585,import!A:J,8,0)</f>
        <v>11</v>
      </c>
      <c r="I585" s="10">
        <f>VLOOKUP(A585,import!A:J,9,0)</f>
        <v>47</v>
      </c>
      <c r="J585" s="11">
        <f>VLOOKUP(A585,import!A:J,10,0)</f>
        <v>0.77</v>
      </c>
      <c r="K585" s="10" t="s">
        <v>2857</v>
      </c>
      <c r="L585" s="10">
        <v>3.242388778E9</v>
      </c>
      <c r="M585" s="10" t="s">
        <v>137</v>
      </c>
      <c r="N585" s="10" t="s">
        <v>144</v>
      </c>
      <c r="O585" s="10" t="s">
        <v>2858</v>
      </c>
      <c r="P585" s="10" t="str">
        <f>VLOOKUP(A585,import!A:P,16,0)</f>
        <v>Geleneksel</v>
      </c>
      <c r="Q585" s="12" t="s">
        <v>84</v>
      </c>
      <c r="R585" s="12" t="b">
        <v>1</v>
      </c>
      <c r="S585" s="12" t="b">
        <v>0</v>
      </c>
      <c r="T585" s="13" t="s">
        <v>51</v>
      </c>
      <c r="U585" s="13" t="s">
        <v>52</v>
      </c>
      <c r="V585" s="13" t="s">
        <v>278</v>
      </c>
      <c r="W585" s="13" t="s">
        <v>2859</v>
      </c>
      <c r="X585" s="15">
        <v>44267.0</v>
      </c>
      <c r="Y585" s="15">
        <v>44270.0</v>
      </c>
      <c r="Z585" s="16"/>
      <c r="AA585" s="17" t="s">
        <v>230</v>
      </c>
      <c r="AB585" s="16">
        <v>44356.0</v>
      </c>
      <c r="AC585" s="17" t="s">
        <v>55</v>
      </c>
      <c r="AD585" s="16">
        <v>44489.0</v>
      </c>
      <c r="AE585" s="17"/>
      <c r="AF585" s="16"/>
      <c r="AG585" s="17"/>
      <c r="AH585" s="16"/>
      <c r="AI585" s="16"/>
      <c r="AJ585" s="16"/>
      <c r="AK585" s="17" t="s">
        <v>52</v>
      </c>
      <c r="AL585" s="16"/>
      <c r="AM585" s="16"/>
      <c r="AN585" s="16"/>
      <c r="AO585" s="16"/>
      <c r="AP585" s="18" t="s">
        <v>58</v>
      </c>
      <c r="AQ585" s="16"/>
    </row>
    <row r="586" ht="15.75" hidden="1" customHeight="1">
      <c r="A586" s="10" t="s">
        <v>2860</v>
      </c>
      <c r="B586" s="10" t="s">
        <v>2861</v>
      </c>
      <c r="C586" s="10" t="str">
        <f>VLOOKUP(A586,import!A:C,3,0)</f>
        <v>DOĞRU</v>
      </c>
      <c r="D586" s="10" t="s">
        <v>363</v>
      </c>
      <c r="E586" s="10">
        <f>VLOOKUP(A586,import!A:J,5,0)</f>
        <v>2164</v>
      </c>
      <c r="F586" s="10">
        <f>VLOOKUP(A586,import!A:J,6,0)</f>
        <v>49</v>
      </c>
      <c r="G586" s="10">
        <f>VLOOKUP(A586,import!A:J,7,0)</f>
        <v>16</v>
      </c>
      <c r="H586" s="10">
        <f>VLOOKUP(A586,import!A:J,8,0)</f>
        <v>33</v>
      </c>
      <c r="I586" s="10">
        <f>VLOOKUP(A586,import!A:J,9,0)</f>
        <v>49</v>
      </c>
      <c r="J586" s="11">
        <f>VLOOKUP(A586,import!A:J,10,0)</f>
        <v>0.33</v>
      </c>
      <c r="K586" s="10" t="s">
        <v>2862</v>
      </c>
      <c r="L586" s="10">
        <v>3.243411114E9</v>
      </c>
      <c r="M586" s="10" t="s">
        <v>72</v>
      </c>
      <c r="N586" s="10" t="s">
        <v>1148</v>
      </c>
      <c r="O586" s="10" t="s">
        <v>2863</v>
      </c>
      <c r="P586" s="10" t="str">
        <f>VLOOKUP(A586,import!A:P,16,0)</f>
        <v>Geleneksel</v>
      </c>
      <c r="Q586" s="12"/>
      <c r="R586" s="12" t="b">
        <v>1</v>
      </c>
      <c r="S586" s="12" t="b">
        <v>0</v>
      </c>
      <c r="T586" s="13" t="s">
        <v>51</v>
      </c>
      <c r="U586" s="13" t="s">
        <v>87</v>
      </c>
      <c r="V586" s="13" t="s">
        <v>66</v>
      </c>
      <c r="W586" s="13" t="s">
        <v>475</v>
      </c>
      <c r="X586" s="15">
        <v>44538.0</v>
      </c>
      <c r="Y586" s="15">
        <v>44539.0</v>
      </c>
      <c r="Z586" s="16"/>
      <c r="AA586" s="17" t="s">
        <v>55</v>
      </c>
      <c r="AB586" s="16">
        <v>44523.0</v>
      </c>
      <c r="AC586" s="17" t="s">
        <v>56</v>
      </c>
      <c r="AD586" s="16">
        <v>44524.0</v>
      </c>
      <c r="AE586" s="17" t="s">
        <v>56</v>
      </c>
      <c r="AF586" s="16">
        <v>44538.0</v>
      </c>
      <c r="AG586" s="17" t="s">
        <v>56</v>
      </c>
      <c r="AH586" s="16">
        <v>44572.0</v>
      </c>
      <c r="AI586" s="16"/>
      <c r="AJ586" s="16"/>
      <c r="AK586" s="17" t="s">
        <v>52</v>
      </c>
      <c r="AL586" s="17" t="s">
        <v>267</v>
      </c>
      <c r="AM586" s="17" t="s">
        <v>87</v>
      </c>
      <c r="AN586" s="17" t="s">
        <v>133</v>
      </c>
      <c r="AO586" s="16"/>
      <c r="AP586" s="18" t="s">
        <v>58</v>
      </c>
      <c r="AQ586" s="16"/>
    </row>
    <row r="587" ht="15.75" hidden="1" customHeight="1">
      <c r="A587" s="10" t="s">
        <v>2864</v>
      </c>
      <c r="B587" s="10" t="s">
        <v>2865</v>
      </c>
      <c r="C587" s="10" t="str">
        <f>VLOOKUP(A587,import!A:C,3,0)</f>
        <v>DOĞRU</v>
      </c>
      <c r="D587" s="10" t="s">
        <v>363</v>
      </c>
      <c r="E587" s="10">
        <f>VLOOKUP(A587,import!A:J,5,0)</f>
        <v>1677</v>
      </c>
      <c r="F587" s="10">
        <f>VLOOKUP(A587,import!A:J,6,0)</f>
        <v>111</v>
      </c>
      <c r="G587" s="10">
        <f>VLOOKUP(A587,import!A:J,7,0)</f>
        <v>31</v>
      </c>
      <c r="H587" s="10">
        <f>VLOOKUP(A587,import!A:J,8,0)</f>
        <v>42</v>
      </c>
      <c r="I587" s="10">
        <f>VLOOKUP(A587,import!A:J,9,0)</f>
        <v>73</v>
      </c>
      <c r="J587" s="11">
        <f>VLOOKUP(A587,import!A:J,10,0)</f>
        <v>0.42</v>
      </c>
      <c r="K587" s="10" t="s">
        <v>2866</v>
      </c>
      <c r="L587" s="10">
        <v>5.323613354E9</v>
      </c>
      <c r="M587" s="10" t="s">
        <v>72</v>
      </c>
      <c r="N587" s="10" t="s">
        <v>82</v>
      </c>
      <c r="O587" s="10" t="s">
        <v>2867</v>
      </c>
      <c r="P587" s="10" t="str">
        <f>VLOOKUP(A587,import!A:P,16,0)</f>
        <v>Geleneksel</v>
      </c>
      <c r="Q587" s="12" t="s">
        <v>84</v>
      </c>
      <c r="R587" s="12" t="b">
        <v>1</v>
      </c>
      <c r="S587" s="12" t="b">
        <v>0</v>
      </c>
      <c r="T587" s="13" t="s">
        <v>272</v>
      </c>
      <c r="U587" s="13" t="s">
        <v>88</v>
      </c>
      <c r="V587" s="19" t="s">
        <v>53</v>
      </c>
      <c r="W587" s="13" t="s">
        <v>2868</v>
      </c>
      <c r="X587" s="15">
        <v>44350.0</v>
      </c>
      <c r="Y587" s="15">
        <v>44355.0</v>
      </c>
      <c r="Z587" s="16"/>
      <c r="AA587" s="16"/>
      <c r="AB587" s="16"/>
      <c r="AC587" s="17" t="s">
        <v>56</v>
      </c>
      <c r="AD587" s="16">
        <v>44350.0</v>
      </c>
      <c r="AE587" s="17"/>
      <c r="AF587" s="16"/>
      <c r="AG587" s="17"/>
      <c r="AH587" s="16"/>
      <c r="AI587" s="16"/>
      <c r="AJ587" s="16"/>
      <c r="AK587" s="16"/>
      <c r="AL587" s="17" t="s">
        <v>88</v>
      </c>
      <c r="AM587" s="16"/>
      <c r="AN587" s="16"/>
      <c r="AO587" s="16"/>
      <c r="AP587" s="18" t="s">
        <v>58</v>
      </c>
      <c r="AQ587" s="16"/>
    </row>
    <row r="588" ht="15.75" customHeight="1">
      <c r="A588" s="10" t="s">
        <v>2869</v>
      </c>
      <c r="B588" s="10" t="s">
        <v>2870</v>
      </c>
      <c r="C588" s="10" t="str">
        <f>VLOOKUP(A588,import!A:C,3,0)</f>
        <v>DOĞRU</v>
      </c>
      <c r="D588" s="10" t="s">
        <v>363</v>
      </c>
      <c r="E588" s="10">
        <f>VLOOKUP(A588,import!A:J,5,0)</f>
        <v>3089</v>
      </c>
      <c r="F588" s="10">
        <f>VLOOKUP(A588,import!A:J,6,0)</f>
        <v>129</v>
      </c>
      <c r="G588" s="10">
        <f>VLOOKUP(A588,import!A:J,7,0)</f>
        <v>0</v>
      </c>
      <c r="H588" s="10">
        <f>VLOOKUP(A588,import!A:J,8,0)</f>
        <v>84</v>
      </c>
      <c r="I588" s="10">
        <f>VLOOKUP(A588,import!A:J,9,0)</f>
        <v>84</v>
      </c>
      <c r="J588" s="11">
        <f>VLOOKUP(A588,import!A:J,10,0)</f>
        <v>0</v>
      </c>
      <c r="K588" s="10" t="s">
        <v>2871</v>
      </c>
      <c r="L588" s="10">
        <v>3.249337314E9</v>
      </c>
      <c r="M588" s="10" t="s">
        <v>63</v>
      </c>
      <c r="N588" s="10" t="s">
        <v>93</v>
      </c>
      <c r="O588" s="10" t="s">
        <v>2872</v>
      </c>
      <c r="P588" s="10" t="str">
        <f>VLOOKUP(A588,import!A:P,16,0)</f>
        <v>Geleneksel</v>
      </c>
      <c r="Q588" s="12" t="s">
        <v>84</v>
      </c>
      <c r="R588" s="12" t="b">
        <v>1</v>
      </c>
      <c r="S588" s="12" t="b">
        <v>1</v>
      </c>
      <c r="T588" s="13"/>
      <c r="U588" s="13"/>
      <c r="V588" s="13"/>
      <c r="W588" s="13" t="s">
        <v>2873</v>
      </c>
      <c r="X588" s="15"/>
      <c r="Y588" s="15"/>
      <c r="Z588" s="16"/>
      <c r="AA588" s="17" t="s">
        <v>56</v>
      </c>
      <c r="AB588" s="16">
        <v>44459.0</v>
      </c>
      <c r="AC588" s="16"/>
      <c r="AD588" s="16"/>
      <c r="AE588" s="17"/>
      <c r="AF588" s="16"/>
      <c r="AG588" s="17"/>
      <c r="AH588" s="16"/>
      <c r="AI588" s="16"/>
      <c r="AJ588" s="16"/>
      <c r="AK588" s="17" t="s">
        <v>267</v>
      </c>
      <c r="AL588" s="16"/>
      <c r="AM588" s="16"/>
      <c r="AN588" s="16"/>
      <c r="AO588" s="16"/>
      <c r="AP588" s="18" t="s">
        <v>58</v>
      </c>
      <c r="AQ588" s="16"/>
    </row>
    <row r="589" ht="15.75" hidden="1" customHeight="1">
      <c r="A589" s="10" t="s">
        <v>2874</v>
      </c>
      <c r="B589" s="10" t="s">
        <v>2875</v>
      </c>
      <c r="C589" s="10" t="str">
        <f>VLOOKUP(A589,import!A:C,3,0)</f>
        <v>DOĞRU</v>
      </c>
      <c r="D589" s="10" t="s">
        <v>45</v>
      </c>
      <c r="E589" s="10">
        <f>VLOOKUP(A589,import!A:J,5,0)</f>
        <v>376</v>
      </c>
      <c r="F589" s="10">
        <f>VLOOKUP(A589,import!A:J,6,0)</f>
        <v>22</v>
      </c>
      <c r="G589" s="10">
        <f>VLOOKUP(A589,import!A:J,7,0)</f>
        <v>8</v>
      </c>
      <c r="H589" s="10">
        <f>VLOOKUP(A589,import!A:J,8,0)</f>
        <v>41</v>
      </c>
      <c r="I589" s="10">
        <f>VLOOKUP(A589,import!A:J,9,0)</f>
        <v>49</v>
      </c>
      <c r="J589" s="11">
        <f>VLOOKUP(A589,import!A:J,10,0)</f>
        <v>0.16</v>
      </c>
      <c r="K589" s="10" t="s">
        <v>2876</v>
      </c>
      <c r="L589" s="10">
        <v>3.24515604E9</v>
      </c>
      <c r="M589" s="10" t="s">
        <v>47</v>
      </c>
      <c r="N589" s="10" t="s">
        <v>515</v>
      </c>
      <c r="O589" s="10" t="s">
        <v>2877</v>
      </c>
      <c r="P589" s="10" t="str">
        <f>VLOOKUP(A589,import!A:P,16,0)</f>
        <v>Geleneksel</v>
      </c>
      <c r="Q589" s="12"/>
      <c r="R589" s="12" t="b">
        <v>1</v>
      </c>
      <c r="S589" s="12" t="b">
        <v>0</v>
      </c>
      <c r="T589" s="13" t="s">
        <v>51</v>
      </c>
      <c r="U589" s="13" t="s">
        <v>103</v>
      </c>
      <c r="V589" s="13" t="s">
        <v>66</v>
      </c>
      <c r="W589" s="13" t="s">
        <v>2878</v>
      </c>
      <c r="X589" s="15">
        <v>44538.0</v>
      </c>
      <c r="Y589" s="15">
        <v>44540.0</v>
      </c>
      <c r="Z589" s="16"/>
      <c r="AA589" s="17" t="s">
        <v>86</v>
      </c>
      <c r="AB589" s="16">
        <v>44531.0</v>
      </c>
      <c r="AC589" s="17" t="s">
        <v>56</v>
      </c>
      <c r="AD589" s="16">
        <v>44538.0</v>
      </c>
      <c r="AE589" s="17" t="s">
        <v>56</v>
      </c>
      <c r="AF589" s="16">
        <v>44553.0</v>
      </c>
      <c r="AG589" s="17"/>
      <c r="AH589" s="16"/>
      <c r="AI589" s="16"/>
      <c r="AJ589" s="16"/>
      <c r="AK589" s="17" t="s">
        <v>52</v>
      </c>
      <c r="AL589" s="17" t="s">
        <v>103</v>
      </c>
      <c r="AM589" s="17" t="s">
        <v>89</v>
      </c>
      <c r="AN589" s="16"/>
      <c r="AO589" s="16"/>
      <c r="AP589" s="18" t="s">
        <v>58</v>
      </c>
      <c r="AQ589" s="16"/>
    </row>
    <row r="590" ht="15.75" hidden="1" customHeight="1">
      <c r="A590" s="10" t="s">
        <v>2879</v>
      </c>
      <c r="B590" s="10" t="s">
        <v>2880</v>
      </c>
      <c r="C590" s="10" t="str">
        <f>VLOOKUP(A590,import!A:C,3,0)</f>
        <v>DOĞRU</v>
      </c>
      <c r="D590" s="10" t="s">
        <v>754</v>
      </c>
      <c r="E590" s="10">
        <f>VLOOKUP(A590,import!A:J,5,0)</f>
        <v>955</v>
      </c>
      <c r="F590" s="10">
        <f>VLOOKUP(A590,import!A:J,6,0)</f>
        <v>112</v>
      </c>
      <c r="G590" s="10">
        <f>VLOOKUP(A590,import!A:J,7,0)</f>
        <v>5</v>
      </c>
      <c r="H590" s="10">
        <f>VLOOKUP(A590,import!A:J,8,0)</f>
        <v>8</v>
      </c>
      <c r="I590" s="10">
        <f>VLOOKUP(A590,import!A:J,9,0)</f>
        <v>13</v>
      </c>
      <c r="J590" s="11">
        <f>VLOOKUP(A590,import!A:J,10,0)</f>
        <v>0.38</v>
      </c>
      <c r="K590" s="10" t="s">
        <v>2881</v>
      </c>
      <c r="L590" s="10">
        <v>5.416794349E9</v>
      </c>
      <c r="M590" s="10" t="s">
        <v>47</v>
      </c>
      <c r="N590" s="10" t="s">
        <v>48</v>
      </c>
      <c r="O590" s="10" t="s">
        <v>2882</v>
      </c>
      <c r="P590" s="10" t="str">
        <f>VLOOKUP(A590,import!A:P,16,0)</f>
        <v>Geleneksel</v>
      </c>
      <c r="Q590" s="12"/>
      <c r="R590" s="12" t="b">
        <v>1</v>
      </c>
      <c r="S590" s="12" t="b">
        <v>1</v>
      </c>
      <c r="T590" s="13"/>
      <c r="U590" s="13"/>
      <c r="V590" s="13"/>
      <c r="W590" s="13" t="s">
        <v>2883</v>
      </c>
      <c r="X590" s="15"/>
      <c r="Y590" s="15"/>
      <c r="Z590" s="16"/>
      <c r="AA590" s="17" t="s">
        <v>56</v>
      </c>
      <c r="AB590" s="16">
        <v>44538.0</v>
      </c>
      <c r="AC590" s="16"/>
      <c r="AD590" s="16"/>
      <c r="AE590" s="17"/>
      <c r="AF590" s="16"/>
      <c r="AG590" s="17"/>
      <c r="AH590" s="16"/>
      <c r="AI590" s="16"/>
      <c r="AJ590" s="16"/>
      <c r="AK590" s="17" t="s">
        <v>103</v>
      </c>
      <c r="AL590" s="16"/>
      <c r="AM590" s="16"/>
      <c r="AN590" s="16"/>
      <c r="AO590" s="16"/>
      <c r="AP590" s="18" t="s">
        <v>58</v>
      </c>
      <c r="AQ590" s="16"/>
    </row>
    <row r="591" ht="15.75" customHeight="1">
      <c r="A591" s="10" t="s">
        <v>2884</v>
      </c>
      <c r="B591" s="10" t="s">
        <v>2885</v>
      </c>
      <c r="C591" s="10" t="str">
        <f>VLOOKUP(A591,import!A:C,3,0)</f>
        <v>DOĞRU</v>
      </c>
      <c r="D591" s="10" t="s">
        <v>372</v>
      </c>
      <c r="E591" s="10">
        <f>VLOOKUP(A591,import!A:J,5,0)</f>
        <v>278</v>
      </c>
      <c r="F591" s="10" t="str">
        <f>VLOOKUP(A591,import!A:J,6,0)</f>
        <v/>
      </c>
      <c r="G591" s="10">
        <f>VLOOKUP(A591,import!A:J,7,0)</f>
        <v>19</v>
      </c>
      <c r="H591" s="10">
        <f>VLOOKUP(A591,import!A:J,8,0)</f>
        <v>14</v>
      </c>
      <c r="I591" s="10">
        <f>VLOOKUP(A591,import!A:J,9,0)</f>
        <v>33</v>
      </c>
      <c r="J591" s="11">
        <f>VLOOKUP(A591,import!A:J,10,0)</f>
        <v>0.58</v>
      </c>
      <c r="K591" s="10" t="s">
        <v>2886</v>
      </c>
      <c r="L591" s="10">
        <v>5.512705292E9</v>
      </c>
      <c r="M591" s="10" t="s">
        <v>63</v>
      </c>
      <c r="N591" s="10" t="s">
        <v>93</v>
      </c>
      <c r="O591" s="10" t="s">
        <v>2887</v>
      </c>
      <c r="P591" s="10" t="str">
        <f>VLOOKUP(A591,import!A:P,16,0)</f>
        <v>Geleneksel</v>
      </c>
      <c r="Q591" s="12"/>
      <c r="R591" s="12" t="b">
        <v>1</v>
      </c>
      <c r="S591" s="12" t="b">
        <v>0</v>
      </c>
      <c r="T591" s="13" t="s">
        <v>51</v>
      </c>
      <c r="U591" s="13" t="s">
        <v>267</v>
      </c>
      <c r="V591" s="13" t="s">
        <v>66</v>
      </c>
      <c r="W591" s="13" t="s">
        <v>2888</v>
      </c>
      <c r="X591" s="15">
        <v>44497.0</v>
      </c>
      <c r="Y591" s="15">
        <v>44498.0</v>
      </c>
      <c r="Z591" s="16"/>
      <c r="AA591" s="17" t="s">
        <v>55</v>
      </c>
      <c r="AB591" s="16">
        <v>44417.0</v>
      </c>
      <c r="AC591" s="17" t="s">
        <v>86</v>
      </c>
      <c r="AD591" s="16">
        <v>44418.0</v>
      </c>
      <c r="AE591" s="17" t="s">
        <v>56</v>
      </c>
      <c r="AF591" s="16">
        <v>44446.0</v>
      </c>
      <c r="AG591" s="17" t="s">
        <v>55</v>
      </c>
      <c r="AH591" s="16">
        <v>44495.0</v>
      </c>
      <c r="AI591" s="17" t="s">
        <v>56</v>
      </c>
      <c r="AJ591" s="16">
        <v>44553.0</v>
      </c>
      <c r="AK591" s="17" t="s">
        <v>52</v>
      </c>
      <c r="AL591" s="17" t="s">
        <v>95</v>
      </c>
      <c r="AM591" s="17" t="s">
        <v>367</v>
      </c>
      <c r="AN591" s="17" t="s">
        <v>89</v>
      </c>
      <c r="AO591" s="17" t="s">
        <v>89</v>
      </c>
      <c r="AP591" s="18" t="s">
        <v>58</v>
      </c>
      <c r="AQ591" s="17"/>
    </row>
    <row r="592" ht="15.75" hidden="1" customHeight="1">
      <c r="A592" s="10" t="s">
        <v>2889</v>
      </c>
      <c r="B592" s="10" t="s">
        <v>2890</v>
      </c>
      <c r="C592" s="10" t="str">
        <f>VLOOKUP(A592,import!A:C,3,0)</f>
        <v>YANLIŞ</v>
      </c>
      <c r="D592" s="10" t="s">
        <v>363</v>
      </c>
      <c r="E592" s="10">
        <f>VLOOKUP(A592,import!A:J,5,0)</f>
        <v>1</v>
      </c>
      <c r="F592" s="10" t="str">
        <f>VLOOKUP(A592,import!A:J,6,0)</f>
        <v/>
      </c>
      <c r="G592" s="10">
        <f>VLOOKUP(A592,import!A:J,7,0)</f>
        <v>0</v>
      </c>
      <c r="H592" s="10">
        <f>VLOOKUP(A592,import!A:J,8,0)</f>
        <v>61</v>
      </c>
      <c r="I592" s="10">
        <f>VLOOKUP(A592,import!A:J,9,0)</f>
        <v>61</v>
      </c>
      <c r="J592" s="11">
        <f>VLOOKUP(A592,import!A:J,10,0)</f>
        <v>0</v>
      </c>
      <c r="K592" s="10" t="s">
        <v>2891</v>
      </c>
      <c r="L592" s="10">
        <v>5.37823818E9</v>
      </c>
      <c r="M592" s="10" t="s">
        <v>215</v>
      </c>
      <c r="N592" s="10" t="s">
        <v>216</v>
      </c>
      <c r="O592" s="10" t="s">
        <v>2892</v>
      </c>
      <c r="P592" s="10" t="str">
        <f>VLOOKUP(A592,import!A:P,16,0)</f>
        <v>Geleneksel</v>
      </c>
      <c r="Q592" s="12"/>
      <c r="R592" s="12" t="b">
        <v>1</v>
      </c>
      <c r="S592" s="12" t="b">
        <v>0</v>
      </c>
      <c r="T592" s="13" t="s">
        <v>591</v>
      </c>
      <c r="U592" s="13"/>
      <c r="V592" s="13"/>
      <c r="W592" s="13" t="s">
        <v>2893</v>
      </c>
      <c r="X592" s="15"/>
      <c r="Y592" s="15"/>
      <c r="Z592" s="16"/>
      <c r="AA592" s="17" t="s">
        <v>56</v>
      </c>
      <c r="AB592" s="16">
        <v>44559.0</v>
      </c>
      <c r="AC592" s="16"/>
      <c r="AD592" s="16"/>
      <c r="AE592" s="17"/>
      <c r="AF592" s="16"/>
      <c r="AG592" s="17"/>
      <c r="AH592" s="16"/>
      <c r="AI592" s="16"/>
      <c r="AJ592" s="16"/>
      <c r="AK592" s="17" t="s">
        <v>133</v>
      </c>
      <c r="AL592" s="16"/>
      <c r="AM592" s="16"/>
      <c r="AN592" s="16"/>
      <c r="AO592" s="16"/>
      <c r="AP592" s="18"/>
      <c r="AQ592" s="16"/>
    </row>
    <row r="593" ht="15.75" hidden="1" customHeight="1">
      <c r="A593" s="10" t="s">
        <v>2894</v>
      </c>
      <c r="B593" s="10" t="s">
        <v>2895</v>
      </c>
      <c r="C593" s="10" t="str">
        <f>VLOOKUP(A593,import!A:C,3,0)</f>
        <v>DOĞRU</v>
      </c>
      <c r="D593" s="10" t="s">
        <v>45</v>
      </c>
      <c r="E593" s="10">
        <f>VLOOKUP(A593,import!A:J,5,0)</f>
        <v>3547</v>
      </c>
      <c r="F593" s="10">
        <f>VLOOKUP(A593,import!A:J,6,0)</f>
        <v>425</v>
      </c>
      <c r="G593" s="10">
        <f>VLOOKUP(A593,import!A:J,7,0)</f>
        <v>33</v>
      </c>
      <c r="H593" s="10">
        <f>VLOOKUP(A593,import!A:J,8,0)</f>
        <v>1</v>
      </c>
      <c r="I593" s="10">
        <f>VLOOKUP(A593,import!A:J,9,0)</f>
        <v>34</v>
      </c>
      <c r="J593" s="11">
        <f>VLOOKUP(A593,import!A:J,10,0)</f>
        <v>0.97</v>
      </c>
      <c r="K593" s="10" t="s">
        <v>2896</v>
      </c>
      <c r="L593" s="10">
        <v>3.243265864E9</v>
      </c>
      <c r="M593" s="10" t="s">
        <v>72</v>
      </c>
      <c r="N593" s="10" t="s">
        <v>73</v>
      </c>
      <c r="O593" s="10" t="s">
        <v>1983</v>
      </c>
      <c r="P593" s="10" t="str">
        <f>VLOOKUP(A593,import!A:P,16,0)</f>
        <v>Geleneksel</v>
      </c>
      <c r="Q593" s="12"/>
      <c r="R593" s="12" t="b">
        <v>1</v>
      </c>
      <c r="S593" s="12" t="b">
        <v>0</v>
      </c>
      <c r="T593" s="13" t="s">
        <v>140</v>
      </c>
      <c r="U593" s="13"/>
      <c r="V593" s="13"/>
      <c r="W593" s="13"/>
      <c r="X593" s="15"/>
      <c r="Y593" s="15"/>
      <c r="Z593" s="16"/>
      <c r="AA593" s="16"/>
      <c r="AB593" s="16"/>
      <c r="AC593" s="16"/>
      <c r="AD593" s="16"/>
      <c r="AE593" s="17"/>
      <c r="AF593" s="16"/>
      <c r="AG593" s="17"/>
      <c r="AH593" s="16"/>
      <c r="AI593" s="16"/>
      <c r="AJ593" s="16"/>
      <c r="AK593" s="16"/>
      <c r="AL593" s="16"/>
      <c r="AM593" s="16"/>
      <c r="AN593" s="16"/>
      <c r="AO593" s="16"/>
      <c r="AP593" s="18" t="s">
        <v>58</v>
      </c>
      <c r="AQ593" s="16"/>
    </row>
    <row r="594" ht="15.75" hidden="1" customHeight="1">
      <c r="A594" s="10" t="s">
        <v>2897</v>
      </c>
      <c r="B594" s="10" t="s">
        <v>2898</v>
      </c>
      <c r="C594" s="10" t="str">
        <f>VLOOKUP(A594,import!A:C,3,0)</f>
        <v>DOĞRU</v>
      </c>
      <c r="D594" s="10" t="s">
        <v>363</v>
      </c>
      <c r="E594" s="10">
        <f>VLOOKUP(A594,import!A:J,5,0)</f>
        <v>54</v>
      </c>
      <c r="F594" s="10">
        <f>VLOOKUP(A594,import!A:J,6,0)</f>
        <v>2</v>
      </c>
      <c r="G594" s="10">
        <f>VLOOKUP(A594,import!A:J,7,0)</f>
        <v>13</v>
      </c>
      <c r="H594" s="10">
        <f>VLOOKUP(A594,import!A:J,8,0)</f>
        <v>1</v>
      </c>
      <c r="I594" s="10">
        <f>VLOOKUP(A594,import!A:J,9,0)</f>
        <v>14</v>
      </c>
      <c r="J594" s="11">
        <f>VLOOKUP(A594,import!A:J,10,0)</f>
        <v>0.93</v>
      </c>
      <c r="K594" s="10" t="s">
        <v>2899</v>
      </c>
      <c r="L594" s="10">
        <v>5.306553371E9</v>
      </c>
      <c r="M594" s="10" t="s">
        <v>72</v>
      </c>
      <c r="N594" s="10" t="s">
        <v>120</v>
      </c>
      <c r="O594" s="10" t="s">
        <v>2900</v>
      </c>
      <c r="P594" s="10" t="str">
        <f>VLOOKUP(A594,import!A:P,16,0)</f>
        <v>Geleneksel</v>
      </c>
      <c r="Q594" s="12"/>
      <c r="R594" s="12" t="b">
        <v>1</v>
      </c>
      <c r="S594" s="12" t="b">
        <v>0</v>
      </c>
      <c r="T594" s="13" t="s">
        <v>51</v>
      </c>
      <c r="U594" s="13" t="s">
        <v>314</v>
      </c>
      <c r="V594" s="13" t="s">
        <v>66</v>
      </c>
      <c r="W594" s="13" t="s">
        <v>2901</v>
      </c>
      <c r="X594" s="15">
        <v>44554.0</v>
      </c>
      <c r="Y594" s="15">
        <v>44557.0</v>
      </c>
      <c r="Z594" s="16"/>
      <c r="AA594" s="17" t="s">
        <v>56</v>
      </c>
      <c r="AB594" s="16">
        <v>44554.0</v>
      </c>
      <c r="AC594" s="17" t="s">
        <v>56</v>
      </c>
      <c r="AD594" s="16">
        <v>44558.0</v>
      </c>
      <c r="AE594" s="17"/>
      <c r="AF594" s="16"/>
      <c r="AG594" s="17"/>
      <c r="AH594" s="16"/>
      <c r="AI594" s="16"/>
      <c r="AJ594" s="16"/>
      <c r="AK594" s="17" t="s">
        <v>314</v>
      </c>
      <c r="AL594" s="17" t="s">
        <v>314</v>
      </c>
      <c r="AM594" s="16"/>
      <c r="AN594" s="16"/>
      <c r="AO594" s="16"/>
      <c r="AP594" s="18"/>
      <c r="AQ594" s="16"/>
    </row>
    <row r="595" ht="15.75" customHeight="1">
      <c r="A595" s="10" t="s">
        <v>2902</v>
      </c>
      <c r="B595" s="10" t="s">
        <v>2903</v>
      </c>
      <c r="C595" s="10" t="str">
        <f>VLOOKUP(A595,import!A:C,3,0)</f>
        <v>YANLIŞ</v>
      </c>
      <c r="D595" s="10" t="s">
        <v>118</v>
      </c>
      <c r="E595" s="10">
        <f>VLOOKUP(A595,import!A:J,5,0)</f>
        <v>17</v>
      </c>
      <c r="F595" s="10" t="str">
        <f>VLOOKUP(A595,import!A:J,6,0)</f>
        <v/>
      </c>
      <c r="G595" s="10">
        <f>VLOOKUP(A595,import!A:J,7,0)</f>
        <v>0</v>
      </c>
      <c r="H595" s="10">
        <f>VLOOKUP(A595,import!A:J,8,0)</f>
        <v>19</v>
      </c>
      <c r="I595" s="10">
        <f>VLOOKUP(A595,import!A:J,9,0)</f>
        <v>19</v>
      </c>
      <c r="J595" s="11">
        <f>VLOOKUP(A595,import!A:J,10,0)</f>
        <v>0</v>
      </c>
      <c r="K595" s="10" t="s">
        <v>2904</v>
      </c>
      <c r="L595" s="10">
        <v>5.358301929E9</v>
      </c>
      <c r="M595" s="10" t="s">
        <v>63</v>
      </c>
      <c r="N595" s="10" t="s">
        <v>1148</v>
      </c>
      <c r="O595" s="10" t="s">
        <v>2905</v>
      </c>
      <c r="P595" s="10" t="str">
        <f>VLOOKUP(A595,import!A:P,16,0)</f>
        <v>Geleneksel</v>
      </c>
      <c r="Q595" s="12"/>
      <c r="R595" s="12" t="b">
        <v>1</v>
      </c>
      <c r="S595" s="12" t="b">
        <v>0</v>
      </c>
      <c r="T595" s="13" t="s">
        <v>199</v>
      </c>
      <c r="U595" s="13"/>
      <c r="V595" s="13"/>
      <c r="W595" s="13" t="s">
        <v>2906</v>
      </c>
      <c r="X595" s="15"/>
      <c r="Y595" s="15"/>
      <c r="Z595" s="16"/>
      <c r="AA595" s="17" t="s">
        <v>56</v>
      </c>
      <c r="AB595" s="16">
        <v>44456.0</v>
      </c>
      <c r="AC595" s="16"/>
      <c r="AD595" s="16"/>
      <c r="AE595" s="17"/>
      <c r="AF595" s="16"/>
      <c r="AG595" s="17"/>
      <c r="AH595" s="16"/>
      <c r="AI595" s="16"/>
      <c r="AJ595" s="16"/>
      <c r="AK595" s="17" t="s">
        <v>171</v>
      </c>
      <c r="AL595" s="16"/>
      <c r="AM595" s="16"/>
      <c r="AN595" s="16"/>
      <c r="AO595" s="16"/>
      <c r="AP595" s="18" t="s">
        <v>58</v>
      </c>
      <c r="AQ595" s="16"/>
    </row>
    <row r="596" ht="15.75" hidden="1" customHeight="1">
      <c r="A596" s="18" t="s">
        <v>2907</v>
      </c>
      <c r="B596" s="18" t="s">
        <v>2908</v>
      </c>
      <c r="C596" s="10" t="str">
        <f>VLOOKUP(A596,import!A:C,3,0)</f>
        <v>DOĞRU</v>
      </c>
      <c r="D596" s="18" t="s">
        <v>167</v>
      </c>
      <c r="E596" s="10">
        <f>VLOOKUP(A596,import!A:J,5,0)</f>
        <v>5</v>
      </c>
      <c r="F596" s="10">
        <f>VLOOKUP(A596,import!A:J,6,0)</f>
        <v>5</v>
      </c>
      <c r="G596" s="10">
        <f>VLOOKUP(A596,import!A:J,7,0)</f>
        <v>0</v>
      </c>
      <c r="H596" s="10">
        <f>VLOOKUP(A596,import!A:J,8,0)</f>
        <v>9</v>
      </c>
      <c r="I596" s="10">
        <f>VLOOKUP(A596,import!A:J,9,0)</f>
        <v>9</v>
      </c>
      <c r="J596" s="11">
        <f>VLOOKUP(A596,import!A:J,10,0)</f>
        <v>0</v>
      </c>
      <c r="K596" s="18" t="s">
        <v>2909</v>
      </c>
      <c r="L596" s="18">
        <v>5.431636533E9</v>
      </c>
      <c r="M596" s="18" t="s">
        <v>72</v>
      </c>
      <c r="N596" s="18" t="s">
        <v>548</v>
      </c>
      <c r="O596" s="18" t="s">
        <v>2910</v>
      </c>
      <c r="P596" s="10" t="str">
        <f>VLOOKUP(A596,import!A:P,16,0)</f>
        <v>Geleneksel</v>
      </c>
      <c r="Q596" s="12"/>
      <c r="R596" s="12" t="b">
        <v>0</v>
      </c>
      <c r="S596" s="12" t="b">
        <v>0</v>
      </c>
      <c r="T596" s="13"/>
      <c r="U596" s="13"/>
      <c r="V596" s="13"/>
      <c r="W596" s="13"/>
      <c r="X596" s="15"/>
      <c r="Y596" s="15"/>
      <c r="Z596" s="16"/>
      <c r="AA596" s="17"/>
      <c r="AB596" s="16"/>
      <c r="AC596" s="16"/>
      <c r="AD596" s="16"/>
      <c r="AE596" s="17"/>
      <c r="AF596" s="16"/>
      <c r="AG596" s="17"/>
      <c r="AH596" s="16"/>
      <c r="AI596" s="16"/>
      <c r="AJ596" s="16"/>
      <c r="AK596" s="17"/>
      <c r="AL596" s="16"/>
      <c r="AM596" s="16"/>
      <c r="AN596" s="16"/>
      <c r="AO596" s="16"/>
      <c r="AP596" s="18"/>
      <c r="AQ596" s="16"/>
    </row>
    <row r="597" ht="15.75" hidden="1" customHeight="1">
      <c r="A597" s="10" t="s">
        <v>2911</v>
      </c>
      <c r="B597" s="10" t="s">
        <v>2912</v>
      </c>
      <c r="C597" s="10" t="str">
        <f>VLOOKUP(A597,import!A:C,3,0)</f>
        <v>DOĞRU</v>
      </c>
      <c r="D597" s="10" t="s">
        <v>356</v>
      </c>
      <c r="E597" s="10">
        <f>VLOOKUP(A597,import!A:J,5,0)</f>
        <v>16</v>
      </c>
      <c r="F597" s="10" t="str">
        <f>VLOOKUP(A597,import!A:J,6,0)</f>
        <v/>
      </c>
      <c r="G597" s="10">
        <f>VLOOKUP(A597,import!A:J,7,0)</f>
        <v>12</v>
      </c>
      <c r="H597" s="10">
        <f>VLOOKUP(A597,import!A:J,8,0)</f>
        <v>9</v>
      </c>
      <c r="I597" s="10">
        <f>VLOOKUP(A597,import!A:J,9,0)</f>
        <v>21</v>
      </c>
      <c r="J597" s="11">
        <f>VLOOKUP(A597,import!A:J,10,0)</f>
        <v>0.57</v>
      </c>
      <c r="K597" s="10" t="s">
        <v>2913</v>
      </c>
      <c r="L597" s="10">
        <v>5.44698561E9</v>
      </c>
      <c r="M597" s="10" t="s">
        <v>215</v>
      </c>
      <c r="N597" s="10" t="s">
        <v>560</v>
      </c>
      <c r="O597" s="10" t="s">
        <v>2914</v>
      </c>
      <c r="P597" s="10" t="str">
        <f>VLOOKUP(A597,import!A:P,16,0)</f>
        <v>Geleneksel</v>
      </c>
      <c r="Q597" s="12" t="s">
        <v>50</v>
      </c>
      <c r="R597" s="12" t="b">
        <v>1</v>
      </c>
      <c r="S597" s="12" t="b">
        <v>0</v>
      </c>
      <c r="T597" s="13" t="s">
        <v>265</v>
      </c>
      <c r="U597" s="13" t="s">
        <v>87</v>
      </c>
      <c r="V597" s="13" t="s">
        <v>53</v>
      </c>
      <c r="W597" s="13" t="s">
        <v>2915</v>
      </c>
      <c r="X597" s="15">
        <v>44495.0</v>
      </c>
      <c r="Y597" s="15">
        <v>44496.0</v>
      </c>
      <c r="Z597" s="16"/>
      <c r="AA597" s="17" t="s">
        <v>56</v>
      </c>
      <c r="AB597" s="16">
        <v>44495.0</v>
      </c>
      <c r="AC597" s="17" t="s">
        <v>55</v>
      </c>
      <c r="AD597" s="16">
        <v>44499.0</v>
      </c>
      <c r="AE597" s="17"/>
      <c r="AF597" s="16"/>
      <c r="AG597" s="17"/>
      <c r="AH597" s="16"/>
      <c r="AI597" s="16"/>
      <c r="AJ597" s="16"/>
      <c r="AK597" s="17" t="s">
        <v>87</v>
      </c>
      <c r="AL597" s="17" t="s">
        <v>89</v>
      </c>
      <c r="AM597" s="16"/>
      <c r="AN597" s="16"/>
      <c r="AO597" s="16"/>
      <c r="AP597" s="18" t="s">
        <v>58</v>
      </c>
      <c r="AQ597" s="16"/>
    </row>
    <row r="598" ht="15.75" hidden="1" customHeight="1">
      <c r="A598" s="10" t="s">
        <v>2916</v>
      </c>
      <c r="B598" s="10" t="s">
        <v>2917</v>
      </c>
      <c r="C598" s="10" t="str">
        <f>VLOOKUP(A598,import!A:C,3,0)</f>
        <v>DOĞRU</v>
      </c>
      <c r="D598" s="10" t="s">
        <v>45</v>
      </c>
      <c r="E598" s="10">
        <f>VLOOKUP(A598,import!A:J,5,0)</f>
        <v>586</v>
      </c>
      <c r="F598" s="10">
        <f>VLOOKUP(A598,import!A:J,6,0)</f>
        <v>32</v>
      </c>
      <c r="G598" s="10">
        <f>VLOOKUP(A598,import!A:J,7,0)</f>
        <v>8</v>
      </c>
      <c r="H598" s="10">
        <f>VLOOKUP(A598,import!A:J,8,0)</f>
        <v>19</v>
      </c>
      <c r="I598" s="10">
        <f>VLOOKUP(A598,import!A:J,9,0)</f>
        <v>27</v>
      </c>
      <c r="J598" s="11">
        <f>VLOOKUP(A598,import!A:J,10,0)</f>
        <v>0.3</v>
      </c>
      <c r="K598" s="10" t="s">
        <v>2918</v>
      </c>
      <c r="L598" s="10">
        <v>3.24327666E9</v>
      </c>
      <c r="M598" s="10" t="s">
        <v>72</v>
      </c>
      <c r="N598" s="10" t="s">
        <v>716</v>
      </c>
      <c r="O598" s="10" t="s">
        <v>2919</v>
      </c>
      <c r="P598" s="10" t="str">
        <f>VLOOKUP(A598,import!A:P,16,0)</f>
        <v>Geleneksel</v>
      </c>
      <c r="Q598" s="12" t="s">
        <v>146</v>
      </c>
      <c r="R598" s="12" t="b">
        <v>1</v>
      </c>
      <c r="S598" s="12" t="b">
        <v>0</v>
      </c>
      <c r="T598" s="13" t="s">
        <v>51</v>
      </c>
      <c r="U598" s="13" t="s">
        <v>52</v>
      </c>
      <c r="V598" s="13" t="s">
        <v>278</v>
      </c>
      <c r="W598" s="13" t="s">
        <v>2446</v>
      </c>
      <c r="X598" s="15">
        <v>44274.0</v>
      </c>
      <c r="Y598" s="15">
        <v>44277.0</v>
      </c>
      <c r="Z598" s="17" t="s">
        <v>616</v>
      </c>
      <c r="AA598" s="16"/>
      <c r="AB598" s="16"/>
      <c r="AC598" s="16"/>
      <c r="AD598" s="16"/>
      <c r="AE598" s="17"/>
      <c r="AF598" s="16"/>
      <c r="AG598" s="17"/>
      <c r="AH598" s="16"/>
      <c r="AI598" s="16"/>
      <c r="AJ598" s="16"/>
      <c r="AK598" s="16"/>
      <c r="AL598" s="16"/>
      <c r="AM598" s="16"/>
      <c r="AN598" s="16"/>
      <c r="AO598" s="16"/>
      <c r="AP598" s="18" t="s">
        <v>58</v>
      </c>
      <c r="AQ598" s="16"/>
    </row>
    <row r="599" ht="15.75" customHeight="1">
      <c r="A599" s="10" t="s">
        <v>2920</v>
      </c>
      <c r="B599" s="10" t="s">
        <v>2921</v>
      </c>
      <c r="C599" s="10" t="str">
        <f>VLOOKUP(A599,import!A:C,3,0)</f>
        <v>DOĞRU</v>
      </c>
      <c r="D599" s="10" t="s">
        <v>80</v>
      </c>
      <c r="E599" s="10">
        <f>VLOOKUP(A599,import!A:J,5,0)</f>
        <v>665</v>
      </c>
      <c r="F599" s="10" t="str">
        <f>VLOOKUP(A599,import!A:J,6,0)</f>
        <v/>
      </c>
      <c r="G599" s="10">
        <f>VLOOKUP(A599,import!A:J,7,0)</f>
        <v>19</v>
      </c>
      <c r="H599" s="10">
        <f>VLOOKUP(A599,import!A:J,8,0)</f>
        <v>1</v>
      </c>
      <c r="I599" s="10">
        <f>VLOOKUP(A599,import!A:J,9,0)</f>
        <v>20</v>
      </c>
      <c r="J599" s="11">
        <f>VLOOKUP(A599,import!A:J,10,0)</f>
        <v>0.95</v>
      </c>
      <c r="K599" s="10" t="s">
        <v>2922</v>
      </c>
      <c r="L599" s="10">
        <v>5.451052733E9</v>
      </c>
      <c r="M599" s="10" t="s">
        <v>137</v>
      </c>
      <c r="N599" s="10" t="s">
        <v>374</v>
      </c>
      <c r="O599" s="10" t="s">
        <v>2923</v>
      </c>
      <c r="P599" s="10" t="str">
        <f>VLOOKUP(A599,import!A:P,16,0)</f>
        <v>Geleneksel</v>
      </c>
      <c r="Q599" s="12"/>
      <c r="R599" s="12" t="b">
        <v>1</v>
      </c>
      <c r="S599" s="12" t="b">
        <v>0</v>
      </c>
      <c r="T599" s="13" t="s">
        <v>51</v>
      </c>
      <c r="U599" s="13" t="s">
        <v>321</v>
      </c>
      <c r="V599" s="13" t="s">
        <v>53</v>
      </c>
      <c r="W599" s="13" t="s">
        <v>2924</v>
      </c>
      <c r="X599" s="15">
        <v>44558.0</v>
      </c>
      <c r="Y599" s="15">
        <v>44561.0</v>
      </c>
      <c r="Z599" s="16"/>
      <c r="AA599" s="17" t="s">
        <v>56</v>
      </c>
      <c r="AB599" s="16">
        <v>44515.0</v>
      </c>
      <c r="AC599" s="17" t="s">
        <v>56</v>
      </c>
      <c r="AD599" s="16">
        <v>44533.0</v>
      </c>
      <c r="AE599" s="17" t="s">
        <v>56</v>
      </c>
      <c r="AF599" s="16">
        <v>44553.0</v>
      </c>
      <c r="AG599" s="17" t="s">
        <v>56</v>
      </c>
      <c r="AH599" s="16">
        <v>44557.0</v>
      </c>
      <c r="AI599" s="17" t="s">
        <v>56</v>
      </c>
      <c r="AJ599" s="16">
        <v>44558.0</v>
      </c>
      <c r="AK599" s="17" t="s">
        <v>89</v>
      </c>
      <c r="AL599" s="17" t="s">
        <v>108</v>
      </c>
      <c r="AM599" s="17" t="s">
        <v>89</v>
      </c>
      <c r="AN599" s="17" t="s">
        <v>321</v>
      </c>
      <c r="AO599" s="17" t="s">
        <v>321</v>
      </c>
      <c r="AP599" s="18" t="s">
        <v>58</v>
      </c>
      <c r="AQ599" s="16"/>
    </row>
    <row r="600" ht="15.75" hidden="1" customHeight="1">
      <c r="A600" s="10" t="s">
        <v>2925</v>
      </c>
      <c r="B600" s="10" t="s">
        <v>2926</v>
      </c>
      <c r="C600" s="10" t="str">
        <f>VLOOKUP(A600,import!A:C,3,0)</f>
        <v>DOĞRU</v>
      </c>
      <c r="D600" s="10" t="s">
        <v>45</v>
      </c>
      <c r="E600" s="10">
        <f>VLOOKUP(A600,import!A:J,5,0)</f>
        <v>307</v>
      </c>
      <c r="F600" s="10">
        <f>VLOOKUP(A600,import!A:J,6,0)</f>
        <v>60</v>
      </c>
      <c r="G600" s="10">
        <f>VLOOKUP(A600,import!A:J,7,0)</f>
        <v>12</v>
      </c>
      <c r="H600" s="10">
        <f>VLOOKUP(A600,import!A:J,8,0)</f>
        <v>6</v>
      </c>
      <c r="I600" s="10">
        <f>VLOOKUP(A600,import!A:J,9,0)</f>
        <v>18</v>
      </c>
      <c r="J600" s="11">
        <f>VLOOKUP(A600,import!A:J,10,0)</f>
        <v>0.67</v>
      </c>
      <c r="K600" s="10" t="s">
        <v>2927</v>
      </c>
      <c r="L600" s="10">
        <v>5.418350545E9</v>
      </c>
      <c r="M600" s="10" t="s">
        <v>215</v>
      </c>
      <c r="N600" s="10" t="s">
        <v>239</v>
      </c>
      <c r="O600" s="10" t="s">
        <v>2928</v>
      </c>
      <c r="P600" s="10" t="str">
        <f>VLOOKUP(A600,import!A:P,16,0)</f>
        <v>Geleneksel</v>
      </c>
      <c r="Q600" s="12"/>
      <c r="R600" s="12" t="b">
        <v>1</v>
      </c>
      <c r="S600" s="12" t="b">
        <v>0</v>
      </c>
      <c r="T600" s="13" t="s">
        <v>51</v>
      </c>
      <c r="U600" s="13" t="s">
        <v>367</v>
      </c>
      <c r="V600" s="17" t="s">
        <v>131</v>
      </c>
      <c r="W600" s="13"/>
      <c r="X600" s="15">
        <v>44643.0</v>
      </c>
      <c r="Y600" s="15">
        <v>44645.0</v>
      </c>
      <c r="Z600" s="16"/>
      <c r="AA600" s="17" t="s">
        <v>56</v>
      </c>
      <c r="AB600" s="16">
        <v>44634.0</v>
      </c>
      <c r="AC600" s="17" t="s">
        <v>56</v>
      </c>
      <c r="AD600" s="15">
        <v>44643.0</v>
      </c>
      <c r="AE600" s="17"/>
      <c r="AF600" s="16"/>
      <c r="AG600" s="17"/>
      <c r="AH600" s="16"/>
      <c r="AI600" s="16"/>
      <c r="AJ600" s="16"/>
      <c r="AK600" s="17" t="s">
        <v>89</v>
      </c>
      <c r="AL600" s="17" t="s">
        <v>367</v>
      </c>
      <c r="AM600" s="16"/>
      <c r="AN600" s="16"/>
      <c r="AO600" s="16"/>
      <c r="AP600" s="18"/>
      <c r="AQ600" s="16"/>
    </row>
    <row r="601" ht="15.75" customHeight="1">
      <c r="A601" s="10" t="s">
        <v>2929</v>
      </c>
      <c r="B601" s="10" t="s">
        <v>2930</v>
      </c>
      <c r="C601" s="10" t="str">
        <f>VLOOKUP(A601,import!A:C,3,0)</f>
        <v>DOĞRU</v>
      </c>
      <c r="D601" s="10" t="s">
        <v>80</v>
      </c>
      <c r="E601" s="10">
        <f>VLOOKUP(A601,import!A:J,5,0)</f>
        <v>488</v>
      </c>
      <c r="F601" s="10">
        <f>VLOOKUP(A601,import!A:J,6,0)</f>
        <v>26</v>
      </c>
      <c r="G601" s="10">
        <f>VLOOKUP(A601,import!A:J,7,0)</f>
        <v>0</v>
      </c>
      <c r="H601" s="10">
        <f>VLOOKUP(A601,import!A:J,8,0)</f>
        <v>11</v>
      </c>
      <c r="I601" s="10">
        <f>VLOOKUP(A601,import!A:J,9,0)</f>
        <v>11</v>
      </c>
      <c r="J601" s="11">
        <f>VLOOKUP(A601,import!A:J,10,0)</f>
        <v>0</v>
      </c>
      <c r="K601" s="10" t="s">
        <v>2931</v>
      </c>
      <c r="L601" s="10">
        <v>3.244822616E9</v>
      </c>
      <c r="M601" s="10" t="s">
        <v>63</v>
      </c>
      <c r="N601" s="10" t="s">
        <v>678</v>
      </c>
      <c r="O601" s="10" t="s">
        <v>2932</v>
      </c>
      <c r="P601" s="10" t="str">
        <f>VLOOKUP(A601,import!A:P,16,0)</f>
        <v>Geleneksel</v>
      </c>
      <c r="Q601" s="12" t="s">
        <v>50</v>
      </c>
      <c r="R601" s="12" t="b">
        <v>1</v>
      </c>
      <c r="S601" s="12" t="b">
        <v>0</v>
      </c>
      <c r="T601" s="13" t="s">
        <v>199</v>
      </c>
      <c r="U601" s="13"/>
      <c r="V601" s="13"/>
      <c r="W601" s="13" t="s">
        <v>2933</v>
      </c>
      <c r="X601" s="15"/>
      <c r="Y601" s="15"/>
      <c r="Z601" s="16"/>
      <c r="AA601" s="17" t="s">
        <v>56</v>
      </c>
      <c r="AB601" s="16">
        <v>44456.0</v>
      </c>
      <c r="AC601" s="17" t="s">
        <v>230</v>
      </c>
      <c r="AD601" s="16">
        <v>44495.0</v>
      </c>
      <c r="AE601" s="17" t="s">
        <v>56</v>
      </c>
      <c r="AF601" s="16">
        <v>44560.0</v>
      </c>
      <c r="AG601" s="17"/>
      <c r="AH601" s="16"/>
      <c r="AI601" s="16"/>
      <c r="AJ601" s="16"/>
      <c r="AK601" s="17" t="s">
        <v>171</v>
      </c>
      <c r="AL601" s="17" t="s">
        <v>89</v>
      </c>
      <c r="AM601" s="17" t="s">
        <v>89</v>
      </c>
      <c r="AN601" s="16"/>
      <c r="AO601" s="16"/>
      <c r="AP601" s="18" t="s">
        <v>58</v>
      </c>
      <c r="AQ601" s="16"/>
    </row>
    <row r="602" ht="15.75" customHeight="1">
      <c r="A602" s="10" t="s">
        <v>2934</v>
      </c>
      <c r="B602" s="10" t="s">
        <v>2935</v>
      </c>
      <c r="C602" s="10" t="str">
        <f>VLOOKUP(A602,import!A:C,3,0)</f>
        <v>DOĞRU</v>
      </c>
      <c r="D602" s="10" t="s">
        <v>372</v>
      </c>
      <c r="E602" s="10">
        <f>VLOOKUP(A602,import!A:J,5,0)</f>
        <v>1190</v>
      </c>
      <c r="F602" s="10">
        <f>VLOOKUP(A602,import!A:J,6,0)</f>
        <v>58</v>
      </c>
      <c r="G602" s="10">
        <f>VLOOKUP(A602,import!A:J,7,0)</f>
        <v>73</v>
      </c>
      <c r="H602" s="10">
        <f>VLOOKUP(A602,import!A:J,8,0)</f>
        <v>18</v>
      </c>
      <c r="I602" s="10">
        <f>VLOOKUP(A602,import!A:J,9,0)</f>
        <v>91</v>
      </c>
      <c r="J602" s="11">
        <f>VLOOKUP(A602,import!A:J,10,0)</f>
        <v>0.8</v>
      </c>
      <c r="K602" s="10" t="s">
        <v>2936</v>
      </c>
      <c r="L602" s="10">
        <v>3.243278587E9</v>
      </c>
      <c r="M602" s="10" t="s">
        <v>63</v>
      </c>
      <c r="N602" s="10" t="s">
        <v>93</v>
      </c>
      <c r="O602" s="10" t="s">
        <v>2937</v>
      </c>
      <c r="P602" s="10" t="str">
        <f>VLOOKUP(A602,import!A:P,16,0)</f>
        <v>Geleneksel</v>
      </c>
      <c r="Q602" s="12" t="s">
        <v>84</v>
      </c>
      <c r="R602" s="12" t="b">
        <v>1</v>
      </c>
      <c r="S602" s="12" t="b">
        <v>0</v>
      </c>
      <c r="T602" s="13" t="s">
        <v>51</v>
      </c>
      <c r="U602" s="13" t="s">
        <v>89</v>
      </c>
      <c r="V602" s="13" t="s">
        <v>66</v>
      </c>
      <c r="W602" s="13" t="s">
        <v>2938</v>
      </c>
      <c r="X602" s="15">
        <v>44553.0</v>
      </c>
      <c r="Y602" s="15">
        <v>44559.0</v>
      </c>
      <c r="Z602" s="16"/>
      <c r="AA602" s="17" t="s">
        <v>56</v>
      </c>
      <c r="AB602" s="16">
        <v>44553.0</v>
      </c>
      <c r="AC602" s="16"/>
      <c r="AD602" s="16"/>
      <c r="AE602" s="17"/>
      <c r="AF602" s="16"/>
      <c r="AG602" s="17"/>
      <c r="AH602" s="16"/>
      <c r="AI602" s="16"/>
      <c r="AJ602" s="16"/>
      <c r="AK602" s="17" t="s">
        <v>89</v>
      </c>
      <c r="AL602" s="16"/>
      <c r="AM602" s="16"/>
      <c r="AN602" s="16"/>
      <c r="AO602" s="16"/>
      <c r="AP602" s="18" t="s">
        <v>58</v>
      </c>
      <c r="AQ602" s="16"/>
    </row>
    <row r="603" ht="15.75" hidden="1" customHeight="1">
      <c r="A603" s="10" t="s">
        <v>2939</v>
      </c>
      <c r="B603" s="10" t="s">
        <v>2940</v>
      </c>
      <c r="C603" s="10" t="str">
        <f>VLOOKUP(A603,import!A:C,3,0)</f>
        <v>DOĞRU</v>
      </c>
      <c r="D603" s="10" t="s">
        <v>372</v>
      </c>
      <c r="E603" s="10">
        <f>VLOOKUP(A603,import!A:J,5,0)</f>
        <v>1396</v>
      </c>
      <c r="F603" s="10">
        <f>VLOOKUP(A603,import!A:J,6,0)</f>
        <v>66</v>
      </c>
      <c r="G603" s="10">
        <f>VLOOKUP(A603,import!A:J,7,0)</f>
        <v>65</v>
      </c>
      <c r="H603" s="10">
        <f>VLOOKUP(A603,import!A:J,8,0)</f>
        <v>14</v>
      </c>
      <c r="I603" s="10">
        <f>VLOOKUP(A603,import!A:J,9,0)</f>
        <v>79</v>
      </c>
      <c r="J603" s="11">
        <f>VLOOKUP(A603,import!A:J,10,0)</f>
        <v>0.82</v>
      </c>
      <c r="K603" s="10" t="s">
        <v>2936</v>
      </c>
      <c r="L603" s="10">
        <v>3.243278586E9</v>
      </c>
      <c r="M603" s="10" t="s">
        <v>72</v>
      </c>
      <c r="N603" s="10" t="s">
        <v>128</v>
      </c>
      <c r="O603" s="10" t="s">
        <v>2941</v>
      </c>
      <c r="P603" s="10" t="str">
        <f>VLOOKUP(A603,import!A:P,16,0)</f>
        <v>Geleneksel</v>
      </c>
      <c r="Q603" s="12" t="s">
        <v>84</v>
      </c>
      <c r="R603" s="12" t="b">
        <v>1</v>
      </c>
      <c r="S603" s="12" t="b">
        <v>0</v>
      </c>
      <c r="T603" s="14" t="s">
        <v>140</v>
      </c>
      <c r="U603" s="14" t="s">
        <v>87</v>
      </c>
      <c r="V603" s="14" t="s">
        <v>53</v>
      </c>
      <c r="W603" s="14" t="s">
        <v>2942</v>
      </c>
      <c r="X603" s="29">
        <v>44558.0</v>
      </c>
      <c r="Y603" s="29">
        <v>44560.0</v>
      </c>
      <c r="Z603" s="16"/>
      <c r="AA603" s="17" t="s">
        <v>56</v>
      </c>
      <c r="AB603" s="16">
        <v>44476.0</v>
      </c>
      <c r="AC603" s="17" t="s">
        <v>230</v>
      </c>
      <c r="AD603" s="16">
        <v>44551.0</v>
      </c>
      <c r="AE603" s="17" t="s">
        <v>56</v>
      </c>
      <c r="AF603" s="16">
        <v>44558.0</v>
      </c>
      <c r="AG603" s="17"/>
      <c r="AH603" s="16"/>
      <c r="AI603" s="16"/>
      <c r="AJ603" s="16"/>
      <c r="AK603" s="17" t="s">
        <v>171</v>
      </c>
      <c r="AL603" s="17" t="s">
        <v>314</v>
      </c>
      <c r="AM603" s="17" t="s">
        <v>87</v>
      </c>
      <c r="AN603" s="16"/>
      <c r="AO603" s="16"/>
      <c r="AP603" s="18" t="s">
        <v>58</v>
      </c>
      <c r="AQ603" s="16"/>
    </row>
    <row r="604" ht="15.75" hidden="1" customHeight="1">
      <c r="A604" s="10" t="s">
        <v>2943</v>
      </c>
      <c r="B604" s="10" t="s">
        <v>2944</v>
      </c>
      <c r="C604" s="10" t="str">
        <f>VLOOKUP(A604,import!A:C,3,0)</f>
        <v>YANLIŞ</v>
      </c>
      <c r="D604" s="10" t="s">
        <v>118</v>
      </c>
      <c r="E604" s="10">
        <f>VLOOKUP(A604,import!A:J,5,0)</f>
        <v>184</v>
      </c>
      <c r="F604" s="10" t="str">
        <f>VLOOKUP(A604,import!A:J,6,0)</f>
        <v/>
      </c>
      <c r="G604" s="10">
        <f>VLOOKUP(A604,import!A:J,7,0)</f>
        <v>0</v>
      </c>
      <c r="H604" s="10">
        <f>VLOOKUP(A604,import!A:J,8,0)</f>
        <v>26</v>
      </c>
      <c r="I604" s="10">
        <f>VLOOKUP(A604,import!A:J,9,0)</f>
        <v>26</v>
      </c>
      <c r="J604" s="11">
        <f>VLOOKUP(A604,import!A:J,10,0)</f>
        <v>0</v>
      </c>
      <c r="K604" s="10" t="s">
        <v>2945</v>
      </c>
      <c r="L604" s="10">
        <v>5.42485064E9</v>
      </c>
      <c r="M604" s="10" t="s">
        <v>72</v>
      </c>
      <c r="N604" s="10" t="s">
        <v>810</v>
      </c>
      <c r="O604" s="10" t="s">
        <v>2946</v>
      </c>
      <c r="P604" s="10" t="str">
        <f>VLOOKUP(A604,import!A:P,16,0)</f>
        <v>Geleneksel</v>
      </c>
      <c r="Q604" s="12" t="s">
        <v>75</v>
      </c>
      <c r="R604" s="12" t="b">
        <v>1</v>
      </c>
      <c r="S604" s="12" t="b">
        <v>0</v>
      </c>
      <c r="T604" s="13" t="s">
        <v>130</v>
      </c>
      <c r="U604" s="13"/>
      <c r="V604" s="13"/>
      <c r="W604" s="13" t="s">
        <v>2947</v>
      </c>
      <c r="X604" s="15"/>
      <c r="Y604" s="15"/>
      <c r="Z604" s="16"/>
      <c r="AA604" s="17" t="s">
        <v>86</v>
      </c>
      <c r="AB604" s="16">
        <v>44537.0</v>
      </c>
      <c r="AC604" s="17" t="s">
        <v>56</v>
      </c>
      <c r="AD604" s="16">
        <v>44540.0</v>
      </c>
      <c r="AE604" s="17" t="s">
        <v>55</v>
      </c>
      <c r="AF604" s="16">
        <v>44544.0</v>
      </c>
      <c r="AG604" s="17" t="s">
        <v>56</v>
      </c>
      <c r="AH604" s="16">
        <v>44544.0</v>
      </c>
      <c r="AI604" s="16"/>
      <c r="AJ604" s="16"/>
      <c r="AK604" s="17" t="s">
        <v>329</v>
      </c>
      <c r="AL604" s="17" t="s">
        <v>314</v>
      </c>
      <c r="AM604" s="17" t="s">
        <v>314</v>
      </c>
      <c r="AN604" s="17" t="s">
        <v>103</v>
      </c>
      <c r="AO604" s="16"/>
      <c r="AP604" s="18" t="s">
        <v>58</v>
      </c>
      <c r="AQ604" s="16"/>
    </row>
    <row r="605" ht="15.75" customHeight="1">
      <c r="A605" s="10" t="s">
        <v>2948</v>
      </c>
      <c r="B605" s="10" t="s">
        <v>2949</v>
      </c>
      <c r="C605" s="10" t="str">
        <f>VLOOKUP(A605,import!A:C,3,0)</f>
        <v>DOĞRU</v>
      </c>
      <c r="D605" s="10" t="s">
        <v>356</v>
      </c>
      <c r="E605" s="10">
        <f>VLOOKUP(A605,import!A:J,5,0)</f>
        <v>1478</v>
      </c>
      <c r="F605" s="10">
        <f>VLOOKUP(A605,import!A:J,6,0)</f>
        <v>80</v>
      </c>
      <c r="G605" s="10">
        <f>VLOOKUP(A605,import!A:J,7,0)</f>
        <v>0</v>
      </c>
      <c r="H605" s="10">
        <f>VLOOKUP(A605,import!A:J,8,0)</f>
        <v>84</v>
      </c>
      <c r="I605" s="10">
        <f>VLOOKUP(A605,import!A:J,9,0)</f>
        <v>84</v>
      </c>
      <c r="J605" s="11">
        <f>VLOOKUP(A605,import!A:J,10,0)</f>
        <v>0</v>
      </c>
      <c r="K605" s="10" t="s">
        <v>2950</v>
      </c>
      <c r="L605" s="10">
        <v>5.308722276E9</v>
      </c>
      <c r="M605" s="10" t="s">
        <v>63</v>
      </c>
      <c r="N605" s="10" t="s">
        <v>566</v>
      </c>
      <c r="O605" s="10" t="s">
        <v>2951</v>
      </c>
      <c r="P605" s="10" t="str">
        <f>VLOOKUP(A605,import!A:P,16,0)</f>
        <v>Geleneksel</v>
      </c>
      <c r="Q605" s="12" t="s">
        <v>84</v>
      </c>
      <c r="R605" s="12" t="b">
        <v>1</v>
      </c>
      <c r="S605" s="12" t="b">
        <v>0</v>
      </c>
      <c r="T605" s="13" t="s">
        <v>199</v>
      </c>
      <c r="U605" s="13"/>
      <c r="V605" s="13"/>
      <c r="W605" s="13" t="s">
        <v>2952</v>
      </c>
      <c r="X605" s="15"/>
      <c r="Y605" s="15"/>
      <c r="Z605" s="16"/>
      <c r="AA605" s="17" t="s">
        <v>56</v>
      </c>
      <c r="AB605" s="16">
        <v>44418.0</v>
      </c>
      <c r="AC605" s="17" t="s">
        <v>56</v>
      </c>
      <c r="AD605" s="16">
        <v>44495.0</v>
      </c>
      <c r="AE605" s="17"/>
      <c r="AF605" s="16"/>
      <c r="AG605" s="17"/>
      <c r="AH605" s="16"/>
      <c r="AI605" s="16"/>
      <c r="AJ605" s="16"/>
      <c r="AK605" s="17" t="s">
        <v>95</v>
      </c>
      <c r="AL605" s="17" t="s">
        <v>89</v>
      </c>
      <c r="AM605" s="16"/>
      <c r="AN605" s="16"/>
      <c r="AO605" s="16"/>
      <c r="AP605" s="18" t="s">
        <v>58</v>
      </c>
      <c r="AQ605" s="16"/>
    </row>
    <row r="606" ht="15.75" hidden="1" customHeight="1">
      <c r="A606" s="10" t="s">
        <v>2953</v>
      </c>
      <c r="B606" s="10" t="s">
        <v>2954</v>
      </c>
      <c r="C606" s="10" t="str">
        <f>VLOOKUP(A606,import!A:C,3,0)</f>
        <v>DOĞRU</v>
      </c>
      <c r="D606" s="10" t="s">
        <v>80</v>
      </c>
      <c r="E606" s="10">
        <f>VLOOKUP(A606,import!A:J,5,0)</f>
        <v>2423</v>
      </c>
      <c r="F606" s="10">
        <f>VLOOKUP(A606,import!A:J,6,0)</f>
        <v>169</v>
      </c>
      <c r="G606" s="10">
        <f>VLOOKUP(A606,import!A:J,7,0)</f>
        <v>11</v>
      </c>
      <c r="H606" s="10">
        <f>VLOOKUP(A606,import!A:J,8,0)</f>
        <v>5</v>
      </c>
      <c r="I606" s="10">
        <f>VLOOKUP(A606,import!A:J,9,0)</f>
        <v>16</v>
      </c>
      <c r="J606" s="11">
        <f>VLOOKUP(A606,import!A:J,10,0)</f>
        <v>0.69</v>
      </c>
      <c r="K606" s="10" t="s">
        <v>2955</v>
      </c>
      <c r="L606" s="10">
        <v>3.243610177E9</v>
      </c>
      <c r="M606" s="10" t="s">
        <v>72</v>
      </c>
      <c r="N606" s="10" t="s">
        <v>82</v>
      </c>
      <c r="O606" s="10" t="s">
        <v>2956</v>
      </c>
      <c r="P606" s="10" t="str">
        <f>VLOOKUP(A606,import!A:P,16,0)</f>
        <v>Geleneksel</v>
      </c>
      <c r="Q606" s="12"/>
      <c r="R606" s="12" t="b">
        <v>1</v>
      </c>
      <c r="S606" s="12" t="b">
        <v>0</v>
      </c>
      <c r="T606" s="13" t="s">
        <v>51</v>
      </c>
      <c r="U606" s="13" t="s">
        <v>89</v>
      </c>
      <c r="V606" s="13" t="s">
        <v>53</v>
      </c>
      <c r="W606" s="13" t="s">
        <v>2957</v>
      </c>
      <c r="X606" s="15">
        <v>44511.0</v>
      </c>
      <c r="Y606" s="15">
        <v>44515.0</v>
      </c>
      <c r="Z606" s="16"/>
      <c r="AA606" s="17" t="s">
        <v>230</v>
      </c>
      <c r="AB606" s="16">
        <v>44501.0</v>
      </c>
      <c r="AC606" s="17" t="s">
        <v>56</v>
      </c>
      <c r="AD606" s="16">
        <v>44509.0</v>
      </c>
      <c r="AE606" s="17" t="s">
        <v>56</v>
      </c>
      <c r="AF606" s="16">
        <v>44511.0</v>
      </c>
      <c r="AG606" s="17" t="s">
        <v>56</v>
      </c>
      <c r="AH606" s="16">
        <v>44533.0</v>
      </c>
      <c r="AI606" s="16"/>
      <c r="AJ606" s="16"/>
      <c r="AK606" s="17" t="s">
        <v>52</v>
      </c>
      <c r="AL606" s="17" t="s">
        <v>103</v>
      </c>
      <c r="AM606" s="17" t="s">
        <v>89</v>
      </c>
      <c r="AN606" s="17" t="s">
        <v>108</v>
      </c>
      <c r="AO606" s="16"/>
      <c r="AP606" s="18" t="s">
        <v>58</v>
      </c>
      <c r="AQ606" s="16"/>
    </row>
    <row r="607" ht="15.75" hidden="1" customHeight="1">
      <c r="A607" s="10" t="s">
        <v>2958</v>
      </c>
      <c r="B607" s="10" t="s">
        <v>2959</v>
      </c>
      <c r="C607" s="10" t="str">
        <f>VLOOKUP(A607,import!A:C,3,0)</f>
        <v>DOĞRU</v>
      </c>
      <c r="D607" s="10" t="s">
        <v>118</v>
      </c>
      <c r="E607" s="10">
        <f>VLOOKUP(A607,import!A:J,5,0)</f>
        <v>615</v>
      </c>
      <c r="F607" s="10">
        <f>VLOOKUP(A607,import!A:J,6,0)</f>
        <v>15</v>
      </c>
      <c r="G607" s="10">
        <f>VLOOKUP(A607,import!A:J,7,0)</f>
        <v>0</v>
      </c>
      <c r="H607" s="10">
        <f>VLOOKUP(A607,import!A:J,8,0)</f>
        <v>14</v>
      </c>
      <c r="I607" s="10">
        <f>VLOOKUP(A607,import!A:J,9,0)</f>
        <v>14</v>
      </c>
      <c r="J607" s="11">
        <f>VLOOKUP(A607,import!A:J,10,0)</f>
        <v>0</v>
      </c>
      <c r="K607" s="10" t="s">
        <v>2960</v>
      </c>
      <c r="L607" s="10">
        <v>5.523885482E9</v>
      </c>
      <c r="M607" s="10" t="s">
        <v>902</v>
      </c>
      <c r="N607" s="10" t="s">
        <v>263</v>
      </c>
      <c r="O607" s="10" t="s">
        <v>2961</v>
      </c>
      <c r="P607" s="10" t="str">
        <f>VLOOKUP(A607,import!A:P,16,0)</f>
        <v>Geleneksel</v>
      </c>
      <c r="Q607" s="12"/>
      <c r="R607" s="12" t="b">
        <v>0</v>
      </c>
      <c r="S607" s="12" t="b">
        <v>0</v>
      </c>
      <c r="T607" s="13" t="s">
        <v>485</v>
      </c>
      <c r="U607" s="13"/>
      <c r="V607" s="13"/>
      <c r="W607" s="13"/>
      <c r="X607" s="15"/>
      <c r="Y607" s="15"/>
      <c r="Z607" s="16"/>
      <c r="AA607" s="16"/>
      <c r="AB607" s="16"/>
      <c r="AC607" s="16"/>
      <c r="AD607" s="16"/>
      <c r="AE607" s="17"/>
      <c r="AF607" s="16"/>
      <c r="AG607" s="17"/>
      <c r="AH607" s="16"/>
      <c r="AI607" s="16"/>
      <c r="AJ607" s="16"/>
      <c r="AK607" s="16"/>
      <c r="AL607" s="16"/>
      <c r="AM607" s="16"/>
      <c r="AN607" s="16"/>
      <c r="AO607" s="16"/>
      <c r="AP607" s="18" t="s">
        <v>58</v>
      </c>
      <c r="AQ607" s="16"/>
    </row>
    <row r="608" ht="15.75" hidden="1" customHeight="1">
      <c r="A608" s="10" t="s">
        <v>2962</v>
      </c>
      <c r="B608" s="10" t="s">
        <v>2963</v>
      </c>
      <c r="C608" s="10" t="str">
        <f>VLOOKUP(A608,import!A:C,3,0)</f>
        <v>DOĞRU</v>
      </c>
      <c r="D608" s="10" t="s">
        <v>363</v>
      </c>
      <c r="E608" s="10">
        <f>VLOOKUP(A608,import!A:J,5,0)</f>
        <v>1545</v>
      </c>
      <c r="F608" s="10">
        <f>VLOOKUP(A608,import!A:J,6,0)</f>
        <v>55</v>
      </c>
      <c r="G608" s="10">
        <f>VLOOKUP(A608,import!A:J,7,0)</f>
        <v>0</v>
      </c>
      <c r="H608" s="10">
        <f>VLOOKUP(A608,import!A:J,8,0)</f>
        <v>16</v>
      </c>
      <c r="I608" s="10">
        <f>VLOOKUP(A608,import!A:J,9,0)</f>
        <v>16</v>
      </c>
      <c r="J608" s="11">
        <f>VLOOKUP(A608,import!A:J,10,0)</f>
        <v>0</v>
      </c>
      <c r="K608" s="10" t="s">
        <v>2964</v>
      </c>
      <c r="L608" s="10">
        <v>5.418286687E9</v>
      </c>
      <c r="M608" s="10" t="s">
        <v>187</v>
      </c>
      <c r="N608" s="10" t="s">
        <v>1667</v>
      </c>
      <c r="O608" s="10" t="s">
        <v>2965</v>
      </c>
      <c r="P608" s="10" t="str">
        <f>VLOOKUP(A608,import!A:P,16,0)</f>
        <v>Geleneksel</v>
      </c>
      <c r="Q608" s="12"/>
      <c r="R608" s="12" t="b">
        <v>0</v>
      </c>
      <c r="S608" s="12" t="b">
        <v>0</v>
      </c>
      <c r="T608" s="13" t="s">
        <v>485</v>
      </c>
      <c r="U608" s="13"/>
      <c r="V608" s="13"/>
      <c r="W608" s="13"/>
      <c r="X608" s="15"/>
      <c r="Y608" s="15"/>
      <c r="Z608" s="16"/>
      <c r="AA608" s="16"/>
      <c r="AB608" s="16"/>
      <c r="AC608" s="16"/>
      <c r="AD608" s="16"/>
      <c r="AE608" s="17"/>
      <c r="AF608" s="16"/>
      <c r="AG608" s="17"/>
      <c r="AH608" s="16"/>
      <c r="AI608" s="16"/>
      <c r="AJ608" s="16"/>
      <c r="AK608" s="16"/>
      <c r="AL608" s="16"/>
      <c r="AM608" s="16"/>
      <c r="AN608" s="16"/>
      <c r="AO608" s="16"/>
      <c r="AP608" s="18" t="s">
        <v>58</v>
      </c>
      <c r="AQ608" s="16"/>
    </row>
    <row r="609" ht="15.75" hidden="1" customHeight="1">
      <c r="A609" s="10" t="s">
        <v>2966</v>
      </c>
      <c r="B609" s="10" t="s">
        <v>2967</v>
      </c>
      <c r="C609" s="10" t="str">
        <f>VLOOKUP(A609,import!A:C,3,0)</f>
        <v>DOĞRU</v>
      </c>
      <c r="D609" s="10" t="s">
        <v>356</v>
      </c>
      <c r="E609" s="10">
        <f>VLOOKUP(A609,import!A:J,5,0)</f>
        <v>1358</v>
      </c>
      <c r="F609" s="10">
        <f>VLOOKUP(A609,import!A:J,6,0)</f>
        <v>262</v>
      </c>
      <c r="G609" s="10">
        <f>VLOOKUP(A609,import!A:J,7,0)</f>
        <v>4</v>
      </c>
      <c r="H609" s="10">
        <f>VLOOKUP(A609,import!A:J,8,0)</f>
        <v>10</v>
      </c>
      <c r="I609" s="10">
        <f>VLOOKUP(A609,import!A:J,9,0)</f>
        <v>14</v>
      </c>
      <c r="J609" s="11">
        <f>VLOOKUP(A609,import!A:J,10,0)</f>
        <v>0.29</v>
      </c>
      <c r="K609" s="10" t="s">
        <v>2968</v>
      </c>
      <c r="L609" s="10">
        <v>5.437913547E9</v>
      </c>
      <c r="M609" s="10" t="s">
        <v>72</v>
      </c>
      <c r="N609" s="10" t="s">
        <v>82</v>
      </c>
      <c r="O609" s="10" t="s">
        <v>2969</v>
      </c>
      <c r="P609" s="10" t="str">
        <f>VLOOKUP(A609,import!A:P,16,0)</f>
        <v>Geleneksel</v>
      </c>
      <c r="Q609" s="12" t="s">
        <v>75</v>
      </c>
      <c r="R609" s="12" t="b">
        <v>1</v>
      </c>
      <c r="S609" s="13" t="b">
        <v>0</v>
      </c>
      <c r="T609" s="13" t="s">
        <v>51</v>
      </c>
      <c r="U609" s="13" t="s">
        <v>133</v>
      </c>
      <c r="V609" s="13" t="s">
        <v>53</v>
      </c>
      <c r="W609" s="13" t="s">
        <v>2970</v>
      </c>
      <c r="X609" s="15">
        <v>44267.0</v>
      </c>
      <c r="Y609" s="15">
        <v>44272.0</v>
      </c>
      <c r="Z609" s="16"/>
      <c r="AA609" s="16"/>
      <c r="AB609" s="16"/>
      <c r="AC609" s="17" t="s">
        <v>56</v>
      </c>
      <c r="AD609" s="16">
        <v>44350.0</v>
      </c>
      <c r="AE609" s="17" t="s">
        <v>56</v>
      </c>
      <c r="AF609" s="16">
        <v>44573.0</v>
      </c>
      <c r="AG609" s="17"/>
      <c r="AH609" s="16"/>
      <c r="AI609" s="16"/>
      <c r="AJ609" s="16"/>
      <c r="AK609" s="16"/>
      <c r="AL609" s="17" t="s">
        <v>88</v>
      </c>
      <c r="AM609" s="17" t="s">
        <v>89</v>
      </c>
      <c r="AN609" s="16"/>
      <c r="AO609" s="16"/>
      <c r="AP609" s="18" t="s">
        <v>58</v>
      </c>
      <c r="AQ609" s="16"/>
    </row>
    <row r="610" ht="15.75" hidden="1" customHeight="1">
      <c r="A610" s="10" t="s">
        <v>2971</v>
      </c>
      <c r="B610" s="10" t="s">
        <v>2972</v>
      </c>
      <c r="C610" s="10" t="str">
        <f>VLOOKUP(A610,import!A:C,3,0)</f>
        <v>DOĞRU</v>
      </c>
      <c r="D610" s="10" t="s">
        <v>913</v>
      </c>
      <c r="E610" s="10">
        <f>VLOOKUP(A610,import!A:J,5,0)</f>
        <v>1174</v>
      </c>
      <c r="F610" s="10" t="str">
        <f>VLOOKUP(A610,import!A:J,6,0)</f>
        <v/>
      </c>
      <c r="G610" s="10">
        <f>VLOOKUP(A610,import!A:J,7,0)</f>
        <v>37</v>
      </c>
      <c r="H610" s="10">
        <f>VLOOKUP(A610,import!A:J,8,0)</f>
        <v>82</v>
      </c>
      <c r="I610" s="10">
        <f>VLOOKUP(A610,import!A:J,9,0)</f>
        <v>119</v>
      </c>
      <c r="J610" s="11">
        <f>VLOOKUP(A610,import!A:J,10,0)</f>
        <v>0.31</v>
      </c>
      <c r="K610" s="10" t="s">
        <v>2973</v>
      </c>
      <c r="L610" s="10">
        <v>5.525051863E9</v>
      </c>
      <c r="M610" s="10" t="s">
        <v>72</v>
      </c>
      <c r="N610" s="10" t="s">
        <v>915</v>
      </c>
      <c r="O610" s="10" t="s">
        <v>2974</v>
      </c>
      <c r="P610" s="10" t="str">
        <f>VLOOKUP(A610,import!A:P,16,0)</f>
        <v>Geleneksel</v>
      </c>
      <c r="Q610" s="12" t="s">
        <v>84</v>
      </c>
      <c r="R610" s="12" t="b">
        <v>1</v>
      </c>
      <c r="S610" s="12" t="b">
        <v>0</v>
      </c>
      <c r="T610" s="13" t="s">
        <v>51</v>
      </c>
      <c r="U610" s="13" t="s">
        <v>52</v>
      </c>
      <c r="V610" s="13" t="s">
        <v>53</v>
      </c>
      <c r="W610" s="13" t="s">
        <v>2975</v>
      </c>
      <c r="X610" s="15">
        <v>44279.0</v>
      </c>
      <c r="Y610" s="15">
        <v>44280.0</v>
      </c>
      <c r="Z610" s="16"/>
      <c r="AA610" s="17" t="s">
        <v>56</v>
      </c>
      <c r="AB610" s="16">
        <v>44553.0</v>
      </c>
      <c r="AC610" s="16"/>
      <c r="AD610" s="16"/>
      <c r="AE610" s="17"/>
      <c r="AF610" s="16"/>
      <c r="AG610" s="17"/>
      <c r="AH610" s="16"/>
      <c r="AI610" s="16"/>
      <c r="AJ610" s="16"/>
      <c r="AK610" s="17" t="s">
        <v>89</v>
      </c>
      <c r="AL610" s="16"/>
      <c r="AM610" s="16"/>
      <c r="AN610" s="16"/>
      <c r="AO610" s="16"/>
      <c r="AP610" s="18" t="s">
        <v>58</v>
      </c>
      <c r="AQ610" s="16"/>
    </row>
    <row r="611" ht="15.75" hidden="1" customHeight="1">
      <c r="A611" s="10" t="s">
        <v>2976</v>
      </c>
      <c r="B611" s="10" t="s">
        <v>2977</v>
      </c>
      <c r="C611" s="10" t="str">
        <f>VLOOKUP(A611,import!A:C,3,0)</f>
        <v>DOĞRU</v>
      </c>
      <c r="D611" s="10" t="s">
        <v>80</v>
      </c>
      <c r="E611" s="10">
        <f>VLOOKUP(A611,import!A:J,5,0)</f>
        <v>685</v>
      </c>
      <c r="F611" s="10">
        <f>VLOOKUP(A611,import!A:J,6,0)</f>
        <v>56</v>
      </c>
      <c r="G611" s="10">
        <f>VLOOKUP(A611,import!A:J,7,0)</f>
        <v>12</v>
      </c>
      <c r="H611" s="10">
        <f>VLOOKUP(A611,import!A:J,8,0)</f>
        <v>6</v>
      </c>
      <c r="I611" s="10">
        <f>VLOOKUP(A611,import!A:J,9,0)</f>
        <v>18</v>
      </c>
      <c r="J611" s="11">
        <f>VLOOKUP(A611,import!A:J,10,0)</f>
        <v>0.67</v>
      </c>
      <c r="K611" s="10" t="s">
        <v>2978</v>
      </c>
      <c r="L611" s="10">
        <v>3.243223222E9</v>
      </c>
      <c r="M611" s="10" t="s">
        <v>215</v>
      </c>
      <c r="N611" s="10" t="s">
        <v>263</v>
      </c>
      <c r="O611" s="10" t="s">
        <v>2979</v>
      </c>
      <c r="P611" s="10" t="str">
        <f>VLOOKUP(A611,import!A:P,16,0)</f>
        <v>Geleneksel</v>
      </c>
      <c r="Q611" s="12"/>
      <c r="R611" s="12" t="b">
        <v>1</v>
      </c>
      <c r="S611" s="12" t="b">
        <v>0</v>
      </c>
      <c r="T611" s="13" t="s">
        <v>51</v>
      </c>
      <c r="U611" s="13" t="s">
        <v>89</v>
      </c>
      <c r="V611" s="13" t="s">
        <v>53</v>
      </c>
      <c r="W611" s="13" t="s">
        <v>2980</v>
      </c>
      <c r="X611" s="15">
        <v>44548.0</v>
      </c>
      <c r="Y611" s="15">
        <v>44551.0</v>
      </c>
      <c r="Z611" s="16"/>
      <c r="AA611" s="17" t="s">
        <v>56</v>
      </c>
      <c r="AB611" s="16">
        <v>44533.0</v>
      </c>
      <c r="AC611" s="17" t="s">
        <v>56</v>
      </c>
      <c r="AD611" s="16">
        <v>44546.0</v>
      </c>
      <c r="AE611" s="17" t="s">
        <v>56</v>
      </c>
      <c r="AF611" s="16">
        <v>44548.0</v>
      </c>
      <c r="AG611" s="17"/>
      <c r="AH611" s="16"/>
      <c r="AI611" s="16"/>
      <c r="AJ611" s="16"/>
      <c r="AK611" s="17" t="s">
        <v>87</v>
      </c>
      <c r="AL611" s="17" t="s">
        <v>87</v>
      </c>
      <c r="AM611" s="17" t="s">
        <v>89</v>
      </c>
      <c r="AN611" s="16"/>
      <c r="AO611" s="16"/>
      <c r="AP611" s="18" t="s">
        <v>58</v>
      </c>
      <c r="AQ611" s="16"/>
    </row>
    <row r="612" ht="15.75" hidden="1" customHeight="1">
      <c r="A612" s="10" t="s">
        <v>2981</v>
      </c>
      <c r="B612" s="10" t="s">
        <v>2982</v>
      </c>
      <c r="C612" s="10" t="str">
        <f>VLOOKUP(A612,import!A:C,3,0)</f>
        <v>DOĞRU</v>
      </c>
      <c r="D612" s="10" t="s">
        <v>45</v>
      </c>
      <c r="E612" s="10">
        <f>VLOOKUP(A612,import!A:J,5,0)</f>
        <v>231</v>
      </c>
      <c r="F612" s="10">
        <f>VLOOKUP(A612,import!A:J,6,0)</f>
        <v>44</v>
      </c>
      <c r="G612" s="10">
        <f>VLOOKUP(A612,import!A:J,7,0)</f>
        <v>0</v>
      </c>
      <c r="H612" s="10">
        <f>VLOOKUP(A612,import!A:J,8,0)</f>
        <v>21</v>
      </c>
      <c r="I612" s="10">
        <f>VLOOKUP(A612,import!A:J,9,0)</f>
        <v>21</v>
      </c>
      <c r="J612" s="11">
        <f>VLOOKUP(A612,import!A:J,10,0)</f>
        <v>0</v>
      </c>
      <c r="K612" s="10" t="s">
        <v>2983</v>
      </c>
      <c r="L612" s="10">
        <v>5.314734343E9</v>
      </c>
      <c r="M612" s="10" t="s">
        <v>72</v>
      </c>
      <c r="N612" s="10" t="s">
        <v>73</v>
      </c>
      <c r="O612" s="10" t="s">
        <v>2984</v>
      </c>
      <c r="P612" s="10" t="str">
        <f>VLOOKUP(A612,import!A:P,16,0)</f>
        <v>Geleneksel</v>
      </c>
      <c r="Q612" s="12"/>
      <c r="R612" s="12" t="b">
        <v>1</v>
      </c>
      <c r="S612" s="12" t="b">
        <v>0</v>
      </c>
      <c r="T612" s="13" t="s">
        <v>265</v>
      </c>
      <c r="U612" s="13"/>
      <c r="V612" s="13"/>
      <c r="W612" s="20" t="s">
        <v>2985</v>
      </c>
      <c r="X612" s="15"/>
      <c r="Y612" s="15"/>
      <c r="Z612" s="16"/>
      <c r="AA612" s="17" t="s">
        <v>56</v>
      </c>
      <c r="AB612" s="16">
        <v>44628.0</v>
      </c>
      <c r="AC612" s="17" t="s">
        <v>56</v>
      </c>
      <c r="AD612" s="16">
        <v>44636.0</v>
      </c>
      <c r="AE612" s="17" t="s">
        <v>56</v>
      </c>
      <c r="AF612" s="16">
        <v>44641.0</v>
      </c>
      <c r="AG612" s="17"/>
      <c r="AH612" s="16"/>
      <c r="AI612" s="16"/>
      <c r="AJ612" s="16"/>
      <c r="AK612" s="17" t="s">
        <v>52</v>
      </c>
      <c r="AL612" s="17" t="s">
        <v>133</v>
      </c>
      <c r="AM612" s="17" t="s">
        <v>89</v>
      </c>
      <c r="AN612" s="16"/>
      <c r="AO612" s="16"/>
      <c r="AP612" s="18"/>
      <c r="AQ612" s="16"/>
    </row>
    <row r="613" ht="15.75" hidden="1" customHeight="1">
      <c r="A613" s="10" t="s">
        <v>2986</v>
      </c>
      <c r="B613" s="10" t="s">
        <v>2987</v>
      </c>
      <c r="C613" s="10" t="str">
        <f>VLOOKUP(A613,import!A:C,3,0)</f>
        <v>DOĞRU</v>
      </c>
      <c r="D613" s="10" t="s">
        <v>45</v>
      </c>
      <c r="E613" s="10">
        <f>VLOOKUP(A613,import!A:J,5,0)</f>
        <v>235</v>
      </c>
      <c r="F613" s="10">
        <f>VLOOKUP(A613,import!A:J,6,0)</f>
        <v>72</v>
      </c>
      <c r="G613" s="10">
        <f>VLOOKUP(A613,import!A:J,7,0)</f>
        <v>10</v>
      </c>
      <c r="H613" s="10">
        <f>VLOOKUP(A613,import!A:J,8,0)</f>
        <v>6</v>
      </c>
      <c r="I613" s="10">
        <f>VLOOKUP(A613,import!A:J,9,0)</f>
        <v>16</v>
      </c>
      <c r="J613" s="11">
        <f>VLOOKUP(A613,import!A:J,10,0)</f>
        <v>0.63</v>
      </c>
      <c r="K613" s="10" t="s">
        <v>2988</v>
      </c>
      <c r="L613" s="10">
        <v>5.441992013E9</v>
      </c>
      <c r="M613" s="10" t="s">
        <v>72</v>
      </c>
      <c r="N613" s="10" t="s">
        <v>2989</v>
      </c>
      <c r="O613" s="10" t="s">
        <v>2990</v>
      </c>
      <c r="P613" s="10" t="str">
        <f>VLOOKUP(A613,import!A:P,16,0)</f>
        <v>Geleneksel</v>
      </c>
      <c r="Q613" s="12"/>
      <c r="R613" s="12" t="b">
        <v>1</v>
      </c>
      <c r="S613" s="12" t="b">
        <v>0</v>
      </c>
      <c r="T613" s="13" t="s">
        <v>51</v>
      </c>
      <c r="U613" s="13" t="s">
        <v>52</v>
      </c>
      <c r="V613" s="19" t="s">
        <v>66</v>
      </c>
      <c r="W613" s="13"/>
      <c r="X613" s="15">
        <v>44624.0</v>
      </c>
      <c r="Y613" s="15">
        <v>44628.0</v>
      </c>
      <c r="Z613" s="16"/>
      <c r="AA613" s="17" t="s">
        <v>56</v>
      </c>
      <c r="AB613" s="16">
        <v>44624.0</v>
      </c>
      <c r="AC613" s="16"/>
      <c r="AD613" s="16"/>
      <c r="AE613" s="17"/>
      <c r="AF613" s="16"/>
      <c r="AG613" s="17"/>
      <c r="AH613" s="16"/>
      <c r="AI613" s="16"/>
      <c r="AJ613" s="16"/>
      <c r="AK613" s="17" t="s">
        <v>52</v>
      </c>
      <c r="AL613" s="16"/>
      <c r="AM613" s="16"/>
      <c r="AN613" s="16"/>
      <c r="AO613" s="16"/>
      <c r="AP613" s="18"/>
      <c r="AQ613" s="16"/>
    </row>
    <row r="614" ht="15.75" hidden="1" customHeight="1">
      <c r="A614" s="10" t="s">
        <v>2991</v>
      </c>
      <c r="B614" s="10" t="s">
        <v>2992</v>
      </c>
      <c r="C614" s="10" t="str">
        <f>VLOOKUP(A614,import!A:C,3,0)</f>
        <v>DOĞRU</v>
      </c>
      <c r="D614" s="10" t="s">
        <v>363</v>
      </c>
      <c r="E614" s="10">
        <f>VLOOKUP(A614,import!A:J,5,0)</f>
        <v>529</v>
      </c>
      <c r="F614" s="10">
        <f>VLOOKUP(A614,import!A:J,6,0)</f>
        <v>46</v>
      </c>
      <c r="G614" s="10">
        <f>VLOOKUP(A614,import!A:J,7,0)</f>
        <v>0</v>
      </c>
      <c r="H614" s="10">
        <f>VLOOKUP(A614,import!A:J,8,0)</f>
        <v>10</v>
      </c>
      <c r="I614" s="10">
        <f>VLOOKUP(A614,import!A:J,9,0)</f>
        <v>10</v>
      </c>
      <c r="J614" s="11">
        <f>VLOOKUP(A614,import!A:J,10,0)</f>
        <v>0</v>
      </c>
      <c r="K614" s="10" t="s">
        <v>2993</v>
      </c>
      <c r="L614" s="10">
        <v>5.392028534E9</v>
      </c>
      <c r="M614" s="10" t="s">
        <v>72</v>
      </c>
      <c r="N614" s="10" t="s">
        <v>181</v>
      </c>
      <c r="O614" s="10" t="s">
        <v>2994</v>
      </c>
      <c r="P614" s="10" t="str">
        <f>VLOOKUP(A614,import!A:P,16,0)</f>
        <v>Geleneksel</v>
      </c>
      <c r="Q614" s="12"/>
      <c r="R614" s="12" t="b">
        <v>1</v>
      </c>
      <c r="S614" s="12" t="b">
        <v>0</v>
      </c>
      <c r="T614" s="13" t="s">
        <v>51</v>
      </c>
      <c r="U614" s="13" t="s">
        <v>89</v>
      </c>
      <c r="V614" s="13" t="s">
        <v>66</v>
      </c>
      <c r="W614" s="13"/>
      <c r="X614" s="15">
        <v>44561.0</v>
      </c>
      <c r="Y614" s="15">
        <v>44565.0</v>
      </c>
      <c r="Z614" s="16"/>
      <c r="AA614" s="17" t="s">
        <v>56</v>
      </c>
      <c r="AB614" s="16">
        <v>44544.0</v>
      </c>
      <c r="AC614" s="17" t="s">
        <v>56</v>
      </c>
      <c r="AD614" s="16">
        <v>44561.0</v>
      </c>
      <c r="AE614" s="17"/>
      <c r="AF614" s="16"/>
      <c r="AG614" s="17"/>
      <c r="AH614" s="16"/>
      <c r="AI614" s="16"/>
      <c r="AJ614" s="16"/>
      <c r="AK614" s="17" t="s">
        <v>108</v>
      </c>
      <c r="AL614" s="17" t="s">
        <v>89</v>
      </c>
      <c r="AM614" s="16"/>
      <c r="AN614" s="16"/>
      <c r="AO614" s="16"/>
      <c r="AP614" s="18" t="s">
        <v>58</v>
      </c>
      <c r="AQ614" s="16"/>
    </row>
    <row r="615" ht="15.75" hidden="1" customHeight="1">
      <c r="A615" s="10" t="s">
        <v>2995</v>
      </c>
      <c r="B615" s="10" t="s">
        <v>2996</v>
      </c>
      <c r="C615" s="10" t="str">
        <f>VLOOKUP(A615,import!A:C,3,0)</f>
        <v>DOĞRU</v>
      </c>
      <c r="D615" s="10" t="s">
        <v>913</v>
      </c>
      <c r="E615" s="10">
        <f>VLOOKUP(A615,import!A:J,5,0)</f>
        <v>4856</v>
      </c>
      <c r="F615" s="10">
        <f>VLOOKUP(A615,import!A:J,6,0)</f>
        <v>346</v>
      </c>
      <c r="G615" s="10">
        <f>VLOOKUP(A615,import!A:J,7,0)</f>
        <v>0</v>
      </c>
      <c r="H615" s="10">
        <f>VLOOKUP(A615,import!A:J,8,0)</f>
        <v>134</v>
      </c>
      <c r="I615" s="10">
        <f>VLOOKUP(A615,import!A:J,9,0)</f>
        <v>134</v>
      </c>
      <c r="J615" s="11">
        <f>VLOOKUP(A615,import!A:J,10,0)</f>
        <v>0</v>
      </c>
      <c r="K615" s="10" t="s">
        <v>2997</v>
      </c>
      <c r="L615" s="10">
        <v>3.243293363E9</v>
      </c>
      <c r="M615" s="10" t="s">
        <v>72</v>
      </c>
      <c r="N615" s="10" t="s">
        <v>113</v>
      </c>
      <c r="O615" s="10" t="s">
        <v>2998</v>
      </c>
      <c r="P615" s="10" t="str">
        <f>VLOOKUP(A615,import!A:P,16,0)</f>
        <v>Geleneksel</v>
      </c>
      <c r="Q615" s="12"/>
      <c r="R615" s="12" t="b">
        <v>1</v>
      </c>
      <c r="S615" s="12" t="b">
        <v>0</v>
      </c>
      <c r="T615" s="13" t="s">
        <v>199</v>
      </c>
      <c r="U615" s="13" t="s">
        <v>89</v>
      </c>
      <c r="V615" s="13" t="s">
        <v>66</v>
      </c>
      <c r="W615" s="13" t="s">
        <v>2999</v>
      </c>
      <c r="X615" s="15">
        <v>44503.0</v>
      </c>
      <c r="Y615" s="15">
        <v>44504.0</v>
      </c>
      <c r="Z615" s="16"/>
      <c r="AA615" s="17" t="s">
        <v>56</v>
      </c>
      <c r="AB615" s="16">
        <v>44431.0</v>
      </c>
      <c r="AC615" s="17" t="s">
        <v>55</v>
      </c>
      <c r="AD615" s="16">
        <v>44475.0</v>
      </c>
      <c r="AE615" s="17" t="s">
        <v>56</v>
      </c>
      <c r="AF615" s="16">
        <v>44503.0</v>
      </c>
      <c r="AG615" s="17" t="s">
        <v>56</v>
      </c>
      <c r="AH615" s="16">
        <v>44544.0</v>
      </c>
      <c r="AI615" s="17" t="s">
        <v>56</v>
      </c>
      <c r="AJ615" s="16">
        <v>44546.0</v>
      </c>
      <c r="AK615" s="17" t="s">
        <v>367</v>
      </c>
      <c r="AL615" s="17" t="s">
        <v>171</v>
      </c>
      <c r="AM615" s="17" t="s">
        <v>89</v>
      </c>
      <c r="AN615" s="17" t="s">
        <v>103</v>
      </c>
      <c r="AO615" s="17" t="s">
        <v>87</v>
      </c>
      <c r="AP615" s="18" t="s">
        <v>58</v>
      </c>
      <c r="AQ615" s="16"/>
    </row>
    <row r="616" ht="15.75" hidden="1" customHeight="1">
      <c r="A616" s="10" t="s">
        <v>3000</v>
      </c>
      <c r="B616" s="10" t="s">
        <v>3001</v>
      </c>
      <c r="C616" s="10" t="str">
        <f>VLOOKUP(A616,import!A:C,3,0)</f>
        <v>DOĞRU</v>
      </c>
      <c r="D616" s="10" t="s">
        <v>70</v>
      </c>
      <c r="E616" s="10">
        <f>VLOOKUP(A616,import!A:J,5,0)</f>
        <v>28190</v>
      </c>
      <c r="F616" s="10">
        <f>VLOOKUP(A616,import!A:J,6,0)</f>
        <v>1267</v>
      </c>
      <c r="G616" s="10">
        <f>VLOOKUP(A616,import!A:J,7,0)</f>
        <v>5</v>
      </c>
      <c r="H616" s="10">
        <f>VLOOKUP(A616,import!A:J,8,0)</f>
        <v>2</v>
      </c>
      <c r="I616" s="10">
        <f>VLOOKUP(A616,import!A:J,9,0)</f>
        <v>7</v>
      </c>
      <c r="J616" s="11">
        <f>VLOOKUP(A616,import!A:J,10,0)</f>
        <v>0.71</v>
      </c>
      <c r="K616" s="10" t="s">
        <v>3002</v>
      </c>
      <c r="L616" s="10">
        <v>3.243291881E9</v>
      </c>
      <c r="M616" s="10" t="s">
        <v>72</v>
      </c>
      <c r="N616" s="10" t="s">
        <v>73</v>
      </c>
      <c r="O616" s="10" t="s">
        <v>3003</v>
      </c>
      <c r="P616" s="10" t="str">
        <f>VLOOKUP(A616,import!A:P,16,0)</f>
        <v>Geleneksel</v>
      </c>
      <c r="Q616" s="12" t="s">
        <v>50</v>
      </c>
      <c r="R616" s="12" t="b">
        <v>1</v>
      </c>
      <c r="S616" s="12" t="b">
        <v>0</v>
      </c>
      <c r="T616" s="13" t="s">
        <v>51</v>
      </c>
      <c r="U616" s="13" t="s">
        <v>133</v>
      </c>
      <c r="V616" s="13" t="s">
        <v>66</v>
      </c>
      <c r="W616" s="13" t="s">
        <v>3004</v>
      </c>
      <c r="X616" s="15">
        <v>44278.0</v>
      </c>
      <c r="Y616" s="15">
        <v>44279.0</v>
      </c>
      <c r="Z616" s="16"/>
      <c r="AA616" s="16"/>
      <c r="AB616" s="16"/>
      <c r="AC616" s="16"/>
      <c r="AD616" s="16"/>
      <c r="AE616" s="17"/>
      <c r="AF616" s="16"/>
      <c r="AG616" s="17"/>
      <c r="AH616" s="16"/>
      <c r="AI616" s="16"/>
      <c r="AJ616" s="16"/>
      <c r="AK616" s="16"/>
      <c r="AL616" s="16"/>
      <c r="AM616" s="16"/>
      <c r="AN616" s="16"/>
      <c r="AO616" s="16"/>
      <c r="AP616" s="18" t="s">
        <v>58</v>
      </c>
      <c r="AQ616" s="16"/>
    </row>
    <row r="617" ht="15.75" hidden="1" customHeight="1">
      <c r="A617" s="10" t="s">
        <v>3005</v>
      </c>
      <c r="B617" s="10" t="s">
        <v>3006</v>
      </c>
      <c r="C617" s="10" t="str">
        <f>VLOOKUP(A617,import!A:C,3,0)</f>
        <v>YANLIŞ</v>
      </c>
      <c r="D617" s="10" t="s">
        <v>118</v>
      </c>
      <c r="E617" s="10">
        <f>VLOOKUP(A617,import!A:J,5,0)</f>
        <v>65</v>
      </c>
      <c r="F617" s="10" t="str">
        <f>VLOOKUP(A617,import!A:J,6,0)</f>
        <v/>
      </c>
      <c r="G617" s="10">
        <f>VLOOKUP(A617,import!A:J,7,0)</f>
        <v>0</v>
      </c>
      <c r="H617" s="10">
        <f>VLOOKUP(A617,import!A:J,8,0)</f>
        <v>18</v>
      </c>
      <c r="I617" s="10">
        <f>VLOOKUP(A617,import!A:J,9,0)</f>
        <v>18</v>
      </c>
      <c r="J617" s="11">
        <f>VLOOKUP(A617,import!A:J,10,0)</f>
        <v>0</v>
      </c>
      <c r="K617" s="10" t="s">
        <v>3007</v>
      </c>
      <c r="L617" s="10">
        <v>3.24502404E9</v>
      </c>
      <c r="M617" s="10" t="s">
        <v>72</v>
      </c>
      <c r="N617" s="10" t="s">
        <v>1298</v>
      </c>
      <c r="O617" s="10" t="s">
        <v>3008</v>
      </c>
      <c r="P617" s="10" t="str">
        <f>VLOOKUP(A617,import!A:P,16,0)</f>
        <v>Geleneksel</v>
      </c>
      <c r="Q617" s="12"/>
      <c r="R617" s="12" t="b">
        <v>1</v>
      </c>
      <c r="S617" s="12" t="b">
        <v>0</v>
      </c>
      <c r="T617" s="13" t="s">
        <v>265</v>
      </c>
      <c r="U617" s="13"/>
      <c r="V617" s="13"/>
      <c r="W617" s="13" t="s">
        <v>3009</v>
      </c>
      <c r="X617" s="15"/>
      <c r="Y617" s="15"/>
      <c r="Z617" s="16"/>
      <c r="AA617" s="17" t="s">
        <v>265</v>
      </c>
      <c r="AB617" s="16">
        <v>44393.0</v>
      </c>
      <c r="AC617" s="17" t="s">
        <v>56</v>
      </c>
      <c r="AD617" s="16">
        <v>44431.0</v>
      </c>
      <c r="AE617" s="17" t="s">
        <v>55</v>
      </c>
      <c r="AF617" s="16">
        <v>44475.0</v>
      </c>
      <c r="AG617" s="17" t="s">
        <v>56</v>
      </c>
      <c r="AH617" s="16">
        <v>44476.0</v>
      </c>
      <c r="AI617" s="17" t="s">
        <v>230</v>
      </c>
      <c r="AJ617" s="16">
        <v>44536.0</v>
      </c>
      <c r="AK617" s="17" t="s">
        <v>1698</v>
      </c>
      <c r="AL617" s="17" t="s">
        <v>367</v>
      </c>
      <c r="AM617" s="17" t="s">
        <v>171</v>
      </c>
      <c r="AN617" s="17" t="s">
        <v>171</v>
      </c>
      <c r="AO617" s="17" t="s">
        <v>314</v>
      </c>
      <c r="AP617" s="18" t="s">
        <v>58</v>
      </c>
      <c r="AQ617" s="17"/>
    </row>
    <row r="618" ht="15.75" customHeight="1">
      <c r="A618" s="10" t="s">
        <v>3010</v>
      </c>
      <c r="B618" s="10" t="s">
        <v>3011</v>
      </c>
      <c r="C618" s="10" t="str">
        <f>VLOOKUP(A618,import!A:C,3,0)</f>
        <v>DOĞRU</v>
      </c>
      <c r="D618" s="10" t="s">
        <v>564</v>
      </c>
      <c r="E618" s="10">
        <f>VLOOKUP(A618,import!A:J,5,0)</f>
        <v>17</v>
      </c>
      <c r="F618" s="10" t="str">
        <f>VLOOKUP(A618,import!A:J,6,0)</f>
        <v/>
      </c>
      <c r="G618" s="10">
        <f>VLOOKUP(A618,import!A:J,7,0)</f>
        <v>0</v>
      </c>
      <c r="H618" s="10">
        <f>VLOOKUP(A618,import!A:J,8,0)</f>
        <v>17</v>
      </c>
      <c r="I618" s="10">
        <f>VLOOKUP(A618,import!A:J,9,0)</f>
        <v>17</v>
      </c>
      <c r="J618" s="11">
        <f>VLOOKUP(A618,import!A:J,10,0)</f>
        <v>0</v>
      </c>
      <c r="K618" s="10" t="s">
        <v>3012</v>
      </c>
      <c r="L618" s="10">
        <v>5.526403385E9</v>
      </c>
      <c r="M618" s="10" t="s">
        <v>137</v>
      </c>
      <c r="N618" s="10" t="s">
        <v>426</v>
      </c>
      <c r="O618" s="10" t="s">
        <v>3013</v>
      </c>
      <c r="P618" s="10" t="str">
        <f>VLOOKUP(A618,import!A:P,16,0)</f>
        <v>Geleneksel</v>
      </c>
      <c r="Q618" s="12"/>
      <c r="R618" s="12" t="b">
        <v>1</v>
      </c>
      <c r="S618" s="12" t="b">
        <v>0</v>
      </c>
      <c r="T618" s="13"/>
      <c r="U618" s="13"/>
      <c r="V618" s="13"/>
      <c r="W618" s="13"/>
      <c r="X618" s="15"/>
      <c r="Y618" s="15"/>
      <c r="Z618" s="16"/>
      <c r="AA618" s="17" t="s">
        <v>55</v>
      </c>
      <c r="AB618" s="16">
        <v>44643.0</v>
      </c>
      <c r="AC618" s="16"/>
      <c r="AD618" s="16"/>
      <c r="AE618" s="17"/>
      <c r="AF618" s="16"/>
      <c r="AG618" s="17"/>
      <c r="AH618" s="16"/>
      <c r="AI618" s="16"/>
      <c r="AJ618" s="16"/>
      <c r="AK618" s="17" t="s">
        <v>267</v>
      </c>
      <c r="AL618" s="16"/>
      <c r="AM618" s="16"/>
      <c r="AN618" s="16"/>
      <c r="AO618" s="16"/>
      <c r="AP618" s="18"/>
      <c r="AQ618" s="16"/>
    </row>
    <row r="619" ht="15.75" hidden="1" customHeight="1">
      <c r="A619" s="10" t="s">
        <v>3014</v>
      </c>
      <c r="B619" s="10" t="s">
        <v>3015</v>
      </c>
      <c r="C619" s="10" t="str">
        <f>VLOOKUP(A619,import!A:C,3,0)</f>
        <v>DOĞRU</v>
      </c>
      <c r="D619" s="10" t="s">
        <v>167</v>
      </c>
      <c r="E619" s="10">
        <f>VLOOKUP(A619,import!A:J,5,0)</f>
        <v>2022</v>
      </c>
      <c r="F619" s="10">
        <f>VLOOKUP(A619,import!A:J,6,0)</f>
        <v>165</v>
      </c>
      <c r="G619" s="10">
        <f>VLOOKUP(A619,import!A:J,7,0)</f>
        <v>14</v>
      </c>
      <c r="H619" s="10">
        <f>VLOOKUP(A619,import!A:J,8,0)</f>
        <v>15</v>
      </c>
      <c r="I619" s="10">
        <f>VLOOKUP(A619,import!A:J,9,0)</f>
        <v>29</v>
      </c>
      <c r="J619" s="11">
        <f>VLOOKUP(A619,import!A:J,10,0)</f>
        <v>0.48</v>
      </c>
      <c r="K619" s="10" t="s">
        <v>3016</v>
      </c>
      <c r="L619" s="10">
        <v>5.321000333E9</v>
      </c>
      <c r="M619" s="10" t="s">
        <v>72</v>
      </c>
      <c r="N619" s="10" t="s">
        <v>1298</v>
      </c>
      <c r="O619" s="10" t="s">
        <v>3017</v>
      </c>
      <c r="P619" s="10" t="str">
        <f>VLOOKUP(A619,import!A:P,16,0)</f>
        <v>Geleneksel</v>
      </c>
      <c r="Q619" s="12"/>
      <c r="R619" s="12" t="b">
        <v>1</v>
      </c>
      <c r="S619" s="12" t="b">
        <v>0</v>
      </c>
      <c r="T619" s="13" t="s">
        <v>51</v>
      </c>
      <c r="U619" s="13" t="s">
        <v>52</v>
      </c>
      <c r="V619" s="13" t="s">
        <v>66</v>
      </c>
      <c r="W619" s="13" t="s">
        <v>3018</v>
      </c>
      <c r="X619" s="15">
        <v>44491.0</v>
      </c>
      <c r="Y619" s="15">
        <v>44494.0</v>
      </c>
      <c r="Z619" s="17" t="s">
        <v>616</v>
      </c>
      <c r="AA619" s="17" t="s">
        <v>56</v>
      </c>
      <c r="AB619" s="16">
        <v>44361.0</v>
      </c>
      <c r="AC619" s="17" t="s">
        <v>56</v>
      </c>
      <c r="AD619" s="16">
        <v>44475.0</v>
      </c>
      <c r="AE619" s="17" t="s">
        <v>56</v>
      </c>
      <c r="AF619" s="16">
        <v>44491.0</v>
      </c>
      <c r="AG619" s="17"/>
      <c r="AH619" s="16"/>
      <c r="AI619" s="16"/>
      <c r="AJ619" s="16"/>
      <c r="AK619" s="17" t="s">
        <v>88</v>
      </c>
      <c r="AL619" s="17" t="s">
        <v>171</v>
      </c>
      <c r="AM619" s="17" t="s">
        <v>52</v>
      </c>
      <c r="AN619" s="16"/>
      <c r="AO619" s="16"/>
      <c r="AP619" s="18" t="s">
        <v>58</v>
      </c>
      <c r="AQ619" s="16"/>
    </row>
    <row r="620" ht="15.75" customHeight="1">
      <c r="A620" s="10" t="s">
        <v>3019</v>
      </c>
      <c r="B620" s="10" t="s">
        <v>3020</v>
      </c>
      <c r="C620" s="10" t="str">
        <f>VLOOKUP(A620,import!A:C,3,0)</f>
        <v>DOĞRU</v>
      </c>
      <c r="D620" s="10" t="s">
        <v>80</v>
      </c>
      <c r="E620" s="10">
        <f>VLOOKUP(A620,import!A:J,5,0)</f>
        <v>1958</v>
      </c>
      <c r="F620" s="10">
        <f>VLOOKUP(A620,import!A:J,6,0)</f>
        <v>79</v>
      </c>
      <c r="G620" s="10">
        <f>VLOOKUP(A620,import!A:J,7,0)</f>
        <v>0</v>
      </c>
      <c r="H620" s="10">
        <f>VLOOKUP(A620,import!A:J,8,0)</f>
        <v>15</v>
      </c>
      <c r="I620" s="10">
        <f>VLOOKUP(A620,import!A:J,9,0)</f>
        <v>15</v>
      </c>
      <c r="J620" s="11">
        <f>VLOOKUP(A620,import!A:J,10,0)</f>
        <v>0</v>
      </c>
      <c r="K620" s="10" t="s">
        <v>3021</v>
      </c>
      <c r="L620" s="10">
        <v>3.243580767E9</v>
      </c>
      <c r="M620" s="10" t="s">
        <v>63</v>
      </c>
      <c r="N620" s="10" t="s">
        <v>566</v>
      </c>
      <c r="O620" s="10" t="s">
        <v>3022</v>
      </c>
      <c r="P620" s="10" t="str">
        <f>VLOOKUP(A620,import!A:P,16,0)</f>
        <v>Geleneksel</v>
      </c>
      <c r="Q620" s="12" t="s">
        <v>146</v>
      </c>
      <c r="R620" s="12" t="b">
        <v>1</v>
      </c>
      <c r="S620" s="12" t="b">
        <v>1</v>
      </c>
      <c r="T620" s="13"/>
      <c r="U620" s="13"/>
      <c r="V620" s="13"/>
      <c r="W620" s="13" t="s">
        <v>3023</v>
      </c>
      <c r="X620" s="15"/>
      <c r="Y620" s="15"/>
      <c r="Z620" s="16"/>
      <c r="AA620" s="17" t="s">
        <v>230</v>
      </c>
      <c r="AB620" s="16">
        <v>44418.0</v>
      </c>
      <c r="AC620" s="17" t="s">
        <v>56</v>
      </c>
      <c r="AD620" s="16">
        <v>44495.0</v>
      </c>
      <c r="AE620" s="17"/>
      <c r="AF620" s="16"/>
      <c r="AG620" s="17"/>
      <c r="AH620" s="16"/>
      <c r="AI620" s="16"/>
      <c r="AJ620" s="16"/>
      <c r="AK620" s="17" t="s">
        <v>95</v>
      </c>
      <c r="AL620" s="17" t="s">
        <v>89</v>
      </c>
      <c r="AM620" s="16"/>
      <c r="AN620" s="16"/>
      <c r="AO620" s="16"/>
      <c r="AP620" s="18" t="s">
        <v>58</v>
      </c>
      <c r="AQ620" s="16"/>
    </row>
    <row r="621" ht="15.75" customHeight="1">
      <c r="A621" s="18" t="s">
        <v>3024</v>
      </c>
      <c r="B621" s="18" t="s">
        <v>3025</v>
      </c>
      <c r="C621" s="10" t="str">
        <f>VLOOKUP(A621,import!A:C,3,0)</f>
        <v>DOĞRU</v>
      </c>
      <c r="D621" s="18" t="s">
        <v>80</v>
      </c>
      <c r="E621" s="10" t="str">
        <f>VLOOKUP(A621,import!A:J,5,0)</f>
        <v/>
      </c>
      <c r="F621" s="10" t="str">
        <f>VLOOKUP(A621,import!A:J,6,0)</f>
        <v/>
      </c>
      <c r="G621" s="10">
        <f>VLOOKUP(A621,import!A:J,7,0)</f>
        <v>0</v>
      </c>
      <c r="H621" s="10">
        <f>VLOOKUP(A621,import!A:J,8,0)</f>
        <v>3</v>
      </c>
      <c r="I621" s="10">
        <f>VLOOKUP(A621,import!A:J,9,0)</f>
        <v>3</v>
      </c>
      <c r="J621" s="11">
        <f>VLOOKUP(A621,import!A:J,10,0)</f>
        <v>0</v>
      </c>
      <c r="K621" s="18" t="s">
        <v>3026</v>
      </c>
      <c r="L621" s="18">
        <v>5.434996533E9</v>
      </c>
      <c r="M621" s="18" t="s">
        <v>63</v>
      </c>
      <c r="N621" s="18" t="s">
        <v>137</v>
      </c>
      <c r="O621" s="18" t="s">
        <v>3027</v>
      </c>
      <c r="P621" s="10" t="str">
        <f>VLOOKUP(A621,import!A:P,16,0)</f>
        <v>Geleneksel</v>
      </c>
      <c r="Q621" s="12"/>
      <c r="R621" s="12" t="b">
        <v>0</v>
      </c>
      <c r="S621" s="12" t="b">
        <v>0</v>
      </c>
      <c r="T621" s="13"/>
      <c r="U621" s="13"/>
      <c r="V621" s="13"/>
      <c r="W621" s="13"/>
      <c r="X621" s="15"/>
      <c r="Y621" s="15"/>
      <c r="Z621" s="16"/>
      <c r="AA621" s="17"/>
      <c r="AB621" s="16"/>
      <c r="AC621" s="16"/>
      <c r="AD621" s="16"/>
      <c r="AE621" s="17"/>
      <c r="AF621" s="16"/>
      <c r="AG621" s="17"/>
      <c r="AH621" s="16"/>
      <c r="AI621" s="16"/>
      <c r="AJ621" s="16"/>
      <c r="AK621" s="17"/>
      <c r="AL621" s="16"/>
      <c r="AM621" s="16"/>
      <c r="AN621" s="16"/>
      <c r="AO621" s="16"/>
      <c r="AP621" s="18"/>
      <c r="AQ621" s="16"/>
    </row>
    <row r="622" ht="15.75" hidden="1" customHeight="1">
      <c r="A622" s="10" t="s">
        <v>3028</v>
      </c>
      <c r="B622" s="10" t="s">
        <v>3029</v>
      </c>
      <c r="C622" s="10" t="str">
        <f>VLOOKUP(A622,import!A:C,3,0)</f>
        <v>DOĞRU</v>
      </c>
      <c r="D622" s="10" t="s">
        <v>106</v>
      </c>
      <c r="E622" s="10">
        <f>VLOOKUP(A622,import!A:J,5,0)</f>
        <v>530</v>
      </c>
      <c r="F622" s="10">
        <f>VLOOKUP(A622,import!A:J,6,0)</f>
        <v>32</v>
      </c>
      <c r="G622" s="10">
        <f>VLOOKUP(A622,import!A:J,7,0)</f>
        <v>0</v>
      </c>
      <c r="H622" s="10">
        <f>VLOOKUP(A622,import!A:J,8,0)</f>
        <v>28</v>
      </c>
      <c r="I622" s="10">
        <f>VLOOKUP(A622,import!A:J,9,0)</f>
        <v>28</v>
      </c>
      <c r="J622" s="11">
        <f>VLOOKUP(A622,import!A:J,10,0)</f>
        <v>0</v>
      </c>
      <c r="K622" s="10" t="s">
        <v>3030</v>
      </c>
      <c r="L622" s="10">
        <v>3.24327906E9</v>
      </c>
      <c r="M622" s="10" t="s">
        <v>72</v>
      </c>
      <c r="N622" s="10" t="s">
        <v>113</v>
      </c>
      <c r="O622" s="10" t="s">
        <v>3031</v>
      </c>
      <c r="P622" s="10" t="str">
        <f>VLOOKUP(A622,import!A:P,16,0)</f>
        <v>Geleneksel</v>
      </c>
      <c r="Q622" s="12"/>
      <c r="R622" s="12" t="b">
        <v>1</v>
      </c>
      <c r="S622" s="12" t="b">
        <v>0</v>
      </c>
      <c r="T622" s="13" t="s">
        <v>265</v>
      </c>
      <c r="U622" s="13" t="s">
        <v>89</v>
      </c>
      <c r="V622" s="13" t="s">
        <v>53</v>
      </c>
      <c r="W622" s="28" t="s">
        <v>3032</v>
      </c>
      <c r="X622" s="15">
        <v>44520.0</v>
      </c>
      <c r="Y622" s="15">
        <v>44523.0</v>
      </c>
      <c r="Z622" s="16"/>
      <c r="AA622" s="17" t="s">
        <v>56</v>
      </c>
      <c r="AB622" s="16">
        <v>44508.0</v>
      </c>
      <c r="AC622" s="17" t="s">
        <v>56</v>
      </c>
      <c r="AD622" s="16">
        <v>44510.0</v>
      </c>
      <c r="AE622" s="17" t="s">
        <v>56</v>
      </c>
      <c r="AF622" s="16">
        <v>44520.0</v>
      </c>
      <c r="AG622" s="17" t="s">
        <v>230</v>
      </c>
      <c r="AH622" s="16">
        <v>44540.0</v>
      </c>
      <c r="AI622" s="17" t="s">
        <v>56</v>
      </c>
      <c r="AJ622" s="16">
        <v>44660.0</v>
      </c>
      <c r="AK622" s="17" t="s">
        <v>133</v>
      </c>
      <c r="AL622" s="17" t="s">
        <v>133</v>
      </c>
      <c r="AM622" s="17" t="s">
        <v>89</v>
      </c>
      <c r="AN622" s="17" t="s">
        <v>314</v>
      </c>
      <c r="AO622" s="17" t="s">
        <v>89</v>
      </c>
      <c r="AP622" s="18" t="s">
        <v>58</v>
      </c>
      <c r="AQ622" s="17"/>
    </row>
    <row r="623" ht="15.75" hidden="1" customHeight="1">
      <c r="A623" s="10" t="s">
        <v>3033</v>
      </c>
      <c r="B623" s="10" t="s">
        <v>3034</v>
      </c>
      <c r="C623" s="10" t="str">
        <f>VLOOKUP(A623,import!A:C,3,0)</f>
        <v>DOĞRU</v>
      </c>
      <c r="D623" s="10" t="s">
        <v>754</v>
      </c>
      <c r="E623" s="10">
        <f>VLOOKUP(A623,import!A:J,5,0)</f>
        <v>101</v>
      </c>
      <c r="F623" s="10">
        <f>VLOOKUP(A623,import!A:J,6,0)</f>
        <v>1</v>
      </c>
      <c r="G623" s="10">
        <f>VLOOKUP(A623,import!A:J,7,0)</f>
        <v>0</v>
      </c>
      <c r="H623" s="10">
        <f>VLOOKUP(A623,import!A:J,8,0)</f>
        <v>32</v>
      </c>
      <c r="I623" s="10">
        <f>VLOOKUP(A623,import!A:J,9,0)</f>
        <v>32</v>
      </c>
      <c r="J623" s="11">
        <f>VLOOKUP(A623,import!A:J,10,0)</f>
        <v>0</v>
      </c>
      <c r="K623" s="10" t="s">
        <v>3035</v>
      </c>
      <c r="L623" s="10">
        <v>5.350290858E9</v>
      </c>
      <c r="M623" s="10" t="s">
        <v>47</v>
      </c>
      <c r="N623" s="10" t="s">
        <v>48</v>
      </c>
      <c r="O623" s="10" t="s">
        <v>3036</v>
      </c>
      <c r="P623" s="10" t="str">
        <f>VLOOKUP(A623,import!A:P,16,0)</f>
        <v>Geleneksel</v>
      </c>
      <c r="Q623" s="12"/>
      <c r="R623" s="12" t="b">
        <v>0</v>
      </c>
      <c r="S623" s="12" t="b">
        <v>0</v>
      </c>
      <c r="T623" s="13"/>
      <c r="U623" s="13"/>
      <c r="V623" s="13"/>
      <c r="W623" s="13" t="s">
        <v>3037</v>
      </c>
      <c r="X623" s="15"/>
      <c r="Y623" s="15"/>
      <c r="Z623" s="16"/>
      <c r="AA623" s="17" t="s">
        <v>56</v>
      </c>
      <c r="AB623" s="15">
        <v>44694.0</v>
      </c>
      <c r="AC623" s="16"/>
      <c r="AD623" s="16"/>
      <c r="AE623" s="17"/>
      <c r="AF623" s="16"/>
      <c r="AG623" s="17"/>
      <c r="AH623" s="16"/>
      <c r="AI623" s="16"/>
      <c r="AJ623" s="16"/>
      <c r="AK623" s="17" t="s">
        <v>367</v>
      </c>
      <c r="AL623" s="16"/>
      <c r="AM623" s="16"/>
      <c r="AN623" s="16"/>
      <c r="AO623" s="16"/>
      <c r="AP623" s="18"/>
      <c r="AQ623" s="16"/>
    </row>
    <row r="624" ht="15.75" hidden="1" customHeight="1">
      <c r="A624" s="18" t="s">
        <v>3038</v>
      </c>
      <c r="B624" s="18" t="s">
        <v>3039</v>
      </c>
      <c r="C624" s="10" t="str">
        <f>VLOOKUP(A624,import!A:C,3,0)</f>
        <v>DOĞRU</v>
      </c>
      <c r="D624" s="18" t="s">
        <v>70</v>
      </c>
      <c r="E624" s="10">
        <f>VLOOKUP(A624,import!A:J,5,0)</f>
        <v>43</v>
      </c>
      <c r="F624" s="10">
        <f>VLOOKUP(A624,import!A:J,6,0)</f>
        <v>43</v>
      </c>
      <c r="G624" s="10">
        <f>VLOOKUP(A624,import!A:J,7,0)</f>
        <v>0</v>
      </c>
      <c r="H624" s="10">
        <f>VLOOKUP(A624,import!A:J,8,0)</f>
        <v>26</v>
      </c>
      <c r="I624" s="10">
        <f>VLOOKUP(A624,import!A:J,9,0)</f>
        <v>26</v>
      </c>
      <c r="J624" s="11">
        <f>VLOOKUP(A624,import!A:J,10,0)</f>
        <v>0</v>
      </c>
      <c r="K624" s="18" t="s">
        <v>3040</v>
      </c>
      <c r="L624" s="18">
        <v>3.248145003E9</v>
      </c>
      <c r="M624" s="18" t="s">
        <v>902</v>
      </c>
      <c r="N624" s="18" t="s">
        <v>1483</v>
      </c>
      <c r="O624" s="18" t="s">
        <v>3041</v>
      </c>
      <c r="P624" s="10" t="str">
        <f>VLOOKUP(A624,import!A:P,16,0)</f>
        <v>Geleneksel</v>
      </c>
      <c r="Q624" s="12"/>
      <c r="R624" s="12" t="b">
        <v>0</v>
      </c>
      <c r="S624" s="12" t="b">
        <v>0</v>
      </c>
      <c r="T624" s="13"/>
      <c r="U624" s="13"/>
      <c r="V624" s="13"/>
      <c r="W624" s="13"/>
      <c r="X624" s="15"/>
      <c r="Y624" s="15"/>
      <c r="Z624" s="16"/>
      <c r="AA624" s="17"/>
      <c r="AB624" s="16"/>
      <c r="AC624" s="16"/>
      <c r="AD624" s="16"/>
      <c r="AE624" s="17"/>
      <c r="AF624" s="16"/>
      <c r="AG624" s="17"/>
      <c r="AH624" s="16"/>
      <c r="AI624" s="16"/>
      <c r="AJ624" s="16"/>
      <c r="AK624" s="17"/>
      <c r="AL624" s="16"/>
      <c r="AM624" s="16"/>
      <c r="AN624" s="16"/>
      <c r="AO624" s="16"/>
      <c r="AP624" s="18"/>
      <c r="AQ624" s="16"/>
    </row>
    <row r="625" ht="15.75" hidden="1" customHeight="1">
      <c r="A625" s="10" t="s">
        <v>3042</v>
      </c>
      <c r="B625" s="10" t="s">
        <v>3043</v>
      </c>
      <c r="C625" s="10" t="str">
        <f>VLOOKUP(A625,import!A:C,3,0)</f>
        <v>DOĞRU</v>
      </c>
      <c r="D625" s="10" t="s">
        <v>106</v>
      </c>
      <c r="E625" s="10">
        <f>VLOOKUP(A625,import!A:J,5,0)</f>
        <v>195</v>
      </c>
      <c r="F625" s="10">
        <f>VLOOKUP(A625,import!A:J,6,0)</f>
        <v>9</v>
      </c>
      <c r="G625" s="10">
        <f>VLOOKUP(A625,import!A:J,7,0)</f>
        <v>0</v>
      </c>
      <c r="H625" s="10">
        <f>VLOOKUP(A625,import!A:J,8,0)</f>
        <v>34</v>
      </c>
      <c r="I625" s="10">
        <f>VLOOKUP(A625,import!A:J,9,0)</f>
        <v>34</v>
      </c>
      <c r="J625" s="11">
        <f>VLOOKUP(A625,import!A:J,10,0)</f>
        <v>0</v>
      </c>
      <c r="K625" s="10" t="s">
        <v>3044</v>
      </c>
      <c r="L625" s="10">
        <v>5.38740362E9</v>
      </c>
      <c r="M625" s="10" t="s">
        <v>47</v>
      </c>
      <c r="N625" s="10" t="s">
        <v>756</v>
      </c>
      <c r="O625" s="10" t="s">
        <v>3045</v>
      </c>
      <c r="P625" s="10" t="str">
        <f>VLOOKUP(A625,import!A:P,16,0)</f>
        <v>Geleneksel</v>
      </c>
      <c r="Q625" s="12"/>
      <c r="R625" s="12" t="b">
        <v>0</v>
      </c>
      <c r="S625" s="12" t="b">
        <v>0</v>
      </c>
      <c r="T625" s="13" t="s">
        <v>485</v>
      </c>
      <c r="U625" s="13"/>
      <c r="V625" s="13"/>
      <c r="W625" s="13"/>
      <c r="X625" s="15"/>
      <c r="Y625" s="15"/>
      <c r="Z625" s="16"/>
      <c r="AA625" s="16"/>
      <c r="AB625" s="16"/>
      <c r="AC625" s="16"/>
      <c r="AD625" s="16"/>
      <c r="AE625" s="17"/>
      <c r="AF625" s="16"/>
      <c r="AG625" s="17"/>
      <c r="AH625" s="16"/>
      <c r="AI625" s="16"/>
      <c r="AJ625" s="16"/>
      <c r="AK625" s="16"/>
      <c r="AL625" s="16"/>
      <c r="AM625" s="16"/>
      <c r="AN625" s="16"/>
      <c r="AO625" s="16"/>
      <c r="AP625" s="18"/>
      <c r="AQ625" s="16"/>
    </row>
    <row r="626" ht="15.75" hidden="1" customHeight="1">
      <c r="A626" s="10" t="s">
        <v>3046</v>
      </c>
      <c r="B626" s="10" t="s">
        <v>3047</v>
      </c>
      <c r="C626" s="10" t="str">
        <f>VLOOKUP(A626,import!A:C,3,0)</f>
        <v>DOĞRU</v>
      </c>
      <c r="D626" s="10" t="s">
        <v>80</v>
      </c>
      <c r="E626" s="10">
        <f>VLOOKUP(A626,import!A:J,5,0)</f>
        <v>1</v>
      </c>
      <c r="F626" s="10" t="str">
        <f>VLOOKUP(A626,import!A:J,6,0)</f>
        <v/>
      </c>
      <c r="G626" s="10">
        <f>VLOOKUP(A626,import!A:J,7,0)</f>
        <v>0</v>
      </c>
      <c r="H626" s="10">
        <f>VLOOKUP(A626,import!A:J,8,0)</f>
        <v>24</v>
      </c>
      <c r="I626" s="10">
        <f>VLOOKUP(A626,import!A:J,9,0)</f>
        <v>24</v>
      </c>
      <c r="J626" s="11">
        <f>VLOOKUP(A626,import!A:J,10,0)</f>
        <v>0</v>
      </c>
      <c r="K626" s="10" t="s">
        <v>3048</v>
      </c>
      <c r="L626" s="10">
        <v>5.308404484E9</v>
      </c>
      <c r="M626" s="10" t="s">
        <v>72</v>
      </c>
      <c r="N626" s="10" t="s">
        <v>82</v>
      </c>
      <c r="O626" s="10" t="s">
        <v>3049</v>
      </c>
      <c r="P626" s="10" t="str">
        <f>VLOOKUP(A626,import!A:P,16,0)</f>
        <v>Geleneksel</v>
      </c>
      <c r="Q626" s="12"/>
      <c r="R626" s="12" t="b">
        <v>1</v>
      </c>
      <c r="S626" s="12" t="b">
        <v>0</v>
      </c>
      <c r="T626" s="13" t="s">
        <v>55</v>
      </c>
      <c r="U626" s="13"/>
      <c r="V626" s="13"/>
      <c r="W626" s="13" t="s">
        <v>3050</v>
      </c>
      <c r="X626" s="15"/>
      <c r="Y626" s="15"/>
      <c r="Z626" s="16"/>
      <c r="AA626" s="17" t="s">
        <v>55</v>
      </c>
      <c r="AB626" s="16">
        <v>44655.0</v>
      </c>
      <c r="AC626" s="16"/>
      <c r="AD626" s="16"/>
      <c r="AE626" s="17"/>
      <c r="AF626" s="16"/>
      <c r="AG626" s="17"/>
      <c r="AH626" s="16"/>
      <c r="AI626" s="16"/>
      <c r="AJ626" s="16"/>
      <c r="AK626" s="17" t="s">
        <v>133</v>
      </c>
      <c r="AL626" s="16"/>
      <c r="AM626" s="16"/>
      <c r="AN626" s="16"/>
      <c r="AO626" s="16"/>
      <c r="AP626" s="18"/>
      <c r="AQ626" s="16"/>
    </row>
    <row r="627" ht="15.75" customHeight="1">
      <c r="A627" s="10" t="s">
        <v>3051</v>
      </c>
      <c r="B627" s="10" t="s">
        <v>3052</v>
      </c>
      <c r="C627" s="10" t="str">
        <f>VLOOKUP(A627,import!A:C,3,0)</f>
        <v>DOĞRU</v>
      </c>
      <c r="D627" s="10" t="s">
        <v>80</v>
      </c>
      <c r="E627" s="10">
        <f>VLOOKUP(A627,import!A:J,5,0)</f>
        <v>28</v>
      </c>
      <c r="F627" s="10">
        <f>VLOOKUP(A627,import!A:J,6,0)</f>
        <v>19</v>
      </c>
      <c r="G627" s="10">
        <f>VLOOKUP(A627,import!A:J,7,0)</f>
        <v>9</v>
      </c>
      <c r="H627" s="10">
        <f>VLOOKUP(A627,import!A:J,8,0)</f>
        <v>1</v>
      </c>
      <c r="I627" s="10">
        <f>VLOOKUP(A627,import!A:J,9,0)</f>
        <v>10</v>
      </c>
      <c r="J627" s="11">
        <f>VLOOKUP(A627,import!A:J,10,0)</f>
        <v>0.9</v>
      </c>
      <c r="K627" s="10" t="s">
        <v>3053</v>
      </c>
      <c r="L627" s="10">
        <v>5.416814733E9</v>
      </c>
      <c r="M627" s="10" t="s">
        <v>137</v>
      </c>
      <c r="N627" s="10" t="s">
        <v>526</v>
      </c>
      <c r="O627" s="10" t="s">
        <v>3054</v>
      </c>
      <c r="P627" s="10" t="str">
        <f>VLOOKUP(A627,import!A:P,16,0)</f>
        <v>Geleneksel</v>
      </c>
      <c r="Q627" s="12"/>
      <c r="R627" s="12" t="b">
        <v>1</v>
      </c>
      <c r="S627" s="12" t="b">
        <v>0</v>
      </c>
      <c r="T627" s="13" t="s">
        <v>51</v>
      </c>
      <c r="U627" s="13" t="s">
        <v>267</v>
      </c>
      <c r="V627" s="17" t="s">
        <v>66</v>
      </c>
      <c r="W627" s="13"/>
      <c r="X627" s="15">
        <v>44645.0</v>
      </c>
      <c r="Y627" s="15">
        <v>44649.0</v>
      </c>
      <c r="Z627" s="16"/>
      <c r="AA627" s="17" t="s">
        <v>56</v>
      </c>
      <c r="AB627" s="16">
        <v>44643.0</v>
      </c>
      <c r="AC627" s="17" t="s">
        <v>56</v>
      </c>
      <c r="AD627" s="16">
        <v>44645.0</v>
      </c>
      <c r="AE627" s="17"/>
      <c r="AF627" s="16"/>
      <c r="AG627" s="17"/>
      <c r="AH627" s="16"/>
      <c r="AI627" s="16"/>
      <c r="AJ627" s="16"/>
      <c r="AK627" s="17" t="s">
        <v>267</v>
      </c>
      <c r="AL627" s="17" t="s">
        <v>267</v>
      </c>
      <c r="AM627" s="16"/>
      <c r="AN627" s="16"/>
      <c r="AO627" s="16"/>
      <c r="AP627" s="18"/>
      <c r="AQ627" s="16"/>
    </row>
    <row r="628" ht="15.75" customHeight="1">
      <c r="A628" s="10" t="s">
        <v>3055</v>
      </c>
      <c r="B628" s="10" t="s">
        <v>3056</v>
      </c>
      <c r="C628" s="10" t="str">
        <f>VLOOKUP(A628,import!A:C,3,0)</f>
        <v>DOĞRU</v>
      </c>
      <c r="D628" s="10" t="s">
        <v>118</v>
      </c>
      <c r="E628" s="10">
        <f>VLOOKUP(A628,import!A:J,5,0)</f>
        <v>1290</v>
      </c>
      <c r="F628" s="10">
        <f>VLOOKUP(A628,import!A:J,6,0)</f>
        <v>57</v>
      </c>
      <c r="G628" s="10">
        <f>VLOOKUP(A628,import!A:J,7,0)</f>
        <v>0</v>
      </c>
      <c r="H628" s="10">
        <f>VLOOKUP(A628,import!A:J,8,0)</f>
        <v>53</v>
      </c>
      <c r="I628" s="10">
        <f>VLOOKUP(A628,import!A:J,9,0)</f>
        <v>53</v>
      </c>
      <c r="J628" s="11">
        <f>VLOOKUP(A628,import!A:J,10,0)</f>
        <v>0</v>
      </c>
      <c r="K628" s="10" t="s">
        <v>3057</v>
      </c>
      <c r="L628" s="10">
        <v>3.243588821E9</v>
      </c>
      <c r="M628" s="10" t="s">
        <v>63</v>
      </c>
      <c r="N628" s="10" t="s">
        <v>700</v>
      </c>
      <c r="O628" s="10" t="s">
        <v>3058</v>
      </c>
      <c r="P628" s="10" t="str">
        <f>VLOOKUP(A628,import!A:P,16,0)</f>
        <v>Geleneksel</v>
      </c>
      <c r="Q628" s="12" t="s">
        <v>84</v>
      </c>
      <c r="R628" s="12" t="b">
        <v>1</v>
      </c>
      <c r="S628" s="12" t="b">
        <v>0</v>
      </c>
      <c r="T628" s="13" t="s">
        <v>199</v>
      </c>
      <c r="U628" s="13" t="s">
        <v>52</v>
      </c>
      <c r="V628" s="13" t="s">
        <v>66</v>
      </c>
      <c r="W628" s="28" t="s">
        <v>3059</v>
      </c>
      <c r="X628" s="15">
        <v>44274.0</v>
      </c>
      <c r="Y628" s="15">
        <v>44277.0</v>
      </c>
      <c r="Z628" s="16"/>
      <c r="AA628" s="17" t="s">
        <v>56</v>
      </c>
      <c r="AB628" s="16">
        <v>44460.0</v>
      </c>
      <c r="AC628" s="17" t="s">
        <v>86</v>
      </c>
      <c r="AD628" s="16">
        <v>44517.0</v>
      </c>
      <c r="AE628" s="17"/>
      <c r="AF628" s="16"/>
      <c r="AG628" s="17"/>
      <c r="AH628" s="16"/>
      <c r="AI628" s="16"/>
      <c r="AJ628" s="16"/>
      <c r="AK628" s="17" t="s">
        <v>87</v>
      </c>
      <c r="AL628" s="17" t="s">
        <v>57</v>
      </c>
      <c r="AM628" s="16"/>
      <c r="AN628" s="16"/>
      <c r="AO628" s="16"/>
      <c r="AP628" s="18" t="s">
        <v>58</v>
      </c>
      <c r="AQ628" s="16"/>
    </row>
    <row r="629" ht="15.75" customHeight="1">
      <c r="A629" s="10" t="s">
        <v>3060</v>
      </c>
      <c r="B629" s="10" t="s">
        <v>3061</v>
      </c>
      <c r="C629" s="10" t="str">
        <f>VLOOKUP(A629,import!A:C,3,0)</f>
        <v>DOĞRU</v>
      </c>
      <c r="D629" s="10" t="s">
        <v>80</v>
      </c>
      <c r="E629" s="10">
        <f>VLOOKUP(A629,import!A:J,5,0)</f>
        <v>2452</v>
      </c>
      <c r="F629" s="10">
        <f>VLOOKUP(A629,import!A:J,6,0)</f>
        <v>76</v>
      </c>
      <c r="G629" s="10">
        <f>VLOOKUP(A629,import!A:J,7,0)</f>
        <v>12</v>
      </c>
      <c r="H629" s="10">
        <f>VLOOKUP(A629,import!A:J,8,0)</f>
        <v>4</v>
      </c>
      <c r="I629" s="10">
        <f>VLOOKUP(A629,import!A:J,9,0)</f>
        <v>16</v>
      </c>
      <c r="J629" s="11">
        <f>VLOOKUP(A629,import!A:J,10,0)</f>
        <v>0.75</v>
      </c>
      <c r="K629" s="10" t="s">
        <v>3062</v>
      </c>
      <c r="L629" s="10">
        <v>5.367804567E9</v>
      </c>
      <c r="M629" s="10" t="s">
        <v>63</v>
      </c>
      <c r="N629" s="10" t="s">
        <v>566</v>
      </c>
      <c r="O629" s="10" t="s">
        <v>3063</v>
      </c>
      <c r="P629" s="10" t="str">
        <f>VLOOKUP(A629,import!A:P,16,0)</f>
        <v>Geleneksel</v>
      </c>
      <c r="Q629" s="12" t="s">
        <v>50</v>
      </c>
      <c r="R629" s="12" t="b">
        <v>1</v>
      </c>
      <c r="S629" s="13" t="b">
        <v>0</v>
      </c>
      <c r="T629" s="13" t="s">
        <v>51</v>
      </c>
      <c r="U629" s="13" t="s">
        <v>654</v>
      </c>
      <c r="V629" s="13" t="s">
        <v>66</v>
      </c>
      <c r="W629" s="13"/>
      <c r="X629" s="15">
        <v>44281.0</v>
      </c>
      <c r="Y629" s="15">
        <v>44285.0</v>
      </c>
      <c r="Z629" s="16"/>
      <c r="AA629" s="16"/>
      <c r="AB629" s="16"/>
      <c r="AC629" s="16"/>
      <c r="AD629" s="16"/>
      <c r="AE629" s="17"/>
      <c r="AF629" s="16"/>
      <c r="AG629" s="17"/>
      <c r="AH629" s="16"/>
      <c r="AI629" s="16"/>
      <c r="AJ629" s="16"/>
      <c r="AK629" s="16"/>
      <c r="AL629" s="16"/>
      <c r="AM629" s="16"/>
      <c r="AN629" s="16"/>
      <c r="AO629" s="16"/>
      <c r="AP629" s="18" t="s">
        <v>58</v>
      </c>
      <c r="AQ629" s="16"/>
    </row>
    <row r="630" ht="15.75" hidden="1" customHeight="1">
      <c r="A630" s="10" t="s">
        <v>3064</v>
      </c>
      <c r="B630" s="10" t="s">
        <v>3065</v>
      </c>
      <c r="C630" s="10" t="str">
        <f>VLOOKUP(A630,import!A:C,3,0)</f>
        <v>DOĞRU</v>
      </c>
      <c r="D630" s="10" t="s">
        <v>80</v>
      </c>
      <c r="E630" s="10">
        <f>VLOOKUP(A630,import!A:J,5,0)</f>
        <v>596</v>
      </c>
      <c r="F630" s="10">
        <f>VLOOKUP(A630,import!A:J,6,0)</f>
        <v>42</v>
      </c>
      <c r="G630" s="10">
        <f>VLOOKUP(A630,import!A:J,7,0)</f>
        <v>18</v>
      </c>
      <c r="H630" s="10">
        <f>VLOOKUP(A630,import!A:J,8,0)</f>
        <v>6</v>
      </c>
      <c r="I630" s="10">
        <f>VLOOKUP(A630,import!A:J,9,0)</f>
        <v>24</v>
      </c>
      <c r="J630" s="11">
        <f>VLOOKUP(A630,import!A:J,10,0)</f>
        <v>0.75</v>
      </c>
      <c r="K630" s="10" t="s">
        <v>3066</v>
      </c>
      <c r="L630" s="10">
        <v>3.243283201E9</v>
      </c>
      <c r="M630" s="10" t="s">
        <v>72</v>
      </c>
      <c r="N630" s="10" t="s">
        <v>128</v>
      </c>
      <c r="O630" s="10" t="s">
        <v>3067</v>
      </c>
      <c r="P630" s="10" t="str">
        <f>VLOOKUP(A630,import!A:P,16,0)</f>
        <v>Geleneksel</v>
      </c>
      <c r="Q630" s="12"/>
      <c r="R630" s="12" t="b">
        <v>1</v>
      </c>
      <c r="S630" s="12" t="b">
        <v>0</v>
      </c>
      <c r="T630" s="13" t="s">
        <v>51</v>
      </c>
      <c r="U630" s="13" t="s">
        <v>545</v>
      </c>
      <c r="V630" s="13" t="s">
        <v>53</v>
      </c>
      <c r="W630" s="13" t="s">
        <v>3068</v>
      </c>
      <c r="X630" s="15">
        <v>44295.0</v>
      </c>
      <c r="Y630" s="15">
        <v>44298.0</v>
      </c>
      <c r="Z630" s="16"/>
      <c r="AA630" s="17" t="s">
        <v>56</v>
      </c>
      <c r="AB630" s="16">
        <v>44553.0</v>
      </c>
      <c r="AC630" s="16"/>
      <c r="AD630" s="16"/>
      <c r="AE630" s="17"/>
      <c r="AF630" s="16"/>
      <c r="AG630" s="17"/>
      <c r="AH630" s="16"/>
      <c r="AI630" s="16"/>
      <c r="AJ630" s="16"/>
      <c r="AK630" s="17" t="s">
        <v>89</v>
      </c>
      <c r="AL630" s="16"/>
      <c r="AM630" s="16"/>
      <c r="AN630" s="16"/>
      <c r="AO630" s="16"/>
      <c r="AP630" s="18" t="s">
        <v>58</v>
      </c>
      <c r="AQ630" s="16"/>
    </row>
    <row r="631" ht="15.75" hidden="1" customHeight="1">
      <c r="A631" s="10" t="s">
        <v>3069</v>
      </c>
      <c r="B631" s="10" t="s">
        <v>3070</v>
      </c>
      <c r="C631" s="10" t="str">
        <f>VLOOKUP(A631,import!A:C,3,0)</f>
        <v>YANLIŞ</v>
      </c>
      <c r="D631" s="10" t="s">
        <v>80</v>
      </c>
      <c r="E631" s="10">
        <f>VLOOKUP(A631,import!A:J,5,0)</f>
        <v>2394</v>
      </c>
      <c r="F631" s="10" t="str">
        <f>VLOOKUP(A631,import!A:J,6,0)</f>
        <v/>
      </c>
      <c r="G631" s="10">
        <f>VLOOKUP(A631,import!A:J,7,0)</f>
        <v>11</v>
      </c>
      <c r="H631" s="10">
        <f>VLOOKUP(A631,import!A:J,8,0)</f>
        <v>5</v>
      </c>
      <c r="I631" s="10">
        <f>VLOOKUP(A631,import!A:J,9,0)</f>
        <v>16</v>
      </c>
      <c r="J631" s="11">
        <f>VLOOKUP(A631,import!A:J,10,0)</f>
        <v>0.69</v>
      </c>
      <c r="K631" s="10" t="s">
        <v>3071</v>
      </c>
      <c r="L631" s="10">
        <v>3.243291011E9</v>
      </c>
      <c r="M631" s="10" t="s">
        <v>72</v>
      </c>
      <c r="N631" s="10" t="s">
        <v>716</v>
      </c>
      <c r="O631" s="10" t="s">
        <v>3072</v>
      </c>
      <c r="P631" s="10" t="str">
        <f>VLOOKUP(A631,import!A:P,16,0)</f>
        <v>Geleneksel</v>
      </c>
      <c r="Q631" s="12" t="s">
        <v>50</v>
      </c>
      <c r="R631" s="12" t="b">
        <v>1</v>
      </c>
      <c r="S631" s="12" t="b">
        <v>1</v>
      </c>
      <c r="T631" s="13"/>
      <c r="U631" s="13"/>
      <c r="V631" s="13"/>
      <c r="W631" s="14" t="s">
        <v>3073</v>
      </c>
      <c r="X631" s="15"/>
      <c r="Y631" s="15"/>
      <c r="Z631" s="17" t="s">
        <v>616</v>
      </c>
      <c r="AA631" s="17" t="s">
        <v>86</v>
      </c>
      <c r="AB631" s="16">
        <v>44350.0</v>
      </c>
      <c r="AC631" s="17" t="s">
        <v>56</v>
      </c>
      <c r="AD631" s="16">
        <v>44361.0</v>
      </c>
      <c r="AE631" s="17"/>
      <c r="AF631" s="16"/>
      <c r="AG631" s="17"/>
      <c r="AH631" s="16"/>
      <c r="AI631" s="16"/>
      <c r="AJ631" s="16"/>
      <c r="AK631" s="17" t="s">
        <v>88</v>
      </c>
      <c r="AL631" s="17" t="s">
        <v>88</v>
      </c>
      <c r="AM631" s="16"/>
      <c r="AN631" s="16"/>
      <c r="AO631" s="16"/>
      <c r="AP631" s="18" t="s">
        <v>58</v>
      </c>
      <c r="AQ631" s="16"/>
    </row>
    <row r="632" ht="15.75" hidden="1" customHeight="1">
      <c r="A632" s="10" t="s">
        <v>3074</v>
      </c>
      <c r="B632" s="10" t="s">
        <v>3075</v>
      </c>
      <c r="C632" s="10" t="str">
        <f>VLOOKUP(A632,import!A:C,3,0)</f>
        <v>DOĞRU</v>
      </c>
      <c r="D632" s="10" t="s">
        <v>80</v>
      </c>
      <c r="E632" s="10">
        <f>VLOOKUP(A632,import!A:J,5,0)</f>
        <v>333</v>
      </c>
      <c r="F632" s="10">
        <f>VLOOKUP(A632,import!A:J,6,0)</f>
        <v>19</v>
      </c>
      <c r="G632" s="10">
        <f>VLOOKUP(A632,import!A:J,7,0)</f>
        <v>6</v>
      </c>
      <c r="H632" s="10">
        <f>VLOOKUP(A632,import!A:J,8,0)</f>
        <v>5</v>
      </c>
      <c r="I632" s="10">
        <f>VLOOKUP(A632,import!A:J,9,0)</f>
        <v>11</v>
      </c>
      <c r="J632" s="11">
        <f>VLOOKUP(A632,import!A:J,10,0)</f>
        <v>0.55</v>
      </c>
      <c r="K632" s="10" t="s">
        <v>3076</v>
      </c>
      <c r="L632" s="10">
        <v>3.243262658E9</v>
      </c>
      <c r="M632" s="10" t="s">
        <v>72</v>
      </c>
      <c r="N632" s="10" t="s">
        <v>120</v>
      </c>
      <c r="O632" s="10" t="s">
        <v>3077</v>
      </c>
      <c r="P632" s="10" t="str">
        <f>VLOOKUP(A632,import!A:P,16,0)</f>
        <v>Geleneksel</v>
      </c>
      <c r="Q632" s="12"/>
      <c r="R632" s="12" t="b">
        <v>1</v>
      </c>
      <c r="S632" s="12" t="b">
        <v>0</v>
      </c>
      <c r="T632" s="13" t="s">
        <v>51</v>
      </c>
      <c r="U632" s="13" t="s">
        <v>103</v>
      </c>
      <c r="V632" s="13" t="s">
        <v>53</v>
      </c>
      <c r="W632" s="13"/>
      <c r="X632" s="15">
        <v>44490.0</v>
      </c>
      <c r="Y632" s="15">
        <v>44491.0</v>
      </c>
      <c r="Z632" s="16"/>
      <c r="AA632" s="17" t="s">
        <v>56</v>
      </c>
      <c r="AB632" s="16">
        <v>44481.0</v>
      </c>
      <c r="AC632" s="17" t="s">
        <v>56</v>
      </c>
      <c r="AD632" s="16">
        <v>44490.0</v>
      </c>
      <c r="AE632" s="17"/>
      <c r="AF632" s="16"/>
      <c r="AG632" s="17"/>
      <c r="AH632" s="16"/>
      <c r="AI632" s="16"/>
      <c r="AJ632" s="16"/>
      <c r="AK632" s="17" t="s">
        <v>87</v>
      </c>
      <c r="AL632" s="17" t="s">
        <v>103</v>
      </c>
      <c r="AM632" s="16"/>
      <c r="AN632" s="16"/>
      <c r="AO632" s="16"/>
      <c r="AP632" s="18" t="s">
        <v>58</v>
      </c>
      <c r="AQ632" s="16"/>
    </row>
    <row r="633" ht="15.75" customHeight="1">
      <c r="A633" s="10" t="s">
        <v>3078</v>
      </c>
      <c r="B633" s="10" t="s">
        <v>3079</v>
      </c>
      <c r="C633" s="10" t="str">
        <f>VLOOKUP(A633,import!A:C,3,0)</f>
        <v>DOĞRU</v>
      </c>
      <c r="D633" s="10" t="s">
        <v>80</v>
      </c>
      <c r="E633" s="10">
        <f>VLOOKUP(A633,import!A:J,5,0)</f>
        <v>4336</v>
      </c>
      <c r="F633" s="10">
        <f>VLOOKUP(A633,import!A:J,6,0)</f>
        <v>142</v>
      </c>
      <c r="G633" s="10">
        <f>VLOOKUP(A633,import!A:J,7,0)</f>
        <v>9</v>
      </c>
      <c r="H633" s="10">
        <f>VLOOKUP(A633,import!A:J,8,0)</f>
        <v>6</v>
      </c>
      <c r="I633" s="10">
        <f>VLOOKUP(A633,import!A:J,9,0)</f>
        <v>15</v>
      </c>
      <c r="J633" s="11">
        <f>VLOOKUP(A633,import!A:J,10,0)</f>
        <v>0.6</v>
      </c>
      <c r="K633" s="10" t="s">
        <v>3080</v>
      </c>
      <c r="L633" s="10">
        <v>3.243571114E9</v>
      </c>
      <c r="M633" s="10" t="s">
        <v>63</v>
      </c>
      <c r="N633" s="10" t="s">
        <v>566</v>
      </c>
      <c r="O633" s="10" t="s">
        <v>3081</v>
      </c>
      <c r="P633" s="10" t="str">
        <f>VLOOKUP(A633,import!A:P,16,0)</f>
        <v>Geleneksel</v>
      </c>
      <c r="Q633" s="12" t="s">
        <v>146</v>
      </c>
      <c r="R633" s="12" t="b">
        <v>1</v>
      </c>
      <c r="S633" s="12" t="b">
        <v>0</v>
      </c>
      <c r="T633" s="13" t="s">
        <v>51</v>
      </c>
      <c r="U633" s="13" t="s">
        <v>52</v>
      </c>
      <c r="V633" s="13" t="s">
        <v>66</v>
      </c>
      <c r="W633" s="13" t="s">
        <v>3082</v>
      </c>
      <c r="X633" s="15">
        <v>44279.0</v>
      </c>
      <c r="Y633" s="15">
        <v>44280.0</v>
      </c>
      <c r="Z633" s="16"/>
      <c r="AA633" s="17" t="s">
        <v>56</v>
      </c>
      <c r="AB633" s="16">
        <v>44553.0</v>
      </c>
      <c r="AC633" s="16"/>
      <c r="AD633" s="16"/>
      <c r="AE633" s="17"/>
      <c r="AF633" s="16"/>
      <c r="AG633" s="17"/>
      <c r="AH633" s="16"/>
      <c r="AI633" s="16"/>
      <c r="AJ633" s="16"/>
      <c r="AK633" s="17" t="s">
        <v>89</v>
      </c>
      <c r="AL633" s="16"/>
      <c r="AM633" s="16"/>
      <c r="AN633" s="16"/>
      <c r="AO633" s="16"/>
      <c r="AP633" s="18" t="s">
        <v>58</v>
      </c>
      <c r="AQ633" s="16"/>
    </row>
    <row r="634" ht="15.75" hidden="1" customHeight="1">
      <c r="A634" s="10" t="s">
        <v>3083</v>
      </c>
      <c r="B634" s="10" t="s">
        <v>3084</v>
      </c>
      <c r="C634" s="10" t="str">
        <f>VLOOKUP(A634,import!A:C,3,0)</f>
        <v>DOĞRU</v>
      </c>
      <c r="D634" s="10" t="s">
        <v>80</v>
      </c>
      <c r="E634" s="10">
        <f>VLOOKUP(A634,import!A:J,5,0)</f>
        <v>59</v>
      </c>
      <c r="F634" s="10">
        <f>VLOOKUP(A634,import!A:J,6,0)</f>
        <v>33</v>
      </c>
      <c r="G634" s="10">
        <f>VLOOKUP(A634,import!A:J,7,0)</f>
        <v>6</v>
      </c>
      <c r="H634" s="10">
        <f>VLOOKUP(A634,import!A:J,8,0)</f>
        <v>0</v>
      </c>
      <c r="I634" s="10">
        <f>VLOOKUP(A634,import!A:J,9,0)</f>
        <v>6</v>
      </c>
      <c r="J634" s="11">
        <f>VLOOKUP(A634,import!A:J,10,0)</f>
        <v>1</v>
      </c>
      <c r="K634" s="10" t="s">
        <v>3085</v>
      </c>
      <c r="L634" s="10">
        <v>3.243255505E9</v>
      </c>
      <c r="M634" s="10" t="s">
        <v>72</v>
      </c>
      <c r="N634" s="10" t="s">
        <v>120</v>
      </c>
      <c r="O634" s="10" t="s">
        <v>3086</v>
      </c>
      <c r="P634" s="10" t="str">
        <f>VLOOKUP(A634,import!A:P,16,0)</f>
        <v>Geleneksel</v>
      </c>
      <c r="Q634" s="12"/>
      <c r="R634" s="12" t="b">
        <v>1</v>
      </c>
      <c r="S634" s="12" t="b">
        <v>0</v>
      </c>
      <c r="T634" s="13" t="s">
        <v>51</v>
      </c>
      <c r="U634" s="13" t="s">
        <v>87</v>
      </c>
      <c r="V634" s="13"/>
      <c r="W634" s="13"/>
      <c r="X634" s="15">
        <v>44632.0</v>
      </c>
      <c r="Y634" s="15">
        <v>44634.0</v>
      </c>
      <c r="Z634" s="16"/>
      <c r="AA634" s="17" t="s">
        <v>56</v>
      </c>
      <c r="AB634" s="16">
        <v>44632.0</v>
      </c>
      <c r="AC634" s="16"/>
      <c r="AD634" s="16"/>
      <c r="AE634" s="17"/>
      <c r="AF634" s="16"/>
      <c r="AG634" s="17"/>
      <c r="AH634" s="16"/>
      <c r="AI634" s="16"/>
      <c r="AJ634" s="16"/>
      <c r="AK634" s="17" t="s">
        <v>87</v>
      </c>
      <c r="AL634" s="16"/>
      <c r="AM634" s="16"/>
      <c r="AN634" s="16"/>
      <c r="AO634" s="16"/>
      <c r="AP634" s="18"/>
      <c r="AQ634" s="16"/>
    </row>
    <row r="635" ht="15.75" hidden="1" customHeight="1">
      <c r="A635" s="10" t="s">
        <v>3087</v>
      </c>
      <c r="B635" s="10" t="s">
        <v>3088</v>
      </c>
      <c r="C635" s="10" t="str">
        <f>VLOOKUP(A635,import!A:C,3,0)</f>
        <v>DOĞRU</v>
      </c>
      <c r="D635" s="10" t="s">
        <v>80</v>
      </c>
      <c r="E635" s="10">
        <f>VLOOKUP(A635,import!A:J,5,0)</f>
        <v>1058</v>
      </c>
      <c r="F635" s="10">
        <f>VLOOKUP(A635,import!A:J,6,0)</f>
        <v>38</v>
      </c>
      <c r="G635" s="10">
        <f>VLOOKUP(A635,import!A:J,7,0)</f>
        <v>4</v>
      </c>
      <c r="H635" s="10">
        <f>VLOOKUP(A635,import!A:J,8,0)</f>
        <v>9</v>
      </c>
      <c r="I635" s="10">
        <f>VLOOKUP(A635,import!A:J,9,0)</f>
        <v>13</v>
      </c>
      <c r="J635" s="11">
        <f>VLOOKUP(A635,import!A:J,10,0)</f>
        <v>0.31</v>
      </c>
      <c r="K635" s="10" t="s">
        <v>3089</v>
      </c>
      <c r="L635" s="10">
        <v>3.245021664E9</v>
      </c>
      <c r="M635" s="10" t="s">
        <v>72</v>
      </c>
      <c r="N635" s="10" t="s">
        <v>82</v>
      </c>
      <c r="O635" s="10" t="s">
        <v>3090</v>
      </c>
      <c r="P635" s="10" t="str">
        <f>VLOOKUP(A635,import!A:P,16,0)</f>
        <v>Geleneksel</v>
      </c>
      <c r="Q635" s="12" t="s">
        <v>50</v>
      </c>
      <c r="R635" s="12" t="b">
        <v>1</v>
      </c>
      <c r="S635" s="12" t="b">
        <v>0</v>
      </c>
      <c r="T635" s="13" t="s">
        <v>51</v>
      </c>
      <c r="U635" s="13" t="s">
        <v>133</v>
      </c>
      <c r="V635" s="13" t="s">
        <v>53</v>
      </c>
      <c r="W635" s="23"/>
      <c r="X635" s="15">
        <v>44267.0</v>
      </c>
      <c r="Y635" s="15">
        <v>44273.0</v>
      </c>
      <c r="Z635" s="16"/>
      <c r="AA635" s="16"/>
      <c r="AB635" s="16"/>
      <c r="AC635" s="16"/>
      <c r="AD635" s="16"/>
      <c r="AE635" s="17"/>
      <c r="AF635" s="16"/>
      <c r="AG635" s="17"/>
      <c r="AH635" s="16"/>
      <c r="AI635" s="16"/>
      <c r="AJ635" s="16"/>
      <c r="AK635" s="16"/>
      <c r="AL635" s="16"/>
      <c r="AM635" s="16"/>
      <c r="AN635" s="16"/>
      <c r="AO635" s="16"/>
      <c r="AP635" s="18" t="s">
        <v>58</v>
      </c>
      <c r="AQ635" s="16"/>
    </row>
    <row r="636" ht="15.75" customHeight="1">
      <c r="A636" s="10" t="s">
        <v>3091</v>
      </c>
      <c r="B636" s="10" t="s">
        <v>3092</v>
      </c>
      <c r="C636" s="10" t="str">
        <f>VLOOKUP(A636,import!A:C,3,0)</f>
        <v>DOĞRU</v>
      </c>
      <c r="D636" s="10" t="s">
        <v>70</v>
      </c>
      <c r="E636" s="10">
        <f>VLOOKUP(A636,import!A:J,5,0)</f>
        <v>2232</v>
      </c>
      <c r="F636" s="10">
        <f>VLOOKUP(A636,import!A:J,6,0)</f>
        <v>164</v>
      </c>
      <c r="G636" s="10">
        <f>VLOOKUP(A636,import!A:J,7,0)</f>
        <v>0</v>
      </c>
      <c r="H636" s="10">
        <f>VLOOKUP(A636,import!A:J,8,0)</f>
        <v>46</v>
      </c>
      <c r="I636" s="10">
        <f>VLOOKUP(A636,import!A:J,9,0)</f>
        <v>46</v>
      </c>
      <c r="J636" s="11">
        <f>VLOOKUP(A636,import!A:J,10,0)</f>
        <v>0</v>
      </c>
      <c r="K636" s="10" t="s">
        <v>3093</v>
      </c>
      <c r="L636" s="10">
        <v>3.242376767E9</v>
      </c>
      <c r="M636" s="10" t="s">
        <v>137</v>
      </c>
      <c r="N636" s="10" t="s">
        <v>1998</v>
      </c>
      <c r="O636" s="10" t="s">
        <v>3094</v>
      </c>
      <c r="P636" s="10" t="str">
        <f>VLOOKUP(A636,import!A:P,16,0)</f>
        <v>Geleneksel</v>
      </c>
      <c r="Q636" s="12"/>
      <c r="R636" s="12" t="b">
        <v>1</v>
      </c>
      <c r="S636" s="12" t="b">
        <v>0</v>
      </c>
      <c r="T636" s="13" t="s">
        <v>199</v>
      </c>
      <c r="U636" s="13"/>
      <c r="V636" s="13"/>
      <c r="W636" s="13" t="s">
        <v>3095</v>
      </c>
      <c r="X636" s="15"/>
      <c r="Y636" s="15"/>
      <c r="Z636" s="16"/>
      <c r="AA636" s="17" t="s">
        <v>230</v>
      </c>
      <c r="AB636" s="16">
        <v>44348.0</v>
      </c>
      <c r="AC636" s="17" t="s">
        <v>230</v>
      </c>
      <c r="AD636" s="16">
        <v>44349.0</v>
      </c>
      <c r="AE636" s="17" t="s">
        <v>230</v>
      </c>
      <c r="AF636" s="16">
        <v>44356.0</v>
      </c>
      <c r="AG636" s="17" t="s">
        <v>230</v>
      </c>
      <c r="AH636" s="16">
        <v>44356.0</v>
      </c>
      <c r="AI636" s="17" t="s">
        <v>230</v>
      </c>
      <c r="AJ636" s="16">
        <v>44550.0</v>
      </c>
      <c r="AK636" s="17" t="s">
        <v>124</v>
      </c>
      <c r="AL636" s="16"/>
      <c r="AM636" s="17" t="s">
        <v>52</v>
      </c>
      <c r="AN636" s="17" t="s">
        <v>52</v>
      </c>
      <c r="AO636" s="17" t="s">
        <v>89</v>
      </c>
      <c r="AP636" s="18" t="s">
        <v>58</v>
      </c>
      <c r="AQ636" s="17"/>
    </row>
    <row r="637" ht="15.75" hidden="1" customHeight="1">
      <c r="A637" s="10" t="s">
        <v>3096</v>
      </c>
      <c r="B637" s="10" t="s">
        <v>3097</v>
      </c>
      <c r="C637" s="10" t="str">
        <f>VLOOKUP(A637,import!A:C,3,0)</f>
        <v>DOĞRU</v>
      </c>
      <c r="D637" s="10" t="s">
        <v>70</v>
      </c>
      <c r="E637" s="10">
        <f>VLOOKUP(A637,import!A:J,5,0)</f>
        <v>10323</v>
      </c>
      <c r="F637" s="10">
        <f>VLOOKUP(A637,import!A:J,6,0)</f>
        <v>638</v>
      </c>
      <c r="G637" s="10">
        <f>VLOOKUP(A637,import!A:J,7,0)</f>
        <v>0</v>
      </c>
      <c r="H637" s="10">
        <f>VLOOKUP(A637,import!A:J,8,0)</f>
        <v>32</v>
      </c>
      <c r="I637" s="10">
        <f>VLOOKUP(A637,import!A:J,9,0)</f>
        <v>32</v>
      </c>
      <c r="J637" s="11">
        <f>VLOOKUP(A637,import!A:J,10,0)</f>
        <v>0</v>
      </c>
      <c r="K637" s="10" t="s">
        <v>3098</v>
      </c>
      <c r="L637" s="10">
        <v>5.372165664E9</v>
      </c>
      <c r="M637" s="10" t="s">
        <v>72</v>
      </c>
      <c r="N637" s="10" t="s">
        <v>128</v>
      </c>
      <c r="O637" s="10" t="s">
        <v>3099</v>
      </c>
      <c r="P637" s="10" t="str">
        <f>VLOOKUP(A637,import!A:P,16,0)</f>
        <v>Geleneksel</v>
      </c>
      <c r="Q637" s="12"/>
      <c r="R637" s="12" t="b">
        <v>1</v>
      </c>
      <c r="S637" s="12" t="b">
        <v>0</v>
      </c>
      <c r="T637" s="13" t="s">
        <v>199</v>
      </c>
      <c r="U637" s="13"/>
      <c r="V637" s="13"/>
      <c r="W637" s="13" t="s">
        <v>3100</v>
      </c>
      <c r="X637" s="15"/>
      <c r="Y637" s="15"/>
      <c r="Z637" s="16"/>
      <c r="AA637" s="17" t="s">
        <v>56</v>
      </c>
      <c r="AB637" s="16">
        <v>44417.0</v>
      </c>
      <c r="AC637" s="17" t="s">
        <v>56</v>
      </c>
      <c r="AD637" s="16">
        <v>44477.0</v>
      </c>
      <c r="AE637" s="17" t="s">
        <v>265</v>
      </c>
      <c r="AF637" s="16">
        <v>44578.0</v>
      </c>
      <c r="AG637" s="17" t="s">
        <v>56</v>
      </c>
      <c r="AH637" s="16">
        <v>44629.0</v>
      </c>
      <c r="AI637" s="16"/>
      <c r="AJ637" s="16"/>
      <c r="AK637" s="17" t="s">
        <v>57</v>
      </c>
      <c r="AL637" s="17" t="s">
        <v>171</v>
      </c>
      <c r="AM637" s="17" t="s">
        <v>89</v>
      </c>
      <c r="AN637" s="17" t="s">
        <v>133</v>
      </c>
      <c r="AO637" s="16"/>
      <c r="AP637" s="18" t="s">
        <v>58</v>
      </c>
      <c r="AQ637" s="16"/>
    </row>
    <row r="638" ht="15.75" customHeight="1">
      <c r="A638" s="10" t="s">
        <v>3101</v>
      </c>
      <c r="B638" s="10" t="s">
        <v>3102</v>
      </c>
      <c r="C638" s="10" t="str">
        <f>VLOOKUP(A638,import!A:C,3,0)</f>
        <v>DOĞRU</v>
      </c>
      <c r="D638" s="10" t="s">
        <v>70</v>
      </c>
      <c r="E638" s="10">
        <f>VLOOKUP(A638,import!A:J,5,0)</f>
        <v>3656</v>
      </c>
      <c r="F638" s="10">
        <f>VLOOKUP(A638,import!A:J,6,0)</f>
        <v>42</v>
      </c>
      <c r="G638" s="10">
        <f>VLOOKUP(A638,import!A:J,7,0)</f>
        <v>0</v>
      </c>
      <c r="H638" s="10">
        <f>VLOOKUP(A638,import!A:J,8,0)</f>
        <v>23</v>
      </c>
      <c r="I638" s="10">
        <f>VLOOKUP(A638,import!A:J,9,0)</f>
        <v>23</v>
      </c>
      <c r="J638" s="11">
        <f>VLOOKUP(A638,import!A:J,10,0)</f>
        <v>0</v>
      </c>
      <c r="K638" s="10" t="s">
        <v>3103</v>
      </c>
      <c r="L638" s="10">
        <v>3.243585353E9</v>
      </c>
      <c r="M638" s="10" t="s">
        <v>63</v>
      </c>
      <c r="N638" s="10" t="s">
        <v>3104</v>
      </c>
      <c r="O638" s="10" t="s">
        <v>3105</v>
      </c>
      <c r="P638" s="10" t="str">
        <f>VLOOKUP(A638,import!A:P,16,0)</f>
        <v>Geleneksel</v>
      </c>
      <c r="Q638" s="12" t="s">
        <v>146</v>
      </c>
      <c r="R638" s="12" t="b">
        <v>1</v>
      </c>
      <c r="S638" s="12" t="b">
        <v>0</v>
      </c>
      <c r="T638" s="13" t="s">
        <v>130</v>
      </c>
      <c r="U638" s="13" t="s">
        <v>89</v>
      </c>
      <c r="V638" s="13" t="s">
        <v>66</v>
      </c>
      <c r="W638" s="13" t="s">
        <v>3106</v>
      </c>
      <c r="X638" s="15">
        <v>44580.0</v>
      </c>
      <c r="Y638" s="15">
        <v>44588.0</v>
      </c>
      <c r="Z638" s="16"/>
      <c r="AA638" s="17" t="s">
        <v>230</v>
      </c>
      <c r="AB638" s="16">
        <v>44456.0</v>
      </c>
      <c r="AC638" s="17" t="s">
        <v>230</v>
      </c>
      <c r="AD638" s="16">
        <v>44495.0</v>
      </c>
      <c r="AE638" s="17" t="s">
        <v>56</v>
      </c>
      <c r="AF638" s="16">
        <v>44545.0</v>
      </c>
      <c r="AG638" s="17" t="s">
        <v>86</v>
      </c>
      <c r="AH638" s="16">
        <v>44560.0</v>
      </c>
      <c r="AI638" s="17" t="s">
        <v>265</v>
      </c>
      <c r="AJ638" s="16">
        <v>44649.0</v>
      </c>
      <c r="AK638" s="17" t="s">
        <v>171</v>
      </c>
      <c r="AL638" s="17" t="s">
        <v>89</v>
      </c>
      <c r="AM638" s="17" t="s">
        <v>89</v>
      </c>
      <c r="AN638" s="17" t="s">
        <v>87</v>
      </c>
      <c r="AO638" s="17" t="s">
        <v>89</v>
      </c>
      <c r="AP638" s="18" t="s">
        <v>58</v>
      </c>
      <c r="AQ638" s="16"/>
    </row>
    <row r="639" ht="15.75" customHeight="1">
      <c r="A639" s="10" t="s">
        <v>3107</v>
      </c>
      <c r="B639" s="10" t="s">
        <v>3108</v>
      </c>
      <c r="C639" s="10" t="str">
        <f>VLOOKUP(A639,import!A:C,3,0)</f>
        <v>DOĞRU</v>
      </c>
      <c r="D639" s="10" t="s">
        <v>70</v>
      </c>
      <c r="E639" s="10">
        <f>VLOOKUP(A639,import!A:J,5,0)</f>
        <v>1949</v>
      </c>
      <c r="F639" s="10">
        <f>VLOOKUP(A639,import!A:J,6,0)</f>
        <v>83</v>
      </c>
      <c r="G639" s="10">
        <f>VLOOKUP(A639,import!A:J,7,0)</f>
        <v>13</v>
      </c>
      <c r="H639" s="10">
        <f>VLOOKUP(A639,import!A:J,8,0)</f>
        <v>11</v>
      </c>
      <c r="I639" s="10">
        <f>VLOOKUP(A639,import!A:J,9,0)</f>
        <v>24</v>
      </c>
      <c r="J639" s="11">
        <f>VLOOKUP(A639,import!A:J,10,0)</f>
        <v>0.54</v>
      </c>
      <c r="K639" s="10" t="s">
        <v>3109</v>
      </c>
      <c r="L639" s="10">
        <v>3.243585088E9</v>
      </c>
      <c r="M639" s="10" t="s">
        <v>63</v>
      </c>
      <c r="N639" s="10" t="s">
        <v>64</v>
      </c>
      <c r="O639" s="10" t="s">
        <v>3110</v>
      </c>
      <c r="P639" s="10" t="str">
        <f>VLOOKUP(A639,import!A:P,16,0)</f>
        <v>Geleneksel</v>
      </c>
      <c r="Q639" s="12" t="s">
        <v>146</v>
      </c>
      <c r="R639" s="12" t="b">
        <v>1</v>
      </c>
      <c r="S639" s="12" t="b">
        <v>0</v>
      </c>
      <c r="T639" s="13" t="s">
        <v>51</v>
      </c>
      <c r="U639" s="13" t="s">
        <v>654</v>
      </c>
      <c r="V639" s="13" t="s">
        <v>66</v>
      </c>
      <c r="W639" s="13" t="s">
        <v>3111</v>
      </c>
      <c r="X639" s="15"/>
      <c r="Y639" s="15">
        <v>44279.0</v>
      </c>
      <c r="Z639" s="16"/>
      <c r="AA639" s="17" t="s">
        <v>56</v>
      </c>
      <c r="AB639" s="16">
        <v>44553.0</v>
      </c>
      <c r="AC639" s="16"/>
      <c r="AD639" s="16"/>
      <c r="AE639" s="17"/>
      <c r="AF639" s="16"/>
      <c r="AG639" s="17"/>
      <c r="AH639" s="16"/>
      <c r="AI639" s="16"/>
      <c r="AJ639" s="16"/>
      <c r="AK639" s="17" t="s">
        <v>89</v>
      </c>
      <c r="AL639" s="16"/>
      <c r="AM639" s="16"/>
      <c r="AN639" s="16"/>
      <c r="AO639" s="16"/>
      <c r="AP639" s="18" t="s">
        <v>58</v>
      </c>
      <c r="AQ639" s="16"/>
    </row>
    <row r="640" ht="15.75" hidden="1" customHeight="1">
      <c r="A640" s="18" t="s">
        <v>3112</v>
      </c>
      <c r="B640" s="18" t="s">
        <v>3113</v>
      </c>
      <c r="C640" s="10" t="str">
        <f>VLOOKUP(A640,import!A:C,3,0)</f>
        <v>DOĞRU</v>
      </c>
      <c r="D640" s="18" t="s">
        <v>167</v>
      </c>
      <c r="E640" s="10" t="str">
        <f>VLOOKUP(A640,import!A:J,5,0)</f>
        <v/>
      </c>
      <c r="F640" s="10" t="str">
        <f>VLOOKUP(A640,import!A:J,6,0)</f>
        <v/>
      </c>
      <c r="G640" s="10">
        <f>VLOOKUP(A640,import!A:J,7,0)</f>
        <v>0</v>
      </c>
      <c r="H640" s="10">
        <f>VLOOKUP(A640,import!A:J,8,0)</f>
        <v>19</v>
      </c>
      <c r="I640" s="10">
        <f>VLOOKUP(A640,import!A:J,9,0)</f>
        <v>19</v>
      </c>
      <c r="J640" s="11">
        <f>VLOOKUP(A640,import!A:J,10,0)</f>
        <v>0</v>
      </c>
      <c r="K640" s="18" t="s">
        <v>3114</v>
      </c>
      <c r="L640" s="18">
        <v>3.245150005E9</v>
      </c>
      <c r="M640" s="18" t="s">
        <v>47</v>
      </c>
      <c r="N640" s="18" t="s">
        <v>489</v>
      </c>
      <c r="O640" s="18" t="s">
        <v>3115</v>
      </c>
      <c r="P640" s="10" t="str">
        <f>VLOOKUP(A640,import!A:P,16,0)</f>
        <v>Geleneksel</v>
      </c>
      <c r="Q640" s="12"/>
      <c r="R640" s="12" t="b">
        <v>0</v>
      </c>
      <c r="S640" s="12" t="b">
        <v>0</v>
      </c>
      <c r="T640" s="13"/>
      <c r="U640" s="13"/>
      <c r="V640" s="13"/>
      <c r="W640" s="13" t="s">
        <v>3116</v>
      </c>
      <c r="X640" s="15"/>
      <c r="Y640" s="15"/>
      <c r="Z640" s="16"/>
      <c r="AA640" s="17"/>
      <c r="AB640" s="16"/>
      <c r="AC640" s="16"/>
      <c r="AD640" s="16"/>
      <c r="AE640" s="17"/>
      <c r="AF640" s="16"/>
      <c r="AG640" s="17"/>
      <c r="AH640" s="16"/>
      <c r="AI640" s="16"/>
      <c r="AJ640" s="16"/>
      <c r="AK640" s="17"/>
      <c r="AL640" s="16"/>
      <c r="AM640" s="16"/>
      <c r="AN640" s="16"/>
      <c r="AO640" s="16"/>
      <c r="AP640" s="18"/>
      <c r="AQ640" s="16"/>
    </row>
    <row r="641" ht="15.75" hidden="1" customHeight="1">
      <c r="A641" s="10" t="s">
        <v>3117</v>
      </c>
      <c r="B641" s="10" t="s">
        <v>3118</v>
      </c>
      <c r="C641" s="10" t="str">
        <f>VLOOKUP(A641,import!A:C,3,0)</f>
        <v>DOĞRU</v>
      </c>
      <c r="D641" s="10" t="s">
        <v>363</v>
      </c>
      <c r="E641" s="10">
        <f>VLOOKUP(A641,import!A:J,5,0)</f>
        <v>342</v>
      </c>
      <c r="F641" s="10">
        <f>VLOOKUP(A641,import!A:J,6,0)</f>
        <v>34</v>
      </c>
      <c r="G641" s="10">
        <f>VLOOKUP(A641,import!A:J,7,0)</f>
        <v>51</v>
      </c>
      <c r="H641" s="10">
        <f>VLOOKUP(A641,import!A:J,8,0)</f>
        <v>7</v>
      </c>
      <c r="I641" s="10">
        <f>VLOOKUP(A641,import!A:J,9,0)</f>
        <v>58</v>
      </c>
      <c r="J641" s="11">
        <f>VLOOKUP(A641,import!A:J,10,0)</f>
        <v>0.88</v>
      </c>
      <c r="K641" s="10" t="s">
        <v>3119</v>
      </c>
      <c r="L641" s="10">
        <v>5.454987921E9</v>
      </c>
      <c r="M641" s="10" t="s">
        <v>72</v>
      </c>
      <c r="N641" s="10" t="s">
        <v>82</v>
      </c>
      <c r="O641" s="10" t="s">
        <v>3120</v>
      </c>
      <c r="P641" s="10" t="str">
        <f>VLOOKUP(A641,import!A:P,16,0)</f>
        <v>Geleneksel</v>
      </c>
      <c r="Q641" s="12"/>
      <c r="R641" s="12" t="b">
        <v>1</v>
      </c>
      <c r="S641" s="12" t="b">
        <v>0</v>
      </c>
      <c r="T641" s="13" t="s">
        <v>51</v>
      </c>
      <c r="U641" s="13" t="s">
        <v>89</v>
      </c>
      <c r="V641" s="13" t="s">
        <v>66</v>
      </c>
      <c r="W641" s="13" t="s">
        <v>3121</v>
      </c>
      <c r="X641" s="15">
        <v>44553.0</v>
      </c>
      <c r="Y641" s="15">
        <v>44557.0</v>
      </c>
      <c r="Z641" s="16"/>
      <c r="AA641" s="17" t="s">
        <v>56</v>
      </c>
      <c r="AB641" s="16">
        <v>44424.0</v>
      </c>
      <c r="AC641" s="17" t="s">
        <v>56</v>
      </c>
      <c r="AD641" s="16">
        <v>44553.0</v>
      </c>
      <c r="AE641" s="17" t="s">
        <v>56</v>
      </c>
      <c r="AF641" s="16">
        <v>44558.0</v>
      </c>
      <c r="AG641" s="17"/>
      <c r="AH641" s="16"/>
      <c r="AI641" s="16"/>
      <c r="AJ641" s="16"/>
      <c r="AK641" s="17" t="s">
        <v>52</v>
      </c>
      <c r="AL641" s="17" t="s">
        <v>89</v>
      </c>
      <c r="AM641" s="17" t="s">
        <v>314</v>
      </c>
      <c r="AN641" s="16"/>
      <c r="AO641" s="16"/>
      <c r="AP641" s="18" t="s">
        <v>58</v>
      </c>
      <c r="AQ641" s="16"/>
    </row>
    <row r="642" ht="15.75" hidden="1" customHeight="1">
      <c r="A642" s="10" t="s">
        <v>3122</v>
      </c>
      <c r="B642" s="10" t="s">
        <v>3123</v>
      </c>
      <c r="C642" s="10" t="str">
        <f>VLOOKUP(A642,import!A:C,3,0)</f>
        <v>DOĞRU</v>
      </c>
      <c r="D642" s="10" t="s">
        <v>80</v>
      </c>
      <c r="E642" s="33">
        <f>VLOOKUP(A642,import!A:J,5,0)</f>
        <v>474</v>
      </c>
      <c r="F642" s="10">
        <f>VLOOKUP(A642,import!A:J,6,0)</f>
        <v>39</v>
      </c>
      <c r="G642" s="10">
        <f>VLOOKUP(A642,import!A:J,7,0)</f>
        <v>9</v>
      </c>
      <c r="H642" s="10">
        <f>VLOOKUP(A642,import!A:J,8,0)</f>
        <v>0</v>
      </c>
      <c r="I642" s="10">
        <f>VLOOKUP(A642,import!A:J,9,0)</f>
        <v>9</v>
      </c>
      <c r="J642" s="11">
        <f>VLOOKUP(A642,import!A:J,10,0)</f>
        <v>1</v>
      </c>
      <c r="K642" s="10" t="s">
        <v>3124</v>
      </c>
      <c r="L642" s="10">
        <v>5.467883356E9</v>
      </c>
      <c r="M642" s="10" t="s">
        <v>72</v>
      </c>
      <c r="N642" s="10" t="s">
        <v>82</v>
      </c>
      <c r="O642" s="10" t="s">
        <v>3125</v>
      </c>
      <c r="P642" s="10" t="str">
        <f>VLOOKUP(A642,import!A:P,16,0)</f>
        <v>Geleneksel</v>
      </c>
      <c r="Q642" s="12"/>
      <c r="R642" s="12" t="b">
        <v>1</v>
      </c>
      <c r="S642" s="12" t="b">
        <v>0</v>
      </c>
      <c r="T642" s="13" t="s">
        <v>51</v>
      </c>
      <c r="U642" s="13" t="s">
        <v>89</v>
      </c>
      <c r="V642" s="13" t="s">
        <v>53</v>
      </c>
      <c r="W642" s="13" t="s">
        <v>3126</v>
      </c>
      <c r="X642" s="15">
        <v>44520.0</v>
      </c>
      <c r="Y642" s="15">
        <v>44523.0</v>
      </c>
      <c r="Z642" s="16"/>
      <c r="AA642" s="17" t="s">
        <v>55</v>
      </c>
      <c r="AB642" s="16">
        <v>44476.0</v>
      </c>
      <c r="AC642" s="17" t="s">
        <v>86</v>
      </c>
      <c r="AD642" s="16">
        <v>44483.0</v>
      </c>
      <c r="AE642" s="17" t="s">
        <v>86</v>
      </c>
      <c r="AF642" s="16">
        <v>44491.0</v>
      </c>
      <c r="AG642" s="17" t="s">
        <v>230</v>
      </c>
      <c r="AH642" s="16">
        <v>44498.0</v>
      </c>
      <c r="AI642" s="17" t="s">
        <v>56</v>
      </c>
      <c r="AJ642" s="16">
        <v>44520.0</v>
      </c>
      <c r="AK642" s="17" t="s">
        <v>171</v>
      </c>
      <c r="AL642" s="17" t="s">
        <v>103</v>
      </c>
      <c r="AM642" s="17" t="s">
        <v>52</v>
      </c>
      <c r="AN642" s="17" t="s">
        <v>89</v>
      </c>
      <c r="AO642" s="17" t="s">
        <v>89</v>
      </c>
      <c r="AP642" s="18" t="s">
        <v>58</v>
      </c>
      <c r="AQ642" s="17"/>
    </row>
    <row r="643" ht="15.75" customHeight="1">
      <c r="A643" s="10" t="s">
        <v>3127</v>
      </c>
      <c r="B643" s="10" t="s">
        <v>3128</v>
      </c>
      <c r="C643" s="10" t="str">
        <f>VLOOKUP(A643,import!A:C,3,0)</f>
        <v>DOĞRU</v>
      </c>
      <c r="D643" s="10" t="s">
        <v>80</v>
      </c>
      <c r="E643" s="10">
        <f>VLOOKUP(A643,import!A:J,5,0)</f>
        <v>3640</v>
      </c>
      <c r="F643" s="10">
        <f>VLOOKUP(A643,import!A:J,6,0)</f>
        <v>121</v>
      </c>
      <c r="G643" s="10">
        <f>VLOOKUP(A643,import!A:J,7,0)</f>
        <v>6</v>
      </c>
      <c r="H643" s="10">
        <f>VLOOKUP(A643,import!A:J,8,0)</f>
        <v>2</v>
      </c>
      <c r="I643" s="10">
        <f>VLOOKUP(A643,import!A:J,9,0)</f>
        <v>8</v>
      </c>
      <c r="J643" s="11">
        <f>VLOOKUP(A643,import!A:J,10,0)</f>
        <v>0.75</v>
      </c>
      <c r="K643" s="10" t="s">
        <v>3129</v>
      </c>
      <c r="L643" s="10">
        <v>5.377175213E9</v>
      </c>
      <c r="M643" s="10" t="s">
        <v>63</v>
      </c>
      <c r="N643" s="10" t="s">
        <v>3104</v>
      </c>
      <c r="O643" s="10" t="s">
        <v>3130</v>
      </c>
      <c r="P643" s="10" t="str">
        <f>VLOOKUP(A643,import!A:P,16,0)</f>
        <v>Geleneksel</v>
      </c>
      <c r="Q643" s="12" t="s">
        <v>50</v>
      </c>
      <c r="R643" s="12" t="b">
        <v>1</v>
      </c>
      <c r="S643" s="12" t="b">
        <v>0</v>
      </c>
      <c r="T643" s="13" t="s">
        <v>51</v>
      </c>
      <c r="U643" s="13" t="s">
        <v>133</v>
      </c>
      <c r="V643" s="13" t="s">
        <v>66</v>
      </c>
      <c r="W643" s="13" t="s">
        <v>3131</v>
      </c>
      <c r="X643" s="15">
        <v>44278.0</v>
      </c>
      <c r="Y643" s="15">
        <v>44279.0</v>
      </c>
      <c r="Z643" s="16"/>
      <c r="AA643" s="17" t="s">
        <v>56</v>
      </c>
      <c r="AB643" s="16">
        <v>44553.0</v>
      </c>
      <c r="AC643" s="16"/>
      <c r="AD643" s="16"/>
      <c r="AE643" s="17"/>
      <c r="AF643" s="16"/>
      <c r="AG643" s="17"/>
      <c r="AH643" s="16"/>
      <c r="AI643" s="16"/>
      <c r="AJ643" s="16"/>
      <c r="AK643" s="17" t="s">
        <v>89</v>
      </c>
      <c r="AL643" s="16"/>
      <c r="AM643" s="16"/>
      <c r="AN643" s="16"/>
      <c r="AO643" s="16"/>
      <c r="AP643" s="18" t="s">
        <v>58</v>
      </c>
      <c r="AQ643" s="16"/>
    </row>
    <row r="644" ht="15.75" hidden="1" customHeight="1">
      <c r="A644" s="10" t="s">
        <v>3132</v>
      </c>
      <c r="B644" s="10" t="s">
        <v>3133</v>
      </c>
      <c r="C644" s="10" t="str">
        <f>VLOOKUP(A644,import!A:C,3,0)</f>
        <v>DOĞRU</v>
      </c>
      <c r="D644" s="10" t="s">
        <v>80</v>
      </c>
      <c r="E644" s="10">
        <f>VLOOKUP(A644,import!A:J,5,0)</f>
        <v>163</v>
      </c>
      <c r="F644" s="10">
        <f>VLOOKUP(A644,import!A:J,6,0)</f>
        <v>13</v>
      </c>
      <c r="G644" s="10">
        <f>VLOOKUP(A644,import!A:J,7,0)</f>
        <v>0</v>
      </c>
      <c r="H644" s="10">
        <f>VLOOKUP(A644,import!A:J,8,0)</f>
        <v>1</v>
      </c>
      <c r="I644" s="10">
        <f>VLOOKUP(A644,import!A:J,9,0)</f>
        <v>1</v>
      </c>
      <c r="J644" s="11">
        <f>VLOOKUP(A644,import!A:J,10,0)</f>
        <v>0</v>
      </c>
      <c r="K644" s="10" t="s">
        <v>3134</v>
      </c>
      <c r="L644" s="10">
        <v>5.335947069E9</v>
      </c>
      <c r="M644" s="10" t="s">
        <v>72</v>
      </c>
      <c r="N644" s="10" t="s">
        <v>113</v>
      </c>
      <c r="O644" s="10" t="s">
        <v>3135</v>
      </c>
      <c r="P644" s="10" t="str">
        <f>VLOOKUP(A644,import!A:P,16,0)</f>
        <v>Geleneksel</v>
      </c>
      <c r="Q644" s="12"/>
      <c r="R644" s="12" t="b">
        <v>1</v>
      </c>
      <c r="S644" s="12" t="b">
        <v>0</v>
      </c>
      <c r="T644" s="13" t="s">
        <v>51</v>
      </c>
      <c r="U644" s="13" t="s">
        <v>171</v>
      </c>
      <c r="V644" s="19" t="s">
        <v>53</v>
      </c>
      <c r="W644" s="13" t="s">
        <v>3136</v>
      </c>
      <c r="X644" s="15">
        <v>44475.0</v>
      </c>
      <c r="Y644" s="15">
        <v>44476.0</v>
      </c>
      <c r="Z644" s="16"/>
      <c r="AA644" s="17" t="s">
        <v>56</v>
      </c>
      <c r="AB644" s="16">
        <v>44475.0</v>
      </c>
      <c r="AC644" s="16"/>
      <c r="AD644" s="16"/>
      <c r="AE644" s="17"/>
      <c r="AF644" s="16"/>
      <c r="AG644" s="17"/>
      <c r="AH644" s="16"/>
      <c r="AI644" s="16"/>
      <c r="AJ644" s="16"/>
      <c r="AK644" s="17" t="s">
        <v>171</v>
      </c>
      <c r="AL644" s="16"/>
      <c r="AM644" s="17"/>
      <c r="AN644" s="16"/>
      <c r="AO644" s="16"/>
      <c r="AP644" s="18" t="s">
        <v>58</v>
      </c>
      <c r="AQ644" s="16"/>
    </row>
    <row r="645" ht="15.75" customHeight="1">
      <c r="A645" s="10" t="s">
        <v>3137</v>
      </c>
      <c r="B645" s="10" t="s">
        <v>3138</v>
      </c>
      <c r="C645" s="10" t="str">
        <f>VLOOKUP(A645,import!A:C,3,0)</f>
        <v>DOĞRU</v>
      </c>
      <c r="D645" s="10" t="s">
        <v>80</v>
      </c>
      <c r="E645" s="10">
        <f>VLOOKUP(A645,import!A:J,5,0)</f>
        <v>129</v>
      </c>
      <c r="F645" s="10" t="str">
        <f>VLOOKUP(A645,import!A:J,6,0)</f>
        <v/>
      </c>
      <c r="G645" s="10">
        <f>VLOOKUP(A645,import!A:J,7,0)</f>
        <v>6</v>
      </c>
      <c r="H645" s="10">
        <f>VLOOKUP(A645,import!A:J,8,0)</f>
        <v>6</v>
      </c>
      <c r="I645" s="10">
        <f>VLOOKUP(A645,import!A:J,9,0)</f>
        <v>12</v>
      </c>
      <c r="J645" s="11">
        <f>VLOOKUP(A645,import!A:J,10,0)</f>
        <v>0.5</v>
      </c>
      <c r="K645" s="10" t="s">
        <v>3139</v>
      </c>
      <c r="L645" s="10">
        <v>5.334160006E9</v>
      </c>
      <c r="M645" s="10" t="s">
        <v>137</v>
      </c>
      <c r="N645" s="10" t="s">
        <v>209</v>
      </c>
      <c r="O645" s="10" t="s">
        <v>3140</v>
      </c>
      <c r="P645" s="10" t="str">
        <f>VLOOKUP(A645,import!A:P,16,0)</f>
        <v>Geleneksel</v>
      </c>
      <c r="Q645" s="12"/>
      <c r="R645" s="12" t="b">
        <v>1</v>
      </c>
      <c r="S645" s="12" t="b">
        <v>0</v>
      </c>
      <c r="T645" s="13" t="s">
        <v>51</v>
      </c>
      <c r="U645" s="13" t="s">
        <v>52</v>
      </c>
      <c r="V645" s="13" t="s">
        <v>53</v>
      </c>
      <c r="W645" s="13" t="s">
        <v>3141</v>
      </c>
      <c r="X645" s="15">
        <v>44337.0</v>
      </c>
      <c r="Y645" s="15">
        <v>44343.0</v>
      </c>
      <c r="Z645" s="16"/>
      <c r="AA645" s="16"/>
      <c r="AB645" s="16"/>
      <c r="AC645" s="16"/>
      <c r="AD645" s="16"/>
      <c r="AE645" s="17"/>
      <c r="AF645" s="16"/>
      <c r="AG645" s="17"/>
      <c r="AH645" s="16"/>
      <c r="AI645" s="16"/>
      <c r="AJ645" s="16"/>
      <c r="AK645" s="16"/>
      <c r="AL645" s="16"/>
      <c r="AM645" s="16"/>
      <c r="AN645" s="16"/>
      <c r="AO645" s="16"/>
      <c r="AP645" s="18" t="s">
        <v>58</v>
      </c>
      <c r="AQ645" s="16"/>
    </row>
    <row r="646" ht="15.75" customHeight="1">
      <c r="A646" s="10" t="s">
        <v>3142</v>
      </c>
      <c r="B646" s="10" t="s">
        <v>3143</v>
      </c>
      <c r="C646" s="10" t="str">
        <f>VLOOKUP(A646,import!A:C,3,0)</f>
        <v>DOĞRU</v>
      </c>
      <c r="D646" s="10" t="s">
        <v>80</v>
      </c>
      <c r="E646" s="10">
        <f>VLOOKUP(A646,import!A:J,5,0)</f>
        <v>1124</v>
      </c>
      <c r="F646" s="10">
        <f>VLOOKUP(A646,import!A:J,6,0)</f>
        <v>13</v>
      </c>
      <c r="G646" s="10">
        <f>VLOOKUP(A646,import!A:J,7,0)</f>
        <v>0</v>
      </c>
      <c r="H646" s="10">
        <f>VLOOKUP(A646,import!A:J,8,0)</f>
        <v>22</v>
      </c>
      <c r="I646" s="10">
        <f>VLOOKUP(A646,import!A:J,9,0)</f>
        <v>22</v>
      </c>
      <c r="J646" s="11">
        <f>VLOOKUP(A646,import!A:J,10,0)</f>
        <v>0</v>
      </c>
      <c r="K646" s="10" t="s">
        <v>3144</v>
      </c>
      <c r="L646" s="10">
        <v>3.242381948E9</v>
      </c>
      <c r="M646" s="10" t="s">
        <v>137</v>
      </c>
      <c r="N646" s="10" t="s">
        <v>1743</v>
      </c>
      <c r="O646" s="10" t="s">
        <v>3145</v>
      </c>
      <c r="P646" s="10" t="str">
        <f>VLOOKUP(A646,import!A:P,16,0)</f>
        <v>Geleneksel</v>
      </c>
      <c r="Q646" s="12" t="s">
        <v>84</v>
      </c>
      <c r="R646" s="12" t="b">
        <v>1</v>
      </c>
      <c r="S646" s="12" t="b">
        <v>0</v>
      </c>
      <c r="T646" s="14" t="s">
        <v>51</v>
      </c>
      <c r="U646" s="14" t="s">
        <v>3146</v>
      </c>
      <c r="V646" s="14" t="s">
        <v>53</v>
      </c>
      <c r="W646" s="14" t="s">
        <v>3147</v>
      </c>
      <c r="X646" s="29">
        <v>44273.0</v>
      </c>
      <c r="Y646" s="29">
        <v>44274.0</v>
      </c>
      <c r="Z646" s="16"/>
      <c r="AA646" s="17" t="s">
        <v>56</v>
      </c>
      <c r="AB646" s="16">
        <v>44553.0</v>
      </c>
      <c r="AC646" s="17" t="s">
        <v>56</v>
      </c>
      <c r="AD646" s="16">
        <v>44574.0</v>
      </c>
      <c r="AE646" s="17" t="s">
        <v>56</v>
      </c>
      <c r="AF646" s="16">
        <v>44576.0</v>
      </c>
      <c r="AG646" s="17"/>
      <c r="AH646" s="16"/>
      <c r="AI646" s="16"/>
      <c r="AJ646" s="16"/>
      <c r="AK646" s="17" t="s">
        <v>89</v>
      </c>
      <c r="AL646" s="17" t="s">
        <v>89</v>
      </c>
      <c r="AM646" s="17" t="s">
        <v>87</v>
      </c>
      <c r="AN646" s="16"/>
      <c r="AO646" s="16"/>
      <c r="AP646" s="18" t="s">
        <v>58</v>
      </c>
      <c r="AQ646" s="16"/>
    </row>
    <row r="647" ht="15.75" customHeight="1">
      <c r="A647" s="10" t="s">
        <v>3148</v>
      </c>
      <c r="B647" s="10" t="s">
        <v>3149</v>
      </c>
      <c r="C647" s="10" t="str">
        <f>VLOOKUP(A647,import!A:C,3,0)</f>
        <v>DOĞRU</v>
      </c>
      <c r="D647" s="10" t="s">
        <v>80</v>
      </c>
      <c r="E647" s="10">
        <f>VLOOKUP(A647,import!A:J,5,0)</f>
        <v>9</v>
      </c>
      <c r="F647" s="10">
        <f>VLOOKUP(A647,import!A:J,6,0)</f>
        <v>1</v>
      </c>
      <c r="G647" s="10">
        <f>VLOOKUP(A647,import!A:J,7,0)</f>
        <v>0</v>
      </c>
      <c r="H647" s="10">
        <f>VLOOKUP(A647,import!A:J,8,0)</f>
        <v>19</v>
      </c>
      <c r="I647" s="10">
        <f>VLOOKUP(A647,import!A:J,9,0)</f>
        <v>19</v>
      </c>
      <c r="J647" s="11">
        <f>VLOOKUP(A647,import!A:J,10,0)</f>
        <v>0</v>
      </c>
      <c r="K647" s="10" t="s">
        <v>3150</v>
      </c>
      <c r="L647" s="10">
        <v>3.243370521E9</v>
      </c>
      <c r="M647" s="10" t="s">
        <v>137</v>
      </c>
      <c r="N647" s="10" t="s">
        <v>526</v>
      </c>
      <c r="O647" s="10" t="s">
        <v>3151</v>
      </c>
      <c r="P647" s="10" t="str">
        <f>VLOOKUP(A647,import!A:P,16,0)</f>
        <v>Geleneksel</v>
      </c>
      <c r="Q647" s="12"/>
      <c r="R647" s="12" t="b">
        <v>1</v>
      </c>
      <c r="S647" s="12" t="b">
        <v>0</v>
      </c>
      <c r="T647" s="13" t="s">
        <v>51</v>
      </c>
      <c r="U647" s="13" t="s">
        <v>267</v>
      </c>
      <c r="V647" s="17" t="s">
        <v>66</v>
      </c>
      <c r="W647" s="13">
        <v>5.3772827E9</v>
      </c>
      <c r="X647" s="15">
        <v>44643.0</v>
      </c>
      <c r="Y647" s="15">
        <v>44645.0</v>
      </c>
      <c r="Z647" s="16"/>
      <c r="AA647" s="17" t="s">
        <v>56</v>
      </c>
      <c r="AB647" s="16">
        <v>44643.0</v>
      </c>
      <c r="AC647" s="16"/>
      <c r="AD647" s="16"/>
      <c r="AE647" s="17"/>
      <c r="AF647" s="16"/>
      <c r="AG647" s="17"/>
      <c r="AH647" s="16"/>
      <c r="AI647" s="16"/>
      <c r="AJ647" s="16"/>
      <c r="AK647" s="17" t="s">
        <v>267</v>
      </c>
      <c r="AL647" s="16"/>
      <c r="AM647" s="16"/>
      <c r="AN647" s="16"/>
      <c r="AO647" s="16"/>
      <c r="AP647" s="18"/>
      <c r="AQ647" s="16"/>
    </row>
    <row r="648" ht="15.75" hidden="1" customHeight="1">
      <c r="A648" s="10" t="s">
        <v>3152</v>
      </c>
      <c r="B648" s="10" t="s">
        <v>3153</v>
      </c>
      <c r="C648" s="10" t="str">
        <f>VLOOKUP(A648,import!A:C,3,0)</f>
        <v>DOĞRU</v>
      </c>
      <c r="D648" s="10" t="s">
        <v>80</v>
      </c>
      <c r="E648" s="10">
        <f>VLOOKUP(A648,import!A:J,5,0)</f>
        <v>182</v>
      </c>
      <c r="F648" s="10">
        <f>VLOOKUP(A648,import!A:J,6,0)</f>
        <v>20</v>
      </c>
      <c r="G648" s="10">
        <f>VLOOKUP(A648,import!A:J,7,0)</f>
        <v>0</v>
      </c>
      <c r="H648" s="10">
        <f>VLOOKUP(A648,import!A:J,8,0)</f>
        <v>15</v>
      </c>
      <c r="I648" s="10">
        <f>VLOOKUP(A648,import!A:J,9,0)</f>
        <v>15</v>
      </c>
      <c r="J648" s="11">
        <f>VLOOKUP(A648,import!A:J,10,0)</f>
        <v>0</v>
      </c>
      <c r="K648" s="10" t="s">
        <v>3154</v>
      </c>
      <c r="L648" s="10">
        <v>3.243265566E9</v>
      </c>
      <c r="M648" s="10" t="s">
        <v>72</v>
      </c>
      <c r="N648" s="10" t="s">
        <v>716</v>
      </c>
      <c r="O648" s="10" t="s">
        <v>3155</v>
      </c>
      <c r="P648" s="10" t="str">
        <f>VLOOKUP(A648,import!A:P,16,0)</f>
        <v>Geleneksel</v>
      </c>
      <c r="Q648" s="12"/>
      <c r="R648" s="12" t="b">
        <v>1</v>
      </c>
      <c r="S648" s="12" t="b">
        <v>1</v>
      </c>
      <c r="T648" s="13"/>
      <c r="U648" s="13"/>
      <c r="V648" s="13"/>
      <c r="W648" s="13" t="s">
        <v>3156</v>
      </c>
      <c r="X648" s="15"/>
      <c r="Y648" s="15"/>
      <c r="Z648" s="16"/>
      <c r="AA648" s="17" t="s">
        <v>56</v>
      </c>
      <c r="AB648" s="16">
        <v>44578.0</v>
      </c>
      <c r="AC648" s="16"/>
      <c r="AD648" s="16"/>
      <c r="AE648" s="17"/>
      <c r="AF648" s="16"/>
      <c r="AG648" s="17"/>
      <c r="AH648" s="16"/>
      <c r="AI648" s="16"/>
      <c r="AJ648" s="16"/>
      <c r="AK648" s="17" t="s">
        <v>89</v>
      </c>
      <c r="AL648" s="16"/>
      <c r="AM648" s="16"/>
      <c r="AN648" s="16"/>
      <c r="AO648" s="16"/>
      <c r="AP648" s="18"/>
      <c r="AQ648" s="16"/>
    </row>
    <row r="649" ht="15.75" hidden="1" customHeight="1">
      <c r="A649" s="10" t="s">
        <v>3157</v>
      </c>
      <c r="B649" s="10" t="s">
        <v>3158</v>
      </c>
      <c r="C649" s="10" t="str">
        <f>VLOOKUP(A649,import!A:C,3,0)</f>
        <v>DOĞRU</v>
      </c>
      <c r="D649" s="10" t="s">
        <v>80</v>
      </c>
      <c r="E649" s="10">
        <f>VLOOKUP(A649,import!A:J,5,0)</f>
        <v>487</v>
      </c>
      <c r="F649" s="10" t="str">
        <f>VLOOKUP(A649,import!A:J,6,0)</f>
        <v/>
      </c>
      <c r="G649" s="10">
        <f>VLOOKUP(A649,import!A:J,7,0)</f>
        <v>12</v>
      </c>
      <c r="H649" s="10">
        <f>VLOOKUP(A649,import!A:J,8,0)</f>
        <v>12</v>
      </c>
      <c r="I649" s="10">
        <f>VLOOKUP(A649,import!A:J,9,0)</f>
        <v>24</v>
      </c>
      <c r="J649" s="11">
        <f>VLOOKUP(A649,import!A:J,10,0)</f>
        <v>0.5</v>
      </c>
      <c r="K649" s="10" t="s">
        <v>3159</v>
      </c>
      <c r="L649" s="10">
        <v>3.24328667E9</v>
      </c>
      <c r="M649" s="10" t="s">
        <v>72</v>
      </c>
      <c r="N649" s="10" t="s">
        <v>73</v>
      </c>
      <c r="O649" s="10" t="s">
        <v>3160</v>
      </c>
      <c r="P649" s="10" t="str">
        <f>VLOOKUP(A649,import!A:P,16,0)</f>
        <v>Geleneksel</v>
      </c>
      <c r="Q649" s="12" t="s">
        <v>146</v>
      </c>
      <c r="R649" s="12" t="b">
        <v>1</v>
      </c>
      <c r="S649" s="12" t="b">
        <v>0</v>
      </c>
      <c r="T649" s="13" t="s">
        <v>51</v>
      </c>
      <c r="U649" s="13" t="s">
        <v>52</v>
      </c>
      <c r="V649" s="19" t="s">
        <v>278</v>
      </c>
      <c r="W649" s="13" t="s">
        <v>3161</v>
      </c>
      <c r="X649" s="15">
        <v>44280.0</v>
      </c>
      <c r="Y649" s="15">
        <v>44280.0</v>
      </c>
      <c r="Z649" s="16"/>
      <c r="AA649" s="17" t="s">
        <v>56</v>
      </c>
      <c r="AB649" s="16">
        <v>44553.0</v>
      </c>
      <c r="AC649" s="16"/>
      <c r="AD649" s="16"/>
      <c r="AE649" s="17"/>
      <c r="AF649" s="16"/>
      <c r="AG649" s="17"/>
      <c r="AH649" s="16"/>
      <c r="AI649" s="16"/>
      <c r="AJ649" s="16"/>
      <c r="AK649" s="17" t="s">
        <v>89</v>
      </c>
      <c r="AL649" s="16"/>
      <c r="AM649" s="16"/>
      <c r="AN649" s="16"/>
      <c r="AO649" s="16"/>
      <c r="AP649" s="18" t="s">
        <v>58</v>
      </c>
      <c r="AQ649" s="16"/>
    </row>
    <row r="650" ht="15.75" hidden="1" customHeight="1">
      <c r="A650" s="10" t="s">
        <v>3162</v>
      </c>
      <c r="B650" s="10" t="s">
        <v>3163</v>
      </c>
      <c r="C650" s="10" t="str">
        <f>VLOOKUP(A650,import!A:C,3,0)</f>
        <v>DOĞRU</v>
      </c>
      <c r="D650" s="10" t="s">
        <v>913</v>
      </c>
      <c r="E650" s="10">
        <f>VLOOKUP(A650,import!A:J,5,0)</f>
        <v>2032</v>
      </c>
      <c r="F650" s="10">
        <f>VLOOKUP(A650,import!A:J,6,0)</f>
        <v>267</v>
      </c>
      <c r="G650" s="10">
        <f>VLOOKUP(A650,import!A:J,7,0)</f>
        <v>21</v>
      </c>
      <c r="H650" s="10">
        <f>VLOOKUP(A650,import!A:J,8,0)</f>
        <v>59</v>
      </c>
      <c r="I650" s="10">
        <f>VLOOKUP(A650,import!A:J,9,0)</f>
        <v>80</v>
      </c>
      <c r="J650" s="11">
        <f>VLOOKUP(A650,import!A:J,10,0)</f>
        <v>0.26</v>
      </c>
      <c r="K650" s="10" t="s">
        <v>3164</v>
      </c>
      <c r="L650" s="10">
        <v>5.424093373E9</v>
      </c>
      <c r="M650" s="10" t="s">
        <v>72</v>
      </c>
      <c r="N650" s="10" t="s">
        <v>82</v>
      </c>
      <c r="O650" s="10" t="s">
        <v>3165</v>
      </c>
      <c r="P650" s="10" t="str">
        <f>VLOOKUP(A650,import!A:P,16,0)</f>
        <v>Geleneksel</v>
      </c>
      <c r="Q650" s="12"/>
      <c r="R650" s="12" t="b">
        <v>1</v>
      </c>
      <c r="S650" s="12" t="b">
        <v>0</v>
      </c>
      <c r="T650" s="13" t="s">
        <v>51</v>
      </c>
      <c r="U650" s="13" t="s">
        <v>89</v>
      </c>
      <c r="V650" s="13" t="s">
        <v>66</v>
      </c>
      <c r="W650" s="13" t="s">
        <v>3166</v>
      </c>
      <c r="X650" s="15">
        <v>44565.0</v>
      </c>
      <c r="Y650" s="15">
        <v>44567.0</v>
      </c>
      <c r="Z650" s="16"/>
      <c r="AA650" s="17" t="s">
        <v>56</v>
      </c>
      <c r="AB650" s="16">
        <v>44557.0</v>
      </c>
      <c r="AC650" s="17" t="s">
        <v>86</v>
      </c>
      <c r="AD650" s="16">
        <v>44559.0</v>
      </c>
      <c r="AE650" s="17" t="s">
        <v>56</v>
      </c>
      <c r="AF650" s="16">
        <v>44565.0</v>
      </c>
      <c r="AG650" s="17"/>
      <c r="AH650" s="16"/>
      <c r="AI650" s="16"/>
      <c r="AJ650" s="16"/>
      <c r="AK650" s="17" t="s">
        <v>52</v>
      </c>
      <c r="AL650" s="17" t="s">
        <v>52</v>
      </c>
      <c r="AM650" s="17" t="s">
        <v>89</v>
      </c>
      <c r="AN650" s="16"/>
      <c r="AO650" s="16"/>
      <c r="AP650" s="18"/>
      <c r="AQ650" s="16"/>
    </row>
    <row r="651" ht="15.75" hidden="1" customHeight="1">
      <c r="A651" s="10" t="s">
        <v>3167</v>
      </c>
      <c r="B651" s="10" t="s">
        <v>3168</v>
      </c>
      <c r="C651" s="10" t="str">
        <f>VLOOKUP(A651,import!A:C,3,0)</f>
        <v>DOĞRU</v>
      </c>
      <c r="D651" s="10" t="s">
        <v>363</v>
      </c>
      <c r="E651" s="10">
        <f>VLOOKUP(A651,import!A:J,5,0)</f>
        <v>2324</v>
      </c>
      <c r="F651" s="10">
        <f>VLOOKUP(A651,import!A:J,6,0)</f>
        <v>89</v>
      </c>
      <c r="G651" s="10">
        <f>VLOOKUP(A651,import!A:J,7,0)</f>
        <v>4</v>
      </c>
      <c r="H651" s="10">
        <f>VLOOKUP(A651,import!A:J,8,0)</f>
        <v>11</v>
      </c>
      <c r="I651" s="10">
        <f>VLOOKUP(A651,import!A:J,9,0)</f>
        <v>15</v>
      </c>
      <c r="J651" s="11">
        <f>VLOOKUP(A651,import!A:J,10,0)</f>
        <v>0.27</v>
      </c>
      <c r="K651" s="10" t="s">
        <v>3169</v>
      </c>
      <c r="L651" s="10">
        <v>3.243252779E9</v>
      </c>
      <c r="M651" s="10" t="s">
        <v>72</v>
      </c>
      <c r="N651" s="10" t="s">
        <v>181</v>
      </c>
      <c r="O651" s="10" t="s">
        <v>3170</v>
      </c>
      <c r="P651" s="10" t="str">
        <f>VLOOKUP(A651,import!A:P,16,0)</f>
        <v>Geleneksel</v>
      </c>
      <c r="Q651" s="12"/>
      <c r="R651" s="12" t="b">
        <v>1</v>
      </c>
      <c r="S651" s="12" t="b">
        <v>0</v>
      </c>
      <c r="T651" s="13" t="s">
        <v>51</v>
      </c>
      <c r="U651" s="13" t="s">
        <v>258</v>
      </c>
      <c r="V651" s="13" t="s">
        <v>278</v>
      </c>
      <c r="W651" s="13" t="s">
        <v>3171</v>
      </c>
      <c r="X651" s="15">
        <v>44288.0</v>
      </c>
      <c r="Y651" s="15">
        <v>44292.0</v>
      </c>
      <c r="Z651" s="16"/>
      <c r="AA651" s="17" t="s">
        <v>56</v>
      </c>
      <c r="AB651" s="16">
        <v>44496.0</v>
      </c>
      <c r="AC651" s="17" t="s">
        <v>56</v>
      </c>
      <c r="AD651" s="16">
        <v>44553.0</v>
      </c>
      <c r="AE651" s="17"/>
      <c r="AF651" s="16"/>
      <c r="AG651" s="17"/>
      <c r="AH651" s="16"/>
      <c r="AI651" s="16"/>
      <c r="AJ651" s="16"/>
      <c r="AK651" s="17" t="s">
        <v>87</v>
      </c>
      <c r="AL651" s="17" t="s">
        <v>89</v>
      </c>
      <c r="AM651" s="16"/>
      <c r="AN651" s="16"/>
      <c r="AO651" s="16"/>
      <c r="AP651" s="18" t="s">
        <v>58</v>
      </c>
      <c r="AQ651" s="16"/>
    </row>
    <row r="652" ht="15.75" customHeight="1">
      <c r="A652" s="10" t="s">
        <v>3172</v>
      </c>
      <c r="B652" s="10" t="s">
        <v>3173</v>
      </c>
      <c r="C652" s="10" t="str">
        <f>VLOOKUP(A652,import!A:C,3,0)</f>
        <v>DOĞRU</v>
      </c>
      <c r="D652" s="10" t="s">
        <v>167</v>
      </c>
      <c r="E652" s="10">
        <f>VLOOKUP(A652,import!A:J,5,0)</f>
        <v>148</v>
      </c>
      <c r="F652" s="10">
        <f>VLOOKUP(A652,import!A:J,6,0)</f>
        <v>12</v>
      </c>
      <c r="G652" s="10">
        <f>VLOOKUP(A652,import!A:J,7,0)</f>
        <v>9</v>
      </c>
      <c r="H652" s="10">
        <f>VLOOKUP(A652,import!A:J,8,0)</f>
        <v>4</v>
      </c>
      <c r="I652" s="10">
        <f>VLOOKUP(A652,import!A:J,9,0)</f>
        <v>13</v>
      </c>
      <c r="J652" s="11">
        <f>VLOOKUP(A652,import!A:J,10,0)</f>
        <v>0.69</v>
      </c>
      <c r="K652" s="10" t="s">
        <v>3174</v>
      </c>
      <c r="L652" s="10">
        <v>5.41908952E9</v>
      </c>
      <c r="M652" s="10" t="s">
        <v>63</v>
      </c>
      <c r="N652" s="10" t="s">
        <v>137</v>
      </c>
      <c r="O652" s="10" t="s">
        <v>3175</v>
      </c>
      <c r="P652" s="10" t="str">
        <f>VLOOKUP(A652,import!A:P,16,0)</f>
        <v>Geleneksel</v>
      </c>
      <c r="Q652" s="12"/>
      <c r="R652" s="12" t="b">
        <v>0</v>
      </c>
      <c r="S652" s="12" t="b">
        <v>0</v>
      </c>
      <c r="T652" s="13" t="s">
        <v>248</v>
      </c>
      <c r="U652" s="13"/>
      <c r="V652" s="13"/>
      <c r="W652" s="13"/>
      <c r="X652" s="15"/>
      <c r="Y652" s="15"/>
      <c r="Z652" s="16"/>
      <c r="AA652" s="17"/>
      <c r="AB652" s="16"/>
      <c r="AC652" s="16"/>
      <c r="AD652" s="16"/>
      <c r="AE652" s="17"/>
      <c r="AF652" s="16"/>
      <c r="AG652" s="17"/>
      <c r="AH652" s="16"/>
      <c r="AI652" s="16"/>
      <c r="AJ652" s="16"/>
      <c r="AK652" s="17"/>
      <c r="AL652" s="16"/>
      <c r="AM652" s="16"/>
      <c r="AN652" s="16"/>
      <c r="AO652" s="16"/>
      <c r="AP652" s="18"/>
      <c r="AQ652" s="16"/>
    </row>
    <row r="653" ht="15.75" customHeight="1">
      <c r="A653" s="10" t="s">
        <v>3176</v>
      </c>
      <c r="B653" s="10" t="s">
        <v>3177</v>
      </c>
      <c r="C653" s="10" t="str">
        <f>VLOOKUP(A653,import!A:C,3,0)</f>
        <v>DOĞRU</v>
      </c>
      <c r="D653" s="10" t="s">
        <v>167</v>
      </c>
      <c r="E653" s="10">
        <f>VLOOKUP(A653,import!A:J,5,0)</f>
        <v>1076</v>
      </c>
      <c r="F653" s="10">
        <f>VLOOKUP(A653,import!A:J,6,0)</f>
        <v>65</v>
      </c>
      <c r="G653" s="10">
        <f>VLOOKUP(A653,import!A:J,7,0)</f>
        <v>7</v>
      </c>
      <c r="H653" s="10">
        <f>VLOOKUP(A653,import!A:J,8,0)</f>
        <v>24</v>
      </c>
      <c r="I653" s="10">
        <f>VLOOKUP(A653,import!A:J,9,0)</f>
        <v>31</v>
      </c>
      <c r="J653" s="11">
        <f>VLOOKUP(A653,import!A:J,10,0)</f>
        <v>0.23</v>
      </c>
      <c r="K653" s="10" t="s">
        <v>3178</v>
      </c>
      <c r="L653" s="10">
        <v>5.527561211E9</v>
      </c>
      <c r="M653" s="10" t="s">
        <v>63</v>
      </c>
      <c r="N653" s="10" t="s">
        <v>566</v>
      </c>
      <c r="O653" s="10" t="s">
        <v>3179</v>
      </c>
      <c r="P653" s="10" t="str">
        <f>VLOOKUP(A653,import!A:P,16,0)</f>
        <v>Geleneksel</v>
      </c>
      <c r="Q653" s="12" t="s">
        <v>84</v>
      </c>
      <c r="R653" s="12"/>
      <c r="S653" s="12" t="b">
        <v>0</v>
      </c>
      <c r="T653" s="13" t="s">
        <v>248</v>
      </c>
      <c r="U653" s="13"/>
      <c r="V653" s="13"/>
      <c r="W653" s="13"/>
      <c r="X653" s="15"/>
      <c r="Y653" s="15"/>
      <c r="Z653" s="16"/>
      <c r="AA653" s="16"/>
      <c r="AB653" s="16"/>
      <c r="AC653" s="16"/>
      <c r="AD653" s="16"/>
      <c r="AE653" s="17"/>
      <c r="AF653" s="16"/>
      <c r="AG653" s="17"/>
      <c r="AH653" s="16"/>
      <c r="AI653" s="16"/>
      <c r="AJ653" s="16"/>
      <c r="AK653" s="16"/>
      <c r="AL653" s="16"/>
      <c r="AM653" s="16"/>
      <c r="AN653" s="16"/>
      <c r="AO653" s="16"/>
      <c r="AP653" s="18" t="s">
        <v>58</v>
      </c>
      <c r="AQ653" s="16"/>
    </row>
    <row r="654" ht="15.75" customHeight="1">
      <c r="A654" s="18" t="s">
        <v>3180</v>
      </c>
      <c r="B654" s="18" t="s">
        <v>3181</v>
      </c>
      <c r="C654" s="10" t="str">
        <f>VLOOKUP(A654,import!A:C,3,0)</f>
        <v>DOĞRU</v>
      </c>
      <c r="D654" s="18" t="s">
        <v>167</v>
      </c>
      <c r="E654" s="10">
        <f>VLOOKUP(A654,import!A:J,5,0)</f>
        <v>7</v>
      </c>
      <c r="F654" s="10">
        <f>VLOOKUP(A654,import!A:J,6,0)</f>
        <v>5</v>
      </c>
      <c r="G654" s="10">
        <f>VLOOKUP(A654,import!A:J,7,0)</f>
        <v>8</v>
      </c>
      <c r="H654" s="10">
        <f>VLOOKUP(A654,import!A:J,8,0)</f>
        <v>137</v>
      </c>
      <c r="I654" s="10">
        <f>VLOOKUP(A654,import!A:J,9,0)</f>
        <v>145</v>
      </c>
      <c r="J654" s="11">
        <f>VLOOKUP(A654,import!A:J,10,0)</f>
        <v>0.06</v>
      </c>
      <c r="K654" s="18" t="s">
        <v>3182</v>
      </c>
      <c r="L654" s="18">
        <v>5.364150233E9</v>
      </c>
      <c r="M654" s="18" t="s">
        <v>137</v>
      </c>
      <c r="N654" s="18" t="s">
        <v>209</v>
      </c>
      <c r="O654" s="18" t="s">
        <v>3183</v>
      </c>
      <c r="P654" s="10" t="str">
        <f>VLOOKUP(A654,import!A:P,16,0)</f>
        <v>Geleneksel</v>
      </c>
      <c r="Q654" s="12"/>
      <c r="R654" s="12" t="b">
        <v>0</v>
      </c>
      <c r="S654" s="12" t="b">
        <v>0</v>
      </c>
      <c r="T654" s="13"/>
      <c r="U654" s="13"/>
      <c r="V654" s="13"/>
      <c r="W654" s="13"/>
      <c r="X654" s="15"/>
      <c r="Y654" s="15"/>
      <c r="Z654" s="16"/>
      <c r="AA654" s="17"/>
      <c r="AB654" s="16"/>
      <c r="AC654" s="16"/>
      <c r="AD654" s="16"/>
      <c r="AE654" s="17"/>
      <c r="AF654" s="16"/>
      <c r="AG654" s="17"/>
      <c r="AH654" s="16"/>
      <c r="AI654" s="16"/>
      <c r="AJ654" s="16"/>
      <c r="AK654" s="17"/>
      <c r="AL654" s="16"/>
      <c r="AM654" s="16"/>
      <c r="AN654" s="16"/>
      <c r="AO654" s="16"/>
      <c r="AP654" s="18"/>
      <c r="AQ654" s="16"/>
    </row>
    <row r="655" ht="15.75" hidden="1" customHeight="1">
      <c r="A655" s="10" t="s">
        <v>3184</v>
      </c>
      <c r="B655" s="10" t="s">
        <v>3185</v>
      </c>
      <c r="C655" s="10" t="str">
        <f>VLOOKUP(A655,import!A:C,3,0)</f>
        <v>DOĞRU</v>
      </c>
      <c r="D655" s="10" t="s">
        <v>167</v>
      </c>
      <c r="E655" s="10">
        <f>VLOOKUP(A655,import!A:J,5,0)</f>
        <v>528</v>
      </c>
      <c r="F655" s="10" t="str">
        <f>VLOOKUP(A655,import!A:J,6,0)</f>
        <v/>
      </c>
      <c r="G655" s="10">
        <f>VLOOKUP(A655,import!A:J,7,0)</f>
        <v>6</v>
      </c>
      <c r="H655" s="10">
        <f>VLOOKUP(A655,import!A:J,8,0)</f>
        <v>4</v>
      </c>
      <c r="I655" s="10">
        <f>VLOOKUP(A655,import!A:J,9,0)</f>
        <v>10</v>
      </c>
      <c r="J655" s="11">
        <f>VLOOKUP(A655,import!A:J,10,0)</f>
        <v>0.6</v>
      </c>
      <c r="K655" s="10" t="s">
        <v>3186</v>
      </c>
      <c r="L655" s="10">
        <v>5.459503887E9</v>
      </c>
      <c r="M655" s="10" t="s">
        <v>215</v>
      </c>
      <c r="N655" s="10" t="s">
        <v>216</v>
      </c>
      <c r="O655" s="10" t="s">
        <v>3187</v>
      </c>
      <c r="P655" s="10" t="str">
        <f>VLOOKUP(A655,import!A:P,16,0)</f>
        <v>Geleneksel</v>
      </c>
      <c r="Q655" s="12"/>
      <c r="R655" s="12" t="b">
        <v>1</v>
      </c>
      <c r="S655" s="12" t="b">
        <v>0</v>
      </c>
      <c r="T655" s="13" t="s">
        <v>51</v>
      </c>
      <c r="U655" s="13" t="s">
        <v>89</v>
      </c>
      <c r="V655" s="13" t="s">
        <v>53</v>
      </c>
      <c r="W655" s="13"/>
      <c r="X655" s="15">
        <v>44491.0</v>
      </c>
      <c r="Y655" s="15">
        <v>44494.0</v>
      </c>
      <c r="Z655" s="16"/>
      <c r="AA655" s="17" t="s">
        <v>55</v>
      </c>
      <c r="AB655" s="16">
        <v>44483.0</v>
      </c>
      <c r="AC655" s="17" t="s">
        <v>56</v>
      </c>
      <c r="AD655" s="16">
        <v>44491.0</v>
      </c>
      <c r="AE655" s="17"/>
      <c r="AF655" s="16"/>
      <c r="AG655" s="17"/>
      <c r="AH655" s="16"/>
      <c r="AI655" s="16"/>
      <c r="AJ655" s="16"/>
      <c r="AK655" s="17" t="s">
        <v>103</v>
      </c>
      <c r="AL655" s="17" t="s">
        <v>89</v>
      </c>
      <c r="AM655" s="16"/>
      <c r="AN655" s="16"/>
      <c r="AO655" s="16"/>
      <c r="AP655" s="18" t="s">
        <v>58</v>
      </c>
      <c r="AQ655" s="16"/>
    </row>
    <row r="656" ht="15.75" hidden="1" customHeight="1">
      <c r="A656" s="10" t="s">
        <v>3188</v>
      </c>
      <c r="B656" s="10" t="s">
        <v>3189</v>
      </c>
      <c r="C656" s="10" t="str">
        <f>VLOOKUP(A656,import!A:C,3,0)</f>
        <v>DOĞRU</v>
      </c>
      <c r="D656" s="10" t="s">
        <v>80</v>
      </c>
      <c r="E656" s="10">
        <f>VLOOKUP(A656,import!A:J,5,0)</f>
        <v>727</v>
      </c>
      <c r="F656" s="10">
        <f>VLOOKUP(A656,import!A:J,6,0)</f>
        <v>46</v>
      </c>
      <c r="G656" s="10">
        <f>VLOOKUP(A656,import!A:J,7,0)</f>
        <v>2</v>
      </c>
      <c r="H656" s="10">
        <f>VLOOKUP(A656,import!A:J,8,0)</f>
        <v>5</v>
      </c>
      <c r="I656" s="10">
        <f>VLOOKUP(A656,import!A:J,9,0)</f>
        <v>7</v>
      </c>
      <c r="J656" s="11">
        <f>VLOOKUP(A656,import!A:J,10,0)</f>
        <v>0.29</v>
      </c>
      <c r="K656" s="10" t="s">
        <v>3190</v>
      </c>
      <c r="L656" s="10">
        <v>5.304268988E9</v>
      </c>
      <c r="M656" s="10" t="s">
        <v>72</v>
      </c>
      <c r="N656" s="10" t="s">
        <v>113</v>
      </c>
      <c r="O656" s="10" t="s">
        <v>3191</v>
      </c>
      <c r="P656" s="10" t="str">
        <f>VLOOKUP(A656,import!A:P,16,0)</f>
        <v>Geleneksel</v>
      </c>
      <c r="Q656" s="12"/>
      <c r="R656" s="12" t="b">
        <v>1</v>
      </c>
      <c r="S656" s="12" t="b">
        <v>0</v>
      </c>
      <c r="T656" s="13" t="s">
        <v>51</v>
      </c>
      <c r="U656" s="13" t="s">
        <v>1218</v>
      </c>
      <c r="V656" s="13" t="s">
        <v>278</v>
      </c>
      <c r="W656" s="13" t="s">
        <v>3192</v>
      </c>
      <c r="X656" s="15">
        <v>44287.0</v>
      </c>
      <c r="Y656" s="15">
        <v>44291.0</v>
      </c>
      <c r="Z656" s="16"/>
      <c r="AA656" s="17" t="s">
        <v>56</v>
      </c>
      <c r="AB656" s="16">
        <v>44553.0</v>
      </c>
      <c r="AC656" s="16"/>
      <c r="AD656" s="16"/>
      <c r="AE656" s="17"/>
      <c r="AF656" s="16"/>
      <c r="AG656" s="17"/>
      <c r="AH656" s="16"/>
      <c r="AI656" s="16"/>
      <c r="AJ656" s="16"/>
      <c r="AK656" s="17" t="s">
        <v>89</v>
      </c>
      <c r="AL656" s="16"/>
      <c r="AM656" s="16"/>
      <c r="AN656" s="16"/>
      <c r="AO656" s="16"/>
      <c r="AP656" s="18" t="s">
        <v>58</v>
      </c>
      <c r="AQ656" s="16"/>
    </row>
    <row r="657" ht="15.75" hidden="1" customHeight="1">
      <c r="A657" s="10" t="s">
        <v>3193</v>
      </c>
      <c r="B657" s="10" t="s">
        <v>3194</v>
      </c>
      <c r="C657" s="10" t="str">
        <f>VLOOKUP(A657,import!A:C,3,0)</f>
        <v>DOĞRU</v>
      </c>
      <c r="D657" s="10" t="s">
        <v>167</v>
      </c>
      <c r="E657" s="10">
        <f>VLOOKUP(A657,import!A:J,5,0)</f>
        <v>1010</v>
      </c>
      <c r="F657" s="10">
        <f>VLOOKUP(A657,import!A:J,6,0)</f>
        <v>47</v>
      </c>
      <c r="G657" s="10">
        <f>VLOOKUP(A657,import!A:J,7,0)</f>
        <v>0</v>
      </c>
      <c r="H657" s="10">
        <f>VLOOKUP(A657,import!A:J,8,0)</f>
        <v>14</v>
      </c>
      <c r="I657" s="10">
        <f>VLOOKUP(A657,import!A:J,9,0)</f>
        <v>14</v>
      </c>
      <c r="J657" s="11">
        <f>VLOOKUP(A657,import!A:J,10,0)</f>
        <v>0</v>
      </c>
      <c r="K657" s="10" t="s">
        <v>3195</v>
      </c>
      <c r="L657" s="10">
        <v>5.350880351E9</v>
      </c>
      <c r="M657" s="10" t="s">
        <v>215</v>
      </c>
      <c r="N657" s="10" t="s">
        <v>745</v>
      </c>
      <c r="O657" s="10" t="s">
        <v>3196</v>
      </c>
      <c r="P657" s="10" t="str">
        <f>VLOOKUP(A657,import!A:P,16,0)</f>
        <v>Geleneksel</v>
      </c>
      <c r="Q657" s="12"/>
      <c r="R657" s="12" t="b">
        <v>1</v>
      </c>
      <c r="S657" s="12" t="b">
        <v>1</v>
      </c>
      <c r="T657" s="13"/>
      <c r="U657" s="13"/>
      <c r="V657" s="13"/>
      <c r="W657" s="13" t="s">
        <v>3197</v>
      </c>
      <c r="X657" s="15"/>
      <c r="Y657" s="15"/>
      <c r="Z657" s="16"/>
      <c r="AA657" s="17" t="s">
        <v>56</v>
      </c>
      <c r="AB657" s="16">
        <v>44499.0</v>
      </c>
      <c r="AC657" s="16"/>
      <c r="AD657" s="16"/>
      <c r="AE657" s="17"/>
      <c r="AF657" s="16"/>
      <c r="AG657" s="17"/>
      <c r="AH657" s="16"/>
      <c r="AI657" s="16"/>
      <c r="AJ657" s="16"/>
      <c r="AK657" s="17" t="s">
        <v>367</v>
      </c>
      <c r="AL657" s="16"/>
      <c r="AM657" s="16"/>
      <c r="AN657" s="16"/>
      <c r="AO657" s="16"/>
      <c r="AP657" s="18" t="s">
        <v>58</v>
      </c>
      <c r="AQ657" s="16"/>
    </row>
    <row r="658" ht="15.75" hidden="1" customHeight="1">
      <c r="A658" s="10" t="s">
        <v>3198</v>
      </c>
      <c r="B658" s="10" t="s">
        <v>3199</v>
      </c>
      <c r="C658" s="10" t="str">
        <f>VLOOKUP(A658,import!A:C,3,0)</f>
        <v>DOĞRU</v>
      </c>
      <c r="D658" s="10" t="s">
        <v>118</v>
      </c>
      <c r="E658" s="10">
        <f>VLOOKUP(A658,import!A:J,5,0)</f>
        <v>1225</v>
      </c>
      <c r="F658" s="10">
        <f>VLOOKUP(A658,import!A:J,6,0)</f>
        <v>35</v>
      </c>
      <c r="G658" s="10">
        <f>VLOOKUP(A658,import!A:J,7,0)</f>
        <v>0</v>
      </c>
      <c r="H658" s="10">
        <f>VLOOKUP(A658,import!A:J,8,0)</f>
        <v>36</v>
      </c>
      <c r="I658" s="10">
        <f>VLOOKUP(A658,import!A:J,9,0)</f>
        <v>36</v>
      </c>
      <c r="J658" s="11">
        <f>VLOOKUP(A658,import!A:J,10,0)</f>
        <v>0</v>
      </c>
      <c r="K658" s="10" t="s">
        <v>3200</v>
      </c>
      <c r="L658" s="10">
        <v>3.246241333E9</v>
      </c>
      <c r="M658" s="10" t="s">
        <v>156</v>
      </c>
      <c r="N658" s="10" t="s">
        <v>252</v>
      </c>
      <c r="O658" s="10" t="s">
        <v>3201</v>
      </c>
      <c r="P658" s="10" t="str">
        <f>VLOOKUP(A658,import!A:P,16,0)</f>
        <v>Geleneksel</v>
      </c>
      <c r="Q658" s="12" t="s">
        <v>84</v>
      </c>
      <c r="R658" s="12" t="b">
        <v>1</v>
      </c>
      <c r="S658" s="12" t="b">
        <v>1</v>
      </c>
      <c r="T658" s="13"/>
      <c r="U658" s="13"/>
      <c r="V658" s="13"/>
      <c r="W658" s="13" t="s">
        <v>2713</v>
      </c>
      <c r="X658" s="15"/>
      <c r="Y658" s="15"/>
      <c r="Z658" s="16"/>
      <c r="AA658" s="17" t="s">
        <v>56</v>
      </c>
      <c r="AB658" s="16">
        <v>44537.0</v>
      </c>
      <c r="AC658" s="16"/>
      <c r="AD658" s="16"/>
      <c r="AE658" s="17"/>
      <c r="AF658" s="16"/>
      <c r="AG658" s="17"/>
      <c r="AH658" s="16"/>
      <c r="AI658" s="16"/>
      <c r="AJ658" s="16"/>
      <c r="AK658" s="17" t="s">
        <v>329</v>
      </c>
      <c r="AL658" s="16"/>
      <c r="AM658" s="16"/>
      <c r="AN658" s="16"/>
      <c r="AO658" s="16"/>
      <c r="AP658" s="18" t="s">
        <v>58</v>
      </c>
      <c r="AQ658" s="16"/>
    </row>
    <row r="659" ht="15.75" customHeight="1">
      <c r="A659" s="10" t="s">
        <v>3202</v>
      </c>
      <c r="B659" s="10" t="s">
        <v>3203</v>
      </c>
      <c r="C659" s="10" t="str">
        <f>VLOOKUP(A659,import!A:C,3,0)</f>
        <v>DOĞRU</v>
      </c>
      <c r="D659" s="10" t="s">
        <v>118</v>
      </c>
      <c r="E659" s="10">
        <f>VLOOKUP(A659,import!A:J,5,0)</f>
        <v>386</v>
      </c>
      <c r="F659" s="10">
        <f>VLOOKUP(A659,import!A:J,6,0)</f>
        <v>27</v>
      </c>
      <c r="G659" s="10">
        <f>VLOOKUP(A659,import!A:J,7,0)</f>
        <v>0</v>
      </c>
      <c r="H659" s="10">
        <f>VLOOKUP(A659,import!A:J,8,0)</f>
        <v>60</v>
      </c>
      <c r="I659" s="10">
        <f>VLOOKUP(A659,import!A:J,9,0)</f>
        <v>60</v>
      </c>
      <c r="J659" s="11">
        <f>VLOOKUP(A659,import!A:J,10,0)</f>
        <v>0</v>
      </c>
      <c r="K659" s="10" t="s">
        <v>3204</v>
      </c>
      <c r="L659" s="10">
        <v>5.492003392E9</v>
      </c>
      <c r="M659" s="10" t="s">
        <v>137</v>
      </c>
      <c r="N659" s="10" t="s">
        <v>138</v>
      </c>
      <c r="O659" s="10" t="s">
        <v>3205</v>
      </c>
      <c r="P659" s="10" t="str">
        <f>VLOOKUP(A659,import!A:P,16,0)</f>
        <v>Geleneksel</v>
      </c>
      <c r="Q659" s="12"/>
      <c r="R659" s="12" t="b">
        <v>1</v>
      </c>
      <c r="S659" s="12" t="b">
        <v>0</v>
      </c>
      <c r="T659" s="13" t="s">
        <v>199</v>
      </c>
      <c r="U659" s="13"/>
      <c r="V659" s="13"/>
      <c r="W659" s="40" t="s">
        <v>3206</v>
      </c>
      <c r="X659" s="10"/>
      <c r="Y659" s="15"/>
      <c r="Z659" s="16"/>
      <c r="AA659" s="17" t="s">
        <v>55</v>
      </c>
      <c r="AB659" s="16">
        <v>44411.0</v>
      </c>
      <c r="AC659" s="17" t="s">
        <v>265</v>
      </c>
      <c r="AD659" s="16">
        <v>44489.0</v>
      </c>
      <c r="AE659" s="17" t="s">
        <v>56</v>
      </c>
      <c r="AF659" s="16">
        <v>44494.0</v>
      </c>
      <c r="AG659" s="17"/>
      <c r="AH659" s="16"/>
      <c r="AI659" s="16"/>
      <c r="AJ659" s="16"/>
      <c r="AK659" s="17" t="s">
        <v>95</v>
      </c>
      <c r="AL659" s="17" t="s">
        <v>103</v>
      </c>
      <c r="AM659" s="17" t="s">
        <v>52</v>
      </c>
      <c r="AN659" s="16"/>
      <c r="AO659" s="16"/>
      <c r="AP659" s="18" t="s">
        <v>58</v>
      </c>
      <c r="AQ659" s="16"/>
    </row>
    <row r="660" ht="15.75" hidden="1" customHeight="1">
      <c r="A660" s="10" t="s">
        <v>3207</v>
      </c>
      <c r="B660" s="10" t="s">
        <v>3208</v>
      </c>
      <c r="C660" s="10" t="str">
        <f>VLOOKUP(A660,import!A:C,3,0)</f>
        <v>DOĞRU</v>
      </c>
      <c r="D660" s="10" t="s">
        <v>118</v>
      </c>
      <c r="E660" s="10">
        <f>VLOOKUP(A660,import!A:J,5,0)</f>
        <v>133</v>
      </c>
      <c r="F660" s="10">
        <f>VLOOKUP(A660,import!A:J,6,0)</f>
        <v>3</v>
      </c>
      <c r="G660" s="10">
        <f>VLOOKUP(A660,import!A:J,7,0)</f>
        <v>0</v>
      </c>
      <c r="H660" s="10">
        <f>VLOOKUP(A660,import!A:J,8,0)</f>
        <v>41</v>
      </c>
      <c r="I660" s="10">
        <f>VLOOKUP(A660,import!A:J,9,0)</f>
        <v>41</v>
      </c>
      <c r="J660" s="11">
        <f>VLOOKUP(A660,import!A:J,10,0)</f>
        <v>0</v>
      </c>
      <c r="K660" s="10" t="s">
        <v>3209</v>
      </c>
      <c r="L660" s="10">
        <v>3.243261601E9</v>
      </c>
      <c r="M660" s="10" t="s">
        <v>72</v>
      </c>
      <c r="N660" s="10" t="s">
        <v>810</v>
      </c>
      <c r="O660" s="10" t="s">
        <v>3210</v>
      </c>
      <c r="P660" s="10" t="str">
        <f>VLOOKUP(A660,import!A:P,16,0)</f>
        <v>Geleneksel</v>
      </c>
      <c r="Q660" s="12" t="s">
        <v>84</v>
      </c>
      <c r="R660" s="12" t="b">
        <v>1</v>
      </c>
      <c r="S660" s="13" t="b">
        <v>0</v>
      </c>
      <c r="T660" s="13" t="s">
        <v>130</v>
      </c>
      <c r="U660" s="13" t="s">
        <v>89</v>
      </c>
      <c r="V660" s="13" t="s">
        <v>66</v>
      </c>
      <c r="W660" s="13" t="s">
        <v>3211</v>
      </c>
      <c r="X660" s="15">
        <v>44565.0</v>
      </c>
      <c r="Y660" s="15">
        <v>44567.0</v>
      </c>
      <c r="Z660" s="16"/>
      <c r="AA660" s="17" t="s">
        <v>55</v>
      </c>
      <c r="AB660" s="16">
        <v>44477.0</v>
      </c>
      <c r="AC660" s="17" t="s">
        <v>55</v>
      </c>
      <c r="AD660" s="16">
        <v>44519.0</v>
      </c>
      <c r="AE660" s="17" t="s">
        <v>230</v>
      </c>
      <c r="AF660" s="16">
        <v>44551.0</v>
      </c>
      <c r="AG660" s="17" t="s">
        <v>56</v>
      </c>
      <c r="AH660" s="16">
        <v>44565.0</v>
      </c>
      <c r="AI660" s="17" t="s">
        <v>230</v>
      </c>
      <c r="AJ660" s="16">
        <v>44637.0</v>
      </c>
      <c r="AK660" s="17" t="s">
        <v>171</v>
      </c>
      <c r="AL660" s="17" t="s">
        <v>87</v>
      </c>
      <c r="AM660" s="17" t="s">
        <v>314</v>
      </c>
      <c r="AN660" s="17" t="s">
        <v>89</v>
      </c>
      <c r="AO660" s="17" t="s">
        <v>89</v>
      </c>
      <c r="AP660" s="18" t="s">
        <v>58</v>
      </c>
      <c r="AQ660" s="16"/>
    </row>
    <row r="661" ht="15.75" customHeight="1">
      <c r="A661" s="18" t="s">
        <v>3212</v>
      </c>
      <c r="B661" s="18" t="s">
        <v>3213</v>
      </c>
      <c r="C661" s="10" t="str">
        <f>VLOOKUP(A661,import!A:C,3,0)</f>
        <v>DOĞRU</v>
      </c>
      <c r="D661" s="18" t="s">
        <v>372</v>
      </c>
      <c r="E661" s="10">
        <f>VLOOKUP(A661,import!A:J,5,0)</f>
        <v>29</v>
      </c>
      <c r="F661" s="10">
        <f>VLOOKUP(A661,import!A:J,6,0)</f>
        <v>29</v>
      </c>
      <c r="G661" s="10">
        <f>VLOOKUP(A661,import!A:J,7,0)</f>
        <v>0</v>
      </c>
      <c r="H661" s="10">
        <f>VLOOKUP(A661,import!A:J,8,0)</f>
        <v>65</v>
      </c>
      <c r="I661" s="10">
        <f>VLOOKUP(A661,import!A:J,9,0)</f>
        <v>65</v>
      </c>
      <c r="J661" s="11">
        <f>VLOOKUP(A661,import!A:J,10,0)</f>
        <v>0</v>
      </c>
      <c r="K661" s="18" t="s">
        <v>3214</v>
      </c>
      <c r="L661" s="18">
        <v>5.339286133E9</v>
      </c>
      <c r="M661" s="18" t="s">
        <v>63</v>
      </c>
      <c r="N661" s="18" t="s">
        <v>93</v>
      </c>
      <c r="O661" s="18" t="s">
        <v>3215</v>
      </c>
      <c r="P661" s="10" t="str">
        <f>VLOOKUP(A661,import!A:P,16,0)</f>
        <v>Geleneksel</v>
      </c>
      <c r="Q661" s="12"/>
      <c r="R661" s="12" t="b">
        <v>0</v>
      </c>
      <c r="S661" s="12" t="b">
        <v>0</v>
      </c>
      <c r="T661" s="13"/>
      <c r="U661" s="13"/>
      <c r="V661" s="13"/>
      <c r="W661" s="13"/>
      <c r="X661" s="15"/>
      <c r="Y661" s="15"/>
      <c r="Z661" s="16"/>
      <c r="AA661" s="17"/>
      <c r="AB661" s="16"/>
      <c r="AC661" s="16"/>
      <c r="AD661" s="16"/>
      <c r="AE661" s="17"/>
      <c r="AF661" s="16"/>
      <c r="AG661" s="17"/>
      <c r="AH661" s="16"/>
      <c r="AI661" s="16"/>
      <c r="AJ661" s="16"/>
      <c r="AK661" s="17"/>
      <c r="AL661" s="16"/>
      <c r="AM661" s="16"/>
      <c r="AN661" s="16"/>
      <c r="AO661" s="16"/>
      <c r="AP661" s="18"/>
      <c r="AQ661" s="16"/>
    </row>
    <row r="662" ht="15.75" customHeight="1">
      <c r="A662" s="10" t="s">
        <v>3216</v>
      </c>
      <c r="B662" s="10" t="s">
        <v>3217</v>
      </c>
      <c r="C662" s="10" t="str">
        <f>VLOOKUP(A662,import!A:C,3,0)</f>
        <v>DOĞRU</v>
      </c>
      <c r="D662" s="10" t="s">
        <v>80</v>
      </c>
      <c r="E662" s="10">
        <f>VLOOKUP(A662,import!A:J,5,0)</f>
        <v>350</v>
      </c>
      <c r="F662" s="10">
        <f>VLOOKUP(A662,import!A:J,6,0)</f>
        <v>82</v>
      </c>
      <c r="G662" s="10">
        <f>VLOOKUP(A662,import!A:J,7,0)</f>
        <v>21</v>
      </c>
      <c r="H662" s="10">
        <f>VLOOKUP(A662,import!A:J,8,0)</f>
        <v>17</v>
      </c>
      <c r="I662" s="10">
        <f>VLOOKUP(A662,import!A:J,9,0)</f>
        <v>38</v>
      </c>
      <c r="J662" s="11">
        <f>VLOOKUP(A662,import!A:J,10,0)</f>
        <v>0.55</v>
      </c>
      <c r="K662" s="10" t="s">
        <v>3218</v>
      </c>
      <c r="L662" s="10">
        <v>3.245036363E9</v>
      </c>
      <c r="M662" s="10" t="s">
        <v>63</v>
      </c>
      <c r="N662" s="10" t="s">
        <v>566</v>
      </c>
      <c r="O662" s="10" t="s">
        <v>3219</v>
      </c>
      <c r="P662" s="10" t="str">
        <f>VLOOKUP(A662,import!A:P,16,0)</f>
        <v>Geleneksel</v>
      </c>
      <c r="Q662" s="12"/>
      <c r="R662" s="12" t="b">
        <v>1</v>
      </c>
      <c r="S662" s="12" t="b">
        <v>0</v>
      </c>
      <c r="T662" s="13" t="s">
        <v>51</v>
      </c>
      <c r="U662" s="13" t="s">
        <v>89</v>
      </c>
      <c r="V662" s="17" t="s">
        <v>66</v>
      </c>
      <c r="W662" s="13"/>
      <c r="X662" s="15">
        <v>44630.0</v>
      </c>
      <c r="Y662" s="15">
        <v>44631.0</v>
      </c>
      <c r="Z662" s="16"/>
      <c r="AA662" s="17" t="s">
        <v>56</v>
      </c>
      <c r="AB662" s="16">
        <v>44630.0</v>
      </c>
      <c r="AC662" s="16"/>
      <c r="AD662" s="16"/>
      <c r="AE662" s="17"/>
      <c r="AF662" s="16"/>
      <c r="AG662" s="17"/>
      <c r="AH662" s="16"/>
      <c r="AI662" s="16"/>
      <c r="AJ662" s="16"/>
      <c r="AK662" s="17" t="s">
        <v>89</v>
      </c>
      <c r="AL662" s="16"/>
      <c r="AM662" s="16"/>
      <c r="AN662" s="16"/>
      <c r="AO662" s="16"/>
      <c r="AP662" s="18"/>
      <c r="AQ662" s="16"/>
    </row>
    <row r="663" ht="15.75" hidden="1" customHeight="1">
      <c r="A663" s="10" t="s">
        <v>3220</v>
      </c>
      <c r="B663" s="10" t="s">
        <v>3221</v>
      </c>
      <c r="C663" s="10" t="str">
        <f>VLOOKUP(A663,import!A:C,3,0)</f>
        <v>DOĞRU</v>
      </c>
      <c r="D663" s="10" t="s">
        <v>118</v>
      </c>
      <c r="E663" s="10">
        <f>VLOOKUP(A663,import!A:J,5,0)</f>
        <v>263</v>
      </c>
      <c r="F663" s="10">
        <f>VLOOKUP(A663,import!A:J,6,0)</f>
        <v>9</v>
      </c>
      <c r="G663" s="10">
        <f>VLOOKUP(A663,import!A:J,7,0)</f>
        <v>0</v>
      </c>
      <c r="H663" s="10">
        <f>VLOOKUP(A663,import!A:J,8,0)</f>
        <v>31</v>
      </c>
      <c r="I663" s="10">
        <f>VLOOKUP(A663,import!A:J,9,0)</f>
        <v>31</v>
      </c>
      <c r="J663" s="11">
        <f>VLOOKUP(A663,import!A:J,10,0)</f>
        <v>0</v>
      </c>
      <c r="K663" s="10" t="s">
        <v>3222</v>
      </c>
      <c r="L663" s="10">
        <v>3.243253838E9</v>
      </c>
      <c r="M663" s="10" t="s">
        <v>72</v>
      </c>
      <c r="N663" s="10" t="s">
        <v>73</v>
      </c>
      <c r="O663" s="10" t="s">
        <v>3223</v>
      </c>
      <c r="P663" s="10" t="str">
        <f>VLOOKUP(A663,import!A:P,16,0)</f>
        <v>Geleneksel</v>
      </c>
      <c r="Q663" s="12"/>
      <c r="R663" s="12" t="b">
        <v>1</v>
      </c>
      <c r="S663" s="12" t="b">
        <v>0</v>
      </c>
      <c r="T663" s="13" t="s">
        <v>199</v>
      </c>
      <c r="U663" s="13"/>
      <c r="V663" s="13"/>
      <c r="W663" s="13" t="s">
        <v>3224</v>
      </c>
      <c r="X663" s="15"/>
      <c r="Y663" s="15"/>
      <c r="Z663" s="16"/>
      <c r="AA663" s="17" t="s">
        <v>56</v>
      </c>
      <c r="AB663" s="16">
        <v>44599.0</v>
      </c>
      <c r="AC663" s="16"/>
      <c r="AD663" s="16"/>
      <c r="AE663" s="17"/>
      <c r="AF663" s="16"/>
      <c r="AG663" s="17"/>
      <c r="AH663" s="16"/>
      <c r="AI663" s="16"/>
      <c r="AJ663" s="16"/>
      <c r="AK663" s="17" t="s">
        <v>52</v>
      </c>
      <c r="AL663" s="16"/>
      <c r="AM663" s="16"/>
      <c r="AN663" s="16"/>
      <c r="AO663" s="16"/>
      <c r="AP663" s="18"/>
      <c r="AQ663" s="16"/>
    </row>
    <row r="664" ht="15.75" hidden="1" customHeight="1">
      <c r="A664" s="10" t="s">
        <v>3225</v>
      </c>
      <c r="B664" s="10" t="s">
        <v>3226</v>
      </c>
      <c r="C664" s="10" t="str">
        <f>VLOOKUP(A664,import!A:C,3,0)</f>
        <v>DOĞRU</v>
      </c>
      <c r="D664" s="10" t="s">
        <v>80</v>
      </c>
      <c r="E664" s="10">
        <f>VLOOKUP(A664,import!A:J,5,0)</f>
        <v>20</v>
      </c>
      <c r="F664" s="10">
        <f>VLOOKUP(A664,import!A:J,6,0)</f>
        <v>12</v>
      </c>
      <c r="G664" s="10">
        <f>VLOOKUP(A664,import!A:J,7,0)</f>
        <v>0</v>
      </c>
      <c r="H664" s="10">
        <f>VLOOKUP(A664,import!A:J,8,0)</f>
        <v>6</v>
      </c>
      <c r="I664" s="10">
        <f>VLOOKUP(A664,import!A:J,9,0)</f>
        <v>6</v>
      </c>
      <c r="J664" s="11">
        <f>VLOOKUP(A664,import!A:J,10,0)</f>
        <v>0</v>
      </c>
      <c r="K664" s="10" t="s">
        <v>3227</v>
      </c>
      <c r="L664" s="10">
        <v>5.421221816E9</v>
      </c>
      <c r="M664" s="10" t="s">
        <v>72</v>
      </c>
      <c r="N664" s="10" t="s">
        <v>82</v>
      </c>
      <c r="O664" s="10" t="s">
        <v>421</v>
      </c>
      <c r="P664" s="10" t="str">
        <f>VLOOKUP(A664,import!A:P,16,0)</f>
        <v>Geleneksel</v>
      </c>
      <c r="Q664" s="12"/>
      <c r="R664" s="12" t="b">
        <v>1</v>
      </c>
      <c r="S664" s="12" t="b">
        <v>0</v>
      </c>
      <c r="T664" s="13" t="s">
        <v>51</v>
      </c>
      <c r="U664" s="13" t="s">
        <v>133</v>
      </c>
      <c r="V664" s="13"/>
      <c r="W664" s="13"/>
      <c r="X664" s="15">
        <v>44655.0</v>
      </c>
      <c r="Y664" s="15">
        <v>44656.0</v>
      </c>
      <c r="Z664" s="16"/>
      <c r="AA664" s="17" t="s">
        <v>56</v>
      </c>
      <c r="AB664" s="16">
        <v>44655.0</v>
      </c>
      <c r="AC664" s="16"/>
      <c r="AD664" s="16"/>
      <c r="AE664" s="17"/>
      <c r="AF664" s="16"/>
      <c r="AG664" s="17"/>
      <c r="AH664" s="16"/>
      <c r="AI664" s="16"/>
      <c r="AJ664" s="16"/>
      <c r="AK664" s="17" t="s">
        <v>133</v>
      </c>
      <c r="AL664" s="16"/>
      <c r="AM664" s="16"/>
      <c r="AN664" s="16"/>
      <c r="AO664" s="16"/>
      <c r="AP664" s="18"/>
      <c r="AQ664" s="16"/>
    </row>
    <row r="665" ht="15.75" customHeight="1">
      <c r="A665" s="10" t="s">
        <v>3228</v>
      </c>
      <c r="B665" s="10" t="s">
        <v>3229</v>
      </c>
      <c r="C665" s="10" t="str">
        <f>VLOOKUP(A665,import!A:C,3,0)</f>
        <v>DOĞRU</v>
      </c>
      <c r="D665" s="10" t="s">
        <v>80</v>
      </c>
      <c r="E665" s="10">
        <f>VLOOKUP(A665,import!A:J,5,0)</f>
        <v>496</v>
      </c>
      <c r="F665" s="10">
        <f>VLOOKUP(A665,import!A:J,6,0)</f>
        <v>25</v>
      </c>
      <c r="G665" s="10">
        <f>VLOOKUP(A665,import!A:J,7,0)</f>
        <v>0</v>
      </c>
      <c r="H665" s="10">
        <f>VLOOKUP(A665,import!A:J,8,0)</f>
        <v>18</v>
      </c>
      <c r="I665" s="10">
        <f>VLOOKUP(A665,import!A:J,9,0)</f>
        <v>18</v>
      </c>
      <c r="J665" s="11">
        <f>VLOOKUP(A665,import!A:J,10,0)</f>
        <v>0</v>
      </c>
      <c r="K665" s="10" t="s">
        <v>3230</v>
      </c>
      <c r="L665" s="10">
        <v>5.305732374E9</v>
      </c>
      <c r="M665" s="10" t="s">
        <v>63</v>
      </c>
      <c r="N665" s="10" t="s">
        <v>93</v>
      </c>
      <c r="O665" s="10" t="s">
        <v>3231</v>
      </c>
      <c r="P665" s="10" t="str">
        <f>VLOOKUP(A665,import!A:P,16,0)</f>
        <v>Geleneksel</v>
      </c>
      <c r="Q665" s="12"/>
      <c r="R665" s="12" t="b">
        <v>1</v>
      </c>
      <c r="S665" s="12" t="b">
        <v>0</v>
      </c>
      <c r="T665" s="13" t="s">
        <v>199</v>
      </c>
      <c r="U665" s="13"/>
      <c r="V665" s="13"/>
      <c r="W665" s="13" t="s">
        <v>3232</v>
      </c>
      <c r="X665" s="15"/>
      <c r="Y665" s="15"/>
      <c r="Z665" s="16"/>
      <c r="AA665" s="17" t="s">
        <v>56</v>
      </c>
      <c r="AB665" s="16">
        <v>44446.0</v>
      </c>
      <c r="AC665" s="17" t="s">
        <v>230</v>
      </c>
      <c r="AD665" s="16">
        <v>44450.0</v>
      </c>
      <c r="AE665" s="17" t="s">
        <v>55</v>
      </c>
      <c r="AF665" s="16">
        <v>44460.0</v>
      </c>
      <c r="AG665" s="17" t="s">
        <v>55</v>
      </c>
      <c r="AH665" s="16">
        <v>44461.0</v>
      </c>
      <c r="AI665" s="17" t="s">
        <v>56</v>
      </c>
      <c r="AJ665" s="16">
        <v>44489.0</v>
      </c>
      <c r="AK665" s="17" t="s">
        <v>367</v>
      </c>
      <c r="AL665" s="17" t="s">
        <v>108</v>
      </c>
      <c r="AM665" s="17" t="s">
        <v>87</v>
      </c>
      <c r="AN665" s="17" t="s">
        <v>367</v>
      </c>
      <c r="AO665" s="17" t="s">
        <v>367</v>
      </c>
      <c r="AP665" s="18" t="s">
        <v>58</v>
      </c>
      <c r="AQ665" s="17"/>
    </row>
    <row r="666" ht="15.75" customHeight="1">
      <c r="A666" s="10" t="s">
        <v>3233</v>
      </c>
      <c r="B666" s="10" t="s">
        <v>3234</v>
      </c>
      <c r="C666" s="10" t="str">
        <f>VLOOKUP(A666,import!A:C,3,0)</f>
        <v>DOĞRU</v>
      </c>
      <c r="D666" s="10" t="s">
        <v>80</v>
      </c>
      <c r="E666" s="10">
        <f>VLOOKUP(A666,import!A:J,5,0)</f>
        <v>1059</v>
      </c>
      <c r="F666" s="10">
        <f>VLOOKUP(A666,import!A:J,6,0)</f>
        <v>45</v>
      </c>
      <c r="G666" s="10">
        <f>VLOOKUP(A666,import!A:J,7,0)</f>
        <v>0</v>
      </c>
      <c r="H666" s="10">
        <f>VLOOKUP(A666,import!A:J,8,0)</f>
        <v>17</v>
      </c>
      <c r="I666" s="10">
        <f>VLOOKUP(A666,import!A:J,9,0)</f>
        <v>17</v>
      </c>
      <c r="J666" s="11">
        <f>VLOOKUP(A666,import!A:J,10,0)</f>
        <v>0</v>
      </c>
      <c r="K666" s="10" t="s">
        <v>3235</v>
      </c>
      <c r="L666" s="10">
        <v>5.379603724E9</v>
      </c>
      <c r="M666" s="10" t="s">
        <v>137</v>
      </c>
      <c r="N666" s="10" t="s">
        <v>3236</v>
      </c>
      <c r="O666" s="10" t="s">
        <v>3237</v>
      </c>
      <c r="P666" s="10" t="str">
        <f>VLOOKUP(A666,import!A:P,16,0)</f>
        <v>Geleneksel</v>
      </c>
      <c r="Q666" s="12"/>
      <c r="R666" s="12" t="b">
        <v>1</v>
      </c>
      <c r="S666" s="12" t="b">
        <v>0</v>
      </c>
      <c r="T666" s="13" t="s">
        <v>265</v>
      </c>
      <c r="U666" s="13"/>
      <c r="V666" s="13"/>
      <c r="W666" s="13" t="s">
        <v>3238</v>
      </c>
      <c r="X666" s="15"/>
      <c r="Y666" s="15"/>
      <c r="Z666" s="16"/>
      <c r="AA666" s="17" t="s">
        <v>55</v>
      </c>
      <c r="AB666" s="16">
        <v>44494.0</v>
      </c>
      <c r="AC666" s="17" t="s">
        <v>55</v>
      </c>
      <c r="AD666" s="16">
        <v>44497.0</v>
      </c>
      <c r="AE666" s="17" t="s">
        <v>265</v>
      </c>
      <c r="AF666" s="16">
        <v>44511.0</v>
      </c>
      <c r="AG666" s="17" t="s">
        <v>55</v>
      </c>
      <c r="AH666" s="16">
        <v>44536.0</v>
      </c>
      <c r="AI666" s="17" t="s">
        <v>55</v>
      </c>
      <c r="AJ666" s="16">
        <v>44557.0</v>
      </c>
      <c r="AK666" s="17" t="s">
        <v>52</v>
      </c>
      <c r="AL666" s="17" t="s">
        <v>52</v>
      </c>
      <c r="AM666" s="17" t="s">
        <v>267</v>
      </c>
      <c r="AN666" s="17" t="s">
        <v>52</v>
      </c>
      <c r="AO666" s="17" t="s">
        <v>321</v>
      </c>
      <c r="AP666" s="18" t="s">
        <v>58</v>
      </c>
      <c r="AQ666" s="16"/>
    </row>
    <row r="667" ht="15.75" customHeight="1">
      <c r="A667" s="10" t="s">
        <v>3239</v>
      </c>
      <c r="B667" s="10" t="s">
        <v>3240</v>
      </c>
      <c r="C667" s="10" t="str">
        <f>VLOOKUP(A667,import!A:C,3,0)</f>
        <v>YANLIŞ</v>
      </c>
      <c r="D667" s="10" t="s">
        <v>363</v>
      </c>
      <c r="E667" s="10">
        <f>VLOOKUP(A667,import!A:J,5,0)</f>
        <v>66</v>
      </c>
      <c r="F667" s="10" t="str">
        <f>VLOOKUP(A667,import!A:J,6,0)</f>
        <v/>
      </c>
      <c r="G667" s="10">
        <f>VLOOKUP(A667,import!A:J,7,0)</f>
        <v>0</v>
      </c>
      <c r="H667" s="10">
        <f>VLOOKUP(A667,import!A:J,8,0)</f>
        <v>43</v>
      </c>
      <c r="I667" s="10">
        <f>VLOOKUP(A667,import!A:J,9,0)</f>
        <v>43</v>
      </c>
      <c r="J667" s="11">
        <f>VLOOKUP(A667,import!A:J,10,0)</f>
        <v>0</v>
      </c>
      <c r="K667" s="10" t="s">
        <v>3241</v>
      </c>
      <c r="L667" s="10">
        <v>3.244815169E9</v>
      </c>
      <c r="M667" s="10" t="s">
        <v>63</v>
      </c>
      <c r="N667" s="10" t="s">
        <v>3104</v>
      </c>
      <c r="O667" s="10" t="s">
        <v>3242</v>
      </c>
      <c r="P667" s="10" t="str">
        <f>VLOOKUP(A667,import!A:P,16,0)</f>
        <v>Geleneksel</v>
      </c>
      <c r="Q667" s="12" t="s">
        <v>84</v>
      </c>
      <c r="R667" s="12" t="b">
        <v>1</v>
      </c>
      <c r="S667" s="12" t="b">
        <v>0</v>
      </c>
      <c r="T667" s="13" t="s">
        <v>265</v>
      </c>
      <c r="U667" s="13" t="s">
        <v>89</v>
      </c>
      <c r="V667" s="13" t="s">
        <v>53</v>
      </c>
      <c r="W667" s="13" t="s">
        <v>3243</v>
      </c>
      <c r="X667" s="15">
        <v>44506.0</v>
      </c>
      <c r="Y667" s="15">
        <v>44509.0</v>
      </c>
      <c r="Z667" s="16"/>
      <c r="AA667" s="17" t="s">
        <v>86</v>
      </c>
      <c r="AB667" s="16">
        <v>44495.0</v>
      </c>
      <c r="AC667" s="17" t="s">
        <v>56</v>
      </c>
      <c r="AD667" s="16">
        <v>44506.0</v>
      </c>
      <c r="AE667" s="17" t="s">
        <v>55</v>
      </c>
      <c r="AF667" s="16">
        <v>44548.0</v>
      </c>
      <c r="AG667" s="17" t="s">
        <v>55</v>
      </c>
      <c r="AH667" s="16">
        <v>44552.0</v>
      </c>
      <c r="AI667" s="17" t="s">
        <v>230</v>
      </c>
      <c r="AJ667" s="16">
        <v>44560.0</v>
      </c>
      <c r="AK667" s="17" t="s">
        <v>89</v>
      </c>
      <c r="AL667" s="17" t="s">
        <v>89</v>
      </c>
      <c r="AM667" s="17" t="s">
        <v>314</v>
      </c>
      <c r="AN667" s="17" t="s">
        <v>321</v>
      </c>
      <c r="AO667" s="17" t="s">
        <v>89</v>
      </c>
      <c r="AP667" s="18" t="s">
        <v>58</v>
      </c>
      <c r="AQ667" s="16"/>
    </row>
    <row r="668" ht="15.75" customHeight="1">
      <c r="A668" s="10" t="s">
        <v>3244</v>
      </c>
      <c r="B668" s="10" t="s">
        <v>3245</v>
      </c>
      <c r="C668" s="10" t="str">
        <f>VLOOKUP(A668,import!A:C,3,0)</f>
        <v>DOĞRU</v>
      </c>
      <c r="D668" s="10" t="s">
        <v>80</v>
      </c>
      <c r="E668" s="10">
        <f>VLOOKUP(A668,import!A:J,5,0)</f>
        <v>7139</v>
      </c>
      <c r="F668" s="10">
        <f>VLOOKUP(A668,import!A:J,6,0)</f>
        <v>215</v>
      </c>
      <c r="G668" s="10">
        <f>VLOOKUP(A668,import!A:J,7,0)</f>
        <v>0</v>
      </c>
      <c r="H668" s="10">
        <f>VLOOKUP(A668,import!A:J,8,0)</f>
        <v>24</v>
      </c>
      <c r="I668" s="10">
        <f>VLOOKUP(A668,import!A:J,9,0)</f>
        <v>24</v>
      </c>
      <c r="J668" s="11">
        <f>VLOOKUP(A668,import!A:J,10,0)</f>
        <v>0</v>
      </c>
      <c r="K668" s="10" t="s">
        <v>3246</v>
      </c>
      <c r="L668" s="10">
        <v>3.243362606E9</v>
      </c>
      <c r="M668" s="10" t="s">
        <v>137</v>
      </c>
      <c r="N668" s="10" t="s">
        <v>526</v>
      </c>
      <c r="O668" s="10" t="s">
        <v>3247</v>
      </c>
      <c r="P668" s="10" t="str">
        <f>VLOOKUP(A668,import!A:P,16,0)</f>
        <v>Geleneksel</v>
      </c>
      <c r="Q668" s="12"/>
      <c r="R668" s="12" t="b">
        <v>1</v>
      </c>
      <c r="S668" s="12" t="b">
        <v>1</v>
      </c>
      <c r="T668" s="13"/>
      <c r="U668" s="13"/>
      <c r="V668" s="13"/>
      <c r="W668" s="13" t="s">
        <v>3248</v>
      </c>
      <c r="X668" s="15"/>
      <c r="Y668" s="15"/>
      <c r="Z668" s="17" t="s">
        <v>2328</v>
      </c>
      <c r="AA668" s="17" t="s">
        <v>55</v>
      </c>
      <c r="AB668" s="16">
        <v>44485.0</v>
      </c>
      <c r="AC668" s="16"/>
      <c r="AD668" s="16"/>
      <c r="AE668" s="17"/>
      <c r="AF668" s="16"/>
      <c r="AG668" s="17"/>
      <c r="AH668" s="16"/>
      <c r="AI668" s="16"/>
      <c r="AJ668" s="16"/>
      <c r="AK668" s="17" t="s">
        <v>367</v>
      </c>
      <c r="AL668" s="16"/>
      <c r="AM668" s="16"/>
      <c r="AN668" s="16"/>
      <c r="AO668" s="16"/>
      <c r="AP668" s="18" t="s">
        <v>58</v>
      </c>
      <c r="AQ668" s="16"/>
    </row>
    <row r="669" ht="15.75" customHeight="1">
      <c r="A669" s="10" t="s">
        <v>3249</v>
      </c>
      <c r="B669" s="10" t="s">
        <v>3250</v>
      </c>
      <c r="C669" s="10" t="str">
        <f>VLOOKUP(A669,import!A:C,3,0)</f>
        <v>DOĞRU</v>
      </c>
      <c r="D669" s="10" t="s">
        <v>118</v>
      </c>
      <c r="E669" s="10">
        <f>VLOOKUP(A669,import!A:J,5,0)</f>
        <v>2001</v>
      </c>
      <c r="F669" s="10">
        <f>VLOOKUP(A669,import!A:J,6,0)</f>
        <v>131</v>
      </c>
      <c r="G669" s="10">
        <f>VLOOKUP(A669,import!A:J,7,0)</f>
        <v>4</v>
      </c>
      <c r="H669" s="10">
        <f>VLOOKUP(A669,import!A:J,8,0)</f>
        <v>26</v>
      </c>
      <c r="I669" s="10">
        <f>VLOOKUP(A669,import!A:J,9,0)</f>
        <v>30</v>
      </c>
      <c r="J669" s="11">
        <f>VLOOKUP(A669,import!A:J,10,0)</f>
        <v>0.13</v>
      </c>
      <c r="K669" s="10" t="s">
        <v>3251</v>
      </c>
      <c r="L669" s="10">
        <v>5.382565707E9</v>
      </c>
      <c r="M669" s="10" t="s">
        <v>63</v>
      </c>
      <c r="N669" s="10" t="s">
        <v>93</v>
      </c>
      <c r="O669" s="10" t="s">
        <v>3252</v>
      </c>
      <c r="P669" s="10" t="str">
        <f>VLOOKUP(A669,import!A:P,16,0)</f>
        <v>Geleneksel</v>
      </c>
      <c r="Q669" s="12"/>
      <c r="R669" s="12" t="b">
        <v>1</v>
      </c>
      <c r="S669" s="12" t="b">
        <v>0</v>
      </c>
      <c r="T669" s="13" t="s">
        <v>130</v>
      </c>
      <c r="U669" s="13" t="s">
        <v>89</v>
      </c>
      <c r="V669" s="13" t="s">
        <v>53</v>
      </c>
      <c r="W669" s="13" t="s">
        <v>3253</v>
      </c>
      <c r="X669" s="15">
        <v>44553.0</v>
      </c>
      <c r="Y669" s="15">
        <v>44559.0</v>
      </c>
      <c r="Z669" s="16"/>
      <c r="AA669" s="17" t="s">
        <v>56</v>
      </c>
      <c r="AB669" s="16">
        <v>44418.0</v>
      </c>
      <c r="AC669" s="17" t="s">
        <v>56</v>
      </c>
      <c r="AD669" s="16">
        <v>44450.0</v>
      </c>
      <c r="AE669" s="17" t="s">
        <v>56</v>
      </c>
      <c r="AF669" s="16">
        <v>44460.0</v>
      </c>
      <c r="AG669" s="17" t="s">
        <v>56</v>
      </c>
      <c r="AH669" s="16">
        <v>44461.0</v>
      </c>
      <c r="AI669" s="17" t="s">
        <v>56</v>
      </c>
      <c r="AJ669" s="16">
        <v>44649.0</v>
      </c>
      <c r="AK669" s="17" t="s">
        <v>95</v>
      </c>
      <c r="AL669" s="17" t="s">
        <v>108</v>
      </c>
      <c r="AM669" s="17" t="s">
        <v>87</v>
      </c>
      <c r="AN669" s="17" t="s">
        <v>52</v>
      </c>
      <c r="AO669" s="17" t="s">
        <v>89</v>
      </c>
      <c r="AP669" s="18" t="s">
        <v>58</v>
      </c>
      <c r="AQ669" s="16"/>
    </row>
    <row r="670" ht="15.75" hidden="1" customHeight="1">
      <c r="A670" s="10" t="s">
        <v>3254</v>
      </c>
      <c r="B670" s="10" t="s">
        <v>3255</v>
      </c>
      <c r="C670" s="10" t="str">
        <f>VLOOKUP(A670,import!A:C,3,0)</f>
        <v>DOĞRU</v>
      </c>
      <c r="D670" s="10" t="s">
        <v>80</v>
      </c>
      <c r="E670" s="10">
        <f>VLOOKUP(A670,import!A:J,5,0)</f>
        <v>156</v>
      </c>
      <c r="F670" s="10" t="str">
        <f>VLOOKUP(A670,import!A:J,6,0)</f>
        <v/>
      </c>
      <c r="G670" s="10">
        <f>VLOOKUP(A670,import!A:J,7,0)</f>
        <v>0</v>
      </c>
      <c r="H670" s="10">
        <f>VLOOKUP(A670,import!A:J,8,0)</f>
        <v>16</v>
      </c>
      <c r="I670" s="10">
        <f>VLOOKUP(A670,import!A:J,9,0)</f>
        <v>16</v>
      </c>
      <c r="J670" s="11">
        <f>VLOOKUP(A670,import!A:J,10,0)</f>
        <v>0</v>
      </c>
      <c r="K670" s="10" t="s">
        <v>3256</v>
      </c>
      <c r="L670" s="10">
        <v>5.392509656E9</v>
      </c>
      <c r="M670" s="10" t="s">
        <v>72</v>
      </c>
      <c r="N670" s="10" t="s">
        <v>1298</v>
      </c>
      <c r="O670" s="10" t="s">
        <v>3257</v>
      </c>
      <c r="P670" s="10" t="str">
        <f>VLOOKUP(A670,import!A:P,16,0)</f>
        <v>Geleneksel</v>
      </c>
      <c r="Q670" s="12"/>
      <c r="R670" s="12" t="b">
        <v>1</v>
      </c>
      <c r="S670" s="12" t="b">
        <v>0</v>
      </c>
      <c r="T670" s="13" t="s">
        <v>199</v>
      </c>
      <c r="U670" s="13"/>
      <c r="V670" s="13"/>
      <c r="W670" s="13" t="s">
        <v>3258</v>
      </c>
      <c r="X670" s="15"/>
      <c r="Y670" s="15"/>
      <c r="Z670" s="16"/>
      <c r="AA670" s="17" t="s">
        <v>56</v>
      </c>
      <c r="AB670" s="16">
        <v>44494.0</v>
      </c>
      <c r="AC670" s="17" t="s">
        <v>56</v>
      </c>
      <c r="AD670" s="16">
        <v>44517.0</v>
      </c>
      <c r="AE670" s="17" t="s">
        <v>55</v>
      </c>
      <c r="AF670" s="16">
        <v>44558.0</v>
      </c>
      <c r="AG670" s="17" t="s">
        <v>56</v>
      </c>
      <c r="AH670" s="16">
        <v>44572.0</v>
      </c>
      <c r="AI670" s="16"/>
      <c r="AJ670" s="16"/>
      <c r="AK670" s="17" t="s">
        <v>52</v>
      </c>
      <c r="AL670" s="17" t="s">
        <v>314</v>
      </c>
      <c r="AM670" s="17" t="s">
        <v>314</v>
      </c>
      <c r="AN670" s="17" t="s">
        <v>329</v>
      </c>
      <c r="AO670" s="16"/>
      <c r="AP670" s="18" t="s">
        <v>58</v>
      </c>
      <c r="AQ670" s="16"/>
    </row>
    <row r="671" ht="15.75" hidden="1" customHeight="1">
      <c r="A671" s="10" t="s">
        <v>3259</v>
      </c>
      <c r="B671" s="10" t="s">
        <v>3260</v>
      </c>
      <c r="C671" s="10" t="str">
        <f>VLOOKUP(A671,import!A:C,3,0)</f>
        <v>DOĞRU</v>
      </c>
      <c r="D671" s="10" t="s">
        <v>106</v>
      </c>
      <c r="E671" s="10">
        <f>VLOOKUP(A671,import!A:J,5,0)</f>
        <v>2389</v>
      </c>
      <c r="F671" s="10">
        <f>VLOOKUP(A671,import!A:J,6,0)</f>
        <v>91</v>
      </c>
      <c r="G671" s="10">
        <f>VLOOKUP(A671,import!A:J,7,0)</f>
        <v>9</v>
      </c>
      <c r="H671" s="10">
        <f>VLOOKUP(A671,import!A:J,8,0)</f>
        <v>26</v>
      </c>
      <c r="I671" s="10">
        <f>VLOOKUP(A671,import!A:J,9,0)</f>
        <v>35</v>
      </c>
      <c r="J671" s="11">
        <f>VLOOKUP(A671,import!A:J,10,0)</f>
        <v>0.26</v>
      </c>
      <c r="K671" s="10" t="s">
        <v>3261</v>
      </c>
      <c r="L671" s="10">
        <v>5.335177733E9</v>
      </c>
      <c r="M671" s="10" t="s">
        <v>156</v>
      </c>
      <c r="N671" s="10" t="s">
        <v>318</v>
      </c>
      <c r="O671" s="10" t="s">
        <v>3262</v>
      </c>
      <c r="P671" s="10" t="str">
        <f>VLOOKUP(A671,import!A:P,16,0)</f>
        <v>Geleneksel</v>
      </c>
      <c r="Q671" s="12" t="s">
        <v>75</v>
      </c>
      <c r="R671" s="12" t="b">
        <v>1</v>
      </c>
      <c r="S671" s="12" t="b">
        <v>0</v>
      </c>
      <c r="T671" s="13" t="s">
        <v>51</v>
      </c>
      <c r="U671" s="13" t="s">
        <v>545</v>
      </c>
      <c r="V671" s="13" t="s">
        <v>66</v>
      </c>
      <c r="W671" s="13"/>
      <c r="X671" s="15">
        <v>44300.0</v>
      </c>
      <c r="Y671" s="15">
        <v>44301.0</v>
      </c>
      <c r="Z671" s="16"/>
      <c r="AA671" s="16"/>
      <c r="AB671" s="16"/>
      <c r="AC671" s="16"/>
      <c r="AD671" s="16"/>
      <c r="AE671" s="17"/>
      <c r="AF671" s="16"/>
      <c r="AG671" s="17"/>
      <c r="AH671" s="16"/>
      <c r="AI671" s="16"/>
      <c r="AJ671" s="16"/>
      <c r="AK671" s="16"/>
      <c r="AL671" s="16"/>
      <c r="AM671" s="16"/>
      <c r="AN671" s="16"/>
      <c r="AO671" s="16"/>
      <c r="AP671" s="18" t="s">
        <v>58</v>
      </c>
      <c r="AQ671" s="16"/>
    </row>
    <row r="672" ht="15.75" hidden="1" customHeight="1">
      <c r="A672" s="10" t="s">
        <v>3263</v>
      </c>
      <c r="B672" s="10" t="s">
        <v>3264</v>
      </c>
      <c r="C672" s="10" t="str">
        <f>VLOOKUP(A672,import!A:C,3,0)</f>
        <v>DOĞRU</v>
      </c>
      <c r="D672" s="10" t="s">
        <v>118</v>
      </c>
      <c r="E672" s="10">
        <f>VLOOKUP(A672,import!A:J,5,0)</f>
        <v>7610</v>
      </c>
      <c r="F672" s="10">
        <f>VLOOKUP(A672,import!A:J,6,0)</f>
        <v>283</v>
      </c>
      <c r="G672" s="10">
        <f>VLOOKUP(A672,import!A:J,7,0)</f>
        <v>16</v>
      </c>
      <c r="H672" s="10">
        <f>VLOOKUP(A672,import!A:J,8,0)</f>
        <v>67</v>
      </c>
      <c r="I672" s="10">
        <f>VLOOKUP(A672,import!A:J,9,0)</f>
        <v>83</v>
      </c>
      <c r="J672" s="11">
        <f>VLOOKUP(A672,import!A:J,10,0)</f>
        <v>0.19</v>
      </c>
      <c r="K672" s="10" t="s">
        <v>3265</v>
      </c>
      <c r="L672" s="10">
        <v>3.243280211E9</v>
      </c>
      <c r="M672" s="10" t="s">
        <v>72</v>
      </c>
      <c r="N672" s="10" t="s">
        <v>915</v>
      </c>
      <c r="O672" s="10" t="s">
        <v>3266</v>
      </c>
      <c r="P672" s="10" t="str">
        <f>VLOOKUP(A672,import!A:P,16,0)</f>
        <v>Geleneksel</v>
      </c>
      <c r="Q672" s="12" t="s">
        <v>84</v>
      </c>
      <c r="R672" s="12" t="b">
        <v>1</v>
      </c>
      <c r="S672" s="12" t="b">
        <v>0</v>
      </c>
      <c r="T672" s="14" t="s">
        <v>51</v>
      </c>
      <c r="U672" s="14" t="s">
        <v>654</v>
      </c>
      <c r="V672" s="14" t="s">
        <v>278</v>
      </c>
      <c r="W672" s="14" t="s">
        <v>3267</v>
      </c>
      <c r="X672" s="29">
        <v>44281.0</v>
      </c>
      <c r="Y672" s="29">
        <v>44284.0</v>
      </c>
      <c r="Z672" s="16"/>
      <c r="AA672" s="17" t="s">
        <v>56</v>
      </c>
      <c r="AB672" s="16">
        <v>44519.0</v>
      </c>
      <c r="AC672" s="17" t="s">
        <v>56</v>
      </c>
      <c r="AD672" s="16">
        <v>44553.0</v>
      </c>
      <c r="AE672" s="17"/>
      <c r="AF672" s="16"/>
      <c r="AG672" s="17"/>
      <c r="AH672" s="16"/>
      <c r="AI672" s="16"/>
      <c r="AJ672" s="16"/>
      <c r="AK672" s="17" t="s">
        <v>87</v>
      </c>
      <c r="AL672" s="17" t="s">
        <v>89</v>
      </c>
      <c r="AM672" s="16"/>
      <c r="AN672" s="16"/>
      <c r="AO672" s="16"/>
      <c r="AP672" s="18" t="s">
        <v>58</v>
      </c>
      <c r="AQ672" s="16"/>
    </row>
    <row r="673" ht="15.75" hidden="1" customHeight="1">
      <c r="A673" s="10" t="s">
        <v>3268</v>
      </c>
      <c r="B673" s="10" t="s">
        <v>3269</v>
      </c>
      <c r="C673" s="10" t="str">
        <f>VLOOKUP(A673,import!A:C,3,0)</f>
        <v>DOĞRU</v>
      </c>
      <c r="D673" s="10" t="s">
        <v>363</v>
      </c>
      <c r="E673" s="10">
        <f>VLOOKUP(A673,import!A:J,5,0)</f>
        <v>637</v>
      </c>
      <c r="F673" s="10">
        <f>VLOOKUP(A673,import!A:J,6,0)</f>
        <v>61</v>
      </c>
      <c r="G673" s="10">
        <f>VLOOKUP(A673,import!A:J,7,0)</f>
        <v>0</v>
      </c>
      <c r="H673" s="10">
        <f>VLOOKUP(A673,import!A:J,8,0)</f>
        <v>19</v>
      </c>
      <c r="I673" s="10">
        <f>VLOOKUP(A673,import!A:J,9,0)</f>
        <v>19</v>
      </c>
      <c r="J673" s="11">
        <f>VLOOKUP(A673,import!A:J,10,0)</f>
        <v>0</v>
      </c>
      <c r="K673" s="10" t="s">
        <v>3270</v>
      </c>
      <c r="L673" s="10">
        <v>5.525089626E9</v>
      </c>
      <c r="M673" s="10" t="s">
        <v>187</v>
      </c>
      <c r="N673" s="10" t="s">
        <v>188</v>
      </c>
      <c r="O673" s="10" t="s">
        <v>3271</v>
      </c>
      <c r="P673" s="10" t="str">
        <f>VLOOKUP(A673,import!A:P,16,0)</f>
        <v>Geleneksel</v>
      </c>
      <c r="Q673" s="12"/>
      <c r="R673" s="12" t="b">
        <v>0</v>
      </c>
      <c r="S673" s="12" t="b">
        <v>0</v>
      </c>
      <c r="T673" s="13" t="s">
        <v>485</v>
      </c>
      <c r="U673" s="13"/>
      <c r="V673" s="13"/>
      <c r="W673" s="13"/>
      <c r="X673" s="15"/>
      <c r="Y673" s="15"/>
      <c r="Z673" s="16"/>
      <c r="AA673" s="16"/>
      <c r="AB673" s="16"/>
      <c r="AC673" s="16"/>
      <c r="AD673" s="16"/>
      <c r="AE673" s="17"/>
      <c r="AF673" s="16"/>
      <c r="AG673" s="17"/>
      <c r="AH673" s="16"/>
      <c r="AI673" s="16"/>
      <c r="AJ673" s="16"/>
      <c r="AK673" s="16"/>
      <c r="AL673" s="16"/>
      <c r="AM673" s="16"/>
      <c r="AN673" s="16"/>
      <c r="AO673" s="16"/>
      <c r="AP673" s="18" t="s">
        <v>58</v>
      </c>
      <c r="AQ673" s="16"/>
    </row>
    <row r="674" ht="15.75" hidden="1" customHeight="1">
      <c r="A674" s="10" t="s">
        <v>3272</v>
      </c>
      <c r="B674" s="10" t="s">
        <v>3273</v>
      </c>
      <c r="C674" s="10" t="str">
        <f>VLOOKUP(A674,import!A:C,3,0)</f>
        <v>DOĞRU</v>
      </c>
      <c r="D674" s="10" t="s">
        <v>1992</v>
      </c>
      <c r="E674" s="10">
        <f>VLOOKUP(A674,import!A:J,5,0)</f>
        <v>4</v>
      </c>
      <c r="F674" s="10">
        <f>VLOOKUP(A674,import!A:J,6,0)</f>
        <v>1</v>
      </c>
      <c r="G674" s="10">
        <f>VLOOKUP(A674,import!A:J,7,0)</f>
        <v>0</v>
      </c>
      <c r="H674" s="10">
        <f>VLOOKUP(A674,import!A:J,8,0)</f>
        <v>54</v>
      </c>
      <c r="I674" s="10">
        <f>VLOOKUP(A674,import!A:J,9,0)</f>
        <v>54</v>
      </c>
      <c r="J674" s="11">
        <f>VLOOKUP(A674,import!A:J,10,0)</f>
        <v>0</v>
      </c>
      <c r="K674" s="10" t="s">
        <v>3274</v>
      </c>
      <c r="L674" s="10">
        <v>5.306422133E9</v>
      </c>
      <c r="M674" s="10" t="s">
        <v>72</v>
      </c>
      <c r="N674" s="10" t="s">
        <v>1148</v>
      </c>
      <c r="O674" s="10" t="s">
        <v>3275</v>
      </c>
      <c r="P674" s="10" t="str">
        <f>VLOOKUP(A674,import!A:P,16,0)</f>
        <v>Geleneksel</v>
      </c>
      <c r="Q674" s="12"/>
      <c r="R674" s="12" t="b">
        <v>1</v>
      </c>
      <c r="S674" s="12" t="b">
        <v>0</v>
      </c>
      <c r="T674" s="13" t="s">
        <v>51</v>
      </c>
      <c r="U674" s="13"/>
      <c r="V674" s="13"/>
      <c r="W674" s="13" t="s">
        <v>3276</v>
      </c>
      <c r="X674" s="15"/>
      <c r="Y674" s="15"/>
      <c r="Z674" s="16"/>
      <c r="AA674" s="17" t="s">
        <v>56</v>
      </c>
      <c r="AB674" s="16">
        <v>44629.0</v>
      </c>
      <c r="AC674" s="17"/>
      <c r="AD674" s="16"/>
      <c r="AE674" s="17"/>
      <c r="AF674" s="16"/>
      <c r="AG674" s="17"/>
      <c r="AH674" s="16"/>
      <c r="AI674" s="16"/>
      <c r="AJ674" s="16"/>
      <c r="AK674" s="17" t="s">
        <v>133</v>
      </c>
      <c r="AL674" s="17"/>
      <c r="AM674" s="16"/>
      <c r="AN674" s="16"/>
      <c r="AO674" s="16"/>
      <c r="AP674" s="18"/>
      <c r="AQ674" s="16"/>
    </row>
    <row r="675" ht="15.75" hidden="1" customHeight="1">
      <c r="A675" s="10" t="s">
        <v>3277</v>
      </c>
      <c r="B675" s="10" t="s">
        <v>3278</v>
      </c>
      <c r="C675" s="10" t="str">
        <f>VLOOKUP(A675,import!A:C,3,0)</f>
        <v>YANLIŞ</v>
      </c>
      <c r="D675" s="10" t="s">
        <v>372</v>
      </c>
      <c r="E675" s="10">
        <f>VLOOKUP(A675,import!A:J,5,0)</f>
        <v>1426</v>
      </c>
      <c r="F675" s="10" t="str">
        <f>VLOOKUP(A675,import!A:J,6,0)</f>
        <v/>
      </c>
      <c r="G675" s="10">
        <f>VLOOKUP(A675,import!A:J,7,0)</f>
        <v>1</v>
      </c>
      <c r="H675" s="10">
        <f>VLOOKUP(A675,import!A:J,8,0)</f>
        <v>27</v>
      </c>
      <c r="I675" s="10">
        <f>VLOOKUP(A675,import!A:J,9,0)</f>
        <v>28</v>
      </c>
      <c r="J675" s="11">
        <f>VLOOKUP(A675,import!A:J,10,0)</f>
        <v>0.04</v>
      </c>
      <c r="K675" s="10" t="s">
        <v>3279</v>
      </c>
      <c r="L675" s="10">
        <v>3.245154455E9</v>
      </c>
      <c r="M675" s="10" t="s">
        <v>47</v>
      </c>
      <c r="N675" s="10" t="s">
        <v>48</v>
      </c>
      <c r="O675" s="10" t="s">
        <v>3280</v>
      </c>
      <c r="P675" s="10" t="str">
        <f>VLOOKUP(A675,import!A:P,16,0)</f>
        <v>Geleneksel</v>
      </c>
      <c r="Q675" s="12"/>
      <c r="R675" s="12" t="b">
        <v>1</v>
      </c>
      <c r="S675" s="12" t="b">
        <v>0</v>
      </c>
      <c r="T675" s="13" t="s">
        <v>51</v>
      </c>
      <c r="U675" s="13" t="s">
        <v>52</v>
      </c>
      <c r="V675" s="13" t="s">
        <v>66</v>
      </c>
      <c r="W675" s="13">
        <v>5.065458783E9</v>
      </c>
      <c r="X675" s="15">
        <v>44531.0</v>
      </c>
      <c r="Y675" s="15">
        <v>44533.0</v>
      </c>
      <c r="Z675" s="16"/>
      <c r="AA675" s="17" t="s">
        <v>56</v>
      </c>
      <c r="AB675" s="16">
        <v>44531.0</v>
      </c>
      <c r="AC675" s="16"/>
      <c r="AD675" s="16"/>
      <c r="AE675" s="17"/>
      <c r="AF675" s="16"/>
      <c r="AG675" s="17"/>
      <c r="AH675" s="16"/>
      <c r="AI675" s="16"/>
      <c r="AJ675" s="16"/>
      <c r="AK675" s="17" t="s">
        <v>52</v>
      </c>
      <c r="AL675" s="16"/>
      <c r="AM675" s="16"/>
      <c r="AN675" s="16"/>
      <c r="AO675" s="16"/>
      <c r="AP675" s="18" t="s">
        <v>58</v>
      </c>
      <c r="AQ675" s="16"/>
    </row>
    <row r="676" ht="15.75" hidden="1" customHeight="1">
      <c r="A676" s="10" t="s">
        <v>3281</v>
      </c>
      <c r="B676" s="10" t="s">
        <v>3278</v>
      </c>
      <c r="C676" s="10" t="str">
        <f>VLOOKUP(A676,import!A:C,3,0)</f>
        <v>DOĞRU</v>
      </c>
      <c r="D676" s="10" t="s">
        <v>564</v>
      </c>
      <c r="E676" s="10">
        <f>VLOOKUP(A676,import!A:J,5,0)</f>
        <v>441</v>
      </c>
      <c r="F676" s="10">
        <f>VLOOKUP(A676,import!A:J,6,0)</f>
        <v>39</v>
      </c>
      <c r="G676" s="10">
        <f>VLOOKUP(A676,import!A:J,7,0)</f>
        <v>0</v>
      </c>
      <c r="H676" s="10">
        <f>VLOOKUP(A676,import!A:J,8,0)</f>
        <v>82</v>
      </c>
      <c r="I676" s="10">
        <f>VLOOKUP(A676,import!A:J,9,0)</f>
        <v>82</v>
      </c>
      <c r="J676" s="11">
        <f>VLOOKUP(A676,import!A:J,10,0)</f>
        <v>0</v>
      </c>
      <c r="K676" s="10" t="s">
        <v>3279</v>
      </c>
      <c r="L676" s="10">
        <v>3.245154455E9</v>
      </c>
      <c r="M676" s="10" t="s">
        <v>47</v>
      </c>
      <c r="N676" s="10" t="s">
        <v>489</v>
      </c>
      <c r="O676" s="10" t="s">
        <v>3280</v>
      </c>
      <c r="P676" s="10" t="str">
        <f>VLOOKUP(A676,import!A:P,16,0)</f>
        <v>Geleneksel</v>
      </c>
      <c r="Q676" s="12"/>
      <c r="R676" s="12" t="b">
        <v>1</v>
      </c>
      <c r="S676" s="12" t="b">
        <v>0</v>
      </c>
      <c r="T676" s="13" t="s">
        <v>199</v>
      </c>
      <c r="U676" s="13" t="s">
        <v>89</v>
      </c>
      <c r="V676" s="34" t="s">
        <v>368</v>
      </c>
      <c r="W676" s="13"/>
      <c r="X676" s="15">
        <v>44694.0</v>
      </c>
      <c r="Y676" s="15">
        <v>44695.0</v>
      </c>
      <c r="Z676" s="16"/>
      <c r="AA676" s="17" t="s">
        <v>56</v>
      </c>
      <c r="AB676" s="16">
        <v>44694.0</v>
      </c>
      <c r="AC676" s="16"/>
      <c r="AD676" s="16"/>
      <c r="AE676" s="17"/>
      <c r="AF676" s="16"/>
      <c r="AG676" s="17"/>
      <c r="AH676" s="16"/>
      <c r="AI676" s="16"/>
      <c r="AJ676" s="16"/>
      <c r="AK676" s="17" t="s">
        <v>89</v>
      </c>
      <c r="AL676" s="16"/>
      <c r="AM676" s="16"/>
      <c r="AN676" s="16"/>
      <c r="AO676" s="16"/>
      <c r="AP676" s="18"/>
      <c r="AQ676" s="16"/>
    </row>
    <row r="677" ht="15.75" hidden="1" customHeight="1">
      <c r="A677" s="10" t="s">
        <v>3282</v>
      </c>
      <c r="B677" s="10" t="s">
        <v>3283</v>
      </c>
      <c r="C677" s="10" t="str">
        <f>VLOOKUP(A677,import!A:C,3,0)</f>
        <v>DOĞRU</v>
      </c>
      <c r="D677" s="10" t="s">
        <v>1063</v>
      </c>
      <c r="E677" s="10">
        <f>VLOOKUP(A677,import!A:J,5,0)</f>
        <v>165</v>
      </c>
      <c r="F677" s="10">
        <f>VLOOKUP(A677,import!A:J,6,0)</f>
        <v>32</v>
      </c>
      <c r="G677" s="10">
        <f>VLOOKUP(A677,import!A:J,7,0)</f>
        <v>20</v>
      </c>
      <c r="H677" s="10">
        <f>VLOOKUP(A677,import!A:J,8,0)</f>
        <v>3</v>
      </c>
      <c r="I677" s="10">
        <f>VLOOKUP(A677,import!A:J,9,0)</f>
        <v>23</v>
      </c>
      <c r="J677" s="11">
        <f>VLOOKUP(A677,import!A:J,10,0)</f>
        <v>0.87</v>
      </c>
      <c r="K677" s="10" t="s">
        <v>3284</v>
      </c>
      <c r="L677" s="10">
        <v>3.243294783E9</v>
      </c>
      <c r="M677" s="10" t="s">
        <v>72</v>
      </c>
      <c r="N677" s="10" t="s">
        <v>716</v>
      </c>
      <c r="O677" s="10" t="s">
        <v>3285</v>
      </c>
      <c r="P677" s="10" t="str">
        <f>VLOOKUP(A677,import!A:P,16,0)</f>
        <v>Geleneksel</v>
      </c>
      <c r="Q677" s="12"/>
      <c r="R677" s="12" t="b">
        <v>1</v>
      </c>
      <c r="S677" s="12" t="b">
        <v>0</v>
      </c>
      <c r="T677" s="13" t="s">
        <v>51</v>
      </c>
      <c r="U677" s="13" t="s">
        <v>57</v>
      </c>
      <c r="V677" s="13"/>
      <c r="W677" s="13" t="s">
        <v>3286</v>
      </c>
      <c r="X677" s="15"/>
      <c r="Y677" s="15"/>
      <c r="Z677" s="16"/>
      <c r="AA677" s="17" t="s">
        <v>56</v>
      </c>
      <c r="AB677" s="16">
        <v>44426.0</v>
      </c>
      <c r="AC677" s="16"/>
      <c r="AD677" s="16"/>
      <c r="AE677" s="17"/>
      <c r="AF677" s="16"/>
      <c r="AG677" s="17"/>
      <c r="AH677" s="16"/>
      <c r="AI677" s="16"/>
      <c r="AJ677" s="16"/>
      <c r="AK677" s="17" t="s">
        <v>57</v>
      </c>
      <c r="AL677" s="16"/>
      <c r="AM677" s="16"/>
      <c r="AN677" s="16"/>
      <c r="AO677" s="16"/>
      <c r="AP677" s="18" t="s">
        <v>58</v>
      </c>
      <c r="AQ677" s="16"/>
    </row>
    <row r="678" ht="15.75" hidden="1" customHeight="1">
      <c r="A678" s="10" t="s">
        <v>3287</v>
      </c>
      <c r="B678" s="10" t="s">
        <v>3288</v>
      </c>
      <c r="C678" s="10" t="str">
        <f>VLOOKUP(A678,import!A:C,3,0)</f>
        <v>DOĞRU</v>
      </c>
      <c r="D678" s="10" t="s">
        <v>106</v>
      </c>
      <c r="E678" s="10" t="str">
        <f>VLOOKUP(A678,import!A:J,5,0)</f>
        <v/>
      </c>
      <c r="F678" s="10" t="str">
        <f>VLOOKUP(A678,import!A:J,6,0)</f>
        <v/>
      </c>
      <c r="G678" s="10">
        <f>VLOOKUP(A678,import!A:J,7,0)</f>
        <v>0</v>
      </c>
      <c r="H678" s="10">
        <f>VLOOKUP(A678,import!A:J,8,0)</f>
        <v>6</v>
      </c>
      <c r="I678" s="10">
        <f>VLOOKUP(A678,import!A:J,9,0)</f>
        <v>6</v>
      </c>
      <c r="J678" s="11">
        <f>VLOOKUP(A678,import!A:J,10,0)</f>
        <v>0</v>
      </c>
      <c r="K678" s="10" t="s">
        <v>3289</v>
      </c>
      <c r="L678" s="10">
        <v>5.528713433E9</v>
      </c>
      <c r="M678" s="10" t="s">
        <v>72</v>
      </c>
      <c r="N678" s="10" t="s">
        <v>181</v>
      </c>
      <c r="O678" s="10" t="s">
        <v>3290</v>
      </c>
      <c r="P678" s="10" t="str">
        <f>VLOOKUP(A678,import!A:P,16,0)</f>
        <v>Geleneksel</v>
      </c>
      <c r="Q678" s="12"/>
      <c r="R678" s="12" t="b">
        <v>1</v>
      </c>
      <c r="S678" s="12" t="b">
        <v>0</v>
      </c>
      <c r="T678" s="13" t="s">
        <v>130</v>
      </c>
      <c r="U678" s="17" t="s">
        <v>314</v>
      </c>
      <c r="V678" s="13" t="s">
        <v>53</v>
      </c>
      <c r="W678" s="13" t="s">
        <v>3291</v>
      </c>
      <c r="X678" s="15">
        <v>44558.0</v>
      </c>
      <c r="Y678" s="15">
        <v>44560.0</v>
      </c>
      <c r="Z678" s="16"/>
      <c r="AA678" s="17" t="s">
        <v>230</v>
      </c>
      <c r="AB678" s="16">
        <v>44558.0</v>
      </c>
      <c r="AC678" s="17" t="s">
        <v>56</v>
      </c>
      <c r="AD678" s="16">
        <v>44558.0</v>
      </c>
      <c r="AE678" s="17" t="s">
        <v>56</v>
      </c>
      <c r="AF678" s="16">
        <v>44641.0</v>
      </c>
      <c r="AG678" s="17"/>
      <c r="AH678" s="16"/>
      <c r="AI678" s="16"/>
      <c r="AJ678" s="16"/>
      <c r="AK678" s="17" t="s">
        <v>87</v>
      </c>
      <c r="AL678" s="17" t="s">
        <v>314</v>
      </c>
      <c r="AM678" s="17" t="s">
        <v>52</v>
      </c>
      <c r="AN678" s="16"/>
      <c r="AO678" s="16"/>
      <c r="AP678" s="18"/>
      <c r="AQ678" s="16"/>
    </row>
    <row r="679" ht="15.75" customHeight="1">
      <c r="A679" s="10" t="s">
        <v>3292</v>
      </c>
      <c r="B679" s="10" t="s">
        <v>3293</v>
      </c>
      <c r="C679" s="10" t="str">
        <f>VLOOKUP(A679,import!A:C,3,0)</f>
        <v>DOĞRU</v>
      </c>
      <c r="D679" s="10" t="s">
        <v>80</v>
      </c>
      <c r="E679" s="10">
        <f>VLOOKUP(A679,import!A:J,5,0)</f>
        <v>673</v>
      </c>
      <c r="F679" s="10">
        <f>VLOOKUP(A679,import!A:J,6,0)</f>
        <v>4</v>
      </c>
      <c r="G679" s="10">
        <f>VLOOKUP(A679,import!A:J,7,0)</f>
        <v>4</v>
      </c>
      <c r="H679" s="10">
        <f>VLOOKUP(A679,import!A:J,8,0)</f>
        <v>4</v>
      </c>
      <c r="I679" s="10">
        <f>VLOOKUP(A679,import!A:J,9,0)</f>
        <v>8</v>
      </c>
      <c r="J679" s="11">
        <f>VLOOKUP(A679,import!A:J,10,0)</f>
        <v>0.5</v>
      </c>
      <c r="K679" s="10" t="s">
        <v>3294</v>
      </c>
      <c r="L679" s="10">
        <v>3.243360337E9</v>
      </c>
      <c r="M679" s="10" t="s">
        <v>137</v>
      </c>
      <c r="N679" s="10" t="s">
        <v>526</v>
      </c>
      <c r="O679" s="10" t="s">
        <v>3295</v>
      </c>
      <c r="P679" s="10" t="str">
        <f>VLOOKUP(A679,import!A:P,16,0)</f>
        <v>Geleneksel</v>
      </c>
      <c r="Q679" s="12" t="s">
        <v>50</v>
      </c>
      <c r="R679" s="12" t="b">
        <v>1</v>
      </c>
      <c r="S679" s="12" t="b">
        <v>0</v>
      </c>
      <c r="T679" s="13" t="s">
        <v>51</v>
      </c>
      <c r="U679" s="13" t="s">
        <v>89</v>
      </c>
      <c r="V679" s="13" t="s">
        <v>53</v>
      </c>
      <c r="W679" s="13" t="s">
        <v>3296</v>
      </c>
      <c r="X679" s="15">
        <v>44517.0</v>
      </c>
      <c r="Y679" s="15">
        <v>44522.0</v>
      </c>
      <c r="Z679" s="16"/>
      <c r="AA679" s="17" t="s">
        <v>56</v>
      </c>
      <c r="AB679" s="16">
        <v>44515.0</v>
      </c>
      <c r="AC679" s="17" t="s">
        <v>56</v>
      </c>
      <c r="AD679" s="16">
        <v>44517.0</v>
      </c>
      <c r="AE679" s="17" t="s">
        <v>55</v>
      </c>
      <c r="AF679" s="16">
        <v>44533.0</v>
      </c>
      <c r="AG679" s="17"/>
      <c r="AH679" s="16"/>
      <c r="AI679" s="16"/>
      <c r="AJ679" s="16"/>
      <c r="AK679" s="17" t="s">
        <v>89</v>
      </c>
      <c r="AL679" s="17" t="s">
        <v>89</v>
      </c>
      <c r="AM679" s="17" t="s">
        <v>108</v>
      </c>
      <c r="AN679" s="16"/>
      <c r="AO679" s="16"/>
      <c r="AP679" s="18" t="s">
        <v>58</v>
      </c>
      <c r="AQ679" s="16"/>
    </row>
    <row r="680" ht="15.75" hidden="1" customHeight="1">
      <c r="A680" s="10" t="s">
        <v>3297</v>
      </c>
      <c r="B680" s="10" t="s">
        <v>3298</v>
      </c>
      <c r="C680" s="10" t="str">
        <f>VLOOKUP(A680,import!A:C,3,0)</f>
        <v>DOĞRU</v>
      </c>
      <c r="D680" s="10" t="s">
        <v>363</v>
      </c>
      <c r="E680" s="10">
        <f>VLOOKUP(A680,import!A:J,5,0)</f>
        <v>125</v>
      </c>
      <c r="F680" s="10">
        <f>VLOOKUP(A680,import!A:J,6,0)</f>
        <v>48</v>
      </c>
      <c r="G680" s="10">
        <f>VLOOKUP(A680,import!A:J,7,0)</f>
        <v>0</v>
      </c>
      <c r="H680" s="10">
        <f>VLOOKUP(A680,import!A:J,8,0)</f>
        <v>14</v>
      </c>
      <c r="I680" s="10">
        <f>VLOOKUP(A680,import!A:J,9,0)</f>
        <v>14</v>
      </c>
      <c r="J680" s="11">
        <f>VLOOKUP(A680,import!A:J,10,0)</f>
        <v>0</v>
      </c>
      <c r="K680" s="10" t="s">
        <v>3299</v>
      </c>
      <c r="L680" s="10">
        <v>5.350505333E9</v>
      </c>
      <c r="M680" s="10" t="s">
        <v>47</v>
      </c>
      <c r="N680" s="10" t="s">
        <v>756</v>
      </c>
      <c r="O680" s="10" t="s">
        <v>3300</v>
      </c>
      <c r="P680" s="10" t="str">
        <f>VLOOKUP(A680,import!A:P,16,0)</f>
        <v>Geleneksel</v>
      </c>
      <c r="Q680" s="12"/>
      <c r="R680" s="12" t="b">
        <v>1</v>
      </c>
      <c r="S680" s="12" t="b">
        <v>0</v>
      </c>
      <c r="T680" s="13" t="s">
        <v>51</v>
      </c>
      <c r="U680" s="13" t="s">
        <v>367</v>
      </c>
      <c r="V680" s="34" t="s">
        <v>368</v>
      </c>
      <c r="W680" s="13"/>
      <c r="X680" s="16">
        <v>44694.0</v>
      </c>
      <c r="Y680" s="15">
        <v>44695.0</v>
      </c>
      <c r="Z680" s="16"/>
      <c r="AA680" s="17" t="s">
        <v>56</v>
      </c>
      <c r="AB680" s="16">
        <v>44694.0</v>
      </c>
      <c r="AC680" s="16"/>
      <c r="AD680" s="16"/>
      <c r="AE680" s="17"/>
      <c r="AF680" s="16"/>
      <c r="AG680" s="17"/>
      <c r="AH680" s="16"/>
      <c r="AI680" s="16"/>
      <c r="AJ680" s="16"/>
      <c r="AK680" s="17" t="s">
        <v>367</v>
      </c>
      <c r="AL680" s="16"/>
      <c r="AM680" s="16"/>
      <c r="AN680" s="16"/>
      <c r="AO680" s="16"/>
      <c r="AP680" s="18"/>
      <c r="AQ680" s="16"/>
    </row>
    <row r="681" ht="15.75" customHeight="1">
      <c r="A681" s="10" t="s">
        <v>3301</v>
      </c>
      <c r="B681" s="10" t="s">
        <v>3302</v>
      </c>
      <c r="C681" s="10" t="str">
        <f>VLOOKUP(A681,import!A:C,3,0)</f>
        <v>DOĞRU</v>
      </c>
      <c r="D681" s="10" t="s">
        <v>80</v>
      </c>
      <c r="E681" s="10">
        <f>VLOOKUP(A681,import!A:J,5,0)</f>
        <v>556</v>
      </c>
      <c r="F681" s="10">
        <f>VLOOKUP(A681,import!A:J,6,0)</f>
        <v>57</v>
      </c>
      <c r="G681" s="10">
        <f>VLOOKUP(A681,import!A:J,7,0)</f>
        <v>15</v>
      </c>
      <c r="H681" s="10">
        <f>VLOOKUP(A681,import!A:J,8,0)</f>
        <v>8</v>
      </c>
      <c r="I681" s="10">
        <f>VLOOKUP(A681,import!A:J,9,0)</f>
        <v>23</v>
      </c>
      <c r="J681" s="11">
        <f>VLOOKUP(A681,import!A:J,10,0)</f>
        <v>0.65</v>
      </c>
      <c r="K681" s="10" t="s">
        <v>3303</v>
      </c>
      <c r="L681" s="10">
        <v>5.362677219E9</v>
      </c>
      <c r="M681" s="10" t="s">
        <v>63</v>
      </c>
      <c r="N681" s="10" t="s">
        <v>318</v>
      </c>
      <c r="O681" s="10" t="s">
        <v>3304</v>
      </c>
      <c r="P681" s="10" t="str">
        <f>VLOOKUP(A681,import!A:P,16,0)</f>
        <v>Geleneksel</v>
      </c>
      <c r="Q681" s="12" t="s">
        <v>146</v>
      </c>
      <c r="R681" s="12" t="b">
        <v>1</v>
      </c>
      <c r="S681" s="12" t="b">
        <v>0</v>
      </c>
      <c r="T681" s="13" t="s">
        <v>140</v>
      </c>
      <c r="U681" s="13"/>
      <c r="V681" s="13"/>
      <c r="W681" s="13" t="s">
        <v>3305</v>
      </c>
      <c r="X681" s="15"/>
      <c r="Y681" s="15"/>
      <c r="Z681" s="16"/>
      <c r="AA681" s="16"/>
      <c r="AB681" s="16"/>
      <c r="AC681" s="16"/>
      <c r="AD681" s="16"/>
      <c r="AE681" s="17"/>
      <c r="AF681" s="16"/>
      <c r="AG681" s="17"/>
      <c r="AH681" s="16"/>
      <c r="AI681" s="16"/>
      <c r="AJ681" s="16"/>
      <c r="AK681" s="16"/>
      <c r="AL681" s="16"/>
      <c r="AM681" s="16"/>
      <c r="AN681" s="16"/>
      <c r="AO681" s="16"/>
      <c r="AP681" s="18" t="s">
        <v>58</v>
      </c>
      <c r="AQ681" s="16"/>
    </row>
    <row r="682" ht="15.75" hidden="1" customHeight="1">
      <c r="A682" s="10" t="s">
        <v>3306</v>
      </c>
      <c r="B682" s="10" t="s">
        <v>3307</v>
      </c>
      <c r="C682" s="10" t="str">
        <f>VLOOKUP(A682,import!A:C,3,0)</f>
        <v>DOĞRU</v>
      </c>
      <c r="D682" s="10" t="s">
        <v>80</v>
      </c>
      <c r="E682" s="10">
        <f>VLOOKUP(A682,import!A:J,5,0)</f>
        <v>1163</v>
      </c>
      <c r="F682" s="10">
        <f>VLOOKUP(A682,import!A:J,6,0)</f>
        <v>70</v>
      </c>
      <c r="G682" s="10">
        <f>VLOOKUP(A682,import!A:J,7,0)</f>
        <v>13</v>
      </c>
      <c r="H682" s="10">
        <f>VLOOKUP(A682,import!A:J,8,0)</f>
        <v>9</v>
      </c>
      <c r="I682" s="10">
        <f>VLOOKUP(A682,import!A:J,9,0)</f>
        <v>22</v>
      </c>
      <c r="J682" s="11">
        <f>VLOOKUP(A682,import!A:J,10,0)</f>
        <v>0.59</v>
      </c>
      <c r="K682" s="10" t="s">
        <v>3308</v>
      </c>
      <c r="L682" s="10">
        <v>5.3466606E9</v>
      </c>
      <c r="M682" s="10" t="s">
        <v>72</v>
      </c>
      <c r="N682" s="10" t="s">
        <v>73</v>
      </c>
      <c r="O682" s="10" t="s">
        <v>3309</v>
      </c>
      <c r="P682" s="10" t="str">
        <f>VLOOKUP(A682,import!A:P,16,0)</f>
        <v>Geleneksel</v>
      </c>
      <c r="Q682" s="12" t="s">
        <v>146</v>
      </c>
      <c r="R682" s="12" t="b">
        <v>1</v>
      </c>
      <c r="S682" s="12" t="b">
        <v>0</v>
      </c>
      <c r="T682" s="13" t="s">
        <v>51</v>
      </c>
      <c r="U682" s="13" t="s">
        <v>95</v>
      </c>
      <c r="V682" s="13" t="s">
        <v>53</v>
      </c>
      <c r="W682" s="13" t="s">
        <v>3310</v>
      </c>
      <c r="X682" s="15">
        <v>44428.0</v>
      </c>
      <c r="Y682" s="15">
        <v>44431.0</v>
      </c>
      <c r="Z682" s="16"/>
      <c r="AA682" s="17" t="s">
        <v>56</v>
      </c>
      <c r="AB682" s="16">
        <v>44428.0</v>
      </c>
      <c r="AC682" s="16"/>
      <c r="AD682" s="16"/>
      <c r="AE682" s="17"/>
      <c r="AF682" s="16"/>
      <c r="AG682" s="17"/>
      <c r="AH682" s="16"/>
      <c r="AI682" s="16"/>
      <c r="AJ682" s="16"/>
      <c r="AK682" s="17" t="s">
        <v>95</v>
      </c>
      <c r="AL682" s="16"/>
      <c r="AM682" s="16"/>
      <c r="AN682" s="16"/>
      <c r="AO682" s="16"/>
      <c r="AP682" s="18" t="s">
        <v>58</v>
      </c>
      <c r="AQ682" s="16"/>
    </row>
    <row r="683" ht="15.75" hidden="1" customHeight="1">
      <c r="A683" s="10" t="s">
        <v>3311</v>
      </c>
      <c r="B683" s="10" t="s">
        <v>3312</v>
      </c>
      <c r="C683" s="10" t="str">
        <f>VLOOKUP(A683,import!A:C,3,0)</f>
        <v>DOĞRU</v>
      </c>
      <c r="D683" s="10" t="s">
        <v>80</v>
      </c>
      <c r="E683" s="10">
        <f>VLOOKUP(A683,import!A:J,5,0)</f>
        <v>2529</v>
      </c>
      <c r="F683" s="10">
        <f>VLOOKUP(A683,import!A:J,6,0)</f>
        <v>48</v>
      </c>
      <c r="G683" s="10">
        <f>VLOOKUP(A683,import!A:J,7,0)</f>
        <v>22</v>
      </c>
      <c r="H683" s="10">
        <f>VLOOKUP(A683,import!A:J,8,0)</f>
        <v>1</v>
      </c>
      <c r="I683" s="10">
        <f>VLOOKUP(A683,import!A:J,9,0)</f>
        <v>23</v>
      </c>
      <c r="J683" s="11">
        <f>VLOOKUP(A683,import!A:J,10,0)</f>
        <v>0.96</v>
      </c>
      <c r="K683" s="10" t="s">
        <v>3308</v>
      </c>
      <c r="L683" s="10">
        <v>5.3466606E9</v>
      </c>
      <c r="M683" s="10" t="s">
        <v>72</v>
      </c>
      <c r="N683" s="10" t="s">
        <v>113</v>
      </c>
      <c r="O683" s="10" t="s">
        <v>3313</v>
      </c>
      <c r="P683" s="10" t="str">
        <f>VLOOKUP(A683,import!A:P,16,0)</f>
        <v>Geleneksel</v>
      </c>
      <c r="Q683" s="12" t="s">
        <v>146</v>
      </c>
      <c r="R683" s="12" t="b">
        <v>1</v>
      </c>
      <c r="S683" s="12" t="b">
        <v>0</v>
      </c>
      <c r="T683" s="13" t="s">
        <v>51</v>
      </c>
      <c r="U683" s="13" t="s">
        <v>52</v>
      </c>
      <c r="V683" s="13" t="s">
        <v>66</v>
      </c>
      <c r="W683" s="13"/>
      <c r="X683" s="15">
        <v>44292.0</v>
      </c>
      <c r="Y683" s="15">
        <v>44294.0</v>
      </c>
      <c r="Z683" s="16"/>
      <c r="AA683" s="16"/>
      <c r="AB683" s="16"/>
      <c r="AC683" s="16"/>
      <c r="AD683" s="16"/>
      <c r="AE683" s="17"/>
      <c r="AF683" s="16"/>
      <c r="AG683" s="17"/>
      <c r="AH683" s="16"/>
      <c r="AI683" s="16"/>
      <c r="AJ683" s="16"/>
      <c r="AK683" s="16"/>
      <c r="AL683" s="16"/>
      <c r="AM683" s="16"/>
      <c r="AN683" s="16"/>
      <c r="AO683" s="16"/>
      <c r="AP683" s="18" t="s">
        <v>58</v>
      </c>
      <c r="AQ683" s="16"/>
    </row>
    <row r="684" ht="15.75" hidden="1" customHeight="1">
      <c r="A684" s="18" t="s">
        <v>3314</v>
      </c>
      <c r="B684" s="18" t="s">
        <v>3315</v>
      </c>
      <c r="C684" s="10" t="str">
        <f>VLOOKUP(A684,import!A:C,3,0)</f>
        <v>DOĞRU</v>
      </c>
      <c r="D684" s="18" t="s">
        <v>70</v>
      </c>
      <c r="E684" s="10">
        <f>VLOOKUP(A684,import!A:J,5,0)</f>
        <v>1</v>
      </c>
      <c r="F684" s="10">
        <f>VLOOKUP(A684,import!A:J,6,0)</f>
        <v>1</v>
      </c>
      <c r="G684" s="10">
        <f>VLOOKUP(A684,import!A:J,7,0)</f>
        <v>0</v>
      </c>
      <c r="H684" s="10">
        <f>VLOOKUP(A684,import!A:J,8,0)</f>
        <v>4</v>
      </c>
      <c r="I684" s="10">
        <f>VLOOKUP(A684,import!A:J,9,0)</f>
        <v>4</v>
      </c>
      <c r="J684" s="11">
        <f>VLOOKUP(A684,import!A:J,10,0)</f>
        <v>0</v>
      </c>
      <c r="K684" s="18" t="s">
        <v>3316</v>
      </c>
      <c r="L684" s="18">
        <v>5.539337725E9</v>
      </c>
      <c r="M684" s="18" t="s">
        <v>72</v>
      </c>
      <c r="N684" s="18" t="s">
        <v>150</v>
      </c>
      <c r="O684" s="18" t="s">
        <v>3317</v>
      </c>
      <c r="P684" s="10" t="str">
        <f>VLOOKUP(A684,import!A:P,16,0)</f>
        <v>Geleneksel</v>
      </c>
      <c r="Q684" s="12"/>
      <c r="R684" s="12" t="b">
        <v>0</v>
      </c>
      <c r="S684" s="12" t="b">
        <v>0</v>
      </c>
      <c r="T684" s="13"/>
      <c r="U684" s="13"/>
      <c r="V684" s="13"/>
      <c r="W684" s="13"/>
      <c r="X684" s="15"/>
      <c r="Y684" s="15"/>
      <c r="Z684" s="16"/>
      <c r="AA684" s="17"/>
      <c r="AB684" s="16"/>
      <c r="AC684" s="16"/>
      <c r="AD684" s="16"/>
      <c r="AE684" s="17"/>
      <c r="AF684" s="16"/>
      <c r="AG684" s="17"/>
      <c r="AH684" s="16"/>
      <c r="AI684" s="16"/>
      <c r="AJ684" s="16"/>
      <c r="AK684" s="17"/>
      <c r="AL684" s="16"/>
      <c r="AM684" s="16"/>
      <c r="AN684" s="16"/>
      <c r="AO684" s="16"/>
      <c r="AP684" s="18"/>
      <c r="AQ684" s="16"/>
    </row>
    <row r="685" ht="15.75" customHeight="1">
      <c r="A685" s="10" t="s">
        <v>3318</v>
      </c>
      <c r="B685" s="10" t="s">
        <v>3319</v>
      </c>
      <c r="C685" s="10" t="str">
        <f>VLOOKUP(A685,import!A:C,3,0)</f>
        <v>DOĞRU</v>
      </c>
      <c r="D685" s="10" t="s">
        <v>363</v>
      </c>
      <c r="E685" s="10">
        <f>VLOOKUP(A685,import!A:J,5,0)</f>
        <v>1272</v>
      </c>
      <c r="F685" s="10">
        <f>VLOOKUP(A685,import!A:J,6,0)</f>
        <v>291</v>
      </c>
      <c r="G685" s="10">
        <f>VLOOKUP(A685,import!A:J,7,0)</f>
        <v>0</v>
      </c>
      <c r="H685" s="10">
        <f>VLOOKUP(A685,import!A:J,8,0)</f>
        <v>40</v>
      </c>
      <c r="I685" s="10">
        <f>VLOOKUP(A685,import!A:J,9,0)</f>
        <v>40</v>
      </c>
      <c r="J685" s="11">
        <f>VLOOKUP(A685,import!A:J,10,0)</f>
        <v>0</v>
      </c>
      <c r="K685" s="10" t="s">
        <v>3320</v>
      </c>
      <c r="L685" s="10">
        <v>5.541740555E9</v>
      </c>
      <c r="M685" s="10" t="s">
        <v>63</v>
      </c>
      <c r="N685" s="10" t="s">
        <v>318</v>
      </c>
      <c r="O685" s="10" t="s">
        <v>3321</v>
      </c>
      <c r="P685" s="10" t="str">
        <f>VLOOKUP(A685,import!A:P,16,0)</f>
        <v>Geleneksel</v>
      </c>
      <c r="Q685" s="12"/>
      <c r="R685" s="12" t="b">
        <v>1</v>
      </c>
      <c r="S685" s="12" t="b">
        <v>0</v>
      </c>
      <c r="T685" s="13"/>
      <c r="U685" s="13"/>
      <c r="V685" s="13"/>
      <c r="W685" s="13"/>
      <c r="X685" s="15"/>
      <c r="Y685" s="15"/>
      <c r="Z685" s="16"/>
      <c r="AA685" s="17" t="s">
        <v>55</v>
      </c>
      <c r="AB685" s="16">
        <v>44585.0</v>
      </c>
      <c r="AC685" s="16"/>
      <c r="AD685" s="16"/>
      <c r="AE685" s="17"/>
      <c r="AF685" s="16"/>
      <c r="AG685" s="17"/>
      <c r="AH685" s="16"/>
      <c r="AI685" s="16"/>
      <c r="AJ685" s="16"/>
      <c r="AK685" s="17" t="s">
        <v>103</v>
      </c>
      <c r="AL685" s="16"/>
      <c r="AM685" s="16"/>
      <c r="AN685" s="16"/>
      <c r="AO685" s="16"/>
      <c r="AP685" s="18"/>
      <c r="AQ685" s="16"/>
    </row>
    <row r="686" ht="15.75" hidden="1" customHeight="1">
      <c r="A686" s="10" t="s">
        <v>3322</v>
      </c>
      <c r="B686" s="10" t="s">
        <v>3323</v>
      </c>
      <c r="C686" s="10" t="str">
        <f>VLOOKUP(A686,import!A:C,3,0)</f>
        <v>DOĞRU</v>
      </c>
      <c r="D686" s="10" t="s">
        <v>45</v>
      </c>
      <c r="E686" s="10">
        <f>VLOOKUP(A686,import!A:J,5,0)</f>
        <v>900</v>
      </c>
      <c r="F686" s="10">
        <f>VLOOKUP(A686,import!A:J,6,0)</f>
        <v>71</v>
      </c>
      <c r="G686" s="10">
        <f>VLOOKUP(A686,import!A:J,7,0)</f>
        <v>0</v>
      </c>
      <c r="H686" s="10">
        <f>VLOOKUP(A686,import!A:J,8,0)</f>
        <v>32</v>
      </c>
      <c r="I686" s="10">
        <f>VLOOKUP(A686,import!A:J,9,0)</f>
        <v>32</v>
      </c>
      <c r="J686" s="11">
        <f>VLOOKUP(A686,import!A:J,10,0)</f>
        <v>0</v>
      </c>
      <c r="K686" s="10" t="s">
        <v>584</v>
      </c>
      <c r="L686" s="10">
        <v>5.531263333E9</v>
      </c>
      <c r="M686" s="10" t="s">
        <v>215</v>
      </c>
      <c r="N686" s="10" t="s">
        <v>227</v>
      </c>
      <c r="O686" s="10" t="s">
        <v>585</v>
      </c>
      <c r="P686" s="10" t="str">
        <f>VLOOKUP(A686,import!A:P,16,0)</f>
        <v>Geleneksel</v>
      </c>
      <c r="Q686" s="12"/>
      <c r="R686" s="12" t="b">
        <v>1</v>
      </c>
      <c r="S686" s="12" t="b">
        <v>0</v>
      </c>
      <c r="T686" s="13" t="s">
        <v>199</v>
      </c>
      <c r="U686" s="13"/>
      <c r="V686" s="13"/>
      <c r="W686" s="13" t="s">
        <v>3324</v>
      </c>
      <c r="X686" s="15"/>
      <c r="Y686" s="15"/>
      <c r="Z686" s="16"/>
      <c r="AA686" s="17" t="s">
        <v>56</v>
      </c>
      <c r="AB686" s="16">
        <v>44634.0</v>
      </c>
      <c r="AC686" s="16"/>
      <c r="AD686" s="16"/>
      <c r="AE686" s="17"/>
      <c r="AF686" s="16"/>
      <c r="AG686" s="17"/>
      <c r="AH686" s="16"/>
      <c r="AI686" s="16"/>
      <c r="AJ686" s="16"/>
      <c r="AK686" s="17" t="s">
        <v>89</v>
      </c>
      <c r="AL686" s="16"/>
      <c r="AM686" s="16"/>
      <c r="AN686" s="16"/>
      <c r="AO686" s="16"/>
      <c r="AP686" s="18"/>
      <c r="AQ686" s="16"/>
    </row>
    <row r="687" ht="15.75" customHeight="1">
      <c r="A687" s="10" t="s">
        <v>3325</v>
      </c>
      <c r="B687" s="10" t="s">
        <v>3326</v>
      </c>
      <c r="C687" s="10" t="str">
        <f>VLOOKUP(A687,import!A:C,3,0)</f>
        <v>DOĞRU</v>
      </c>
      <c r="D687" s="10" t="s">
        <v>80</v>
      </c>
      <c r="E687" s="10">
        <f>VLOOKUP(A687,import!A:J,5,0)</f>
        <v>854</v>
      </c>
      <c r="F687" s="10">
        <f>VLOOKUP(A687,import!A:J,6,0)</f>
        <v>32</v>
      </c>
      <c r="G687" s="10">
        <f>VLOOKUP(A687,import!A:J,7,0)</f>
        <v>13</v>
      </c>
      <c r="H687" s="10">
        <f>VLOOKUP(A687,import!A:J,8,0)</f>
        <v>12</v>
      </c>
      <c r="I687" s="10">
        <f>VLOOKUP(A687,import!A:J,9,0)</f>
        <v>25</v>
      </c>
      <c r="J687" s="11">
        <f>VLOOKUP(A687,import!A:J,10,0)</f>
        <v>0.52</v>
      </c>
      <c r="K687" s="10" t="s">
        <v>3327</v>
      </c>
      <c r="L687" s="10">
        <v>3.242390979E9</v>
      </c>
      <c r="M687" s="10" t="s">
        <v>137</v>
      </c>
      <c r="N687" s="10" t="s">
        <v>1283</v>
      </c>
      <c r="O687" s="10" t="s">
        <v>3328</v>
      </c>
      <c r="P687" s="10" t="str">
        <f>VLOOKUP(A687,import!A:P,16,0)</f>
        <v>Geleneksel</v>
      </c>
      <c r="Q687" s="12" t="s">
        <v>146</v>
      </c>
      <c r="R687" s="12" t="b">
        <v>1</v>
      </c>
      <c r="S687" s="12" t="b">
        <v>0</v>
      </c>
      <c r="T687" s="13" t="s">
        <v>51</v>
      </c>
      <c r="U687" s="13" t="s">
        <v>171</v>
      </c>
      <c r="V687" s="13" t="s">
        <v>53</v>
      </c>
      <c r="W687" s="13" t="s">
        <v>3329</v>
      </c>
      <c r="X687" s="15">
        <v>44411.0</v>
      </c>
      <c r="Y687" s="15">
        <v>44413.0</v>
      </c>
      <c r="Z687" s="16"/>
      <c r="AA687" s="17" t="s">
        <v>56</v>
      </c>
      <c r="AB687" s="16">
        <v>44349.0</v>
      </c>
      <c r="AC687" s="17" t="s">
        <v>230</v>
      </c>
      <c r="AD687" s="16">
        <v>44356.0</v>
      </c>
      <c r="AE687" s="17" t="s">
        <v>56</v>
      </c>
      <c r="AF687" s="16">
        <v>44411.0</v>
      </c>
      <c r="AG687" s="17" t="s">
        <v>56</v>
      </c>
      <c r="AH687" s="16">
        <v>44553.0</v>
      </c>
      <c r="AI687" s="16"/>
      <c r="AJ687" s="16"/>
      <c r="AK687" s="17" t="s">
        <v>124</v>
      </c>
      <c r="AL687" s="17" t="s">
        <v>52</v>
      </c>
      <c r="AM687" s="17" t="s">
        <v>171</v>
      </c>
      <c r="AN687" s="17" t="s">
        <v>89</v>
      </c>
      <c r="AO687" s="16"/>
      <c r="AP687" s="18" t="s">
        <v>58</v>
      </c>
      <c r="AQ687" s="16"/>
    </row>
    <row r="688" ht="15.75" customHeight="1">
      <c r="A688" s="10" t="s">
        <v>3330</v>
      </c>
      <c r="B688" s="10" t="s">
        <v>3331</v>
      </c>
      <c r="C688" s="10" t="str">
        <f>VLOOKUP(A688,import!A:C,3,0)</f>
        <v>DOĞRU</v>
      </c>
      <c r="D688" s="10" t="s">
        <v>80</v>
      </c>
      <c r="E688" s="10">
        <f>VLOOKUP(A688,import!A:J,5,0)</f>
        <v>3</v>
      </c>
      <c r="F688" s="10" t="str">
        <f>VLOOKUP(A688,import!A:J,6,0)</f>
        <v/>
      </c>
      <c r="G688" s="10">
        <f>VLOOKUP(A688,import!A:J,7,0)</f>
        <v>0</v>
      </c>
      <c r="H688" s="10">
        <f>VLOOKUP(A688,import!A:J,8,0)</f>
        <v>12</v>
      </c>
      <c r="I688" s="10">
        <f>VLOOKUP(A688,import!A:J,9,0)</f>
        <v>12</v>
      </c>
      <c r="J688" s="11">
        <f>VLOOKUP(A688,import!A:J,10,0)</f>
        <v>0</v>
      </c>
      <c r="K688" s="10" t="s">
        <v>3332</v>
      </c>
      <c r="L688" s="10">
        <v>3.242330166E9</v>
      </c>
      <c r="M688" s="10" t="s">
        <v>137</v>
      </c>
      <c r="N688" s="10" t="s">
        <v>209</v>
      </c>
      <c r="O688" s="10" t="s">
        <v>3333</v>
      </c>
      <c r="P688" s="10" t="str">
        <f>VLOOKUP(A688,import!A:P,16,0)</f>
        <v>Geleneksel</v>
      </c>
      <c r="Q688" s="12"/>
      <c r="R688" s="12" t="b">
        <v>1</v>
      </c>
      <c r="S688" s="12" t="b">
        <v>0</v>
      </c>
      <c r="T688" s="13" t="s">
        <v>272</v>
      </c>
      <c r="U688" s="13" t="s">
        <v>89</v>
      </c>
      <c r="V688" s="13" t="s">
        <v>66</v>
      </c>
      <c r="W688" s="13"/>
      <c r="X688" s="15">
        <v>44578.0</v>
      </c>
      <c r="Y688" s="15">
        <v>44588.0</v>
      </c>
      <c r="Z688" s="16"/>
      <c r="AA688" s="17" t="s">
        <v>56</v>
      </c>
      <c r="AB688" s="16">
        <v>44578.0</v>
      </c>
      <c r="AC688" s="16"/>
      <c r="AD688" s="16"/>
      <c r="AE688" s="17"/>
      <c r="AF688" s="16"/>
      <c r="AG688" s="17"/>
      <c r="AH688" s="16"/>
      <c r="AI688" s="16"/>
      <c r="AJ688" s="16"/>
      <c r="AK688" s="17" t="s">
        <v>89</v>
      </c>
      <c r="AL688" s="16"/>
      <c r="AM688" s="16"/>
      <c r="AN688" s="16"/>
      <c r="AO688" s="16"/>
      <c r="AP688" s="18"/>
      <c r="AQ688" s="16"/>
    </row>
    <row r="689" ht="15.75" hidden="1" customHeight="1">
      <c r="A689" s="10" t="s">
        <v>3334</v>
      </c>
      <c r="B689" s="10" t="s">
        <v>3335</v>
      </c>
      <c r="C689" s="10" t="str">
        <f>VLOOKUP(A689,import!A:C,3,0)</f>
        <v>DOĞRU</v>
      </c>
      <c r="D689" s="10" t="s">
        <v>356</v>
      </c>
      <c r="E689" s="10">
        <f>VLOOKUP(A689,import!A:J,5,0)</f>
        <v>1790</v>
      </c>
      <c r="F689" s="10">
        <f>VLOOKUP(A689,import!A:J,6,0)</f>
        <v>103</v>
      </c>
      <c r="G689" s="10">
        <f>VLOOKUP(A689,import!A:J,7,0)</f>
        <v>23</v>
      </c>
      <c r="H689" s="10">
        <f>VLOOKUP(A689,import!A:J,8,0)</f>
        <v>6</v>
      </c>
      <c r="I689" s="10">
        <f>VLOOKUP(A689,import!A:J,9,0)</f>
        <v>29</v>
      </c>
      <c r="J689" s="11">
        <f>VLOOKUP(A689,import!A:J,10,0)</f>
        <v>0.79</v>
      </c>
      <c r="K689" s="10" t="s">
        <v>3336</v>
      </c>
      <c r="L689" s="10">
        <v>5.3364706E9</v>
      </c>
      <c r="M689" s="10" t="s">
        <v>72</v>
      </c>
      <c r="N689" s="10" t="s">
        <v>1090</v>
      </c>
      <c r="O689" s="10" t="s">
        <v>3337</v>
      </c>
      <c r="P689" s="10" t="str">
        <f>VLOOKUP(A689,import!A:P,16,0)</f>
        <v>Geleneksel</v>
      </c>
      <c r="Q689" s="12" t="s">
        <v>146</v>
      </c>
      <c r="R689" s="12" t="b">
        <v>1</v>
      </c>
      <c r="S689" s="12" t="b">
        <v>0</v>
      </c>
      <c r="T689" s="13" t="s">
        <v>51</v>
      </c>
      <c r="U689" s="13" t="s">
        <v>133</v>
      </c>
      <c r="V689" s="13" t="s">
        <v>66</v>
      </c>
      <c r="W689" s="13" t="s">
        <v>1965</v>
      </c>
      <c r="X689" s="15">
        <v>44636.0</v>
      </c>
      <c r="Y689" s="15">
        <v>44637.0</v>
      </c>
      <c r="Z689" s="16"/>
      <c r="AA689" s="17" t="s">
        <v>56</v>
      </c>
      <c r="AB689" s="16">
        <v>44553.0</v>
      </c>
      <c r="AC689" s="17" t="s">
        <v>56</v>
      </c>
      <c r="AD689" s="16">
        <v>44636.0</v>
      </c>
      <c r="AE689" s="17"/>
      <c r="AF689" s="16"/>
      <c r="AG689" s="17"/>
      <c r="AH689" s="16"/>
      <c r="AI689" s="16"/>
      <c r="AJ689" s="16"/>
      <c r="AK689" s="17" t="s">
        <v>89</v>
      </c>
      <c r="AL689" s="17" t="s">
        <v>133</v>
      </c>
      <c r="AM689" s="16"/>
      <c r="AN689" s="16"/>
      <c r="AO689" s="16"/>
      <c r="AP689" s="18" t="s">
        <v>58</v>
      </c>
      <c r="AQ689" s="16"/>
    </row>
    <row r="690" ht="15.75" customHeight="1">
      <c r="A690" s="10" t="s">
        <v>3338</v>
      </c>
      <c r="B690" s="10" t="s">
        <v>3339</v>
      </c>
      <c r="C690" s="10" t="str">
        <f>VLOOKUP(A690,import!A:C,3,0)</f>
        <v>DOĞRU</v>
      </c>
      <c r="D690" s="10" t="s">
        <v>451</v>
      </c>
      <c r="E690" s="10">
        <f>VLOOKUP(A690,import!A:J,5,0)</f>
        <v>373</v>
      </c>
      <c r="F690" s="10">
        <f>VLOOKUP(A690,import!A:J,6,0)</f>
        <v>34</v>
      </c>
      <c r="G690" s="10">
        <f>VLOOKUP(A690,import!A:J,7,0)</f>
        <v>8</v>
      </c>
      <c r="H690" s="10">
        <f>VLOOKUP(A690,import!A:J,8,0)</f>
        <v>6</v>
      </c>
      <c r="I690" s="10">
        <f>VLOOKUP(A690,import!A:J,9,0)</f>
        <v>14</v>
      </c>
      <c r="J690" s="11">
        <f>VLOOKUP(A690,import!A:J,10,0)</f>
        <v>0.57</v>
      </c>
      <c r="K690" s="10" t="s">
        <v>3340</v>
      </c>
      <c r="L690" s="10">
        <v>3.243571698E9</v>
      </c>
      <c r="M690" s="10" t="s">
        <v>63</v>
      </c>
      <c r="N690" s="10" t="s">
        <v>100</v>
      </c>
      <c r="O690" s="10" t="s">
        <v>3341</v>
      </c>
      <c r="P690" s="10" t="str">
        <f>VLOOKUP(A690,import!A:P,16,0)</f>
        <v>Geleneksel</v>
      </c>
      <c r="Q690" s="12"/>
      <c r="R690" s="12" t="b">
        <v>1</v>
      </c>
      <c r="S690" s="12" t="b">
        <v>0</v>
      </c>
      <c r="T690" s="13" t="s">
        <v>51</v>
      </c>
      <c r="U690" s="13" t="s">
        <v>89</v>
      </c>
      <c r="V690" s="13" t="s">
        <v>66</v>
      </c>
      <c r="W690" s="13" t="s">
        <v>3342</v>
      </c>
      <c r="X690" s="15">
        <v>44545.0</v>
      </c>
      <c r="Y690" s="15">
        <v>44547.0</v>
      </c>
      <c r="Z690" s="16"/>
      <c r="AA690" s="17" t="s">
        <v>56</v>
      </c>
      <c r="AB690" s="16">
        <v>44545.0</v>
      </c>
      <c r="AC690" s="16"/>
      <c r="AD690" s="16"/>
      <c r="AE690" s="17"/>
      <c r="AF690" s="16"/>
      <c r="AG690" s="17"/>
      <c r="AH690" s="16"/>
      <c r="AI690" s="16"/>
      <c r="AJ690" s="16"/>
      <c r="AK690" s="17" t="s">
        <v>89</v>
      </c>
      <c r="AL690" s="16"/>
      <c r="AM690" s="16"/>
      <c r="AN690" s="16"/>
      <c r="AO690" s="16"/>
      <c r="AP690" s="18" t="s">
        <v>58</v>
      </c>
      <c r="AQ690" s="16"/>
    </row>
    <row r="691" ht="15.75" hidden="1" customHeight="1">
      <c r="A691" s="10" t="s">
        <v>3343</v>
      </c>
      <c r="B691" s="10" t="s">
        <v>3344</v>
      </c>
      <c r="C691" s="10" t="str">
        <f>VLOOKUP(A691,import!A:C,3,0)</f>
        <v>DOĞRU</v>
      </c>
      <c r="D691" s="10" t="s">
        <v>70</v>
      </c>
      <c r="E691" s="10">
        <f>VLOOKUP(A691,import!A:J,5,0)</f>
        <v>143</v>
      </c>
      <c r="F691" s="10">
        <f>VLOOKUP(A691,import!A:J,6,0)</f>
        <v>53</v>
      </c>
      <c r="G691" s="10">
        <f>VLOOKUP(A691,import!A:J,7,0)</f>
        <v>0</v>
      </c>
      <c r="H691" s="10">
        <f>VLOOKUP(A691,import!A:J,8,0)</f>
        <v>11</v>
      </c>
      <c r="I691" s="10">
        <f>VLOOKUP(A691,import!A:J,9,0)</f>
        <v>11</v>
      </c>
      <c r="J691" s="11">
        <f>VLOOKUP(A691,import!A:J,10,0)</f>
        <v>0</v>
      </c>
      <c r="K691" s="10" t="s">
        <v>3345</v>
      </c>
      <c r="L691" s="10">
        <v>3.24515023E9</v>
      </c>
      <c r="M691" s="10" t="s">
        <v>47</v>
      </c>
      <c r="N691" s="10" t="s">
        <v>489</v>
      </c>
      <c r="O691" s="10" t="s">
        <v>3346</v>
      </c>
      <c r="P691" s="10" t="str">
        <f>VLOOKUP(A691,import!A:P,16,0)</f>
        <v>Geleneksel</v>
      </c>
      <c r="Q691" s="12"/>
      <c r="R691" s="12" t="b">
        <v>0</v>
      </c>
      <c r="S691" s="12" t="b">
        <v>0</v>
      </c>
      <c r="T691" s="13"/>
      <c r="U691" s="13"/>
      <c r="V691" s="13"/>
      <c r="W691" s="13" t="s">
        <v>3347</v>
      </c>
      <c r="X691" s="15"/>
      <c r="Y691" s="15"/>
      <c r="Z691" s="16"/>
      <c r="AA691" s="17" t="s">
        <v>56</v>
      </c>
      <c r="AB691" s="16">
        <v>44694.0</v>
      </c>
      <c r="AC691" s="16"/>
      <c r="AD691" s="16"/>
      <c r="AE691" s="17"/>
      <c r="AF691" s="16"/>
      <c r="AG691" s="17"/>
      <c r="AH691" s="16"/>
      <c r="AI691" s="16"/>
      <c r="AJ691" s="16"/>
      <c r="AK691" s="17" t="s">
        <v>367</v>
      </c>
      <c r="AL691" s="16"/>
      <c r="AM691" s="16"/>
      <c r="AN691" s="16"/>
      <c r="AO691" s="16"/>
      <c r="AP691" s="18"/>
      <c r="AQ691" s="16"/>
    </row>
    <row r="692" ht="15.75" hidden="1" customHeight="1">
      <c r="A692" s="10" t="s">
        <v>3348</v>
      </c>
      <c r="B692" s="10" t="s">
        <v>3349</v>
      </c>
      <c r="C692" s="10" t="str">
        <f>VLOOKUP(A692,import!A:C,3,0)</f>
        <v>DOĞRU</v>
      </c>
      <c r="D692" s="10" t="s">
        <v>70</v>
      </c>
      <c r="E692" s="10">
        <f>VLOOKUP(A692,import!A:J,5,0)</f>
        <v>1776</v>
      </c>
      <c r="F692" s="10">
        <f>VLOOKUP(A692,import!A:J,6,0)</f>
        <v>40</v>
      </c>
      <c r="G692" s="10">
        <f>VLOOKUP(A692,import!A:J,7,0)</f>
        <v>0</v>
      </c>
      <c r="H692" s="10">
        <f>VLOOKUP(A692,import!A:J,8,0)</f>
        <v>11</v>
      </c>
      <c r="I692" s="10">
        <f>VLOOKUP(A692,import!A:J,9,0)</f>
        <v>11</v>
      </c>
      <c r="J692" s="11">
        <f>VLOOKUP(A692,import!A:J,10,0)</f>
        <v>0</v>
      </c>
      <c r="K692" s="10" t="s">
        <v>839</v>
      </c>
      <c r="L692" s="10">
        <v>5.512714151E9</v>
      </c>
      <c r="M692" s="10" t="s">
        <v>72</v>
      </c>
      <c r="N692" s="10" t="s">
        <v>113</v>
      </c>
      <c r="O692" s="10" t="s">
        <v>840</v>
      </c>
      <c r="P692" s="10" t="str">
        <f>VLOOKUP(A692,import!A:P,16,0)</f>
        <v>Geleneksel</v>
      </c>
      <c r="Q692" s="12"/>
      <c r="R692" s="12" t="b">
        <v>1</v>
      </c>
      <c r="S692" s="12" t="b">
        <v>0</v>
      </c>
      <c r="T692" s="13" t="s">
        <v>51</v>
      </c>
      <c r="U692" s="13" t="s">
        <v>367</v>
      </c>
      <c r="V692" s="13" t="s">
        <v>53</v>
      </c>
      <c r="W692" s="13" t="s">
        <v>3350</v>
      </c>
      <c r="X692" s="15">
        <v>44442.0</v>
      </c>
      <c r="Y692" s="15">
        <v>44445.0</v>
      </c>
      <c r="Z692" s="16"/>
      <c r="AA692" s="17" t="s">
        <v>56</v>
      </c>
      <c r="AB692" s="16">
        <v>44442.0</v>
      </c>
      <c r="AC692" s="17" t="s">
        <v>56</v>
      </c>
      <c r="AD692" s="16">
        <v>44475.0</v>
      </c>
      <c r="AE692" s="17"/>
      <c r="AF692" s="16"/>
      <c r="AG692" s="17"/>
      <c r="AH692" s="16"/>
      <c r="AI692" s="16"/>
      <c r="AJ692" s="16"/>
      <c r="AK692" s="17" t="s">
        <v>367</v>
      </c>
      <c r="AL692" s="17" t="s">
        <v>171</v>
      </c>
      <c r="AM692" s="16"/>
      <c r="AN692" s="16"/>
      <c r="AO692" s="16"/>
      <c r="AP692" s="18" t="s">
        <v>58</v>
      </c>
      <c r="AQ692" s="16"/>
    </row>
    <row r="693" ht="15.75" hidden="1" customHeight="1">
      <c r="A693" s="10" t="s">
        <v>3351</v>
      </c>
      <c r="B693" s="10" t="s">
        <v>3352</v>
      </c>
      <c r="C693" s="10" t="str">
        <f>VLOOKUP(A693,import!A:C,3,0)</f>
        <v>DOĞRU</v>
      </c>
      <c r="D693" s="10" t="s">
        <v>80</v>
      </c>
      <c r="E693" s="10">
        <f>VLOOKUP(A693,import!A:J,5,0)</f>
        <v>5261</v>
      </c>
      <c r="F693" s="10">
        <f>VLOOKUP(A693,import!A:J,6,0)</f>
        <v>302</v>
      </c>
      <c r="G693" s="10">
        <f>VLOOKUP(A693,import!A:J,7,0)</f>
        <v>15</v>
      </c>
      <c r="H693" s="10">
        <f>VLOOKUP(A693,import!A:J,8,0)</f>
        <v>10</v>
      </c>
      <c r="I693" s="10">
        <f>VLOOKUP(A693,import!A:J,9,0)</f>
        <v>25</v>
      </c>
      <c r="J693" s="11">
        <f>VLOOKUP(A693,import!A:J,10,0)</f>
        <v>0.6</v>
      </c>
      <c r="K693" s="10" t="s">
        <v>3353</v>
      </c>
      <c r="L693" s="10">
        <v>5.350589707E9</v>
      </c>
      <c r="M693" s="10" t="s">
        <v>215</v>
      </c>
      <c r="N693" s="10" t="s">
        <v>1053</v>
      </c>
      <c r="O693" s="10" t="s">
        <v>3354</v>
      </c>
      <c r="P693" s="10" t="str">
        <f>VLOOKUP(A693,import!A:P,16,0)</f>
        <v>Geleneksel</v>
      </c>
      <c r="Q693" s="12"/>
      <c r="R693" s="12" t="b">
        <v>1</v>
      </c>
      <c r="S693" s="12" t="b">
        <v>0</v>
      </c>
      <c r="T693" s="13" t="s">
        <v>51</v>
      </c>
      <c r="U693" s="13" t="s">
        <v>133</v>
      </c>
      <c r="V693" s="13" t="s">
        <v>53</v>
      </c>
      <c r="W693" s="13" t="s">
        <v>273</v>
      </c>
      <c r="X693" s="15">
        <v>44523.0</v>
      </c>
      <c r="Y693" s="15">
        <v>44536.0</v>
      </c>
      <c r="Z693" s="16"/>
      <c r="AA693" s="17" t="s">
        <v>56</v>
      </c>
      <c r="AB693" s="16">
        <v>44412.0</v>
      </c>
      <c r="AC693" s="17" t="s">
        <v>56</v>
      </c>
      <c r="AD693" s="16">
        <v>44523.0</v>
      </c>
      <c r="AE693" s="17"/>
      <c r="AF693" s="16"/>
      <c r="AG693" s="17"/>
      <c r="AH693" s="16"/>
      <c r="AI693" s="16"/>
      <c r="AJ693" s="16"/>
      <c r="AK693" s="17" t="s">
        <v>1252</v>
      </c>
      <c r="AL693" s="17" t="s">
        <v>133</v>
      </c>
      <c r="AM693" s="16"/>
      <c r="AN693" s="16"/>
      <c r="AO693" s="16"/>
      <c r="AP693" s="18" t="s">
        <v>58</v>
      </c>
      <c r="AQ693" s="16"/>
    </row>
    <row r="694" ht="15.75" customHeight="1">
      <c r="A694" s="10" t="s">
        <v>3355</v>
      </c>
      <c r="B694" s="10" t="s">
        <v>3356</v>
      </c>
      <c r="C694" s="10" t="str">
        <f>VLOOKUP(A694,import!A:C,3,0)</f>
        <v>DOĞRU</v>
      </c>
      <c r="D694" s="10" t="s">
        <v>80</v>
      </c>
      <c r="E694" s="10">
        <f>VLOOKUP(A694,import!A:J,5,0)</f>
        <v>3437</v>
      </c>
      <c r="F694" s="10">
        <f>VLOOKUP(A694,import!A:J,6,0)</f>
        <v>47</v>
      </c>
      <c r="G694" s="10">
        <f>VLOOKUP(A694,import!A:J,7,0)</f>
        <v>4</v>
      </c>
      <c r="H694" s="10">
        <f>VLOOKUP(A694,import!A:J,8,0)</f>
        <v>0</v>
      </c>
      <c r="I694" s="10">
        <f>VLOOKUP(A694,import!A:J,9,0)</f>
        <v>4</v>
      </c>
      <c r="J694" s="11">
        <f>VLOOKUP(A694,import!A:J,10,0)</f>
        <v>1</v>
      </c>
      <c r="K694" s="10" t="s">
        <v>3357</v>
      </c>
      <c r="L694" s="10">
        <v>5.370581815E9</v>
      </c>
      <c r="M694" s="10" t="s">
        <v>63</v>
      </c>
      <c r="N694" s="10" t="s">
        <v>566</v>
      </c>
      <c r="O694" s="10" t="s">
        <v>3358</v>
      </c>
      <c r="P694" s="10" t="str">
        <f>VLOOKUP(A694,import!A:P,16,0)</f>
        <v>Geleneksel</v>
      </c>
      <c r="Q694" s="12"/>
      <c r="R694" s="12" t="b">
        <v>1</v>
      </c>
      <c r="S694" s="12" t="b">
        <v>0</v>
      </c>
      <c r="T694" s="13" t="s">
        <v>51</v>
      </c>
      <c r="U694" s="13" t="s">
        <v>258</v>
      </c>
      <c r="V694" s="13" t="s">
        <v>53</v>
      </c>
      <c r="W694" s="13" t="s">
        <v>3359</v>
      </c>
      <c r="X694" s="15">
        <v>44293.0</v>
      </c>
      <c r="Y694" s="15">
        <v>44294.0</v>
      </c>
      <c r="Z694" s="16"/>
      <c r="AA694" s="16"/>
      <c r="AB694" s="16"/>
      <c r="AC694" s="16"/>
      <c r="AD694" s="16"/>
      <c r="AE694" s="17"/>
      <c r="AF694" s="16"/>
      <c r="AG694" s="17"/>
      <c r="AH694" s="16"/>
      <c r="AI694" s="16"/>
      <c r="AJ694" s="16"/>
      <c r="AK694" s="16"/>
      <c r="AL694" s="16"/>
      <c r="AM694" s="16"/>
      <c r="AN694" s="16"/>
      <c r="AO694" s="16"/>
      <c r="AP694" s="18" t="s">
        <v>58</v>
      </c>
      <c r="AQ694" s="16"/>
    </row>
    <row r="695" ht="15.75" customHeight="1">
      <c r="A695" s="10" t="s">
        <v>3360</v>
      </c>
      <c r="B695" s="10" t="s">
        <v>3361</v>
      </c>
      <c r="C695" s="10" t="str">
        <f>VLOOKUP(A695,import!A:C,3,0)</f>
        <v>DOĞRU</v>
      </c>
      <c r="D695" s="10" t="s">
        <v>1063</v>
      </c>
      <c r="E695" s="10">
        <f>VLOOKUP(A695,import!A:J,5,0)</f>
        <v>567</v>
      </c>
      <c r="F695" s="10">
        <f>VLOOKUP(A695,import!A:J,6,0)</f>
        <v>13</v>
      </c>
      <c r="G695" s="10">
        <f>VLOOKUP(A695,import!A:J,7,0)</f>
        <v>10</v>
      </c>
      <c r="H695" s="10">
        <f>VLOOKUP(A695,import!A:J,8,0)</f>
        <v>37</v>
      </c>
      <c r="I695" s="10">
        <f>VLOOKUP(A695,import!A:J,9,0)</f>
        <v>47</v>
      </c>
      <c r="J695" s="11">
        <f>VLOOKUP(A695,import!A:J,10,0)</f>
        <v>0.21</v>
      </c>
      <c r="K695" s="10" t="s">
        <v>3362</v>
      </c>
      <c r="L695" s="10">
        <v>3.249991399E9</v>
      </c>
      <c r="M695" s="10" t="s">
        <v>63</v>
      </c>
      <c r="N695" s="10" t="s">
        <v>566</v>
      </c>
      <c r="O695" s="10" t="s">
        <v>3363</v>
      </c>
      <c r="P695" s="10" t="str">
        <f>VLOOKUP(A695,import!A:P,16,0)</f>
        <v>Geleneksel</v>
      </c>
      <c r="Q695" s="12"/>
      <c r="R695" s="12" t="b">
        <v>1</v>
      </c>
      <c r="S695" s="12" t="b">
        <v>0</v>
      </c>
      <c r="T695" s="13" t="s">
        <v>931</v>
      </c>
      <c r="U695" s="13" t="s">
        <v>103</v>
      </c>
      <c r="V695" s="13" t="s">
        <v>66</v>
      </c>
      <c r="W695" s="13" t="s">
        <v>3364</v>
      </c>
      <c r="X695" s="15">
        <v>44505.0</v>
      </c>
      <c r="Y695" s="15">
        <v>44509.0</v>
      </c>
      <c r="Z695" s="17" t="s">
        <v>616</v>
      </c>
      <c r="AA695" s="17" t="s">
        <v>55</v>
      </c>
      <c r="AB695" s="16">
        <v>44355.0</v>
      </c>
      <c r="AC695" s="17" t="s">
        <v>230</v>
      </c>
      <c r="AD695" s="16">
        <v>44414.0</v>
      </c>
      <c r="AE695" s="17" t="s">
        <v>230</v>
      </c>
      <c r="AF695" s="16">
        <v>44417.0</v>
      </c>
      <c r="AG695" s="17" t="s">
        <v>56</v>
      </c>
      <c r="AH695" s="16">
        <v>44418.0</v>
      </c>
      <c r="AI695" s="17" t="s">
        <v>56</v>
      </c>
      <c r="AJ695" s="16">
        <v>44590.0</v>
      </c>
      <c r="AK695" s="17" t="s">
        <v>163</v>
      </c>
      <c r="AL695" s="17" t="s">
        <v>52</v>
      </c>
      <c r="AM695" s="17" t="s">
        <v>57</v>
      </c>
      <c r="AN695" s="17" t="s">
        <v>52</v>
      </c>
      <c r="AO695" s="17" t="s">
        <v>89</v>
      </c>
      <c r="AP695" s="18" t="s">
        <v>58</v>
      </c>
      <c r="AQ695" s="17"/>
    </row>
    <row r="696" ht="15.75" hidden="1" customHeight="1">
      <c r="A696" s="10" t="s">
        <v>3365</v>
      </c>
      <c r="B696" s="10" t="s">
        <v>3366</v>
      </c>
      <c r="C696" s="10" t="str">
        <f>VLOOKUP(A696,import!A:C,3,0)</f>
        <v>YANLIŞ</v>
      </c>
      <c r="D696" s="10" t="s">
        <v>451</v>
      </c>
      <c r="E696" s="10">
        <f>VLOOKUP(A696,import!A:J,5,0)</f>
        <v>521</v>
      </c>
      <c r="F696" s="10" t="str">
        <f>VLOOKUP(A696,import!A:J,6,0)</f>
        <v/>
      </c>
      <c r="G696" s="10">
        <f>VLOOKUP(A696,import!A:J,7,0)</f>
        <v>6</v>
      </c>
      <c r="H696" s="10">
        <f>VLOOKUP(A696,import!A:J,8,0)</f>
        <v>19</v>
      </c>
      <c r="I696" s="10">
        <f>VLOOKUP(A696,import!A:J,9,0)</f>
        <v>25</v>
      </c>
      <c r="J696" s="11">
        <f>VLOOKUP(A696,import!A:J,10,0)</f>
        <v>0.24</v>
      </c>
      <c r="K696" s="10" t="s">
        <v>3367</v>
      </c>
      <c r="L696" s="10">
        <v>3.24320981E9</v>
      </c>
      <c r="M696" s="10" t="s">
        <v>215</v>
      </c>
      <c r="N696" s="10" t="s">
        <v>263</v>
      </c>
      <c r="O696" s="10" t="s">
        <v>3368</v>
      </c>
      <c r="P696" s="10" t="str">
        <f>VLOOKUP(A696,import!A:P,16,0)</f>
        <v>Geleneksel</v>
      </c>
      <c r="Q696" s="12"/>
      <c r="R696" s="12" t="b">
        <v>1</v>
      </c>
      <c r="S696" s="12" t="b">
        <v>0</v>
      </c>
      <c r="T696" s="13" t="s">
        <v>51</v>
      </c>
      <c r="U696" s="13" t="s">
        <v>87</v>
      </c>
      <c r="V696" s="13" t="s">
        <v>53</v>
      </c>
      <c r="W696" s="13" t="s">
        <v>170</v>
      </c>
      <c r="X696" s="15">
        <v>44495.0</v>
      </c>
      <c r="Y696" s="15">
        <v>44496.0</v>
      </c>
      <c r="Z696" s="16"/>
      <c r="AA696" s="17" t="s">
        <v>56</v>
      </c>
      <c r="AB696" s="16">
        <v>44495.0</v>
      </c>
      <c r="AC696" s="17" t="s">
        <v>55</v>
      </c>
      <c r="AD696" s="16">
        <v>44559.0</v>
      </c>
      <c r="AE696" s="17"/>
      <c r="AF696" s="16"/>
      <c r="AG696" s="17"/>
      <c r="AH696" s="16"/>
      <c r="AI696" s="16"/>
      <c r="AJ696" s="16"/>
      <c r="AK696" s="17" t="s">
        <v>87</v>
      </c>
      <c r="AL696" s="17" t="s">
        <v>133</v>
      </c>
      <c r="AM696" s="16"/>
      <c r="AN696" s="16"/>
      <c r="AO696" s="16"/>
      <c r="AP696" s="18" t="s">
        <v>58</v>
      </c>
      <c r="AQ696" s="16"/>
    </row>
    <row r="697" ht="15.75" hidden="1" customHeight="1">
      <c r="A697" s="10" t="s">
        <v>3369</v>
      </c>
      <c r="B697" s="10" t="s">
        <v>3370</v>
      </c>
      <c r="C697" s="10" t="str">
        <f>VLOOKUP(A697,import!A:C,3,0)</f>
        <v>DOĞRU</v>
      </c>
      <c r="D697" s="10" t="s">
        <v>363</v>
      </c>
      <c r="E697" s="10">
        <f>VLOOKUP(A697,import!A:J,5,0)</f>
        <v>372</v>
      </c>
      <c r="F697" s="10">
        <f>VLOOKUP(A697,import!A:J,6,0)</f>
        <v>46</v>
      </c>
      <c r="G697" s="10">
        <f>VLOOKUP(A697,import!A:J,7,0)</f>
        <v>0</v>
      </c>
      <c r="H697" s="10">
        <f>VLOOKUP(A697,import!A:J,8,0)</f>
        <v>9</v>
      </c>
      <c r="I697" s="10">
        <f>VLOOKUP(A697,import!A:J,9,0)</f>
        <v>9</v>
      </c>
      <c r="J697" s="11">
        <f>VLOOKUP(A697,import!A:J,10,0)</f>
        <v>0</v>
      </c>
      <c r="K697" s="10" t="s">
        <v>3371</v>
      </c>
      <c r="L697" s="10">
        <v>5.453587607E9</v>
      </c>
      <c r="M697" s="10" t="s">
        <v>156</v>
      </c>
      <c r="N697" s="10" t="s">
        <v>64</v>
      </c>
      <c r="O697" s="10" t="s">
        <v>3372</v>
      </c>
      <c r="P697" s="10" t="str">
        <f>VLOOKUP(A697,import!A:P,16,0)</f>
        <v>Geleneksel</v>
      </c>
      <c r="Q697" s="12"/>
      <c r="R697" s="12" t="b">
        <v>0</v>
      </c>
      <c r="S697" s="12" t="b">
        <v>0</v>
      </c>
      <c r="T697" s="13"/>
      <c r="U697" s="13"/>
      <c r="V697" s="13"/>
      <c r="W697" s="13" t="s">
        <v>3373</v>
      </c>
      <c r="X697" s="15"/>
      <c r="Y697" s="15"/>
      <c r="Z697" s="16"/>
      <c r="AA697" s="16"/>
      <c r="AB697" s="16"/>
      <c r="AC697" s="16"/>
      <c r="AD697" s="16"/>
      <c r="AE697" s="17"/>
      <c r="AF697" s="16"/>
      <c r="AG697" s="17"/>
      <c r="AH697" s="16"/>
      <c r="AI697" s="16"/>
      <c r="AJ697" s="16"/>
      <c r="AK697" s="16"/>
      <c r="AL697" s="16"/>
      <c r="AM697" s="16"/>
      <c r="AN697" s="16"/>
      <c r="AO697" s="16"/>
      <c r="AP697" s="18" t="s">
        <v>58</v>
      </c>
      <c r="AQ697" s="16"/>
    </row>
    <row r="698" ht="15.75" hidden="1" customHeight="1">
      <c r="A698" s="10" t="s">
        <v>3374</v>
      </c>
      <c r="B698" s="10" t="s">
        <v>3375</v>
      </c>
      <c r="C698" s="10" t="str">
        <f>VLOOKUP(A698,import!A:C,3,0)</f>
        <v>DOĞRU</v>
      </c>
      <c r="D698" s="10" t="s">
        <v>70</v>
      </c>
      <c r="E698" s="10">
        <f>VLOOKUP(A698,import!A:J,5,0)</f>
        <v>786</v>
      </c>
      <c r="F698" s="10">
        <f>VLOOKUP(A698,import!A:J,6,0)</f>
        <v>29</v>
      </c>
      <c r="G698" s="10">
        <f>VLOOKUP(A698,import!A:J,7,0)</f>
        <v>0</v>
      </c>
      <c r="H698" s="10">
        <f>VLOOKUP(A698,import!A:J,8,0)</f>
        <v>19</v>
      </c>
      <c r="I698" s="10">
        <f>VLOOKUP(A698,import!A:J,9,0)</f>
        <v>19</v>
      </c>
      <c r="J698" s="11">
        <f>VLOOKUP(A698,import!A:J,10,0)</f>
        <v>0</v>
      </c>
      <c r="K698" s="10" t="s">
        <v>3376</v>
      </c>
      <c r="L698" s="10">
        <v>5.378548006E9</v>
      </c>
      <c r="M698" s="10" t="s">
        <v>47</v>
      </c>
      <c r="N698" s="10" t="s">
        <v>48</v>
      </c>
      <c r="O698" s="10" t="s">
        <v>3377</v>
      </c>
      <c r="P698" s="10" t="str">
        <f>VLOOKUP(A698,import!A:P,16,0)</f>
        <v>Geleneksel</v>
      </c>
      <c r="Q698" s="12"/>
      <c r="R698" s="12" t="b">
        <v>0</v>
      </c>
      <c r="S698" s="12" t="b">
        <v>0</v>
      </c>
      <c r="T698" s="13" t="s">
        <v>485</v>
      </c>
      <c r="U698" s="13"/>
      <c r="V698" s="13"/>
      <c r="W698" s="13"/>
      <c r="X698" s="15"/>
      <c r="Y698" s="15"/>
      <c r="Z698" s="16"/>
      <c r="AA698" s="16"/>
      <c r="AB698" s="16"/>
      <c r="AC698" s="16"/>
      <c r="AD698" s="16"/>
      <c r="AE698" s="17"/>
      <c r="AF698" s="16"/>
      <c r="AG698" s="17"/>
      <c r="AH698" s="16"/>
      <c r="AI698" s="16"/>
      <c r="AJ698" s="16"/>
      <c r="AK698" s="16"/>
      <c r="AL698" s="16"/>
      <c r="AM698" s="16"/>
      <c r="AN698" s="16"/>
      <c r="AO698" s="16"/>
      <c r="AP698" s="18"/>
      <c r="AQ698" s="16"/>
    </row>
    <row r="699" ht="15.75" hidden="1" customHeight="1">
      <c r="A699" s="10" t="s">
        <v>3378</v>
      </c>
      <c r="B699" s="10" t="s">
        <v>3379</v>
      </c>
      <c r="C699" s="10" t="str">
        <f>VLOOKUP(A699,import!A:C,3,0)</f>
        <v>DOĞRU</v>
      </c>
      <c r="D699" s="10" t="s">
        <v>913</v>
      </c>
      <c r="E699" s="10">
        <f>VLOOKUP(A699,import!A:J,5,0)</f>
        <v>67</v>
      </c>
      <c r="F699" s="10">
        <f>VLOOKUP(A699,import!A:J,6,0)</f>
        <v>9</v>
      </c>
      <c r="G699" s="10">
        <f>VLOOKUP(A699,import!A:J,7,0)</f>
        <v>0</v>
      </c>
      <c r="H699" s="10">
        <f>VLOOKUP(A699,import!A:J,8,0)</f>
        <v>40</v>
      </c>
      <c r="I699" s="10">
        <f>VLOOKUP(A699,import!A:J,9,0)</f>
        <v>40</v>
      </c>
      <c r="J699" s="11">
        <f>VLOOKUP(A699,import!A:J,10,0)</f>
        <v>0</v>
      </c>
      <c r="K699" s="10" t="s">
        <v>3380</v>
      </c>
      <c r="L699" s="10">
        <v>5.334507848E9</v>
      </c>
      <c r="M699" s="10" t="s">
        <v>156</v>
      </c>
      <c r="N699" s="10" t="s">
        <v>283</v>
      </c>
      <c r="O699" s="10" t="s">
        <v>3381</v>
      </c>
      <c r="P699" s="10" t="str">
        <f>VLOOKUP(A699,import!A:P,16,0)</f>
        <v>Geleneksel</v>
      </c>
      <c r="Q699" s="12"/>
      <c r="R699" s="12" t="b">
        <v>0</v>
      </c>
      <c r="S699" s="12" t="b">
        <v>0</v>
      </c>
      <c r="T699" s="13"/>
      <c r="U699" s="13"/>
      <c r="V699" s="13"/>
      <c r="W699" s="13"/>
      <c r="X699" s="15"/>
      <c r="Y699" s="15"/>
      <c r="Z699" s="16"/>
      <c r="AA699" s="17"/>
      <c r="AB699" s="16"/>
      <c r="AC699" s="16"/>
      <c r="AD699" s="16"/>
      <c r="AE699" s="17"/>
      <c r="AF699" s="16"/>
      <c r="AG699" s="17"/>
      <c r="AH699" s="16"/>
      <c r="AI699" s="16"/>
      <c r="AJ699" s="16"/>
      <c r="AK699" s="17"/>
      <c r="AL699" s="16"/>
      <c r="AM699" s="16"/>
      <c r="AN699" s="16"/>
      <c r="AO699" s="16"/>
      <c r="AP699" s="18"/>
      <c r="AQ699" s="16"/>
    </row>
    <row r="700" ht="15.75" hidden="1" customHeight="1">
      <c r="A700" s="10" t="s">
        <v>3382</v>
      </c>
      <c r="B700" s="10" t="s">
        <v>3383</v>
      </c>
      <c r="C700" s="10" t="str">
        <f>VLOOKUP(A700,import!A:C,3,0)</f>
        <v>DOĞRU</v>
      </c>
      <c r="D700" s="10" t="s">
        <v>884</v>
      </c>
      <c r="E700" s="10">
        <f>VLOOKUP(A700,import!A:J,5,0)</f>
        <v>60</v>
      </c>
      <c r="F700" s="10">
        <f>VLOOKUP(A700,import!A:J,6,0)</f>
        <v>6</v>
      </c>
      <c r="G700" s="10">
        <f>VLOOKUP(A700,import!A:J,7,0)</f>
        <v>22</v>
      </c>
      <c r="H700" s="10">
        <f>VLOOKUP(A700,import!A:J,8,0)</f>
        <v>53</v>
      </c>
      <c r="I700" s="10">
        <f>VLOOKUP(A700,import!A:J,9,0)</f>
        <v>75</v>
      </c>
      <c r="J700" s="11">
        <f>VLOOKUP(A700,import!A:J,10,0)</f>
        <v>0.29</v>
      </c>
      <c r="K700" s="10" t="s">
        <v>3384</v>
      </c>
      <c r="L700" s="10">
        <v>3.249995066E9</v>
      </c>
      <c r="M700" s="10" t="s">
        <v>72</v>
      </c>
      <c r="N700" s="10" t="s">
        <v>120</v>
      </c>
      <c r="O700" s="10" t="s">
        <v>3385</v>
      </c>
      <c r="P700" s="10" t="str">
        <f>VLOOKUP(A700,import!A:P,16,0)</f>
        <v>Geleneksel</v>
      </c>
      <c r="Q700" s="12"/>
      <c r="R700" s="12" t="b">
        <v>1</v>
      </c>
      <c r="S700" s="12" t="b">
        <v>0</v>
      </c>
      <c r="T700" s="13" t="s">
        <v>51</v>
      </c>
      <c r="U700" s="13" t="s">
        <v>52</v>
      </c>
      <c r="V700" s="13" t="s">
        <v>53</v>
      </c>
      <c r="W700" s="13" t="s">
        <v>3386</v>
      </c>
      <c r="X700" s="15">
        <v>44336.0</v>
      </c>
      <c r="Y700" s="15">
        <v>44340.0</v>
      </c>
      <c r="Z700" s="16"/>
      <c r="AA700" s="16"/>
      <c r="AB700" s="16"/>
      <c r="AC700" s="16"/>
      <c r="AD700" s="16"/>
      <c r="AE700" s="17"/>
      <c r="AF700" s="16"/>
      <c r="AG700" s="17"/>
      <c r="AH700" s="16"/>
      <c r="AI700" s="16"/>
      <c r="AJ700" s="16"/>
      <c r="AK700" s="16"/>
      <c r="AL700" s="16"/>
      <c r="AM700" s="16"/>
      <c r="AN700" s="16"/>
      <c r="AO700" s="16"/>
      <c r="AP700" s="18" t="s">
        <v>58</v>
      </c>
      <c r="AQ700" s="16"/>
    </row>
    <row r="701" ht="15.75" customHeight="1">
      <c r="A701" s="10" t="s">
        <v>3387</v>
      </c>
      <c r="B701" s="10" t="s">
        <v>3388</v>
      </c>
      <c r="C701" s="10" t="str">
        <f>VLOOKUP(A701,import!A:C,3,0)</f>
        <v>DOĞRU</v>
      </c>
      <c r="D701" s="10" t="s">
        <v>363</v>
      </c>
      <c r="E701" s="10">
        <f>VLOOKUP(A701,import!A:J,5,0)</f>
        <v>2020</v>
      </c>
      <c r="F701" s="10">
        <f>VLOOKUP(A701,import!A:J,6,0)</f>
        <v>119</v>
      </c>
      <c r="G701" s="10">
        <f>VLOOKUP(A701,import!A:J,7,0)</f>
        <v>50</v>
      </c>
      <c r="H701" s="10">
        <f>VLOOKUP(A701,import!A:J,8,0)</f>
        <v>24</v>
      </c>
      <c r="I701" s="10">
        <f>VLOOKUP(A701,import!A:J,9,0)</f>
        <v>74</v>
      </c>
      <c r="J701" s="11">
        <f>VLOOKUP(A701,import!A:J,10,0)</f>
        <v>0.68</v>
      </c>
      <c r="K701" s="10" t="s">
        <v>3389</v>
      </c>
      <c r="L701" s="10">
        <v>3.249990809E9</v>
      </c>
      <c r="M701" s="10" t="s">
        <v>63</v>
      </c>
      <c r="N701" s="10" t="s">
        <v>93</v>
      </c>
      <c r="O701" s="10" t="s">
        <v>3390</v>
      </c>
      <c r="P701" s="10" t="str">
        <f>VLOOKUP(A701,import!A:P,16,0)</f>
        <v>Geleneksel</v>
      </c>
      <c r="Q701" s="12"/>
      <c r="R701" s="12" t="b">
        <v>1</v>
      </c>
      <c r="S701" s="12" t="b">
        <v>0</v>
      </c>
      <c r="T701" s="13" t="s">
        <v>51</v>
      </c>
      <c r="U701" s="13" t="s">
        <v>89</v>
      </c>
      <c r="V701" s="17" t="s">
        <v>131</v>
      </c>
      <c r="W701" s="13" t="s">
        <v>3391</v>
      </c>
      <c r="X701" s="15">
        <v>44649.0</v>
      </c>
      <c r="Y701" s="15">
        <v>44650.0</v>
      </c>
      <c r="Z701" s="16"/>
      <c r="AA701" s="17" t="s">
        <v>56</v>
      </c>
      <c r="AB701" s="16">
        <v>44418.0</v>
      </c>
      <c r="AC701" s="17" t="s">
        <v>56</v>
      </c>
      <c r="AD701" s="16">
        <v>44446.0</v>
      </c>
      <c r="AE701" s="17" t="s">
        <v>56</v>
      </c>
      <c r="AF701" s="16">
        <v>44552.0</v>
      </c>
      <c r="AG701" s="17" t="s">
        <v>56</v>
      </c>
      <c r="AH701" s="16">
        <v>44649.0</v>
      </c>
      <c r="AI701" s="17" t="s">
        <v>56</v>
      </c>
      <c r="AJ701" s="16">
        <v>44660.0</v>
      </c>
      <c r="AK701" s="17" t="s">
        <v>95</v>
      </c>
      <c r="AL701" s="17" t="s">
        <v>367</v>
      </c>
      <c r="AM701" s="17" t="s">
        <v>321</v>
      </c>
      <c r="AN701" s="17" t="s">
        <v>89</v>
      </c>
      <c r="AO701" s="17" t="s">
        <v>133</v>
      </c>
      <c r="AP701" s="18" t="s">
        <v>58</v>
      </c>
      <c r="AQ701" s="16"/>
    </row>
    <row r="702" ht="15.75" hidden="1" customHeight="1">
      <c r="A702" s="18" t="s">
        <v>3392</v>
      </c>
      <c r="B702" s="18" t="s">
        <v>3393</v>
      </c>
      <c r="C702" s="10" t="str">
        <f>VLOOKUP(A702,import!A:C,3,0)</f>
        <v>DOĞRU</v>
      </c>
      <c r="D702" s="18" t="s">
        <v>167</v>
      </c>
      <c r="E702" s="10" t="str">
        <f>VLOOKUP(A702,import!A:J,5,0)</f>
        <v/>
      </c>
      <c r="F702" s="10" t="str">
        <f>VLOOKUP(A702,import!A:J,6,0)</f>
        <v/>
      </c>
      <c r="G702" s="10">
        <f>VLOOKUP(A702,import!A:J,7,0)</f>
        <v>0</v>
      </c>
      <c r="H702" s="10">
        <f>VLOOKUP(A702,import!A:J,8,0)</f>
        <v>7</v>
      </c>
      <c r="I702" s="10">
        <f>VLOOKUP(A702,import!A:J,9,0)</f>
        <v>7</v>
      </c>
      <c r="J702" s="11">
        <f>VLOOKUP(A702,import!A:J,10,0)</f>
        <v>0</v>
      </c>
      <c r="K702" s="18" t="s">
        <v>3394</v>
      </c>
      <c r="L702" s="18">
        <v>5.5588333E9</v>
      </c>
      <c r="M702" s="18" t="s">
        <v>156</v>
      </c>
      <c r="N702" s="18" t="s">
        <v>3395</v>
      </c>
      <c r="O702" s="18" t="s">
        <v>3396</v>
      </c>
      <c r="P702" s="10" t="str">
        <f>VLOOKUP(A702,import!A:P,16,0)</f>
        <v>Geleneksel</v>
      </c>
      <c r="Q702" s="12"/>
      <c r="R702" s="12" t="b">
        <v>0</v>
      </c>
      <c r="S702" s="12" t="b">
        <v>0</v>
      </c>
      <c r="T702" s="13"/>
      <c r="U702" s="13"/>
      <c r="V702" s="13"/>
      <c r="W702" s="13"/>
      <c r="X702" s="15"/>
      <c r="Y702" s="15"/>
      <c r="Z702" s="16"/>
      <c r="AA702" s="17"/>
      <c r="AB702" s="16"/>
      <c r="AC702" s="16"/>
      <c r="AD702" s="16"/>
      <c r="AE702" s="17"/>
      <c r="AF702" s="16"/>
      <c r="AG702" s="17"/>
      <c r="AH702" s="16"/>
      <c r="AI702" s="16"/>
      <c r="AJ702" s="16"/>
      <c r="AK702" s="17"/>
      <c r="AL702" s="16"/>
      <c r="AM702" s="16"/>
      <c r="AN702" s="16"/>
      <c r="AO702" s="16"/>
      <c r="AP702" s="18"/>
      <c r="AQ702" s="16"/>
    </row>
    <row r="703" ht="15.75" hidden="1" customHeight="1">
      <c r="A703" s="18" t="s">
        <v>3397</v>
      </c>
      <c r="B703" s="18" t="s">
        <v>3398</v>
      </c>
      <c r="C703" s="10" t="str">
        <f>VLOOKUP(A703,import!A:C,3,0)</f>
        <v>DOĞRU</v>
      </c>
      <c r="D703" s="18" t="s">
        <v>167</v>
      </c>
      <c r="E703" s="10">
        <f>VLOOKUP(A703,import!A:J,5,0)</f>
        <v>2</v>
      </c>
      <c r="F703" s="10">
        <f>VLOOKUP(A703,import!A:J,6,0)</f>
        <v>2</v>
      </c>
      <c r="G703" s="10">
        <f>VLOOKUP(A703,import!A:J,7,0)</f>
        <v>0</v>
      </c>
      <c r="H703" s="10">
        <f>VLOOKUP(A703,import!A:J,8,0)</f>
        <v>6</v>
      </c>
      <c r="I703" s="10">
        <f>VLOOKUP(A703,import!A:J,9,0)</f>
        <v>6</v>
      </c>
      <c r="J703" s="11">
        <f>VLOOKUP(A703,import!A:J,10,0)</f>
        <v>0</v>
      </c>
      <c r="K703" s="18" t="s">
        <v>3399</v>
      </c>
      <c r="L703" s="18">
        <v>5.446332727E9</v>
      </c>
      <c r="M703" s="18" t="s">
        <v>215</v>
      </c>
      <c r="N703" s="18" t="s">
        <v>1190</v>
      </c>
      <c r="O703" s="18" t="s">
        <v>3400</v>
      </c>
      <c r="P703" s="10" t="str">
        <f>VLOOKUP(A703,import!A:P,16,0)</f>
        <v>Geleneksel</v>
      </c>
      <c r="Q703" s="12"/>
      <c r="R703" s="12" t="b">
        <v>0</v>
      </c>
      <c r="S703" s="12" t="b">
        <v>0</v>
      </c>
      <c r="T703" s="13"/>
      <c r="U703" s="13"/>
      <c r="V703" s="13"/>
      <c r="W703" s="13"/>
      <c r="X703" s="15"/>
      <c r="Y703" s="15"/>
      <c r="Z703" s="16"/>
      <c r="AA703" s="17"/>
      <c r="AB703" s="16"/>
      <c r="AC703" s="16"/>
      <c r="AD703" s="16"/>
      <c r="AE703" s="17"/>
      <c r="AF703" s="16"/>
      <c r="AG703" s="17"/>
      <c r="AH703" s="16"/>
      <c r="AI703" s="16"/>
      <c r="AJ703" s="16"/>
      <c r="AK703" s="17"/>
      <c r="AL703" s="16"/>
      <c r="AM703" s="16"/>
      <c r="AN703" s="16"/>
      <c r="AO703" s="16"/>
      <c r="AP703" s="18"/>
      <c r="AQ703" s="16"/>
    </row>
    <row r="704" ht="15.75" hidden="1" customHeight="1">
      <c r="A704" s="10" t="s">
        <v>3401</v>
      </c>
      <c r="B704" s="10" t="s">
        <v>3402</v>
      </c>
      <c r="C704" s="10" t="str">
        <f>VLOOKUP(A704,import!A:C,3,0)</f>
        <v>DOĞRU</v>
      </c>
      <c r="D704" s="10" t="s">
        <v>1992</v>
      </c>
      <c r="E704" s="10">
        <f>VLOOKUP(A704,import!A:J,5,0)</f>
        <v>2329</v>
      </c>
      <c r="F704" s="10">
        <f>VLOOKUP(A704,import!A:J,6,0)</f>
        <v>165</v>
      </c>
      <c r="G704" s="10">
        <f>VLOOKUP(A704,import!A:J,7,0)</f>
        <v>0</v>
      </c>
      <c r="H704" s="10">
        <f>VLOOKUP(A704,import!A:J,8,0)</f>
        <v>41</v>
      </c>
      <c r="I704" s="10">
        <f>VLOOKUP(A704,import!A:J,9,0)</f>
        <v>41</v>
      </c>
      <c r="J704" s="11">
        <f>VLOOKUP(A704,import!A:J,10,0)</f>
        <v>0</v>
      </c>
      <c r="K704" s="10" t="s">
        <v>3403</v>
      </c>
      <c r="L704" s="10">
        <v>5.336136287E9</v>
      </c>
      <c r="M704" s="10" t="s">
        <v>156</v>
      </c>
      <c r="N704" s="10" t="s">
        <v>1483</v>
      </c>
      <c r="O704" s="10" t="s">
        <v>3404</v>
      </c>
      <c r="P704" s="10" t="str">
        <f>VLOOKUP(A704,import!A:P,16,0)</f>
        <v>Geleneksel</v>
      </c>
      <c r="Q704" s="12" t="s">
        <v>146</v>
      </c>
      <c r="R704" s="12" t="b">
        <v>1</v>
      </c>
      <c r="S704" s="12" t="b">
        <v>1</v>
      </c>
      <c r="T704" s="13"/>
      <c r="U704" s="13"/>
      <c r="V704" s="13"/>
      <c r="W704" s="13" t="s">
        <v>3405</v>
      </c>
      <c r="X704" s="15"/>
      <c r="Y704" s="15"/>
      <c r="Z704" s="16"/>
      <c r="AA704" s="17" t="s">
        <v>56</v>
      </c>
      <c r="AB704" s="16">
        <v>44512.0</v>
      </c>
      <c r="AC704" s="16"/>
      <c r="AD704" s="16"/>
      <c r="AE704" s="17"/>
      <c r="AF704" s="16"/>
      <c r="AG704" s="17"/>
      <c r="AH704" s="16"/>
      <c r="AI704" s="16"/>
      <c r="AJ704" s="16"/>
      <c r="AK704" s="17" t="s">
        <v>89</v>
      </c>
      <c r="AL704" s="16"/>
      <c r="AM704" s="16"/>
      <c r="AN704" s="16"/>
      <c r="AO704" s="16"/>
      <c r="AP704" s="18" t="s">
        <v>58</v>
      </c>
      <c r="AQ704" s="16"/>
    </row>
    <row r="705" ht="15.75" hidden="1" customHeight="1">
      <c r="A705" s="10" t="s">
        <v>3406</v>
      </c>
      <c r="B705" s="10" t="s">
        <v>3407</v>
      </c>
      <c r="C705" s="10" t="str">
        <f>VLOOKUP(A705,import!A:C,3,0)</f>
        <v>DOĞRU</v>
      </c>
      <c r="D705" s="10" t="s">
        <v>363</v>
      </c>
      <c r="E705" s="10">
        <f>VLOOKUP(A705,import!A:J,5,0)</f>
        <v>1024</v>
      </c>
      <c r="F705" s="10" t="str">
        <f>VLOOKUP(A705,import!A:J,6,0)</f>
        <v/>
      </c>
      <c r="G705" s="10">
        <f>VLOOKUP(A705,import!A:J,7,0)</f>
        <v>66</v>
      </c>
      <c r="H705" s="10">
        <f>VLOOKUP(A705,import!A:J,8,0)</f>
        <v>16</v>
      </c>
      <c r="I705" s="10">
        <f>VLOOKUP(A705,import!A:J,9,0)</f>
        <v>82</v>
      </c>
      <c r="J705" s="11">
        <f>VLOOKUP(A705,import!A:J,10,0)</f>
        <v>0.8</v>
      </c>
      <c r="K705" s="10" t="s">
        <v>3408</v>
      </c>
      <c r="L705" s="10">
        <v>5.395102033E9</v>
      </c>
      <c r="M705" s="10" t="s">
        <v>215</v>
      </c>
      <c r="N705" s="10" t="s">
        <v>779</v>
      </c>
      <c r="O705" s="10" t="s">
        <v>3409</v>
      </c>
      <c r="P705" s="10" t="str">
        <f>VLOOKUP(A705,import!A:P,16,0)</f>
        <v>Geleneksel</v>
      </c>
      <c r="Q705" s="12"/>
      <c r="R705" s="12" t="b">
        <v>1</v>
      </c>
      <c r="S705" s="12" t="b">
        <v>0</v>
      </c>
      <c r="T705" s="13" t="s">
        <v>51</v>
      </c>
      <c r="U705" s="13" t="s">
        <v>103</v>
      </c>
      <c r="V705" s="13" t="s">
        <v>53</v>
      </c>
      <c r="W705" s="13" t="s">
        <v>1965</v>
      </c>
      <c r="X705" s="15">
        <v>44550.0</v>
      </c>
      <c r="Y705" s="15">
        <v>44551.0</v>
      </c>
      <c r="Z705" s="16"/>
      <c r="AA705" s="17" t="s">
        <v>55</v>
      </c>
      <c r="AB705" s="16">
        <v>44348.0</v>
      </c>
      <c r="AC705" s="17" t="s">
        <v>230</v>
      </c>
      <c r="AD705" s="16">
        <v>44363.0</v>
      </c>
      <c r="AE705" s="17" t="s">
        <v>56</v>
      </c>
      <c r="AF705" s="16">
        <v>44384.0</v>
      </c>
      <c r="AG705" s="17" t="s">
        <v>230</v>
      </c>
      <c r="AH705" s="16">
        <v>44393.0</v>
      </c>
      <c r="AI705" s="17" t="s">
        <v>56</v>
      </c>
      <c r="AJ705" s="16">
        <v>44550.0</v>
      </c>
      <c r="AK705" s="16"/>
      <c r="AL705" s="17" t="s">
        <v>360</v>
      </c>
      <c r="AM705" s="17" t="s">
        <v>1465</v>
      </c>
      <c r="AN705" s="17" t="s">
        <v>52</v>
      </c>
      <c r="AO705" s="17" t="s">
        <v>103</v>
      </c>
      <c r="AP705" s="18" t="s">
        <v>58</v>
      </c>
      <c r="AQ705" s="17"/>
    </row>
    <row r="706" ht="15.75" hidden="1" customHeight="1">
      <c r="A706" s="10" t="s">
        <v>3410</v>
      </c>
      <c r="B706" s="10" t="s">
        <v>3411</v>
      </c>
      <c r="C706" s="10" t="str">
        <f>VLOOKUP(A706,import!A:C,3,0)</f>
        <v>DOĞRU</v>
      </c>
      <c r="D706" s="10" t="s">
        <v>80</v>
      </c>
      <c r="E706" s="10">
        <f>VLOOKUP(A706,import!A:J,5,0)</f>
        <v>87</v>
      </c>
      <c r="F706" s="10">
        <f>VLOOKUP(A706,import!A:J,6,0)</f>
        <v>12</v>
      </c>
      <c r="G706" s="10">
        <f>VLOOKUP(A706,import!A:J,7,0)</f>
        <v>0</v>
      </c>
      <c r="H706" s="10">
        <f>VLOOKUP(A706,import!A:J,8,0)</f>
        <v>7</v>
      </c>
      <c r="I706" s="10">
        <f>VLOOKUP(A706,import!A:J,9,0)</f>
        <v>7</v>
      </c>
      <c r="J706" s="11">
        <f>VLOOKUP(A706,import!A:J,10,0)</f>
        <v>0</v>
      </c>
      <c r="K706" s="10" t="s">
        <v>3412</v>
      </c>
      <c r="L706" s="10">
        <v>5.436333233E9</v>
      </c>
      <c r="M706" s="10" t="s">
        <v>215</v>
      </c>
      <c r="N706" s="10" t="s">
        <v>2006</v>
      </c>
      <c r="O706" s="10" t="s">
        <v>3413</v>
      </c>
      <c r="P706" s="10" t="str">
        <f>VLOOKUP(A706,import!A:P,16,0)</f>
        <v>Geleneksel</v>
      </c>
      <c r="Q706" s="12"/>
      <c r="R706" s="12" t="b">
        <v>1</v>
      </c>
      <c r="S706" s="12" t="b">
        <v>0</v>
      </c>
      <c r="T706" s="13"/>
      <c r="U706" s="13"/>
      <c r="V706" s="13"/>
      <c r="W706" s="13"/>
      <c r="X706" s="15"/>
      <c r="Y706" s="15"/>
      <c r="Z706" s="16"/>
      <c r="AA706" s="17" t="s">
        <v>55</v>
      </c>
      <c r="AB706" s="16">
        <v>44656.0</v>
      </c>
      <c r="AC706" s="16"/>
      <c r="AD706" s="16"/>
      <c r="AE706" s="17"/>
      <c r="AF706" s="16"/>
      <c r="AG706" s="17"/>
      <c r="AH706" s="16"/>
      <c r="AI706" s="16"/>
      <c r="AJ706" s="16"/>
      <c r="AK706" s="17" t="s">
        <v>103</v>
      </c>
      <c r="AL706" s="16"/>
      <c r="AM706" s="16"/>
      <c r="AN706" s="16"/>
      <c r="AO706" s="16"/>
      <c r="AP706" s="18"/>
      <c r="AQ706" s="16"/>
    </row>
    <row r="707" ht="15.75" hidden="1" customHeight="1">
      <c r="A707" s="10" t="s">
        <v>3414</v>
      </c>
      <c r="B707" s="10" t="s">
        <v>3415</v>
      </c>
      <c r="C707" s="10" t="str">
        <f>VLOOKUP(A707,import!A:C,3,0)</f>
        <v>DOĞRU</v>
      </c>
      <c r="D707" s="10" t="s">
        <v>372</v>
      </c>
      <c r="E707" s="10">
        <f>VLOOKUP(A707,import!A:J,5,0)</f>
        <v>948</v>
      </c>
      <c r="F707" s="10">
        <f>VLOOKUP(A707,import!A:J,6,0)</f>
        <v>38</v>
      </c>
      <c r="G707" s="10">
        <f>VLOOKUP(A707,import!A:J,7,0)</f>
        <v>3</v>
      </c>
      <c r="H707" s="10">
        <f>VLOOKUP(A707,import!A:J,8,0)</f>
        <v>32</v>
      </c>
      <c r="I707" s="10">
        <f>VLOOKUP(A707,import!A:J,9,0)</f>
        <v>35</v>
      </c>
      <c r="J707" s="11">
        <f>VLOOKUP(A707,import!A:J,10,0)</f>
        <v>0.09</v>
      </c>
      <c r="K707" s="10" t="s">
        <v>3416</v>
      </c>
      <c r="L707" s="10">
        <v>3.245443303E9</v>
      </c>
      <c r="M707" s="10" t="s">
        <v>47</v>
      </c>
      <c r="N707" s="10" t="s">
        <v>684</v>
      </c>
      <c r="O707" s="10" t="s">
        <v>3417</v>
      </c>
      <c r="P707" s="10" t="str">
        <f>VLOOKUP(A707,import!A:P,16,0)</f>
        <v>Geleneksel</v>
      </c>
      <c r="Q707" s="12" t="s">
        <v>84</v>
      </c>
      <c r="R707" s="12" t="b">
        <v>1</v>
      </c>
      <c r="S707" s="12" t="b">
        <v>0</v>
      </c>
      <c r="T707" s="13" t="s">
        <v>51</v>
      </c>
      <c r="U707" s="13" t="s">
        <v>89</v>
      </c>
      <c r="V707" s="13" t="s">
        <v>53</v>
      </c>
      <c r="W707" s="13" t="s">
        <v>3418</v>
      </c>
      <c r="X707" s="15">
        <v>44504.0</v>
      </c>
      <c r="Y707" s="15">
        <v>44510.0</v>
      </c>
      <c r="Z707" s="16"/>
      <c r="AA707" s="17" t="s">
        <v>55</v>
      </c>
      <c r="AB707" s="16">
        <v>44456.0</v>
      </c>
      <c r="AC707" s="17" t="s">
        <v>56</v>
      </c>
      <c r="AD707" s="16">
        <v>44504.0</v>
      </c>
      <c r="AE707" s="17" t="s">
        <v>55</v>
      </c>
      <c r="AF707" s="16">
        <v>44533.0</v>
      </c>
      <c r="AG707" s="17" t="s">
        <v>56</v>
      </c>
      <c r="AH707" s="16"/>
      <c r="AI707" s="16"/>
      <c r="AJ707" s="16"/>
      <c r="AK707" s="17" t="s">
        <v>171</v>
      </c>
      <c r="AL707" s="17" t="s">
        <v>89</v>
      </c>
      <c r="AM707" s="17" t="s">
        <v>108</v>
      </c>
      <c r="AN707" s="16"/>
      <c r="AO707" s="16"/>
      <c r="AP707" s="18" t="s">
        <v>58</v>
      </c>
      <c r="AQ707" s="16"/>
    </row>
    <row r="708" ht="15.75" hidden="1" customHeight="1">
      <c r="A708" s="10" t="s">
        <v>3419</v>
      </c>
      <c r="B708" s="10" t="s">
        <v>3420</v>
      </c>
      <c r="C708" s="10" t="str">
        <f>VLOOKUP(A708,import!A:C,3,0)</f>
        <v>DOĞRU</v>
      </c>
      <c r="D708" s="10" t="s">
        <v>118</v>
      </c>
      <c r="E708" s="10">
        <f>VLOOKUP(A708,import!A:J,5,0)</f>
        <v>31</v>
      </c>
      <c r="F708" s="10" t="str">
        <f>VLOOKUP(A708,import!A:J,6,0)</f>
        <v/>
      </c>
      <c r="G708" s="10">
        <f>VLOOKUP(A708,import!A:J,7,0)</f>
        <v>0</v>
      </c>
      <c r="H708" s="10">
        <f>VLOOKUP(A708,import!A:J,8,0)</f>
        <v>10</v>
      </c>
      <c r="I708" s="10">
        <f>VLOOKUP(A708,import!A:J,9,0)</f>
        <v>10</v>
      </c>
      <c r="J708" s="11">
        <f>VLOOKUP(A708,import!A:J,10,0)</f>
        <v>0</v>
      </c>
      <c r="K708" s="10" t="s">
        <v>3421</v>
      </c>
      <c r="L708" s="10">
        <v>5.376689496E9</v>
      </c>
      <c r="M708" s="10" t="s">
        <v>156</v>
      </c>
      <c r="N708" s="10" t="s">
        <v>234</v>
      </c>
      <c r="O708" s="10" t="s">
        <v>3422</v>
      </c>
      <c r="P708" s="10" t="str">
        <f>VLOOKUP(A708,import!A:P,16,0)</f>
        <v>Geleneksel</v>
      </c>
      <c r="Q708" s="12"/>
      <c r="R708" s="12" t="b">
        <v>0</v>
      </c>
      <c r="S708" s="12" t="b">
        <v>0</v>
      </c>
      <c r="T708" s="13"/>
      <c r="U708" s="13"/>
      <c r="V708" s="13"/>
      <c r="W708" s="13"/>
      <c r="X708" s="15"/>
      <c r="Y708" s="15"/>
      <c r="Z708" s="16"/>
      <c r="AA708" s="16"/>
      <c r="AB708" s="16"/>
      <c r="AC708" s="16"/>
      <c r="AD708" s="16"/>
      <c r="AE708" s="17"/>
      <c r="AF708" s="16"/>
      <c r="AG708" s="17"/>
      <c r="AH708" s="16"/>
      <c r="AI708" s="16"/>
      <c r="AJ708" s="16"/>
      <c r="AK708" s="16"/>
      <c r="AL708" s="16"/>
      <c r="AM708" s="16"/>
      <c r="AN708" s="16"/>
      <c r="AO708" s="16"/>
      <c r="AP708" s="18" t="s">
        <v>58</v>
      </c>
      <c r="AQ708" s="16"/>
    </row>
    <row r="709" ht="15.75" hidden="1" customHeight="1">
      <c r="A709" s="10" t="s">
        <v>3423</v>
      </c>
      <c r="B709" s="10" t="s">
        <v>3424</v>
      </c>
      <c r="C709" s="10" t="str">
        <f>VLOOKUP(A709,import!A:C,3,0)</f>
        <v>DOĞRU</v>
      </c>
      <c r="D709" s="10" t="s">
        <v>80</v>
      </c>
      <c r="E709" s="10">
        <f>VLOOKUP(A709,import!A:J,5,0)</f>
        <v>1566</v>
      </c>
      <c r="F709" s="10">
        <f>VLOOKUP(A709,import!A:J,6,0)</f>
        <v>97</v>
      </c>
      <c r="G709" s="10">
        <f>VLOOKUP(A709,import!A:J,7,0)</f>
        <v>9</v>
      </c>
      <c r="H709" s="10">
        <f>VLOOKUP(A709,import!A:J,8,0)</f>
        <v>15</v>
      </c>
      <c r="I709" s="10">
        <f>VLOOKUP(A709,import!A:J,9,0)</f>
        <v>24</v>
      </c>
      <c r="J709" s="11">
        <f>VLOOKUP(A709,import!A:J,10,0)</f>
        <v>0.38</v>
      </c>
      <c r="K709" s="10" t="s">
        <v>953</v>
      </c>
      <c r="L709" s="10">
        <v>5.071651406E9</v>
      </c>
      <c r="M709" s="10" t="s">
        <v>215</v>
      </c>
      <c r="N709" s="10" t="s">
        <v>745</v>
      </c>
      <c r="O709" s="10" t="s">
        <v>3425</v>
      </c>
      <c r="P709" s="10" t="str">
        <f>VLOOKUP(A709,import!A:P,16,0)</f>
        <v>Geleneksel</v>
      </c>
      <c r="Q709" s="12" t="s">
        <v>50</v>
      </c>
      <c r="R709" s="12" t="b">
        <v>1</v>
      </c>
      <c r="S709" s="12" t="b">
        <v>0</v>
      </c>
      <c r="T709" s="13" t="s">
        <v>51</v>
      </c>
      <c r="U709" s="13" t="s">
        <v>163</v>
      </c>
      <c r="V709" s="13" t="s">
        <v>53</v>
      </c>
      <c r="W709" s="13" t="s">
        <v>3426</v>
      </c>
      <c r="X709" s="15">
        <v>44362.0</v>
      </c>
      <c r="Y709" s="15">
        <v>44365.0</v>
      </c>
      <c r="Z709" s="16"/>
      <c r="AA709" s="17" t="s">
        <v>56</v>
      </c>
      <c r="AB709" s="16">
        <v>44362.0</v>
      </c>
      <c r="AC709" s="16"/>
      <c r="AD709" s="16"/>
      <c r="AE709" s="17"/>
      <c r="AF709" s="16"/>
      <c r="AG709" s="17"/>
      <c r="AH709" s="16"/>
      <c r="AI709" s="16"/>
      <c r="AJ709" s="16"/>
      <c r="AK709" s="16"/>
      <c r="AL709" s="16"/>
      <c r="AM709" s="16"/>
      <c r="AN709" s="16"/>
      <c r="AO709" s="16"/>
      <c r="AP709" s="18" t="s">
        <v>58</v>
      </c>
      <c r="AQ709" s="16"/>
    </row>
    <row r="710" ht="15.75" hidden="1" customHeight="1">
      <c r="A710" s="18" t="s">
        <v>3427</v>
      </c>
      <c r="B710" s="18" t="s">
        <v>3428</v>
      </c>
      <c r="C710" s="10" t="str">
        <f>VLOOKUP(A710,import!A:C,3,0)</f>
        <v>DOĞRU</v>
      </c>
      <c r="D710" s="18" t="s">
        <v>80</v>
      </c>
      <c r="E710" s="10">
        <f>VLOOKUP(A710,import!A:J,5,0)</f>
        <v>89</v>
      </c>
      <c r="F710" s="10">
        <f>VLOOKUP(A710,import!A:J,6,0)</f>
        <v>89</v>
      </c>
      <c r="G710" s="10">
        <f>VLOOKUP(A710,import!A:J,7,0)</f>
        <v>0</v>
      </c>
      <c r="H710" s="10">
        <f>VLOOKUP(A710,import!A:J,8,0)</f>
        <v>12</v>
      </c>
      <c r="I710" s="10">
        <f>VLOOKUP(A710,import!A:J,9,0)</f>
        <v>12</v>
      </c>
      <c r="J710" s="11">
        <f>VLOOKUP(A710,import!A:J,10,0)</f>
        <v>0</v>
      </c>
      <c r="K710" s="18" t="s">
        <v>3429</v>
      </c>
      <c r="L710" s="18">
        <v>5.332768433E9</v>
      </c>
      <c r="M710" s="18" t="s">
        <v>215</v>
      </c>
      <c r="N710" s="18" t="s">
        <v>671</v>
      </c>
      <c r="O710" s="18" t="s">
        <v>3430</v>
      </c>
      <c r="P710" s="10" t="str">
        <f>VLOOKUP(A710,import!A:P,16,0)</f>
        <v>Geleneksel</v>
      </c>
      <c r="Q710" s="12"/>
      <c r="R710" s="12" t="b">
        <v>1</v>
      </c>
      <c r="S710" s="12" t="b">
        <v>0</v>
      </c>
      <c r="T710" s="13"/>
      <c r="U710" s="13"/>
      <c r="V710" s="19"/>
      <c r="W710" s="13" t="s">
        <v>3431</v>
      </c>
      <c r="X710" s="15"/>
      <c r="Y710" s="15"/>
      <c r="Z710" s="16"/>
      <c r="AA710" s="17" t="s">
        <v>230</v>
      </c>
      <c r="AB710" s="16">
        <v>44671.0</v>
      </c>
      <c r="AC710" s="16"/>
      <c r="AD710" s="16"/>
      <c r="AE710" s="17"/>
      <c r="AF710" s="16"/>
      <c r="AG710" s="17"/>
      <c r="AH710" s="16"/>
      <c r="AI710" s="16"/>
      <c r="AJ710" s="16"/>
      <c r="AK710" s="17" t="s">
        <v>87</v>
      </c>
      <c r="AL710" s="16"/>
      <c r="AM710" s="16"/>
      <c r="AN710" s="16"/>
      <c r="AO710" s="16"/>
      <c r="AP710" s="18"/>
      <c r="AQ710" s="16"/>
    </row>
    <row r="711" ht="15.75" hidden="1" customHeight="1">
      <c r="A711" s="10" t="s">
        <v>3432</v>
      </c>
      <c r="B711" s="10" t="s">
        <v>3433</v>
      </c>
      <c r="C711" s="10" t="str">
        <f>VLOOKUP(A711,import!A:C,3,0)</f>
        <v>DOĞRU</v>
      </c>
      <c r="D711" s="10" t="s">
        <v>80</v>
      </c>
      <c r="E711" s="10">
        <f>VLOOKUP(A711,import!A:J,5,0)</f>
        <v>1038</v>
      </c>
      <c r="F711" s="10">
        <f>VLOOKUP(A711,import!A:J,6,0)</f>
        <v>191</v>
      </c>
      <c r="G711" s="10">
        <f>VLOOKUP(A711,import!A:J,7,0)</f>
        <v>8</v>
      </c>
      <c r="H711" s="10">
        <f>VLOOKUP(A711,import!A:J,8,0)</f>
        <v>0</v>
      </c>
      <c r="I711" s="10">
        <f>VLOOKUP(A711,import!A:J,9,0)</f>
        <v>8</v>
      </c>
      <c r="J711" s="11">
        <f>VLOOKUP(A711,import!A:J,10,0)</f>
        <v>1</v>
      </c>
      <c r="K711" s="10" t="s">
        <v>3429</v>
      </c>
      <c r="L711" s="10">
        <v>5.382509804E9</v>
      </c>
      <c r="M711" s="10" t="s">
        <v>72</v>
      </c>
      <c r="N711" s="10" t="s">
        <v>113</v>
      </c>
      <c r="O711" s="10" t="s">
        <v>3434</v>
      </c>
      <c r="P711" s="10" t="str">
        <f>VLOOKUP(A711,import!A:P,16,0)</f>
        <v>Geleneksel</v>
      </c>
      <c r="Q711" s="12"/>
      <c r="R711" s="12" t="b">
        <v>1</v>
      </c>
      <c r="S711" s="12" t="b">
        <v>0</v>
      </c>
      <c r="T711" s="13" t="s">
        <v>51</v>
      </c>
      <c r="U711" s="13" t="s">
        <v>103</v>
      </c>
      <c r="V711" s="13" t="s">
        <v>53</v>
      </c>
      <c r="W711" s="13"/>
      <c r="X711" s="15">
        <v>44454.0</v>
      </c>
      <c r="Y711" s="15">
        <v>44455.0</v>
      </c>
      <c r="Z711" s="16"/>
      <c r="AA711" s="17" t="s">
        <v>56</v>
      </c>
      <c r="AB711" s="16">
        <v>44454.0</v>
      </c>
      <c r="AC711" s="16"/>
      <c r="AD711" s="16"/>
      <c r="AE711" s="17"/>
      <c r="AF711" s="16"/>
      <c r="AG711" s="17"/>
      <c r="AH711" s="16"/>
      <c r="AI711" s="16"/>
      <c r="AJ711" s="16"/>
      <c r="AK711" s="17" t="s">
        <v>103</v>
      </c>
      <c r="AL711" s="16"/>
      <c r="AM711" s="16"/>
      <c r="AN711" s="16"/>
      <c r="AO711" s="16"/>
      <c r="AP711" s="18" t="s">
        <v>58</v>
      </c>
      <c r="AQ711" s="16"/>
    </row>
    <row r="712" ht="15.75" hidden="1" customHeight="1">
      <c r="A712" s="10" t="s">
        <v>3435</v>
      </c>
      <c r="B712" s="10" t="s">
        <v>3436</v>
      </c>
      <c r="C712" s="10" t="str">
        <f>VLOOKUP(A712,import!A:C,3,0)</f>
        <v>DOĞRU</v>
      </c>
      <c r="D712" s="10" t="s">
        <v>80</v>
      </c>
      <c r="E712" s="10">
        <f>VLOOKUP(A712,import!A:J,5,0)</f>
        <v>480</v>
      </c>
      <c r="F712" s="10">
        <f>VLOOKUP(A712,import!A:J,6,0)</f>
        <v>21</v>
      </c>
      <c r="G712" s="10">
        <f>VLOOKUP(A712,import!A:J,7,0)</f>
        <v>7</v>
      </c>
      <c r="H712" s="10">
        <f>VLOOKUP(A712,import!A:J,8,0)</f>
        <v>3</v>
      </c>
      <c r="I712" s="10">
        <f>VLOOKUP(A712,import!A:J,9,0)</f>
        <v>10</v>
      </c>
      <c r="J712" s="11">
        <f>VLOOKUP(A712,import!A:J,10,0)</f>
        <v>0.7</v>
      </c>
      <c r="K712" s="10" t="s">
        <v>953</v>
      </c>
      <c r="L712" s="10">
        <v>5.338183E9</v>
      </c>
      <c r="M712" s="10" t="s">
        <v>215</v>
      </c>
      <c r="N712" s="10" t="s">
        <v>648</v>
      </c>
      <c r="O712" s="10" t="s">
        <v>3437</v>
      </c>
      <c r="P712" s="10" t="str">
        <f>VLOOKUP(A712,import!A:P,16,0)</f>
        <v>Geleneksel</v>
      </c>
      <c r="Q712" s="12"/>
      <c r="R712" s="12" t="b">
        <v>1</v>
      </c>
      <c r="S712" s="12" t="b">
        <v>0</v>
      </c>
      <c r="T712" s="27" t="s">
        <v>140</v>
      </c>
      <c r="U712" s="13"/>
      <c r="V712" s="13"/>
      <c r="W712" s="13" t="s">
        <v>3438</v>
      </c>
      <c r="X712" s="15"/>
      <c r="Y712" s="15"/>
      <c r="Z712" s="16"/>
      <c r="AA712" s="16"/>
      <c r="AB712" s="16"/>
      <c r="AC712" s="16"/>
      <c r="AD712" s="16"/>
      <c r="AE712" s="17"/>
      <c r="AF712" s="16"/>
      <c r="AG712" s="17"/>
      <c r="AH712" s="16"/>
      <c r="AI712" s="16"/>
      <c r="AJ712" s="16"/>
      <c r="AK712" s="16"/>
      <c r="AL712" s="16"/>
      <c r="AM712" s="16"/>
      <c r="AN712" s="16"/>
      <c r="AO712" s="16"/>
      <c r="AP712" s="18" t="s">
        <v>58</v>
      </c>
      <c r="AQ712" s="16"/>
    </row>
    <row r="713" ht="15.75" customHeight="1">
      <c r="A713" s="10" t="s">
        <v>3439</v>
      </c>
      <c r="B713" s="10" t="s">
        <v>3440</v>
      </c>
      <c r="C713" s="10" t="str">
        <f>VLOOKUP(A713,import!A:C,3,0)</f>
        <v>YANLIŞ</v>
      </c>
      <c r="D713" s="10" t="s">
        <v>167</v>
      </c>
      <c r="E713" s="10">
        <f>VLOOKUP(A713,import!A:J,5,0)</f>
        <v>13</v>
      </c>
      <c r="F713" s="10" t="str">
        <f>VLOOKUP(A713,import!A:J,6,0)</f>
        <v/>
      </c>
      <c r="G713" s="10">
        <f>VLOOKUP(A713,import!A:J,7,0)</f>
        <v>92</v>
      </c>
      <c r="H713" s="10">
        <f>VLOOKUP(A713,import!A:J,8,0)</f>
        <v>89</v>
      </c>
      <c r="I713" s="10">
        <f>VLOOKUP(A713,import!A:J,9,0)</f>
        <v>181</v>
      </c>
      <c r="J713" s="11">
        <f>VLOOKUP(A713,import!A:J,10,0)</f>
        <v>0.51</v>
      </c>
      <c r="K713" s="10" t="s">
        <v>3441</v>
      </c>
      <c r="L713" s="10">
        <v>5.356858656E9</v>
      </c>
      <c r="M713" s="10" t="s">
        <v>137</v>
      </c>
      <c r="N713" s="10" t="s">
        <v>845</v>
      </c>
      <c r="O713" s="10" t="s">
        <v>3442</v>
      </c>
      <c r="P713" s="10" t="str">
        <f>VLOOKUP(A713,import!A:P,16,0)</f>
        <v>Key</v>
      </c>
      <c r="Q713" s="12" t="s">
        <v>50</v>
      </c>
      <c r="R713" s="12" t="b">
        <v>1</v>
      </c>
      <c r="S713" s="13" t="b">
        <v>0</v>
      </c>
      <c r="T713" s="13" t="s">
        <v>248</v>
      </c>
      <c r="U713" s="13"/>
      <c r="V713" s="13"/>
      <c r="W713" s="13" t="s">
        <v>3443</v>
      </c>
      <c r="X713" s="15"/>
      <c r="Y713" s="15"/>
      <c r="Z713" s="16"/>
      <c r="AA713" s="16"/>
      <c r="AB713" s="16"/>
      <c r="AC713" s="16"/>
      <c r="AD713" s="16"/>
      <c r="AE713" s="17"/>
      <c r="AF713" s="16"/>
      <c r="AG713" s="17"/>
      <c r="AH713" s="16"/>
      <c r="AI713" s="16"/>
      <c r="AJ713" s="16"/>
      <c r="AK713" s="16"/>
      <c r="AL713" s="16"/>
      <c r="AM713" s="16"/>
      <c r="AN713" s="16"/>
      <c r="AO713" s="16"/>
      <c r="AP713" s="18" t="s">
        <v>3444</v>
      </c>
      <c r="AQ713" s="16"/>
    </row>
    <row r="714" ht="15.75" customHeight="1">
      <c r="A714" s="10" t="s">
        <v>3445</v>
      </c>
      <c r="B714" s="10" t="s">
        <v>3446</v>
      </c>
      <c r="C714" s="10" t="str">
        <f>VLOOKUP(A714,import!A:C,3,0)</f>
        <v>DOĞRU</v>
      </c>
      <c r="D714" s="10" t="s">
        <v>167</v>
      </c>
      <c r="E714" s="10">
        <f>VLOOKUP(A714,import!A:J,5,0)</f>
        <v>397</v>
      </c>
      <c r="F714" s="10">
        <f>VLOOKUP(A714,import!A:J,6,0)</f>
        <v>5</v>
      </c>
      <c r="G714" s="10">
        <f>VLOOKUP(A714,import!A:J,7,0)</f>
        <v>16</v>
      </c>
      <c r="H714" s="10">
        <f>VLOOKUP(A714,import!A:J,8,0)</f>
        <v>0</v>
      </c>
      <c r="I714" s="10">
        <f>VLOOKUP(A714,import!A:J,9,0)</f>
        <v>16</v>
      </c>
      <c r="J714" s="11">
        <f>VLOOKUP(A714,import!A:J,10,0)</f>
        <v>1</v>
      </c>
      <c r="K714" s="10" t="s">
        <v>3447</v>
      </c>
      <c r="L714" s="10">
        <v>5.3528052E9</v>
      </c>
      <c r="M714" s="10" t="s">
        <v>63</v>
      </c>
      <c r="N714" s="10" t="s">
        <v>100</v>
      </c>
      <c r="O714" s="10" t="s">
        <v>3448</v>
      </c>
      <c r="P714" s="10" t="str">
        <f>VLOOKUP(A714,import!A:P,16,0)</f>
        <v>Key</v>
      </c>
      <c r="Q714" s="12" t="s">
        <v>50</v>
      </c>
      <c r="R714" s="12" t="b">
        <v>0</v>
      </c>
      <c r="S714" s="12" t="b">
        <v>0</v>
      </c>
      <c r="T714" s="13" t="s">
        <v>248</v>
      </c>
      <c r="U714" s="13"/>
      <c r="V714" s="13"/>
      <c r="W714" s="13"/>
      <c r="X714" s="15"/>
      <c r="Y714" s="15"/>
      <c r="Z714" s="16"/>
      <c r="AA714" s="16"/>
      <c r="AB714" s="16"/>
      <c r="AC714" s="16"/>
      <c r="AD714" s="16"/>
      <c r="AE714" s="17"/>
      <c r="AF714" s="16"/>
      <c r="AG714" s="17"/>
      <c r="AH714" s="16"/>
      <c r="AI714" s="16"/>
      <c r="AJ714" s="16"/>
      <c r="AK714" s="16"/>
      <c r="AL714" s="16"/>
      <c r="AM714" s="16"/>
      <c r="AN714" s="16"/>
      <c r="AO714" s="16"/>
      <c r="AP714" s="18" t="s">
        <v>3444</v>
      </c>
      <c r="AQ714" s="16"/>
    </row>
    <row r="715" ht="15.75" hidden="1" customHeight="1">
      <c r="A715" s="10" t="s">
        <v>3449</v>
      </c>
      <c r="B715" s="10" t="s">
        <v>3450</v>
      </c>
      <c r="C715" s="10" t="str">
        <f>VLOOKUP(A715,import!A:C,3,0)</f>
        <v>DOĞRU</v>
      </c>
      <c r="D715" s="10" t="s">
        <v>167</v>
      </c>
      <c r="E715" s="10">
        <f>VLOOKUP(A715,import!A:J,5,0)</f>
        <v>2168</v>
      </c>
      <c r="F715" s="10">
        <f>VLOOKUP(A715,import!A:J,6,0)</f>
        <v>65</v>
      </c>
      <c r="G715" s="10">
        <f>VLOOKUP(A715,import!A:J,7,0)</f>
        <v>54</v>
      </c>
      <c r="H715" s="10">
        <f>VLOOKUP(A715,import!A:J,8,0)</f>
        <v>15</v>
      </c>
      <c r="I715" s="10">
        <f>VLOOKUP(A715,import!A:J,9,0)</f>
        <v>69</v>
      </c>
      <c r="J715" s="11">
        <f>VLOOKUP(A715,import!A:J,10,0)</f>
        <v>0.78</v>
      </c>
      <c r="K715" s="10" t="s">
        <v>3451</v>
      </c>
      <c r="L715" s="10">
        <v>5.319733565E9</v>
      </c>
      <c r="M715" s="10" t="s">
        <v>215</v>
      </c>
      <c r="N715" s="10" t="s">
        <v>613</v>
      </c>
      <c r="O715" s="10" t="s">
        <v>3452</v>
      </c>
      <c r="P715" s="10" t="str">
        <f>VLOOKUP(A715,import!A:P,16,0)</f>
        <v>Key</v>
      </c>
      <c r="Q715" s="12" t="s">
        <v>50</v>
      </c>
      <c r="R715" s="12" t="b">
        <v>0</v>
      </c>
      <c r="S715" s="12" t="b">
        <v>0</v>
      </c>
      <c r="T715" s="13" t="s">
        <v>248</v>
      </c>
      <c r="U715" s="13"/>
      <c r="V715" s="13"/>
      <c r="W715" s="13"/>
      <c r="X715" s="15"/>
      <c r="Y715" s="15"/>
      <c r="Z715" s="16"/>
      <c r="AA715" s="16"/>
      <c r="AB715" s="16"/>
      <c r="AC715" s="16"/>
      <c r="AD715" s="16"/>
      <c r="AE715" s="17"/>
      <c r="AF715" s="16"/>
      <c r="AG715" s="17"/>
      <c r="AH715" s="16"/>
      <c r="AI715" s="16"/>
      <c r="AJ715" s="16"/>
      <c r="AK715" s="16"/>
      <c r="AL715" s="16"/>
      <c r="AM715" s="16"/>
      <c r="AN715" s="16"/>
      <c r="AO715" s="16"/>
      <c r="AP715" s="18" t="s">
        <v>3444</v>
      </c>
      <c r="AQ715" s="16"/>
    </row>
    <row r="716" ht="15.75" hidden="1" customHeight="1">
      <c r="A716" s="10" t="s">
        <v>3453</v>
      </c>
      <c r="B716" s="10" t="s">
        <v>3454</v>
      </c>
      <c r="C716" s="10" t="str">
        <f>VLOOKUP(A716,import!A:C,3,0)</f>
        <v>DOĞRU</v>
      </c>
      <c r="D716" s="10" t="s">
        <v>167</v>
      </c>
      <c r="E716" s="10">
        <f>VLOOKUP(A716,import!A:J,5,0)</f>
        <v>6184</v>
      </c>
      <c r="F716" s="10">
        <f>VLOOKUP(A716,import!A:J,6,0)</f>
        <v>312</v>
      </c>
      <c r="G716" s="10">
        <f>VLOOKUP(A716,import!A:J,7,0)</f>
        <v>59</v>
      </c>
      <c r="H716" s="10">
        <f>VLOOKUP(A716,import!A:J,8,0)</f>
        <v>2</v>
      </c>
      <c r="I716" s="10">
        <f>VLOOKUP(A716,import!A:J,9,0)</f>
        <v>61</v>
      </c>
      <c r="J716" s="11">
        <f>VLOOKUP(A716,import!A:J,10,0)</f>
        <v>0.97</v>
      </c>
      <c r="K716" s="10" t="s">
        <v>3455</v>
      </c>
      <c r="L716" s="10">
        <v>5.308331783E9</v>
      </c>
      <c r="M716" s="10" t="s">
        <v>72</v>
      </c>
      <c r="N716" s="10" t="s">
        <v>82</v>
      </c>
      <c r="O716" s="10" t="s">
        <v>3456</v>
      </c>
      <c r="P716" s="10" t="str">
        <f>VLOOKUP(A716,import!A:P,16,0)</f>
        <v>Key</v>
      </c>
      <c r="Q716" s="12" t="s">
        <v>50</v>
      </c>
      <c r="R716" s="12" t="b">
        <v>0</v>
      </c>
      <c r="S716" s="12" t="b">
        <v>0</v>
      </c>
      <c r="T716" s="13" t="s">
        <v>248</v>
      </c>
      <c r="U716" s="13"/>
      <c r="V716" s="13"/>
      <c r="W716" s="13"/>
      <c r="X716" s="15"/>
      <c r="Y716" s="15"/>
      <c r="Z716" s="16"/>
      <c r="AA716" s="16"/>
      <c r="AB716" s="16"/>
      <c r="AC716" s="16"/>
      <c r="AD716" s="16"/>
      <c r="AE716" s="17"/>
      <c r="AF716" s="16"/>
      <c r="AG716" s="17"/>
      <c r="AH716" s="16"/>
      <c r="AI716" s="16"/>
      <c r="AJ716" s="16"/>
      <c r="AK716" s="16"/>
      <c r="AL716" s="16"/>
      <c r="AM716" s="16"/>
      <c r="AN716" s="16"/>
      <c r="AO716" s="16"/>
      <c r="AP716" s="18" t="s">
        <v>3444</v>
      </c>
      <c r="AQ716" s="16"/>
    </row>
    <row r="717" ht="15.75" hidden="1" customHeight="1">
      <c r="A717" s="10" t="s">
        <v>3457</v>
      </c>
      <c r="B717" s="10" t="s">
        <v>3458</v>
      </c>
      <c r="C717" s="10" t="str">
        <f>VLOOKUP(A717,import!A:C,3,0)</f>
        <v>DOĞRU</v>
      </c>
      <c r="D717" s="10" t="s">
        <v>167</v>
      </c>
      <c r="E717" s="10">
        <f>VLOOKUP(A717,import!A:J,5,0)</f>
        <v>3875</v>
      </c>
      <c r="F717" s="10">
        <f>VLOOKUP(A717,import!A:J,6,0)</f>
        <v>97</v>
      </c>
      <c r="G717" s="10">
        <f>VLOOKUP(A717,import!A:J,7,0)</f>
        <v>64</v>
      </c>
      <c r="H717" s="10">
        <f>VLOOKUP(A717,import!A:J,8,0)</f>
        <v>1</v>
      </c>
      <c r="I717" s="10">
        <f>VLOOKUP(A717,import!A:J,9,0)</f>
        <v>65</v>
      </c>
      <c r="J717" s="11">
        <f>VLOOKUP(A717,import!A:J,10,0)</f>
        <v>0.98</v>
      </c>
      <c r="K717" s="10" t="s">
        <v>3459</v>
      </c>
      <c r="L717" s="10">
        <v>5.330848601E9</v>
      </c>
      <c r="M717" s="10" t="s">
        <v>72</v>
      </c>
      <c r="N717" s="10" t="s">
        <v>915</v>
      </c>
      <c r="O717" s="10" t="s">
        <v>3460</v>
      </c>
      <c r="P717" s="10" t="str">
        <f>VLOOKUP(A717,import!A:P,16,0)</f>
        <v>Key</v>
      </c>
      <c r="Q717" s="12" t="s">
        <v>50</v>
      </c>
      <c r="R717" s="12" t="b">
        <v>1</v>
      </c>
      <c r="S717" s="12" t="b">
        <v>0</v>
      </c>
      <c r="T717" s="13" t="s">
        <v>248</v>
      </c>
      <c r="U717" s="13"/>
      <c r="V717" s="13"/>
      <c r="W717" s="13"/>
      <c r="X717" s="15"/>
      <c r="Y717" s="15"/>
      <c r="Z717" s="16"/>
      <c r="AA717" s="16"/>
      <c r="AB717" s="16"/>
      <c r="AC717" s="16"/>
      <c r="AD717" s="16"/>
      <c r="AE717" s="17"/>
      <c r="AF717" s="16"/>
      <c r="AG717" s="17"/>
      <c r="AH717" s="16"/>
      <c r="AI717" s="16"/>
      <c r="AJ717" s="16"/>
      <c r="AK717" s="16"/>
      <c r="AL717" s="16"/>
      <c r="AM717" s="16"/>
      <c r="AN717" s="16"/>
      <c r="AO717" s="16"/>
      <c r="AP717" s="18" t="s">
        <v>3444</v>
      </c>
      <c r="AQ717" s="16"/>
    </row>
    <row r="718" ht="15.75" customHeight="1">
      <c r="A718" s="10" t="s">
        <v>3461</v>
      </c>
      <c r="B718" s="10" t="s">
        <v>3462</v>
      </c>
      <c r="C718" s="10" t="str">
        <f>VLOOKUP(A718,import!A:C,3,0)</f>
        <v>DOĞRU</v>
      </c>
      <c r="D718" s="10" t="s">
        <v>167</v>
      </c>
      <c r="E718" s="10">
        <f>VLOOKUP(A718,import!A:J,5,0)</f>
        <v>1618</v>
      </c>
      <c r="F718" s="10">
        <f>VLOOKUP(A718,import!A:J,6,0)</f>
        <v>88</v>
      </c>
      <c r="G718" s="10">
        <f>VLOOKUP(A718,import!A:J,7,0)</f>
        <v>65</v>
      </c>
      <c r="H718" s="10">
        <f>VLOOKUP(A718,import!A:J,8,0)</f>
        <v>2</v>
      </c>
      <c r="I718" s="10">
        <f>VLOOKUP(A718,import!A:J,9,0)</f>
        <v>67</v>
      </c>
      <c r="J718" s="11">
        <f>VLOOKUP(A718,import!A:J,10,0)</f>
        <v>0.97</v>
      </c>
      <c r="K718" s="10" t="s">
        <v>3463</v>
      </c>
      <c r="L718" s="10">
        <v>5.300110888E9</v>
      </c>
      <c r="M718" s="10" t="s">
        <v>137</v>
      </c>
      <c r="N718" s="10" t="s">
        <v>209</v>
      </c>
      <c r="O718" s="10" t="s">
        <v>3464</v>
      </c>
      <c r="P718" s="10" t="str">
        <f>VLOOKUP(A718,import!A:P,16,0)</f>
        <v>Key</v>
      </c>
      <c r="Q718" s="12" t="s">
        <v>146</v>
      </c>
      <c r="R718" s="12" t="b">
        <v>0</v>
      </c>
      <c r="S718" s="13" t="b">
        <v>0</v>
      </c>
      <c r="T718" s="13" t="s">
        <v>248</v>
      </c>
      <c r="U718" s="13"/>
      <c r="V718" s="13"/>
      <c r="W718" s="13"/>
      <c r="X718" s="15"/>
      <c r="Y718" s="15"/>
      <c r="Z718" s="16"/>
      <c r="AA718" s="16"/>
      <c r="AB718" s="16"/>
      <c r="AC718" s="16"/>
      <c r="AD718" s="16"/>
      <c r="AE718" s="17"/>
      <c r="AF718" s="16"/>
      <c r="AG718" s="17"/>
      <c r="AH718" s="16"/>
      <c r="AI718" s="16"/>
      <c r="AJ718" s="16"/>
      <c r="AK718" s="16"/>
      <c r="AL718" s="16"/>
      <c r="AM718" s="16"/>
      <c r="AN718" s="16"/>
      <c r="AO718" s="16"/>
      <c r="AP718" s="18" t="s">
        <v>3444</v>
      </c>
      <c r="AQ718" s="16"/>
    </row>
    <row r="719" ht="15.75" customHeight="1">
      <c r="A719" s="10" t="s">
        <v>3465</v>
      </c>
      <c r="B719" s="10" t="s">
        <v>3466</v>
      </c>
      <c r="C719" s="10" t="str">
        <f>VLOOKUP(A719,import!A:C,3,0)</f>
        <v>DOĞRU</v>
      </c>
      <c r="D719" s="10" t="s">
        <v>167</v>
      </c>
      <c r="E719" s="10">
        <f>VLOOKUP(A719,import!A:J,5,0)</f>
        <v>1183</v>
      </c>
      <c r="F719" s="10">
        <f>VLOOKUP(A719,import!A:J,6,0)</f>
        <v>58</v>
      </c>
      <c r="G719" s="10">
        <f>VLOOKUP(A719,import!A:J,7,0)</f>
        <v>72</v>
      </c>
      <c r="H719" s="10">
        <f>VLOOKUP(A719,import!A:J,8,0)</f>
        <v>4</v>
      </c>
      <c r="I719" s="10">
        <f>VLOOKUP(A719,import!A:J,9,0)</f>
        <v>76</v>
      </c>
      <c r="J719" s="11">
        <f>VLOOKUP(A719,import!A:J,10,0)</f>
        <v>0.95</v>
      </c>
      <c r="K719" s="10" t="s">
        <v>3463</v>
      </c>
      <c r="L719" s="10">
        <v>5.468592108E9</v>
      </c>
      <c r="M719" s="10" t="s">
        <v>137</v>
      </c>
      <c r="N719" s="10" t="s">
        <v>209</v>
      </c>
      <c r="O719" s="10" t="s">
        <v>3467</v>
      </c>
      <c r="P719" s="10" t="str">
        <f>VLOOKUP(A719,import!A:P,16,0)</f>
        <v>Key</v>
      </c>
      <c r="Q719" s="12" t="s">
        <v>146</v>
      </c>
      <c r="R719" s="12" t="b">
        <v>0</v>
      </c>
      <c r="S719" s="12" t="b">
        <v>0</v>
      </c>
      <c r="T719" s="13" t="s">
        <v>248</v>
      </c>
      <c r="U719" s="13"/>
      <c r="V719" s="13"/>
      <c r="W719" s="13"/>
      <c r="X719" s="15"/>
      <c r="Y719" s="15"/>
      <c r="Z719" s="16"/>
      <c r="AA719" s="16"/>
      <c r="AB719" s="16"/>
      <c r="AC719" s="16"/>
      <c r="AD719" s="16"/>
      <c r="AE719" s="17"/>
      <c r="AF719" s="16"/>
      <c r="AG719" s="17"/>
      <c r="AH719" s="16"/>
      <c r="AI719" s="16"/>
      <c r="AJ719" s="16"/>
      <c r="AK719" s="16"/>
      <c r="AL719" s="16"/>
      <c r="AM719" s="16"/>
      <c r="AN719" s="16"/>
      <c r="AO719" s="16"/>
      <c r="AP719" s="18" t="s">
        <v>3444</v>
      </c>
      <c r="AQ719" s="16"/>
    </row>
    <row r="720" ht="15.75" customHeight="1">
      <c r="A720" s="10" t="s">
        <v>3468</v>
      </c>
      <c r="B720" s="10" t="s">
        <v>3469</v>
      </c>
      <c r="C720" s="10" t="str">
        <f>VLOOKUP(A720,import!A:C,3,0)</f>
        <v>YANLIŞ</v>
      </c>
      <c r="D720" s="10" t="s">
        <v>167</v>
      </c>
      <c r="E720" s="10">
        <f>VLOOKUP(A720,import!A:J,5,0)</f>
        <v>207</v>
      </c>
      <c r="F720" s="10" t="str">
        <f>VLOOKUP(A720,import!A:J,6,0)</f>
        <v/>
      </c>
      <c r="G720" s="10">
        <f>VLOOKUP(A720,import!A:J,7,0)</f>
        <v>70</v>
      </c>
      <c r="H720" s="10">
        <f>VLOOKUP(A720,import!A:J,8,0)</f>
        <v>4</v>
      </c>
      <c r="I720" s="10">
        <f>VLOOKUP(A720,import!A:J,9,0)</f>
        <v>74</v>
      </c>
      <c r="J720" s="11">
        <f>VLOOKUP(A720,import!A:J,10,0)</f>
        <v>0.95</v>
      </c>
      <c r="K720" s="10" t="s">
        <v>3470</v>
      </c>
      <c r="L720" s="10">
        <v>5.307839034E9</v>
      </c>
      <c r="M720" s="10" t="s">
        <v>137</v>
      </c>
      <c r="N720" s="10" t="s">
        <v>526</v>
      </c>
      <c r="O720" s="10" t="s">
        <v>3471</v>
      </c>
      <c r="P720" s="10" t="str">
        <f>VLOOKUP(A720,import!A:P,16,0)</f>
        <v>Key</v>
      </c>
      <c r="Q720" s="12" t="s">
        <v>146</v>
      </c>
      <c r="R720" s="12" t="b">
        <v>0</v>
      </c>
      <c r="S720" s="12" t="b">
        <v>0</v>
      </c>
      <c r="T720" s="13" t="s">
        <v>248</v>
      </c>
      <c r="U720" s="13"/>
      <c r="V720" s="13"/>
      <c r="W720" s="13"/>
      <c r="X720" s="15"/>
      <c r="Y720" s="15"/>
      <c r="Z720" s="16"/>
      <c r="AA720" s="16"/>
      <c r="AB720" s="16"/>
      <c r="AC720" s="16"/>
      <c r="AD720" s="16"/>
      <c r="AE720" s="17"/>
      <c r="AF720" s="16"/>
      <c r="AG720" s="17"/>
      <c r="AH720" s="16"/>
      <c r="AI720" s="16"/>
      <c r="AJ720" s="16"/>
      <c r="AK720" s="16"/>
      <c r="AL720" s="16"/>
      <c r="AM720" s="16"/>
      <c r="AN720" s="16"/>
      <c r="AO720" s="16"/>
      <c r="AP720" s="18" t="s">
        <v>3444</v>
      </c>
      <c r="AQ720" s="16"/>
    </row>
    <row r="721" ht="15.75" customHeight="1">
      <c r="A721" s="10" t="s">
        <v>3472</v>
      </c>
      <c r="B721" s="10" t="s">
        <v>3473</v>
      </c>
      <c r="C721" s="10" t="str">
        <f>VLOOKUP(A721,import!A:C,3,0)</f>
        <v>DOĞRU</v>
      </c>
      <c r="D721" s="10" t="s">
        <v>167</v>
      </c>
      <c r="E721" s="10">
        <f>VLOOKUP(A721,import!A:J,5,0)</f>
        <v>1239</v>
      </c>
      <c r="F721" s="10">
        <f>VLOOKUP(A721,import!A:J,6,0)</f>
        <v>36</v>
      </c>
      <c r="G721" s="10">
        <f>VLOOKUP(A721,import!A:J,7,0)</f>
        <v>37</v>
      </c>
      <c r="H721" s="10">
        <f>VLOOKUP(A721,import!A:J,8,0)</f>
        <v>0</v>
      </c>
      <c r="I721" s="10">
        <f>VLOOKUP(A721,import!A:J,9,0)</f>
        <v>37</v>
      </c>
      <c r="J721" s="11">
        <f>VLOOKUP(A721,import!A:J,10,0)</f>
        <v>1</v>
      </c>
      <c r="K721" s="10" t="s">
        <v>3474</v>
      </c>
      <c r="L721" s="10">
        <v>5.345884492E9</v>
      </c>
      <c r="M721" s="10" t="s">
        <v>137</v>
      </c>
      <c r="N721" s="10" t="s">
        <v>426</v>
      </c>
      <c r="O721" s="10" t="s">
        <v>3475</v>
      </c>
      <c r="P721" s="10" t="str">
        <f>VLOOKUP(A721,import!A:P,16,0)</f>
        <v>Key</v>
      </c>
      <c r="Q721" s="12" t="s">
        <v>50</v>
      </c>
      <c r="R721" s="12" t="b">
        <v>0</v>
      </c>
      <c r="S721" s="12" t="b">
        <v>0</v>
      </c>
      <c r="T721" s="13" t="s">
        <v>248</v>
      </c>
      <c r="U721" s="13"/>
      <c r="V721" s="13"/>
      <c r="W721" s="13"/>
      <c r="X721" s="15"/>
      <c r="Y721" s="15"/>
      <c r="Z721" s="16"/>
      <c r="AA721" s="16"/>
      <c r="AB721" s="16"/>
      <c r="AC721" s="16"/>
      <c r="AD721" s="16"/>
      <c r="AE721" s="17"/>
      <c r="AF721" s="16"/>
      <c r="AG721" s="17"/>
      <c r="AH721" s="16"/>
      <c r="AI721" s="16"/>
      <c r="AJ721" s="16"/>
      <c r="AK721" s="16"/>
      <c r="AL721" s="16"/>
      <c r="AM721" s="16"/>
      <c r="AN721" s="16"/>
      <c r="AO721" s="16"/>
      <c r="AP721" s="18" t="s">
        <v>3444</v>
      </c>
      <c r="AQ721" s="16"/>
    </row>
    <row r="722" ht="15.75" hidden="1" customHeight="1">
      <c r="A722" s="10" t="s">
        <v>3476</v>
      </c>
      <c r="B722" s="10" t="s">
        <v>3477</v>
      </c>
      <c r="C722" s="10" t="str">
        <f>VLOOKUP(A722,import!A:C,3,0)</f>
        <v>DOĞRU</v>
      </c>
      <c r="D722" s="10" t="s">
        <v>167</v>
      </c>
      <c r="E722" s="10">
        <f>VLOOKUP(A722,import!A:J,5,0)</f>
        <v>399</v>
      </c>
      <c r="F722" s="10">
        <f>VLOOKUP(A722,import!A:J,6,0)</f>
        <v>22</v>
      </c>
      <c r="G722" s="10">
        <f>VLOOKUP(A722,import!A:J,7,0)</f>
        <v>65</v>
      </c>
      <c r="H722" s="10">
        <f>VLOOKUP(A722,import!A:J,8,0)</f>
        <v>0</v>
      </c>
      <c r="I722" s="10">
        <f>VLOOKUP(A722,import!A:J,9,0)</f>
        <v>65</v>
      </c>
      <c r="J722" s="11">
        <f>VLOOKUP(A722,import!A:J,10,0)</f>
        <v>1</v>
      </c>
      <c r="K722" s="10" t="s">
        <v>3478</v>
      </c>
      <c r="L722" s="10">
        <v>3.24515594E9</v>
      </c>
      <c r="M722" s="10" t="s">
        <v>47</v>
      </c>
      <c r="N722" s="10" t="s">
        <v>479</v>
      </c>
      <c r="O722" s="10" t="s">
        <v>3479</v>
      </c>
      <c r="P722" s="10" t="str">
        <f>VLOOKUP(A722,import!A:P,16,0)</f>
        <v>Key</v>
      </c>
      <c r="Q722" s="12" t="s">
        <v>146</v>
      </c>
      <c r="R722" s="12" t="b">
        <v>0</v>
      </c>
      <c r="S722" s="13" t="b">
        <v>0</v>
      </c>
      <c r="T722" s="13" t="s">
        <v>248</v>
      </c>
      <c r="U722" s="13"/>
      <c r="V722" s="13"/>
      <c r="W722" s="13"/>
      <c r="X722" s="15"/>
      <c r="Y722" s="15"/>
      <c r="Z722" s="16"/>
      <c r="AA722" s="16"/>
      <c r="AB722" s="16"/>
      <c r="AC722" s="16"/>
      <c r="AD722" s="16"/>
      <c r="AE722" s="17"/>
      <c r="AF722" s="16"/>
      <c r="AG722" s="17"/>
      <c r="AH722" s="16"/>
      <c r="AI722" s="16"/>
      <c r="AJ722" s="16"/>
      <c r="AK722" s="16"/>
      <c r="AL722" s="16"/>
      <c r="AM722" s="16"/>
      <c r="AN722" s="16"/>
      <c r="AO722" s="16"/>
      <c r="AP722" s="18" t="s">
        <v>3444</v>
      </c>
      <c r="AQ722" s="16"/>
    </row>
    <row r="723" ht="15.75" hidden="1" customHeight="1">
      <c r="A723" s="10" t="s">
        <v>3480</v>
      </c>
      <c r="B723" s="10" t="s">
        <v>3481</v>
      </c>
      <c r="C723" s="10" t="str">
        <f>VLOOKUP(A723,import!A:C,3,0)</f>
        <v>DOĞRU</v>
      </c>
      <c r="D723" s="10" t="s">
        <v>167</v>
      </c>
      <c r="E723" s="10">
        <f>VLOOKUP(A723,import!A:J,5,0)</f>
        <v>341</v>
      </c>
      <c r="F723" s="10">
        <f>VLOOKUP(A723,import!A:J,6,0)</f>
        <v>14</v>
      </c>
      <c r="G723" s="10">
        <f>VLOOKUP(A723,import!A:J,7,0)</f>
        <v>73</v>
      </c>
      <c r="H723" s="10">
        <f>VLOOKUP(A723,import!A:J,8,0)</f>
        <v>4</v>
      </c>
      <c r="I723" s="10">
        <f>VLOOKUP(A723,import!A:J,9,0)</f>
        <v>77</v>
      </c>
      <c r="J723" s="11">
        <f>VLOOKUP(A723,import!A:J,10,0)</f>
        <v>0.95</v>
      </c>
      <c r="K723" s="10" t="s">
        <v>3482</v>
      </c>
      <c r="L723" s="10">
        <v>5.455058033E9</v>
      </c>
      <c r="M723" s="10" t="s">
        <v>47</v>
      </c>
      <c r="N723" s="10" t="s">
        <v>3483</v>
      </c>
      <c r="O723" s="10" t="s">
        <v>3484</v>
      </c>
      <c r="P723" s="10" t="str">
        <f>VLOOKUP(A723,import!A:P,16,0)</f>
        <v>Key</v>
      </c>
      <c r="Q723" s="12"/>
      <c r="R723" s="12" t="b">
        <v>0</v>
      </c>
      <c r="S723" s="12" t="b">
        <v>0</v>
      </c>
      <c r="T723" s="13" t="s">
        <v>248</v>
      </c>
      <c r="U723" s="13"/>
      <c r="V723" s="13"/>
      <c r="W723" s="13"/>
      <c r="X723" s="15"/>
      <c r="Y723" s="15"/>
      <c r="Z723" s="16"/>
      <c r="AA723" s="16"/>
      <c r="AB723" s="16"/>
      <c r="AC723" s="16"/>
      <c r="AD723" s="16"/>
      <c r="AE723" s="17"/>
      <c r="AF723" s="16"/>
      <c r="AG723" s="17"/>
      <c r="AH723" s="16"/>
      <c r="AI723" s="16"/>
      <c r="AJ723" s="16"/>
      <c r="AK723" s="16"/>
      <c r="AL723" s="16"/>
      <c r="AM723" s="16"/>
      <c r="AN723" s="16"/>
      <c r="AO723" s="16"/>
      <c r="AP723" s="18" t="s">
        <v>3444</v>
      </c>
      <c r="AQ723" s="16"/>
    </row>
    <row r="724" ht="15.75" customHeight="1">
      <c r="A724" s="10" t="s">
        <v>3485</v>
      </c>
      <c r="B724" s="10" t="s">
        <v>3486</v>
      </c>
      <c r="C724" s="10" t="str">
        <f>VLOOKUP(A724,import!A:C,3,0)</f>
        <v>DOĞRU</v>
      </c>
      <c r="D724" s="10" t="s">
        <v>167</v>
      </c>
      <c r="E724" s="10">
        <f>VLOOKUP(A724,import!A:J,5,0)</f>
        <v>4012</v>
      </c>
      <c r="F724" s="10">
        <f>VLOOKUP(A724,import!A:J,6,0)</f>
        <v>108</v>
      </c>
      <c r="G724" s="10">
        <f>VLOOKUP(A724,import!A:J,7,0)</f>
        <v>46</v>
      </c>
      <c r="H724" s="10">
        <f>VLOOKUP(A724,import!A:J,8,0)</f>
        <v>0</v>
      </c>
      <c r="I724" s="10">
        <f>VLOOKUP(A724,import!A:J,9,0)</f>
        <v>46</v>
      </c>
      <c r="J724" s="11">
        <f>VLOOKUP(A724,import!A:J,10,0)</f>
        <v>1</v>
      </c>
      <c r="K724" s="10" t="s">
        <v>3487</v>
      </c>
      <c r="L724" s="10">
        <v>5.388990133E9</v>
      </c>
      <c r="M724" s="10" t="s">
        <v>63</v>
      </c>
      <c r="N724" s="10" t="s">
        <v>137</v>
      </c>
      <c r="O724" s="10" t="s">
        <v>3488</v>
      </c>
      <c r="P724" s="10" t="str">
        <f>VLOOKUP(A724,import!A:P,16,0)</f>
        <v>Key</v>
      </c>
      <c r="Q724" s="12" t="s">
        <v>50</v>
      </c>
      <c r="R724" s="12" t="b">
        <v>0</v>
      </c>
      <c r="S724" s="12" t="b">
        <v>0</v>
      </c>
      <c r="T724" s="13" t="s">
        <v>248</v>
      </c>
      <c r="U724" s="13"/>
      <c r="V724" s="13"/>
      <c r="W724" s="13"/>
      <c r="X724" s="15"/>
      <c r="Y724" s="15"/>
      <c r="Z724" s="16"/>
      <c r="AA724" s="16"/>
      <c r="AB724" s="16"/>
      <c r="AC724" s="16"/>
      <c r="AD724" s="16"/>
      <c r="AE724" s="17"/>
      <c r="AF724" s="16"/>
      <c r="AG724" s="17"/>
      <c r="AH724" s="16"/>
      <c r="AI724" s="16"/>
      <c r="AJ724" s="16"/>
      <c r="AK724" s="16"/>
      <c r="AL724" s="16"/>
      <c r="AM724" s="16"/>
      <c r="AN724" s="16"/>
      <c r="AO724" s="16"/>
      <c r="AP724" s="18" t="s">
        <v>3444</v>
      </c>
      <c r="AQ724" s="16"/>
    </row>
    <row r="725" ht="15.75" hidden="1" customHeight="1">
      <c r="A725" s="10" t="s">
        <v>3489</v>
      </c>
      <c r="B725" s="10" t="s">
        <v>3490</v>
      </c>
      <c r="C725" s="10" t="str">
        <f>VLOOKUP(A725,import!A:C,3,0)</f>
        <v>DOĞRU</v>
      </c>
      <c r="D725" s="10" t="s">
        <v>167</v>
      </c>
      <c r="E725" s="10">
        <f>VLOOKUP(A725,import!A:J,5,0)</f>
        <v>3020</v>
      </c>
      <c r="F725" s="10">
        <f>VLOOKUP(A725,import!A:J,6,0)</f>
        <v>126</v>
      </c>
      <c r="G725" s="10">
        <f>VLOOKUP(A725,import!A:J,7,0)</f>
        <v>20</v>
      </c>
      <c r="H725" s="10">
        <f>VLOOKUP(A725,import!A:J,8,0)</f>
        <v>0</v>
      </c>
      <c r="I725" s="10">
        <f>VLOOKUP(A725,import!A:J,9,0)</f>
        <v>20</v>
      </c>
      <c r="J725" s="11">
        <f>VLOOKUP(A725,import!A:J,10,0)</f>
        <v>1</v>
      </c>
      <c r="K725" s="10" t="s">
        <v>3491</v>
      </c>
      <c r="L725" s="10">
        <v>3.24714008E9</v>
      </c>
      <c r="M725" s="10" t="s">
        <v>187</v>
      </c>
      <c r="N725" s="10" t="s">
        <v>188</v>
      </c>
      <c r="O725" s="10" t="s">
        <v>3492</v>
      </c>
      <c r="P725" s="10" t="str">
        <f>VLOOKUP(A725,import!A:P,16,0)</f>
        <v>Key</v>
      </c>
      <c r="Q725" s="12"/>
      <c r="R725" s="12" t="b">
        <v>0</v>
      </c>
      <c r="S725" s="12" t="b">
        <v>0</v>
      </c>
      <c r="T725" s="13" t="s">
        <v>248</v>
      </c>
      <c r="U725" s="13"/>
      <c r="V725" s="13"/>
      <c r="W725" s="13"/>
      <c r="X725" s="15"/>
      <c r="Y725" s="15"/>
      <c r="Z725" s="16"/>
      <c r="AA725" s="16"/>
      <c r="AB725" s="16"/>
      <c r="AC725" s="16"/>
      <c r="AD725" s="16"/>
      <c r="AE725" s="17"/>
      <c r="AF725" s="16"/>
      <c r="AG725" s="17"/>
      <c r="AH725" s="16"/>
      <c r="AI725" s="16"/>
      <c r="AJ725" s="16"/>
      <c r="AK725" s="16"/>
      <c r="AL725" s="16"/>
      <c r="AM725" s="16"/>
      <c r="AN725" s="16"/>
      <c r="AO725" s="16"/>
      <c r="AP725" s="18" t="s">
        <v>3444</v>
      </c>
      <c r="AQ725" s="16"/>
    </row>
    <row r="726" ht="15.75" hidden="1" customHeight="1">
      <c r="A726" s="10" t="s">
        <v>3493</v>
      </c>
      <c r="B726" s="10" t="s">
        <v>3494</v>
      </c>
      <c r="C726" s="10" t="str">
        <f>VLOOKUP(A726,import!A:C,3,0)</f>
        <v>DOĞRU</v>
      </c>
      <c r="D726" s="10" t="s">
        <v>167</v>
      </c>
      <c r="E726" s="10">
        <f>VLOOKUP(A726,import!A:J,5,0)</f>
        <v>287</v>
      </c>
      <c r="F726" s="10">
        <f>VLOOKUP(A726,import!A:J,6,0)</f>
        <v>8</v>
      </c>
      <c r="G726" s="10">
        <f>VLOOKUP(A726,import!A:J,7,0)</f>
        <v>68</v>
      </c>
      <c r="H726" s="10">
        <f>VLOOKUP(A726,import!A:J,8,0)</f>
        <v>4</v>
      </c>
      <c r="I726" s="10">
        <f>VLOOKUP(A726,import!A:J,9,0)</f>
        <v>72</v>
      </c>
      <c r="J726" s="11">
        <f>VLOOKUP(A726,import!A:J,10,0)</f>
        <v>0.94</v>
      </c>
      <c r="K726" s="10" t="s">
        <v>3495</v>
      </c>
      <c r="L726" s="10">
        <v>5.526654233E9</v>
      </c>
      <c r="M726" s="10" t="s">
        <v>156</v>
      </c>
      <c r="N726" s="10" t="s">
        <v>3496</v>
      </c>
      <c r="O726" s="10" t="s">
        <v>3497</v>
      </c>
      <c r="P726" s="10" t="str">
        <f>VLOOKUP(A726,import!A:P,16,0)</f>
        <v>Key</v>
      </c>
      <c r="Q726" s="12"/>
      <c r="R726" s="12" t="b">
        <v>0</v>
      </c>
      <c r="S726" s="12" t="b">
        <v>0</v>
      </c>
      <c r="T726" s="13"/>
      <c r="U726" s="13"/>
      <c r="V726" s="13"/>
      <c r="W726" s="13"/>
      <c r="X726" s="15"/>
      <c r="Y726" s="15"/>
      <c r="Z726" s="16"/>
      <c r="AA726" s="16"/>
      <c r="AB726" s="16"/>
      <c r="AC726" s="16"/>
      <c r="AD726" s="16"/>
      <c r="AE726" s="17"/>
      <c r="AF726" s="16"/>
      <c r="AG726" s="17"/>
      <c r="AH726" s="16"/>
      <c r="AI726" s="16"/>
      <c r="AJ726" s="16"/>
      <c r="AK726" s="16"/>
      <c r="AL726" s="16"/>
      <c r="AM726" s="16"/>
      <c r="AN726" s="16"/>
      <c r="AO726" s="16"/>
      <c r="AP726" s="18" t="s">
        <v>3444</v>
      </c>
      <c r="AQ726" s="16"/>
    </row>
    <row r="727" ht="15.75" hidden="1" customHeight="1">
      <c r="A727" s="10" t="s">
        <v>3498</v>
      </c>
      <c r="B727" s="10" t="s">
        <v>3499</v>
      </c>
      <c r="C727" s="10" t="str">
        <f>VLOOKUP(A727,import!A:C,3,0)</f>
        <v>DOĞRU</v>
      </c>
      <c r="D727" s="10" t="s">
        <v>167</v>
      </c>
      <c r="E727" s="10">
        <f>VLOOKUP(A727,import!A:J,5,0)</f>
        <v>421</v>
      </c>
      <c r="F727" s="10">
        <f>VLOOKUP(A727,import!A:J,6,0)</f>
        <v>8</v>
      </c>
      <c r="G727" s="10">
        <f>VLOOKUP(A727,import!A:J,7,0)</f>
        <v>25</v>
      </c>
      <c r="H727" s="10">
        <f>VLOOKUP(A727,import!A:J,8,0)</f>
        <v>2</v>
      </c>
      <c r="I727" s="10">
        <f>VLOOKUP(A727,import!A:J,9,0)</f>
        <v>27</v>
      </c>
      <c r="J727" s="11">
        <f>VLOOKUP(A727,import!A:J,10,0)</f>
        <v>0.93</v>
      </c>
      <c r="K727" s="10" t="s">
        <v>3500</v>
      </c>
      <c r="L727" s="10">
        <v>5.355038334E9</v>
      </c>
      <c r="M727" s="10" t="s">
        <v>156</v>
      </c>
      <c r="N727" s="10" t="s">
        <v>447</v>
      </c>
      <c r="O727" s="10" t="s">
        <v>3501</v>
      </c>
      <c r="P727" s="10" t="str">
        <f>VLOOKUP(A727,import!A:P,16,0)</f>
        <v>Key</v>
      </c>
      <c r="Q727" s="12"/>
      <c r="R727" s="12" t="b">
        <v>0</v>
      </c>
      <c r="S727" s="12" t="b">
        <v>0</v>
      </c>
      <c r="T727" s="13" t="s">
        <v>248</v>
      </c>
      <c r="U727" s="13"/>
      <c r="V727" s="13"/>
      <c r="W727" s="13"/>
      <c r="X727" s="15"/>
      <c r="Y727" s="15"/>
      <c r="Z727" s="16"/>
      <c r="AA727" s="16"/>
      <c r="AB727" s="16"/>
      <c r="AC727" s="16"/>
      <c r="AD727" s="16"/>
      <c r="AE727" s="17"/>
      <c r="AF727" s="16"/>
      <c r="AG727" s="17"/>
      <c r="AH727" s="16"/>
      <c r="AI727" s="16"/>
      <c r="AJ727" s="16"/>
      <c r="AK727" s="16"/>
      <c r="AL727" s="16"/>
      <c r="AM727" s="16"/>
      <c r="AN727" s="16"/>
      <c r="AO727" s="16"/>
      <c r="AP727" s="18" t="s">
        <v>3444</v>
      </c>
      <c r="AQ727" s="16"/>
    </row>
    <row r="728" ht="15.75" hidden="1" customHeight="1">
      <c r="A728" s="10" t="s">
        <v>3502</v>
      </c>
      <c r="B728" s="10" t="s">
        <v>3503</v>
      </c>
      <c r="C728" s="10" t="str">
        <f>VLOOKUP(A728,import!A:C,3,0)</f>
        <v>DOĞRU</v>
      </c>
      <c r="D728" s="10" t="s">
        <v>167</v>
      </c>
      <c r="E728" s="10">
        <f>VLOOKUP(A728,import!A:J,5,0)</f>
        <v>348</v>
      </c>
      <c r="F728" s="10">
        <f>VLOOKUP(A728,import!A:J,6,0)</f>
        <v>25</v>
      </c>
      <c r="G728" s="10">
        <f>VLOOKUP(A728,import!A:J,7,0)</f>
        <v>63</v>
      </c>
      <c r="H728" s="10">
        <f>VLOOKUP(A728,import!A:J,8,0)</f>
        <v>0</v>
      </c>
      <c r="I728" s="10">
        <f>VLOOKUP(A728,import!A:J,9,0)</f>
        <v>63</v>
      </c>
      <c r="J728" s="11">
        <f>VLOOKUP(A728,import!A:J,10,0)</f>
        <v>1</v>
      </c>
      <c r="K728" s="10" t="s">
        <v>3504</v>
      </c>
      <c r="L728" s="10">
        <v>5.464713033E9</v>
      </c>
      <c r="M728" s="10" t="s">
        <v>156</v>
      </c>
      <c r="N728" s="10" t="s">
        <v>338</v>
      </c>
      <c r="O728" s="10" t="s">
        <v>3505</v>
      </c>
      <c r="P728" s="10" t="str">
        <f>VLOOKUP(A728,import!A:P,16,0)</f>
        <v>Key</v>
      </c>
      <c r="Q728" s="12"/>
      <c r="R728" s="12" t="b">
        <v>0</v>
      </c>
      <c r="S728" s="12" t="b">
        <v>0</v>
      </c>
      <c r="T728" s="13" t="s">
        <v>248</v>
      </c>
      <c r="U728" s="13"/>
      <c r="V728" s="13"/>
      <c r="W728" s="13"/>
      <c r="X728" s="15"/>
      <c r="Y728" s="15"/>
      <c r="Z728" s="16"/>
      <c r="AA728" s="16"/>
      <c r="AB728" s="16"/>
      <c r="AC728" s="16"/>
      <c r="AD728" s="16"/>
      <c r="AE728" s="17"/>
      <c r="AF728" s="16"/>
      <c r="AG728" s="17"/>
      <c r="AH728" s="16"/>
      <c r="AI728" s="16"/>
      <c r="AJ728" s="16"/>
      <c r="AK728" s="16"/>
      <c r="AL728" s="16"/>
      <c r="AM728" s="16"/>
      <c r="AN728" s="16"/>
      <c r="AO728" s="16"/>
      <c r="AP728" s="18" t="s">
        <v>3444</v>
      </c>
      <c r="AQ728" s="16"/>
    </row>
    <row r="729" ht="15.75" hidden="1" customHeight="1">
      <c r="A729" s="10" t="s">
        <v>3506</v>
      </c>
      <c r="B729" s="10" t="s">
        <v>3507</v>
      </c>
      <c r="C729" s="10" t="str">
        <f>VLOOKUP(A729,import!A:C,3,0)</f>
        <v>DOĞRU</v>
      </c>
      <c r="D729" s="10" t="s">
        <v>167</v>
      </c>
      <c r="E729" s="10">
        <f>VLOOKUP(A729,import!A:J,5,0)</f>
        <v>412</v>
      </c>
      <c r="F729" s="10">
        <f>VLOOKUP(A729,import!A:J,6,0)</f>
        <v>24</v>
      </c>
      <c r="G729" s="10">
        <f>VLOOKUP(A729,import!A:J,7,0)</f>
        <v>97</v>
      </c>
      <c r="H729" s="10">
        <f>VLOOKUP(A729,import!A:J,8,0)</f>
        <v>92</v>
      </c>
      <c r="I729" s="10">
        <f>VLOOKUP(A729,import!A:J,9,0)</f>
        <v>189</v>
      </c>
      <c r="J729" s="11">
        <f>VLOOKUP(A729,import!A:J,10,0)</f>
        <v>0.51</v>
      </c>
      <c r="K729" s="10" t="s">
        <v>3508</v>
      </c>
      <c r="L729" s="10">
        <v>5.4322603E9</v>
      </c>
      <c r="M729" s="10" t="s">
        <v>215</v>
      </c>
      <c r="N729" s="10" t="s">
        <v>658</v>
      </c>
      <c r="O729" s="10" t="s">
        <v>3509</v>
      </c>
      <c r="P729" s="10" t="str">
        <f>VLOOKUP(A729,import!A:P,16,0)</f>
        <v>Key</v>
      </c>
      <c r="Q729" s="12"/>
      <c r="R729" s="12" t="b">
        <v>0</v>
      </c>
      <c r="S729" s="12" t="b">
        <v>0</v>
      </c>
      <c r="T729" s="13" t="s">
        <v>248</v>
      </c>
      <c r="U729" s="13"/>
      <c r="V729" s="13"/>
      <c r="W729" s="13"/>
      <c r="X729" s="15"/>
      <c r="Y729" s="15"/>
      <c r="Z729" s="16"/>
      <c r="AA729" s="16"/>
      <c r="AB729" s="16"/>
      <c r="AC729" s="16"/>
      <c r="AD729" s="16"/>
      <c r="AE729" s="17"/>
      <c r="AF729" s="16"/>
      <c r="AG729" s="17"/>
      <c r="AH729" s="16"/>
      <c r="AI729" s="16"/>
      <c r="AJ729" s="16"/>
      <c r="AK729" s="16"/>
      <c r="AL729" s="16"/>
      <c r="AM729" s="16"/>
      <c r="AN729" s="16"/>
      <c r="AO729" s="16"/>
      <c r="AP729" s="18" t="s">
        <v>3444</v>
      </c>
      <c r="AQ729" s="16"/>
    </row>
    <row r="730" ht="15.75" hidden="1" customHeight="1">
      <c r="A730" s="10" t="s">
        <v>3510</v>
      </c>
      <c r="B730" s="10" t="s">
        <v>3511</v>
      </c>
      <c r="C730" s="10" t="str">
        <f>VLOOKUP(A730,import!A:C,3,0)</f>
        <v>DOĞRU</v>
      </c>
      <c r="D730" s="10" t="s">
        <v>167</v>
      </c>
      <c r="E730" s="10">
        <f>VLOOKUP(A730,import!A:J,5,0)</f>
        <v>1140</v>
      </c>
      <c r="F730" s="10">
        <f>VLOOKUP(A730,import!A:J,6,0)</f>
        <v>57</v>
      </c>
      <c r="G730" s="10">
        <f>VLOOKUP(A730,import!A:J,7,0)</f>
        <v>29</v>
      </c>
      <c r="H730" s="10">
        <f>VLOOKUP(A730,import!A:J,8,0)</f>
        <v>0</v>
      </c>
      <c r="I730" s="10">
        <f>VLOOKUP(A730,import!A:J,9,0)</f>
        <v>29</v>
      </c>
      <c r="J730" s="11">
        <f>VLOOKUP(A730,import!A:J,10,0)</f>
        <v>1</v>
      </c>
      <c r="K730" s="10" t="s">
        <v>3512</v>
      </c>
      <c r="L730" s="10">
        <v>3.24321213E9</v>
      </c>
      <c r="M730" s="10" t="s">
        <v>215</v>
      </c>
      <c r="N730" s="10" t="s">
        <v>239</v>
      </c>
      <c r="O730" s="10" t="s">
        <v>3513</v>
      </c>
      <c r="P730" s="10" t="str">
        <f>VLOOKUP(A730,import!A:P,16,0)</f>
        <v>Key</v>
      </c>
      <c r="Q730" s="12"/>
      <c r="R730" s="12" t="b">
        <v>1</v>
      </c>
      <c r="S730" s="12" t="b">
        <v>0</v>
      </c>
      <c r="T730" s="13" t="s">
        <v>248</v>
      </c>
      <c r="U730" s="13"/>
      <c r="V730" s="13"/>
      <c r="W730" s="13"/>
      <c r="X730" s="15"/>
      <c r="Y730" s="15"/>
      <c r="Z730" s="16"/>
      <c r="AA730" s="16"/>
      <c r="AB730" s="16"/>
      <c r="AC730" s="16"/>
      <c r="AD730" s="16"/>
      <c r="AE730" s="17"/>
      <c r="AF730" s="16"/>
      <c r="AG730" s="17"/>
      <c r="AH730" s="16"/>
      <c r="AI730" s="16"/>
      <c r="AJ730" s="16"/>
      <c r="AK730" s="16"/>
      <c r="AL730" s="16"/>
      <c r="AM730" s="16"/>
      <c r="AN730" s="16"/>
      <c r="AO730" s="16"/>
      <c r="AP730" s="18" t="s">
        <v>3444</v>
      </c>
      <c r="AQ730" s="16"/>
    </row>
    <row r="731" ht="15.75" hidden="1" customHeight="1">
      <c r="A731" s="10" t="s">
        <v>3514</v>
      </c>
      <c r="B731" s="10" t="s">
        <v>3515</v>
      </c>
      <c r="C731" s="10" t="str">
        <f>VLOOKUP(A731,import!A:C,3,0)</f>
        <v>DOĞRU</v>
      </c>
      <c r="D731" s="10" t="s">
        <v>167</v>
      </c>
      <c r="E731" s="10">
        <f>VLOOKUP(A731,import!A:J,5,0)</f>
        <v>1375</v>
      </c>
      <c r="F731" s="10">
        <f>VLOOKUP(A731,import!A:J,6,0)</f>
        <v>45</v>
      </c>
      <c r="G731" s="10">
        <f>VLOOKUP(A731,import!A:J,7,0)</f>
        <v>60</v>
      </c>
      <c r="H731" s="10">
        <f>VLOOKUP(A731,import!A:J,8,0)</f>
        <v>0</v>
      </c>
      <c r="I731" s="10">
        <f>VLOOKUP(A731,import!A:J,9,0)</f>
        <v>60</v>
      </c>
      <c r="J731" s="11">
        <f>VLOOKUP(A731,import!A:J,10,0)</f>
        <v>1</v>
      </c>
      <c r="K731" s="10" t="s">
        <v>3516</v>
      </c>
      <c r="L731" s="10">
        <v>5.313245055E9</v>
      </c>
      <c r="M731" s="10" t="s">
        <v>72</v>
      </c>
      <c r="N731" s="10" t="s">
        <v>128</v>
      </c>
      <c r="O731" s="10" t="s">
        <v>908</v>
      </c>
      <c r="P731" s="10" t="str">
        <f>VLOOKUP(A731,import!A:P,16,0)</f>
        <v>Key</v>
      </c>
      <c r="Q731" s="12" t="s">
        <v>146</v>
      </c>
      <c r="R731" s="12" t="b">
        <v>0</v>
      </c>
      <c r="S731" s="12" t="b">
        <v>0</v>
      </c>
      <c r="T731" s="13" t="s">
        <v>248</v>
      </c>
      <c r="U731" s="13"/>
      <c r="V731" s="13"/>
      <c r="X731" s="15"/>
      <c r="Y731" s="15"/>
      <c r="Z731" s="16"/>
      <c r="AA731" s="16"/>
      <c r="AB731" s="16"/>
      <c r="AC731" s="16"/>
      <c r="AD731" s="16"/>
      <c r="AE731" s="17"/>
      <c r="AF731" s="16"/>
      <c r="AG731" s="17"/>
      <c r="AH731" s="16"/>
      <c r="AI731" s="16"/>
      <c r="AJ731" s="16"/>
      <c r="AK731" s="16"/>
      <c r="AL731" s="16"/>
      <c r="AM731" s="16"/>
      <c r="AN731" s="16"/>
      <c r="AO731" s="16"/>
      <c r="AP731" s="18" t="s">
        <v>3444</v>
      </c>
      <c r="AQ731" s="16"/>
    </row>
    <row r="732" ht="15.75" hidden="1" customHeight="1">
      <c r="A732" s="10" t="s">
        <v>3517</v>
      </c>
      <c r="B732" s="10" t="s">
        <v>3518</v>
      </c>
      <c r="C732" s="10" t="str">
        <f>VLOOKUP(A732,import!A:C,3,0)</f>
        <v>DOĞRU</v>
      </c>
      <c r="D732" s="10" t="s">
        <v>167</v>
      </c>
      <c r="E732" s="10">
        <f>VLOOKUP(A732,import!A:J,5,0)</f>
        <v>1960</v>
      </c>
      <c r="F732" s="10">
        <f>VLOOKUP(A732,import!A:J,6,0)</f>
        <v>50</v>
      </c>
      <c r="G732" s="10">
        <f>VLOOKUP(A732,import!A:J,7,0)</f>
        <v>66</v>
      </c>
      <c r="H732" s="10">
        <f>VLOOKUP(A732,import!A:J,8,0)</f>
        <v>0</v>
      </c>
      <c r="I732" s="10">
        <f>VLOOKUP(A732,import!A:J,9,0)</f>
        <v>66</v>
      </c>
      <c r="J732" s="11">
        <f>VLOOKUP(A732,import!A:J,10,0)</f>
        <v>1</v>
      </c>
      <c r="K732" s="10" t="s">
        <v>3519</v>
      </c>
      <c r="L732" s="10">
        <v>3.24307797E9</v>
      </c>
      <c r="M732" s="10" t="s">
        <v>72</v>
      </c>
      <c r="N732" s="10" t="s">
        <v>352</v>
      </c>
      <c r="O732" s="10" t="s">
        <v>3520</v>
      </c>
      <c r="P732" s="10" t="str">
        <f>VLOOKUP(A732,import!A:P,16,0)</f>
        <v>Key</v>
      </c>
      <c r="Q732" s="12" t="s">
        <v>50</v>
      </c>
      <c r="R732" s="12" t="b">
        <v>0</v>
      </c>
      <c r="S732" s="12" t="b">
        <v>0</v>
      </c>
      <c r="T732" s="13" t="s">
        <v>248</v>
      </c>
      <c r="U732" s="13"/>
      <c r="V732" s="13"/>
      <c r="W732" s="13"/>
      <c r="X732" s="15"/>
      <c r="Y732" s="15"/>
      <c r="Z732" s="16"/>
      <c r="AA732" s="16"/>
      <c r="AB732" s="16"/>
      <c r="AC732" s="16"/>
      <c r="AD732" s="16"/>
      <c r="AE732" s="17"/>
      <c r="AF732" s="16"/>
      <c r="AG732" s="17"/>
      <c r="AH732" s="16"/>
      <c r="AI732" s="16"/>
      <c r="AJ732" s="16"/>
      <c r="AK732" s="16"/>
      <c r="AL732" s="16"/>
      <c r="AM732" s="16"/>
      <c r="AN732" s="16"/>
      <c r="AO732" s="16"/>
      <c r="AP732" s="18" t="s">
        <v>3444</v>
      </c>
      <c r="AQ732" s="16"/>
    </row>
    <row r="733" ht="15.75" hidden="1" customHeight="1">
      <c r="A733" s="10" t="s">
        <v>3521</v>
      </c>
      <c r="B733" s="10" t="s">
        <v>3522</v>
      </c>
      <c r="C733" s="10" t="str">
        <f>VLOOKUP(A733,import!A:C,3,0)</f>
        <v>DOĞRU</v>
      </c>
      <c r="D733" s="10" t="s">
        <v>167</v>
      </c>
      <c r="E733" s="10">
        <f>VLOOKUP(A733,import!A:J,5,0)</f>
        <v>4283</v>
      </c>
      <c r="F733" s="10">
        <f>VLOOKUP(A733,import!A:J,6,0)</f>
        <v>221</v>
      </c>
      <c r="G733" s="10">
        <f>VLOOKUP(A733,import!A:J,7,0)</f>
        <v>23</v>
      </c>
      <c r="H733" s="10">
        <f>VLOOKUP(A733,import!A:J,8,0)</f>
        <v>2</v>
      </c>
      <c r="I733" s="10">
        <f>VLOOKUP(A733,import!A:J,9,0)</f>
        <v>25</v>
      </c>
      <c r="J733" s="11">
        <f>VLOOKUP(A733,import!A:J,10,0)</f>
        <v>0.92</v>
      </c>
      <c r="K733" s="10" t="s">
        <v>3523</v>
      </c>
      <c r="L733" s="10">
        <v>5.539494979E9</v>
      </c>
      <c r="M733" s="10" t="s">
        <v>72</v>
      </c>
      <c r="N733" s="10" t="s">
        <v>82</v>
      </c>
      <c r="O733" s="10" t="s">
        <v>3524</v>
      </c>
      <c r="P733" s="10" t="str">
        <f>VLOOKUP(A733,import!A:P,16,0)</f>
        <v>Key</v>
      </c>
      <c r="Q733" s="12"/>
      <c r="R733" s="12" t="b">
        <v>0</v>
      </c>
      <c r="S733" s="12" t="b">
        <v>0</v>
      </c>
      <c r="T733" s="13" t="s">
        <v>248</v>
      </c>
      <c r="U733" s="13"/>
      <c r="V733" s="13"/>
      <c r="W733" s="13"/>
      <c r="X733" s="15"/>
      <c r="Y733" s="15"/>
      <c r="Z733" s="16"/>
      <c r="AA733" s="16"/>
      <c r="AB733" s="16"/>
      <c r="AC733" s="16"/>
      <c r="AD733" s="16"/>
      <c r="AE733" s="17"/>
      <c r="AF733" s="16"/>
      <c r="AG733" s="17"/>
      <c r="AH733" s="16"/>
      <c r="AI733" s="16"/>
      <c r="AJ733" s="16"/>
      <c r="AK733" s="16"/>
      <c r="AL733" s="16"/>
      <c r="AM733" s="16"/>
      <c r="AN733" s="16"/>
      <c r="AO733" s="16"/>
      <c r="AP733" s="18" t="s">
        <v>3444</v>
      </c>
      <c r="AQ733" s="16"/>
    </row>
    <row r="734" ht="15.75" hidden="1" customHeight="1">
      <c r="A734" s="10" t="s">
        <v>3525</v>
      </c>
      <c r="B734" s="10" t="s">
        <v>3526</v>
      </c>
      <c r="C734" s="10" t="str">
        <f>VLOOKUP(A734,import!A:C,3,0)</f>
        <v>DOĞRU</v>
      </c>
      <c r="D734" s="10" t="s">
        <v>167</v>
      </c>
      <c r="E734" s="10">
        <f>VLOOKUP(A734,import!A:J,5,0)</f>
        <v>804</v>
      </c>
      <c r="F734" s="10">
        <f>VLOOKUP(A734,import!A:J,6,0)</f>
        <v>13</v>
      </c>
      <c r="G734" s="10">
        <f>VLOOKUP(A734,import!A:J,7,0)</f>
        <v>58</v>
      </c>
      <c r="H734" s="10">
        <f>VLOOKUP(A734,import!A:J,8,0)</f>
        <v>0</v>
      </c>
      <c r="I734" s="10">
        <f>VLOOKUP(A734,import!A:J,9,0)</f>
        <v>58</v>
      </c>
      <c r="J734" s="11">
        <f>VLOOKUP(A734,import!A:J,10,0)</f>
        <v>1</v>
      </c>
      <c r="K734" s="10" t="s">
        <v>3508</v>
      </c>
      <c r="L734" s="10">
        <v>5.524792201E9</v>
      </c>
      <c r="M734" s="10" t="s">
        <v>72</v>
      </c>
      <c r="N734" s="10" t="s">
        <v>509</v>
      </c>
      <c r="O734" s="10" t="s">
        <v>3527</v>
      </c>
      <c r="P734" s="10" t="str">
        <f>VLOOKUP(A734,import!A:P,16,0)</f>
        <v>Key</v>
      </c>
      <c r="Q734" s="12"/>
      <c r="R734" s="12" t="b">
        <v>0</v>
      </c>
      <c r="S734" s="12" t="b">
        <v>0</v>
      </c>
      <c r="T734" s="13" t="s">
        <v>248</v>
      </c>
      <c r="U734" s="13"/>
      <c r="V734" s="13"/>
      <c r="W734" s="13"/>
      <c r="X734" s="15"/>
      <c r="Y734" s="15"/>
      <c r="Z734" s="16"/>
      <c r="AA734" s="16"/>
      <c r="AB734" s="16"/>
      <c r="AC734" s="16"/>
      <c r="AD734" s="16"/>
      <c r="AE734" s="17"/>
      <c r="AF734" s="16"/>
      <c r="AG734" s="17"/>
      <c r="AH734" s="16"/>
      <c r="AI734" s="16"/>
      <c r="AJ734" s="16"/>
      <c r="AK734" s="16"/>
      <c r="AL734" s="16"/>
      <c r="AM734" s="16"/>
      <c r="AN734" s="16"/>
      <c r="AO734" s="16"/>
      <c r="AP734" s="18" t="s">
        <v>3444</v>
      </c>
      <c r="AQ734" s="16"/>
    </row>
    <row r="735" ht="15.75" hidden="1" customHeight="1">
      <c r="A735" s="10" t="s">
        <v>3528</v>
      </c>
      <c r="B735" s="10" t="s">
        <v>3529</v>
      </c>
      <c r="C735" s="10" t="str">
        <f>VLOOKUP(A735,import!A:C,3,0)</f>
        <v>DOĞRU</v>
      </c>
      <c r="D735" s="10" t="s">
        <v>167</v>
      </c>
      <c r="E735" s="10">
        <f>VLOOKUP(A735,import!A:J,5,0)</f>
        <v>1554</v>
      </c>
      <c r="F735" s="10">
        <f>VLOOKUP(A735,import!A:J,6,0)</f>
        <v>82</v>
      </c>
      <c r="G735" s="10">
        <f>VLOOKUP(A735,import!A:J,7,0)</f>
        <v>66</v>
      </c>
      <c r="H735" s="10">
        <f>VLOOKUP(A735,import!A:J,8,0)</f>
        <v>0</v>
      </c>
      <c r="I735" s="10">
        <f>VLOOKUP(A735,import!A:J,9,0)</f>
        <v>66</v>
      </c>
      <c r="J735" s="11">
        <f>VLOOKUP(A735,import!A:J,10,0)</f>
        <v>1</v>
      </c>
      <c r="K735" s="10" t="s">
        <v>3530</v>
      </c>
      <c r="L735" s="10">
        <v>3.249990535E9</v>
      </c>
      <c r="M735" s="10" t="s">
        <v>72</v>
      </c>
      <c r="N735" s="10" t="s">
        <v>181</v>
      </c>
      <c r="O735" s="10" t="s">
        <v>3531</v>
      </c>
      <c r="P735" s="10" t="str">
        <f>VLOOKUP(A735,import!A:P,16,0)</f>
        <v>Key</v>
      </c>
      <c r="Q735" s="12" t="s">
        <v>50</v>
      </c>
      <c r="R735" s="12" t="b">
        <v>0</v>
      </c>
      <c r="S735" s="13" t="b">
        <v>0</v>
      </c>
      <c r="T735" s="13" t="s">
        <v>248</v>
      </c>
      <c r="U735" s="13"/>
      <c r="V735" s="23"/>
      <c r="W735" s="13"/>
      <c r="X735" s="15"/>
      <c r="Y735" s="15"/>
      <c r="Z735" s="16"/>
      <c r="AA735" s="16"/>
      <c r="AB735" s="16"/>
      <c r="AC735" s="16"/>
      <c r="AD735" s="16"/>
      <c r="AE735" s="17"/>
      <c r="AF735" s="16"/>
      <c r="AG735" s="17"/>
      <c r="AH735" s="16"/>
      <c r="AI735" s="16"/>
      <c r="AJ735" s="16"/>
      <c r="AK735" s="16"/>
      <c r="AL735" s="16"/>
      <c r="AM735" s="16"/>
      <c r="AN735" s="16"/>
      <c r="AO735" s="16"/>
      <c r="AP735" s="18" t="s">
        <v>3444</v>
      </c>
      <c r="AQ735" s="16"/>
    </row>
    <row r="736" ht="15.75" hidden="1" customHeight="1">
      <c r="A736" s="10" t="s">
        <v>3532</v>
      </c>
      <c r="B736" s="10" t="s">
        <v>3533</v>
      </c>
      <c r="C736" s="10" t="str">
        <f>VLOOKUP(A736,import!A:C,3,0)</f>
        <v>DOĞRU</v>
      </c>
      <c r="D736" s="10" t="s">
        <v>167</v>
      </c>
      <c r="E736" s="10">
        <f>VLOOKUP(A736,import!A:J,5,0)</f>
        <v>2052</v>
      </c>
      <c r="F736" s="10">
        <f>VLOOKUP(A736,import!A:J,6,0)</f>
        <v>29</v>
      </c>
      <c r="G736" s="10">
        <f>VLOOKUP(A736,import!A:J,7,0)</f>
        <v>60</v>
      </c>
      <c r="H736" s="10">
        <f>VLOOKUP(A736,import!A:J,8,0)</f>
        <v>0</v>
      </c>
      <c r="I736" s="10">
        <f>VLOOKUP(A736,import!A:J,9,0)</f>
        <v>60</v>
      </c>
      <c r="J736" s="11">
        <f>VLOOKUP(A736,import!A:J,10,0)</f>
        <v>1</v>
      </c>
      <c r="K736" s="10" t="s">
        <v>3534</v>
      </c>
      <c r="L736" s="10">
        <v>3.24329333E9</v>
      </c>
      <c r="M736" s="10" t="s">
        <v>72</v>
      </c>
      <c r="N736" s="10" t="s">
        <v>73</v>
      </c>
      <c r="O736" s="10" t="s">
        <v>3535</v>
      </c>
      <c r="P736" s="10" t="str">
        <f>VLOOKUP(A736,import!A:P,16,0)</f>
        <v>Key</v>
      </c>
      <c r="Q736" s="12" t="s">
        <v>50</v>
      </c>
      <c r="R736" s="12" t="b">
        <v>0</v>
      </c>
      <c r="S736" s="12" t="b">
        <v>0</v>
      </c>
      <c r="T736" s="13" t="s">
        <v>248</v>
      </c>
      <c r="U736" s="13"/>
      <c r="V736" s="13"/>
      <c r="W736" s="13"/>
      <c r="X736" s="15"/>
      <c r="Y736" s="15"/>
      <c r="Z736" s="16"/>
      <c r="AA736" s="16"/>
      <c r="AB736" s="16"/>
      <c r="AC736" s="16"/>
      <c r="AD736" s="16"/>
      <c r="AE736" s="17"/>
      <c r="AF736" s="16"/>
      <c r="AG736" s="17"/>
      <c r="AH736" s="16"/>
      <c r="AI736" s="16"/>
      <c r="AJ736" s="16"/>
      <c r="AK736" s="16"/>
      <c r="AL736" s="16"/>
      <c r="AM736" s="16"/>
      <c r="AN736" s="16"/>
      <c r="AO736" s="16"/>
      <c r="AP736" s="18" t="s">
        <v>3444</v>
      </c>
      <c r="AQ736" s="16"/>
    </row>
    <row r="737" ht="15.75" hidden="1" customHeight="1">
      <c r="A737" s="10" t="s">
        <v>3536</v>
      </c>
      <c r="B737" s="10" t="s">
        <v>3537</v>
      </c>
      <c r="C737" s="10" t="str">
        <f>VLOOKUP(A737,import!A:C,3,0)</f>
        <v>DOĞRU</v>
      </c>
      <c r="D737" s="10" t="s">
        <v>167</v>
      </c>
      <c r="E737" s="10">
        <f>VLOOKUP(A737,import!A:J,5,0)</f>
        <v>2932</v>
      </c>
      <c r="F737" s="10">
        <f>VLOOKUP(A737,import!A:J,6,0)</f>
        <v>126</v>
      </c>
      <c r="G737" s="10">
        <f>VLOOKUP(A737,import!A:J,7,0)</f>
        <v>64</v>
      </c>
      <c r="H737" s="10">
        <f>VLOOKUP(A737,import!A:J,8,0)</f>
        <v>0</v>
      </c>
      <c r="I737" s="10">
        <f>VLOOKUP(A737,import!A:J,9,0)</f>
        <v>64</v>
      </c>
      <c r="J737" s="11">
        <f>VLOOKUP(A737,import!A:J,10,0)</f>
        <v>1</v>
      </c>
      <c r="K737" s="10" t="s">
        <v>3519</v>
      </c>
      <c r="L737" s="10">
        <v>5.342025005E9</v>
      </c>
      <c r="M737" s="10" t="s">
        <v>72</v>
      </c>
      <c r="N737" s="10" t="s">
        <v>716</v>
      </c>
      <c r="O737" s="10" t="s">
        <v>3538</v>
      </c>
      <c r="P737" s="10" t="str">
        <f>VLOOKUP(A737,import!A:P,16,0)</f>
        <v>Key</v>
      </c>
      <c r="Q737" s="12" t="s">
        <v>50</v>
      </c>
      <c r="R737" s="12" t="b">
        <v>0</v>
      </c>
      <c r="S737" s="12" t="b">
        <v>0</v>
      </c>
      <c r="T737" s="13" t="s">
        <v>248</v>
      </c>
      <c r="U737" s="13"/>
      <c r="V737" s="13"/>
      <c r="W737" s="13"/>
      <c r="X737" s="15"/>
      <c r="Y737" s="15"/>
      <c r="Z737" s="16"/>
      <c r="AA737" s="16"/>
      <c r="AB737" s="16"/>
      <c r="AC737" s="16"/>
      <c r="AD737" s="16"/>
      <c r="AE737" s="17"/>
      <c r="AF737" s="16"/>
      <c r="AG737" s="17"/>
      <c r="AH737" s="16"/>
      <c r="AI737" s="16"/>
      <c r="AJ737" s="16"/>
      <c r="AK737" s="16"/>
      <c r="AL737" s="16"/>
      <c r="AM737" s="16"/>
      <c r="AN737" s="16"/>
      <c r="AO737" s="16"/>
      <c r="AP737" s="18" t="s">
        <v>3444</v>
      </c>
      <c r="AQ737" s="16"/>
    </row>
    <row r="738" ht="15.75" hidden="1" customHeight="1">
      <c r="A738" s="10" t="s">
        <v>3539</v>
      </c>
      <c r="B738" s="10" t="s">
        <v>3540</v>
      </c>
      <c r="C738" s="10" t="str">
        <f>VLOOKUP(A738,import!A:C,3,0)</f>
        <v>DOĞRU</v>
      </c>
      <c r="D738" s="10" t="s">
        <v>167</v>
      </c>
      <c r="E738" s="10">
        <f>VLOOKUP(A738,import!A:J,5,0)</f>
        <v>192</v>
      </c>
      <c r="F738" s="10" t="str">
        <f>VLOOKUP(A738,import!A:J,6,0)</f>
        <v/>
      </c>
      <c r="G738" s="10">
        <f>VLOOKUP(A738,import!A:J,7,0)</f>
        <v>61</v>
      </c>
      <c r="H738" s="10">
        <f>VLOOKUP(A738,import!A:J,8,0)</f>
        <v>0</v>
      </c>
      <c r="I738" s="10">
        <f>VLOOKUP(A738,import!A:J,9,0)</f>
        <v>61</v>
      </c>
      <c r="J738" s="11">
        <f>VLOOKUP(A738,import!A:J,10,0)</f>
        <v>1</v>
      </c>
      <c r="K738" s="10" t="s">
        <v>3541</v>
      </c>
      <c r="L738" s="10">
        <v>5.413305333E9</v>
      </c>
      <c r="M738" s="10" t="s">
        <v>156</v>
      </c>
      <c r="N738" s="10" t="s">
        <v>252</v>
      </c>
      <c r="O738" s="10" t="s">
        <v>3542</v>
      </c>
      <c r="P738" s="10" t="str">
        <f>VLOOKUP(A738,import!A:P,16,0)</f>
        <v>Key</v>
      </c>
      <c r="Q738" s="12" t="s">
        <v>146</v>
      </c>
      <c r="R738" s="12" t="b">
        <v>0</v>
      </c>
      <c r="S738" s="12" t="b">
        <v>0</v>
      </c>
      <c r="T738" s="13" t="s">
        <v>248</v>
      </c>
      <c r="U738" s="13"/>
      <c r="V738" s="13"/>
      <c r="W738" s="13"/>
      <c r="X738" s="15"/>
      <c r="Y738" s="15"/>
      <c r="Z738" s="16"/>
      <c r="AA738" s="16"/>
      <c r="AB738" s="16"/>
      <c r="AC738" s="16"/>
      <c r="AD738" s="16"/>
      <c r="AE738" s="17"/>
      <c r="AF738" s="16"/>
      <c r="AG738" s="17"/>
      <c r="AH738" s="16"/>
      <c r="AI738" s="16"/>
      <c r="AJ738" s="16"/>
      <c r="AK738" s="16"/>
      <c r="AL738" s="16"/>
      <c r="AM738" s="16"/>
      <c r="AN738" s="16"/>
      <c r="AO738" s="16"/>
      <c r="AP738" s="18" t="s">
        <v>3444</v>
      </c>
      <c r="AQ738" s="16"/>
    </row>
    <row r="739" ht="15.75" customHeight="1">
      <c r="A739" s="10" t="s">
        <v>3543</v>
      </c>
      <c r="B739" s="10" t="s">
        <v>3544</v>
      </c>
      <c r="C739" s="10" t="str">
        <f>VLOOKUP(A739,import!A:C,3,0)</f>
        <v>DOĞRU</v>
      </c>
      <c r="D739" s="10" t="s">
        <v>80</v>
      </c>
      <c r="E739" s="10">
        <f>VLOOKUP(A739,import!A:J,5,0)</f>
        <v>210</v>
      </c>
      <c r="F739" s="10">
        <f>VLOOKUP(A739,import!A:J,6,0)</f>
        <v>24</v>
      </c>
      <c r="G739" s="10">
        <f>VLOOKUP(A739,import!A:J,7,0)</f>
        <v>0</v>
      </c>
      <c r="H739" s="10">
        <f>VLOOKUP(A739,import!A:J,8,0)</f>
        <v>16</v>
      </c>
      <c r="I739" s="10">
        <f>VLOOKUP(A739,import!A:J,9,0)</f>
        <v>16</v>
      </c>
      <c r="J739" s="11">
        <f>VLOOKUP(A739,import!A:J,10,0)</f>
        <v>0</v>
      </c>
      <c r="K739" s="10" t="s">
        <v>3545</v>
      </c>
      <c r="L739" s="10">
        <v>3.243594757E9</v>
      </c>
      <c r="M739" s="10" t="s">
        <v>63</v>
      </c>
      <c r="N739" s="10" t="s">
        <v>137</v>
      </c>
      <c r="O739" s="10" t="s">
        <v>3546</v>
      </c>
      <c r="P739" s="10" t="str">
        <f>VLOOKUP(A739,import!A:P,16,0)</f>
        <v>Geleneksel</v>
      </c>
      <c r="Q739" s="12"/>
      <c r="R739" s="12" t="b">
        <v>1</v>
      </c>
      <c r="S739" s="12" t="b">
        <v>0</v>
      </c>
      <c r="T739" s="13" t="s">
        <v>130</v>
      </c>
      <c r="U739" s="13"/>
      <c r="V739" s="13"/>
      <c r="W739" s="13" t="s">
        <v>3547</v>
      </c>
      <c r="X739" s="15"/>
      <c r="Y739" s="15"/>
      <c r="Z739" s="16"/>
      <c r="AA739" s="17" t="s">
        <v>56</v>
      </c>
      <c r="AB739" s="16">
        <v>44635.0</v>
      </c>
      <c r="AC739" s="17" t="s">
        <v>56</v>
      </c>
      <c r="AD739" s="16">
        <v>44660.0</v>
      </c>
      <c r="AE739" s="17"/>
      <c r="AF739" s="16"/>
      <c r="AG739" s="17"/>
      <c r="AH739" s="16"/>
      <c r="AI739" s="16"/>
      <c r="AJ739" s="16"/>
      <c r="AK739" s="17" t="s">
        <v>89</v>
      </c>
      <c r="AL739" s="17" t="s">
        <v>89</v>
      </c>
      <c r="AM739" s="16"/>
      <c r="AN739" s="16"/>
      <c r="AO739" s="16"/>
      <c r="AP739" s="18"/>
      <c r="AQ739" s="16"/>
    </row>
    <row r="740" ht="15.75" hidden="1" customHeight="1">
      <c r="A740" s="10" t="s">
        <v>3548</v>
      </c>
      <c r="B740" s="10" t="s">
        <v>3549</v>
      </c>
      <c r="C740" s="10" t="str">
        <f>VLOOKUP(A740,import!A:C,3,0)</f>
        <v>DOĞRU</v>
      </c>
      <c r="D740" s="10" t="s">
        <v>80</v>
      </c>
      <c r="E740" s="10">
        <f>VLOOKUP(A740,import!A:J,5,0)</f>
        <v>1285</v>
      </c>
      <c r="F740" s="10">
        <f>VLOOKUP(A740,import!A:J,6,0)</f>
        <v>104</v>
      </c>
      <c r="G740" s="10">
        <f>VLOOKUP(A740,import!A:J,7,0)</f>
        <v>6</v>
      </c>
      <c r="H740" s="10">
        <f>VLOOKUP(A740,import!A:J,8,0)</f>
        <v>4</v>
      </c>
      <c r="I740" s="10">
        <f>VLOOKUP(A740,import!A:J,9,0)</f>
        <v>10</v>
      </c>
      <c r="J740" s="11">
        <f>VLOOKUP(A740,import!A:J,10,0)</f>
        <v>0.6</v>
      </c>
      <c r="K740" s="10" t="s">
        <v>3550</v>
      </c>
      <c r="L740" s="10">
        <v>3.243250233E9</v>
      </c>
      <c r="M740" s="10" t="s">
        <v>72</v>
      </c>
      <c r="N740" s="10" t="s">
        <v>716</v>
      </c>
      <c r="O740" s="10" t="s">
        <v>3551</v>
      </c>
      <c r="P740" s="10" t="str">
        <f>VLOOKUP(A740,import!A:P,16,0)</f>
        <v>Geleneksel</v>
      </c>
      <c r="Q740" s="12"/>
      <c r="R740" s="12" t="b">
        <v>1</v>
      </c>
      <c r="S740" s="12" t="b">
        <v>0</v>
      </c>
      <c r="T740" s="13" t="s">
        <v>51</v>
      </c>
      <c r="U740" s="13" t="s">
        <v>52</v>
      </c>
      <c r="V740" s="13" t="s">
        <v>53</v>
      </c>
      <c r="W740" s="13"/>
      <c r="X740" s="15">
        <v>44333.0</v>
      </c>
      <c r="Y740" s="15">
        <v>44335.0</v>
      </c>
      <c r="Z740" s="16"/>
      <c r="AA740" s="16"/>
      <c r="AB740" s="16"/>
      <c r="AC740" s="16"/>
      <c r="AD740" s="16"/>
      <c r="AE740" s="17"/>
      <c r="AF740" s="16"/>
      <c r="AG740" s="17"/>
      <c r="AH740" s="16"/>
      <c r="AI740" s="16"/>
      <c r="AJ740" s="16"/>
      <c r="AK740" s="16"/>
      <c r="AL740" s="16"/>
      <c r="AM740" s="16"/>
      <c r="AN740" s="16"/>
      <c r="AO740" s="16"/>
      <c r="AP740" s="18" t="s">
        <v>58</v>
      </c>
      <c r="AQ740" s="16"/>
    </row>
    <row r="741" ht="15.75" customHeight="1">
      <c r="A741" s="10" t="s">
        <v>3552</v>
      </c>
      <c r="B741" s="10" t="s">
        <v>3553</v>
      </c>
      <c r="C741" s="10" t="str">
        <f>VLOOKUP(A741,import!A:C,3,0)</f>
        <v>DOĞRU</v>
      </c>
      <c r="D741" s="10" t="s">
        <v>356</v>
      </c>
      <c r="E741" s="10">
        <f>VLOOKUP(A741,import!A:J,5,0)</f>
        <v>380</v>
      </c>
      <c r="F741" s="10">
        <f>VLOOKUP(A741,import!A:J,6,0)</f>
        <v>15</v>
      </c>
      <c r="G741" s="10">
        <f>VLOOKUP(A741,import!A:J,7,0)</f>
        <v>9</v>
      </c>
      <c r="H741" s="10">
        <f>VLOOKUP(A741,import!A:J,8,0)</f>
        <v>13</v>
      </c>
      <c r="I741" s="10">
        <f>VLOOKUP(A741,import!A:J,9,0)</f>
        <v>22</v>
      </c>
      <c r="J741" s="11">
        <f>VLOOKUP(A741,import!A:J,10,0)</f>
        <v>0.41</v>
      </c>
      <c r="K741" s="10" t="s">
        <v>3554</v>
      </c>
      <c r="L741" s="10">
        <v>3.243363071E9</v>
      </c>
      <c r="M741" s="10" t="s">
        <v>137</v>
      </c>
      <c r="N741" s="10" t="s">
        <v>526</v>
      </c>
      <c r="O741" s="10" t="s">
        <v>3555</v>
      </c>
      <c r="P741" s="10" t="str">
        <f>VLOOKUP(A741,import!A:P,16,0)</f>
        <v>Geleneksel</v>
      </c>
      <c r="Q741" s="12" t="s">
        <v>146</v>
      </c>
      <c r="R741" s="12" t="b">
        <v>1</v>
      </c>
      <c r="S741" s="12" t="b">
        <v>0</v>
      </c>
      <c r="T741" s="14" t="s">
        <v>51</v>
      </c>
      <c r="U741" s="14" t="s">
        <v>52</v>
      </c>
      <c r="V741" s="14" t="s">
        <v>53</v>
      </c>
      <c r="W741" s="14" t="s">
        <v>3556</v>
      </c>
      <c r="X741" s="29">
        <v>44343.0</v>
      </c>
      <c r="Y741" s="29">
        <v>44317.0</v>
      </c>
      <c r="Z741" s="16"/>
      <c r="AA741" s="17" t="s">
        <v>56</v>
      </c>
      <c r="AB741" s="16">
        <v>44349.0</v>
      </c>
      <c r="AC741" s="17" t="s">
        <v>56</v>
      </c>
      <c r="AD741" s="16">
        <v>44411.0</v>
      </c>
      <c r="AE741" s="17" t="s">
        <v>56</v>
      </c>
      <c r="AF741" s="16">
        <v>44550.0</v>
      </c>
      <c r="AG741" s="17"/>
      <c r="AH741" s="16"/>
      <c r="AI741" s="16"/>
      <c r="AJ741" s="16"/>
      <c r="AK741" s="17" t="s">
        <v>124</v>
      </c>
      <c r="AL741" s="17" t="s">
        <v>57</v>
      </c>
      <c r="AM741" s="17" t="s">
        <v>103</v>
      </c>
      <c r="AN741" s="16"/>
      <c r="AO741" s="16"/>
      <c r="AP741" s="18" t="s">
        <v>58</v>
      </c>
      <c r="AQ741" s="16"/>
    </row>
    <row r="742" ht="15.75" hidden="1" customHeight="1">
      <c r="A742" s="18" t="s">
        <v>3557</v>
      </c>
      <c r="B742" s="18" t="s">
        <v>3558</v>
      </c>
      <c r="C742" s="10" t="str">
        <f>VLOOKUP(A742,import!A:C,3,0)</f>
        <v>DOĞRU</v>
      </c>
      <c r="D742" s="18" t="s">
        <v>45</v>
      </c>
      <c r="E742" s="10">
        <f>VLOOKUP(A742,import!A:J,5,0)</f>
        <v>85</v>
      </c>
      <c r="F742" s="10">
        <f>VLOOKUP(A742,import!A:J,6,0)</f>
        <v>85</v>
      </c>
      <c r="G742" s="10">
        <f>VLOOKUP(A742,import!A:J,7,0)</f>
        <v>0</v>
      </c>
      <c r="H742" s="10">
        <f>VLOOKUP(A742,import!A:J,8,0)</f>
        <v>35</v>
      </c>
      <c r="I742" s="10">
        <f>VLOOKUP(A742,import!A:J,9,0)</f>
        <v>35</v>
      </c>
      <c r="J742" s="11">
        <f>VLOOKUP(A742,import!A:J,10,0)</f>
        <v>0</v>
      </c>
      <c r="K742" s="18" t="s">
        <v>3559</v>
      </c>
      <c r="L742" s="18">
        <v>3.245030015E9</v>
      </c>
      <c r="M742" s="18" t="s">
        <v>72</v>
      </c>
      <c r="N742" s="18" t="s">
        <v>82</v>
      </c>
      <c r="O742" s="18" t="s">
        <v>3560</v>
      </c>
      <c r="P742" s="10" t="str">
        <f>VLOOKUP(A742,import!A:P,16,0)</f>
        <v>Geleneksel</v>
      </c>
      <c r="Q742" s="12"/>
      <c r="R742" s="12" t="b">
        <v>0</v>
      </c>
      <c r="S742" s="12" t="b">
        <v>0</v>
      </c>
      <c r="T742" s="13"/>
      <c r="U742" s="13"/>
      <c r="V742" s="13"/>
      <c r="W742" s="13"/>
      <c r="X742" s="15"/>
      <c r="Y742" s="15"/>
      <c r="Z742" s="16"/>
      <c r="AA742" s="17"/>
      <c r="AB742" s="16"/>
      <c r="AC742" s="16"/>
      <c r="AD742" s="16"/>
      <c r="AE742" s="17"/>
      <c r="AF742" s="16"/>
      <c r="AG742" s="17"/>
      <c r="AH742" s="16"/>
      <c r="AI742" s="16"/>
      <c r="AJ742" s="16"/>
      <c r="AK742" s="17"/>
      <c r="AL742" s="16"/>
      <c r="AM742" s="16"/>
      <c r="AN742" s="16"/>
      <c r="AO742" s="16"/>
      <c r="AP742" s="18"/>
      <c r="AQ742" s="16"/>
    </row>
    <row r="743" ht="15.75" customHeight="1">
      <c r="A743" s="10" t="s">
        <v>3561</v>
      </c>
      <c r="B743" s="10" t="s">
        <v>3562</v>
      </c>
      <c r="C743" s="10" t="str">
        <f>VLOOKUP(A743,import!A:C,3,0)</f>
        <v>DOĞRU</v>
      </c>
      <c r="D743" s="10" t="s">
        <v>451</v>
      </c>
      <c r="E743" s="10">
        <f>VLOOKUP(A743,import!A:J,5,0)</f>
        <v>1110</v>
      </c>
      <c r="F743" s="10">
        <f>VLOOKUP(A743,import!A:J,6,0)</f>
        <v>22</v>
      </c>
      <c r="G743" s="10">
        <f>VLOOKUP(A743,import!A:J,7,0)</f>
        <v>0</v>
      </c>
      <c r="H743" s="10">
        <f>VLOOKUP(A743,import!A:J,8,0)</f>
        <v>19</v>
      </c>
      <c r="I743" s="10">
        <f>VLOOKUP(A743,import!A:J,9,0)</f>
        <v>19</v>
      </c>
      <c r="J743" s="11">
        <f>VLOOKUP(A743,import!A:J,10,0)</f>
        <v>0</v>
      </c>
      <c r="K743" s="10" t="s">
        <v>3563</v>
      </c>
      <c r="L743" s="10">
        <v>3.24358058E9</v>
      </c>
      <c r="M743" s="10" t="s">
        <v>63</v>
      </c>
      <c r="N743" s="10" t="s">
        <v>700</v>
      </c>
      <c r="O743" s="10" t="s">
        <v>3564</v>
      </c>
      <c r="P743" s="10" t="str">
        <f>VLOOKUP(A743,import!A:P,16,0)</f>
        <v>Geleneksel</v>
      </c>
      <c r="Q743" s="12"/>
      <c r="R743" s="12" t="b">
        <v>1</v>
      </c>
      <c r="S743" s="12" t="b">
        <v>1</v>
      </c>
      <c r="T743" s="13"/>
      <c r="U743" s="13" t="s">
        <v>52</v>
      </c>
      <c r="V743" s="13" t="s">
        <v>53</v>
      </c>
      <c r="W743" s="13" t="s">
        <v>3565</v>
      </c>
      <c r="X743" s="15">
        <v>44517.0</v>
      </c>
      <c r="Y743" s="15">
        <v>44523.0</v>
      </c>
      <c r="Z743" s="16"/>
      <c r="AA743" s="17" t="s">
        <v>56</v>
      </c>
      <c r="AB743" s="16">
        <v>44495.0</v>
      </c>
      <c r="AC743" s="17" t="s">
        <v>56</v>
      </c>
      <c r="AD743" s="16">
        <v>44517.0</v>
      </c>
      <c r="AE743" s="17" t="s">
        <v>56</v>
      </c>
      <c r="AF743" s="16">
        <v>44546.0</v>
      </c>
      <c r="AG743" s="17" t="s">
        <v>56</v>
      </c>
      <c r="AH743" s="16">
        <v>44552.0</v>
      </c>
      <c r="AI743" s="17" t="s">
        <v>230</v>
      </c>
      <c r="AJ743" s="16">
        <v>44590.0</v>
      </c>
      <c r="AK743" s="17" t="s">
        <v>89</v>
      </c>
      <c r="AL743" s="17" t="s">
        <v>52</v>
      </c>
      <c r="AM743" s="17" t="s">
        <v>87</v>
      </c>
      <c r="AN743" s="17" t="s">
        <v>329</v>
      </c>
      <c r="AO743" s="17" t="s">
        <v>89</v>
      </c>
      <c r="AP743" s="18" t="s">
        <v>58</v>
      </c>
      <c r="AQ743" s="16"/>
    </row>
    <row r="744" ht="15.75" hidden="1" customHeight="1">
      <c r="A744" s="10" t="s">
        <v>3566</v>
      </c>
      <c r="B744" s="10" t="s">
        <v>3567</v>
      </c>
      <c r="C744" s="10" t="str">
        <f>VLOOKUP(A744,import!A:C,3,0)</f>
        <v>DOĞRU</v>
      </c>
      <c r="D744" s="10" t="s">
        <v>45</v>
      </c>
      <c r="E744" s="10">
        <f>VLOOKUP(A744,import!A:J,5,0)</f>
        <v>11935</v>
      </c>
      <c r="F744" s="10">
        <f>VLOOKUP(A744,import!A:J,6,0)</f>
        <v>1214</v>
      </c>
      <c r="G744" s="10">
        <f>VLOOKUP(A744,import!A:J,7,0)</f>
        <v>0</v>
      </c>
      <c r="H744" s="10">
        <f>VLOOKUP(A744,import!A:J,8,0)</f>
        <v>44</v>
      </c>
      <c r="I744" s="10">
        <f>VLOOKUP(A744,import!A:J,9,0)</f>
        <v>44</v>
      </c>
      <c r="J744" s="11">
        <f>VLOOKUP(A744,import!A:J,10,0)</f>
        <v>0</v>
      </c>
      <c r="K744" s="10" t="s">
        <v>3568</v>
      </c>
      <c r="L744" s="10">
        <v>3.249996589E9</v>
      </c>
      <c r="M744" s="10" t="s">
        <v>72</v>
      </c>
      <c r="N744" s="10" t="s">
        <v>150</v>
      </c>
      <c r="O744" s="10" t="s">
        <v>3569</v>
      </c>
      <c r="P744" s="10" t="str">
        <f>VLOOKUP(A744,import!A:P,16,0)</f>
        <v>Geleneksel</v>
      </c>
      <c r="Q744" s="12"/>
      <c r="R744" s="12" t="b">
        <v>1</v>
      </c>
      <c r="S744" s="12" t="b">
        <v>1</v>
      </c>
      <c r="T744" s="13"/>
      <c r="U744" s="13" t="s">
        <v>367</v>
      </c>
      <c r="V744" s="19" t="s">
        <v>53</v>
      </c>
      <c r="W744" s="13" t="s">
        <v>3570</v>
      </c>
      <c r="X744" s="15">
        <v>44442.0</v>
      </c>
      <c r="Y744" s="15">
        <v>44445.0</v>
      </c>
      <c r="Z744" s="16"/>
      <c r="AA744" s="17" t="s">
        <v>56</v>
      </c>
      <c r="AB744" s="16">
        <v>44426.0</v>
      </c>
      <c r="AC744" s="17" t="s">
        <v>55</v>
      </c>
      <c r="AD744" s="16">
        <v>44426.0</v>
      </c>
      <c r="AE744" s="17" t="s">
        <v>56</v>
      </c>
      <c r="AF744" s="16">
        <v>44442.0</v>
      </c>
      <c r="AG744" s="17" t="s">
        <v>56</v>
      </c>
      <c r="AH744" s="16">
        <v>44445.0</v>
      </c>
      <c r="AI744" s="17" t="s">
        <v>56</v>
      </c>
      <c r="AJ744" s="16">
        <v>44503.0</v>
      </c>
      <c r="AK744" s="17" t="s">
        <v>57</v>
      </c>
      <c r="AL744" s="17" t="s">
        <v>57</v>
      </c>
      <c r="AM744" s="17" t="s">
        <v>367</v>
      </c>
      <c r="AN744" s="17" t="s">
        <v>52</v>
      </c>
      <c r="AO744" s="17" t="s">
        <v>89</v>
      </c>
      <c r="AP744" s="18" t="s">
        <v>58</v>
      </c>
      <c r="AQ744" s="17"/>
    </row>
    <row r="745" ht="15.75" customHeight="1">
      <c r="A745" s="10" t="s">
        <v>3571</v>
      </c>
      <c r="B745" s="10" t="s">
        <v>3572</v>
      </c>
      <c r="C745" s="10" t="str">
        <f>VLOOKUP(A745,import!A:C,3,0)</f>
        <v>DOĞRU</v>
      </c>
      <c r="D745" s="10" t="s">
        <v>118</v>
      </c>
      <c r="E745" s="10">
        <f>VLOOKUP(A745,import!A:J,5,0)</f>
        <v>2278</v>
      </c>
      <c r="F745" s="10">
        <f>VLOOKUP(A745,import!A:J,6,0)</f>
        <v>76</v>
      </c>
      <c r="G745" s="10">
        <f>VLOOKUP(A745,import!A:J,7,0)</f>
        <v>0</v>
      </c>
      <c r="H745" s="10">
        <f>VLOOKUP(A745,import!A:J,8,0)</f>
        <v>18</v>
      </c>
      <c r="I745" s="10">
        <f>VLOOKUP(A745,import!A:J,9,0)</f>
        <v>18</v>
      </c>
      <c r="J745" s="11">
        <f>VLOOKUP(A745,import!A:J,10,0)</f>
        <v>0</v>
      </c>
      <c r="K745" s="10" t="s">
        <v>3573</v>
      </c>
      <c r="L745" s="10">
        <v>3.24336466E9</v>
      </c>
      <c r="M745" s="10" t="s">
        <v>137</v>
      </c>
      <c r="N745" s="10" t="s">
        <v>526</v>
      </c>
      <c r="O745" s="10" t="s">
        <v>3574</v>
      </c>
      <c r="P745" s="10" t="str">
        <f>VLOOKUP(A745,import!A:P,16,0)</f>
        <v>Geleneksel</v>
      </c>
      <c r="Q745" s="12" t="s">
        <v>50</v>
      </c>
      <c r="R745" s="12" t="b">
        <v>1</v>
      </c>
      <c r="S745" s="12" t="b">
        <v>1</v>
      </c>
      <c r="T745" s="13"/>
      <c r="U745" s="13"/>
      <c r="V745" s="13"/>
      <c r="W745" s="13" t="s">
        <v>3575</v>
      </c>
      <c r="X745" s="15"/>
      <c r="Y745" s="15"/>
      <c r="Z745" s="16"/>
      <c r="AA745" s="17" t="s">
        <v>56</v>
      </c>
      <c r="AB745" s="16">
        <v>44349.0</v>
      </c>
      <c r="AC745" s="17" t="s">
        <v>56</v>
      </c>
      <c r="AD745" s="16">
        <v>44484.0</v>
      </c>
      <c r="AE745" s="17" t="s">
        <v>56</v>
      </c>
      <c r="AF745" s="16">
        <v>44512.0</v>
      </c>
      <c r="AG745" s="17"/>
      <c r="AH745" s="16"/>
      <c r="AI745" s="16"/>
      <c r="AJ745" s="16"/>
      <c r="AK745" s="17" t="s">
        <v>124</v>
      </c>
      <c r="AL745" s="17" t="s">
        <v>367</v>
      </c>
      <c r="AM745" s="17" t="s">
        <v>89</v>
      </c>
      <c r="AN745" s="16"/>
      <c r="AO745" s="16"/>
      <c r="AP745" s="18" t="s">
        <v>58</v>
      </c>
      <c r="AQ745" s="16"/>
    </row>
    <row r="746" ht="15.75" hidden="1" customHeight="1">
      <c r="A746" s="10" t="s">
        <v>3576</v>
      </c>
      <c r="B746" s="10" t="s">
        <v>3577</v>
      </c>
      <c r="C746" s="10" t="str">
        <f>VLOOKUP(A746,import!A:C,3,0)</f>
        <v>DOĞRU</v>
      </c>
      <c r="D746" s="10" t="s">
        <v>363</v>
      </c>
      <c r="E746" s="10">
        <f>VLOOKUP(A746,import!A:J,5,0)</f>
        <v>658</v>
      </c>
      <c r="F746" s="10">
        <f>VLOOKUP(A746,import!A:J,6,0)</f>
        <v>16</v>
      </c>
      <c r="G746" s="10">
        <f>VLOOKUP(A746,import!A:J,7,0)</f>
        <v>8</v>
      </c>
      <c r="H746" s="10">
        <f>VLOOKUP(A746,import!A:J,8,0)</f>
        <v>7</v>
      </c>
      <c r="I746" s="10">
        <f>VLOOKUP(A746,import!A:J,9,0)</f>
        <v>15</v>
      </c>
      <c r="J746" s="11">
        <f>VLOOKUP(A746,import!A:J,10,0)</f>
        <v>0.53</v>
      </c>
      <c r="K746" s="10" t="s">
        <v>3578</v>
      </c>
      <c r="L746" s="10">
        <v>3.243274269E9</v>
      </c>
      <c r="M746" s="10" t="s">
        <v>72</v>
      </c>
      <c r="N746" s="10" t="s">
        <v>1298</v>
      </c>
      <c r="O746" s="10" t="s">
        <v>3579</v>
      </c>
      <c r="P746" s="10" t="str">
        <f>VLOOKUP(A746,import!A:P,16,0)</f>
        <v>Geleneksel</v>
      </c>
      <c r="Q746" s="12"/>
      <c r="R746" s="12" t="b">
        <v>1</v>
      </c>
      <c r="S746" s="12" t="b">
        <v>0</v>
      </c>
      <c r="T746" s="13" t="s">
        <v>51</v>
      </c>
      <c r="U746" s="13" t="s">
        <v>52</v>
      </c>
      <c r="V746" s="13" t="s">
        <v>53</v>
      </c>
      <c r="W746" s="13"/>
      <c r="X746" s="15">
        <v>44333.0</v>
      </c>
      <c r="Y746" s="15">
        <v>44335.0</v>
      </c>
      <c r="Z746" s="16"/>
      <c r="AA746" s="16"/>
      <c r="AB746" s="16"/>
      <c r="AC746" s="16"/>
      <c r="AD746" s="16"/>
      <c r="AE746" s="17"/>
      <c r="AF746" s="16"/>
      <c r="AG746" s="17"/>
      <c r="AH746" s="16"/>
      <c r="AI746" s="16"/>
      <c r="AJ746" s="16"/>
      <c r="AK746" s="16"/>
      <c r="AL746" s="16"/>
      <c r="AM746" s="16"/>
      <c r="AN746" s="16"/>
      <c r="AO746" s="16"/>
      <c r="AP746" s="18" t="s">
        <v>58</v>
      </c>
      <c r="AQ746" s="16"/>
    </row>
    <row r="747" ht="15.75" customHeight="1">
      <c r="A747" s="10" t="s">
        <v>3580</v>
      </c>
      <c r="B747" s="10" t="s">
        <v>3581</v>
      </c>
      <c r="C747" s="10" t="str">
        <f>VLOOKUP(A747,import!A:C,3,0)</f>
        <v>DOĞRU</v>
      </c>
      <c r="D747" s="10" t="s">
        <v>676</v>
      </c>
      <c r="E747" s="10">
        <f>VLOOKUP(A747,import!A:J,5,0)</f>
        <v>113</v>
      </c>
      <c r="F747" s="10">
        <f>VLOOKUP(A747,import!A:J,6,0)</f>
        <v>12</v>
      </c>
      <c r="G747" s="10">
        <f>VLOOKUP(A747,import!A:J,7,0)</f>
        <v>0</v>
      </c>
      <c r="H747" s="10">
        <f>VLOOKUP(A747,import!A:J,8,0)</f>
        <v>5</v>
      </c>
      <c r="I747" s="10">
        <f>VLOOKUP(A747,import!A:J,9,0)</f>
        <v>5</v>
      </c>
      <c r="J747" s="11">
        <f>VLOOKUP(A747,import!A:J,10,0)</f>
        <v>0</v>
      </c>
      <c r="K747" s="10" t="s">
        <v>3582</v>
      </c>
      <c r="L747" s="10">
        <v>3.242371489E9</v>
      </c>
      <c r="M747" s="10" t="s">
        <v>137</v>
      </c>
      <c r="N747" s="10" t="s">
        <v>138</v>
      </c>
      <c r="O747" s="10" t="s">
        <v>3583</v>
      </c>
      <c r="P747" s="10" t="str">
        <f>VLOOKUP(A747,import!A:P,16,0)</f>
        <v>Geleneksel</v>
      </c>
      <c r="Q747" s="12" t="s">
        <v>50</v>
      </c>
      <c r="R747" s="12" t="b">
        <v>1</v>
      </c>
      <c r="S747" s="12" t="b">
        <v>1</v>
      </c>
      <c r="T747" s="13"/>
      <c r="U747" s="13"/>
      <c r="V747" s="13"/>
      <c r="W747" s="13" t="s">
        <v>3584</v>
      </c>
      <c r="X747" s="15"/>
      <c r="Y747" s="15"/>
      <c r="Z747" s="16"/>
      <c r="AA747" s="16"/>
      <c r="AB747" s="16"/>
      <c r="AC747" s="16"/>
      <c r="AD747" s="16"/>
      <c r="AE747" s="17"/>
      <c r="AF747" s="16"/>
      <c r="AG747" s="17"/>
      <c r="AH747" s="16"/>
      <c r="AI747" s="16"/>
      <c r="AJ747" s="16"/>
      <c r="AK747" s="16"/>
      <c r="AL747" s="16"/>
      <c r="AM747" s="16"/>
      <c r="AN747" s="16"/>
      <c r="AO747" s="16"/>
      <c r="AP747" s="18" t="s">
        <v>58</v>
      </c>
      <c r="AQ747" s="16"/>
    </row>
    <row r="748" ht="15.75" hidden="1" customHeight="1">
      <c r="A748" s="10" t="s">
        <v>3585</v>
      </c>
      <c r="B748" s="10" t="s">
        <v>3586</v>
      </c>
      <c r="C748" s="10" t="str">
        <f>VLOOKUP(A748,import!A:C,3,0)</f>
        <v>DOĞRU</v>
      </c>
      <c r="D748" s="10" t="s">
        <v>80</v>
      </c>
      <c r="E748" s="10">
        <f>VLOOKUP(A748,import!A:J,5,0)</f>
        <v>1394</v>
      </c>
      <c r="F748" s="10">
        <f>VLOOKUP(A748,import!A:J,6,0)</f>
        <v>70</v>
      </c>
      <c r="G748" s="10">
        <f>VLOOKUP(A748,import!A:J,7,0)</f>
        <v>12</v>
      </c>
      <c r="H748" s="10">
        <f>VLOOKUP(A748,import!A:J,8,0)</f>
        <v>14</v>
      </c>
      <c r="I748" s="10">
        <f>VLOOKUP(A748,import!A:J,9,0)</f>
        <v>26</v>
      </c>
      <c r="J748" s="11">
        <f>VLOOKUP(A748,import!A:J,10,0)</f>
        <v>0.46</v>
      </c>
      <c r="K748" s="10" t="s">
        <v>3587</v>
      </c>
      <c r="L748" s="10">
        <v>3.243212017E9</v>
      </c>
      <c r="M748" s="10" t="s">
        <v>215</v>
      </c>
      <c r="N748" s="10" t="s">
        <v>2416</v>
      </c>
      <c r="O748" s="10" t="s">
        <v>3588</v>
      </c>
      <c r="P748" s="10" t="str">
        <f>VLOOKUP(A748,import!A:P,16,0)</f>
        <v>Geleneksel</v>
      </c>
      <c r="Q748" s="12"/>
      <c r="R748" s="12" t="b">
        <v>1</v>
      </c>
      <c r="S748" s="12" t="b">
        <v>0</v>
      </c>
      <c r="T748" s="13" t="s">
        <v>51</v>
      </c>
      <c r="U748" s="13" t="s">
        <v>258</v>
      </c>
      <c r="V748" s="13" t="s">
        <v>66</v>
      </c>
      <c r="W748" s="13" t="s">
        <v>3589</v>
      </c>
      <c r="X748" s="15">
        <v>44293.0</v>
      </c>
      <c r="Y748" s="15">
        <v>44295.0</v>
      </c>
      <c r="Z748" s="16"/>
      <c r="AA748" s="16"/>
      <c r="AB748" s="16"/>
      <c r="AC748" s="16"/>
      <c r="AD748" s="16"/>
      <c r="AE748" s="17"/>
      <c r="AF748" s="16"/>
      <c r="AG748" s="17"/>
      <c r="AH748" s="16"/>
      <c r="AI748" s="16"/>
      <c r="AJ748" s="16"/>
      <c r="AK748" s="16"/>
      <c r="AL748" s="16"/>
      <c r="AM748" s="16"/>
      <c r="AN748" s="16"/>
      <c r="AO748" s="16"/>
      <c r="AP748" s="18" t="s">
        <v>58</v>
      </c>
      <c r="AQ748" s="16"/>
    </row>
    <row r="749" ht="15.75" customHeight="1">
      <c r="A749" s="10" t="s">
        <v>3590</v>
      </c>
      <c r="B749" s="10" t="s">
        <v>3591</v>
      </c>
      <c r="C749" s="10" t="str">
        <f>VLOOKUP(A749,import!A:C,3,0)</f>
        <v>DOĞRU</v>
      </c>
      <c r="D749" s="10" t="s">
        <v>80</v>
      </c>
      <c r="E749" s="10">
        <f>VLOOKUP(A749,import!A:J,5,0)</f>
        <v>1998</v>
      </c>
      <c r="F749" s="10">
        <f>VLOOKUP(A749,import!A:J,6,0)</f>
        <v>58</v>
      </c>
      <c r="G749" s="10">
        <f>VLOOKUP(A749,import!A:J,7,0)</f>
        <v>6</v>
      </c>
      <c r="H749" s="10">
        <f>VLOOKUP(A749,import!A:J,8,0)</f>
        <v>1</v>
      </c>
      <c r="I749" s="10">
        <f>VLOOKUP(A749,import!A:J,9,0)</f>
        <v>7</v>
      </c>
      <c r="J749" s="11">
        <f>VLOOKUP(A749,import!A:J,10,0)</f>
        <v>0.86</v>
      </c>
      <c r="K749" s="10" t="s">
        <v>3592</v>
      </c>
      <c r="L749" s="10">
        <v>3.243594033E9</v>
      </c>
      <c r="M749" s="10" t="s">
        <v>63</v>
      </c>
      <c r="N749" s="10" t="s">
        <v>318</v>
      </c>
      <c r="O749" s="10" t="s">
        <v>3593</v>
      </c>
      <c r="P749" s="10" t="str">
        <f>VLOOKUP(A749,import!A:P,16,0)</f>
        <v>Geleneksel</v>
      </c>
      <c r="Q749" s="12"/>
      <c r="R749" s="12" t="b">
        <v>1</v>
      </c>
      <c r="S749" s="12" t="b">
        <v>0</v>
      </c>
      <c r="T749" s="13" t="s">
        <v>51</v>
      </c>
      <c r="U749" s="13" t="s">
        <v>52</v>
      </c>
      <c r="V749" s="13" t="s">
        <v>53</v>
      </c>
      <c r="W749" s="13">
        <v>5.302656333E9</v>
      </c>
      <c r="X749" s="15">
        <v>44404.0</v>
      </c>
      <c r="Y749" s="15">
        <v>44406.0</v>
      </c>
      <c r="Z749" s="16"/>
      <c r="AA749" s="17" t="s">
        <v>56</v>
      </c>
      <c r="AB749" s="16">
        <v>44404.0</v>
      </c>
      <c r="AC749" s="16"/>
      <c r="AD749" s="16"/>
      <c r="AE749" s="17"/>
      <c r="AF749" s="16"/>
      <c r="AG749" s="17"/>
      <c r="AH749" s="16"/>
      <c r="AI749" s="16"/>
      <c r="AJ749" s="16"/>
      <c r="AK749" s="17" t="s">
        <v>52</v>
      </c>
      <c r="AL749" s="16"/>
      <c r="AM749" s="16"/>
      <c r="AN749" s="16"/>
      <c r="AO749" s="16"/>
      <c r="AP749" s="18" t="s">
        <v>58</v>
      </c>
      <c r="AQ749" s="16"/>
    </row>
    <row r="750" ht="15.75" hidden="1" customHeight="1">
      <c r="A750" s="18" t="s">
        <v>3594</v>
      </c>
      <c r="B750" s="18" t="s">
        <v>3595</v>
      </c>
      <c r="C750" s="10" t="str">
        <f>VLOOKUP(A750,import!A:C,3,0)</f>
        <v>DOĞRU</v>
      </c>
      <c r="D750" s="18" t="s">
        <v>80</v>
      </c>
      <c r="E750" s="10" t="str">
        <f>VLOOKUP(A750,import!A:J,5,0)</f>
        <v/>
      </c>
      <c r="F750" s="10" t="str">
        <f>VLOOKUP(A750,import!A:J,6,0)</f>
        <v/>
      </c>
      <c r="G750" s="10">
        <f>VLOOKUP(A750,import!A:J,7,0)</f>
        <v>0</v>
      </c>
      <c r="H750" s="10">
        <f>VLOOKUP(A750,import!A:J,8,0)</f>
        <v>8</v>
      </c>
      <c r="I750" s="10">
        <f>VLOOKUP(A750,import!A:J,9,0)</f>
        <v>8</v>
      </c>
      <c r="J750" s="11">
        <f>VLOOKUP(A750,import!A:J,10,0)</f>
        <v>0</v>
      </c>
      <c r="K750" s="18" t="s">
        <v>3596</v>
      </c>
      <c r="L750" s="18">
        <v>5.541651033E9</v>
      </c>
      <c r="M750" s="18" t="s">
        <v>72</v>
      </c>
      <c r="N750" s="18" t="s">
        <v>181</v>
      </c>
      <c r="O750" s="18" t="s">
        <v>3597</v>
      </c>
      <c r="P750" s="10" t="str">
        <f>VLOOKUP(A750,import!A:P,16,0)</f>
        <v>Geleneksel</v>
      </c>
      <c r="Q750" s="12"/>
      <c r="R750" s="12" t="b">
        <v>0</v>
      </c>
      <c r="S750" s="12" t="b">
        <v>0</v>
      </c>
      <c r="T750" s="13"/>
      <c r="U750" s="13"/>
      <c r="V750" s="13"/>
      <c r="W750" s="13"/>
      <c r="X750" s="15"/>
      <c r="Y750" s="15"/>
      <c r="Z750" s="16"/>
      <c r="AA750" s="17"/>
      <c r="AB750" s="16"/>
      <c r="AC750" s="16"/>
      <c r="AD750" s="16"/>
      <c r="AE750" s="17"/>
      <c r="AF750" s="16"/>
      <c r="AG750" s="17"/>
      <c r="AH750" s="16"/>
      <c r="AI750" s="16"/>
      <c r="AJ750" s="16"/>
      <c r="AK750" s="17"/>
      <c r="AL750" s="16"/>
      <c r="AM750" s="16"/>
      <c r="AN750" s="16"/>
      <c r="AO750" s="16"/>
      <c r="AP750" s="18"/>
      <c r="AQ750" s="16"/>
    </row>
    <row r="751" ht="15.75" customHeight="1">
      <c r="A751" s="10" t="s">
        <v>3598</v>
      </c>
      <c r="B751" s="10" t="s">
        <v>3599</v>
      </c>
      <c r="C751" s="10" t="str">
        <f>VLOOKUP(A751,import!A:C,3,0)</f>
        <v>DOĞRU</v>
      </c>
      <c r="D751" s="10" t="s">
        <v>363</v>
      </c>
      <c r="E751" s="33">
        <f>VLOOKUP(A751,import!A:J,5,0)</f>
        <v>153</v>
      </c>
      <c r="F751" s="10">
        <f>VLOOKUP(A751,import!A:J,6,0)</f>
        <v>56</v>
      </c>
      <c r="G751" s="10">
        <f>VLOOKUP(A751,import!A:J,7,0)</f>
        <v>30</v>
      </c>
      <c r="H751" s="10">
        <f>VLOOKUP(A751,import!A:J,8,0)</f>
        <v>28</v>
      </c>
      <c r="I751" s="10">
        <f>VLOOKUP(A751,import!A:J,9,0)</f>
        <v>58</v>
      </c>
      <c r="J751" s="11">
        <f>VLOOKUP(A751,import!A:J,10,0)</f>
        <v>0.52</v>
      </c>
      <c r="K751" s="10" t="s">
        <v>3600</v>
      </c>
      <c r="L751" s="10">
        <v>5.357309265E9</v>
      </c>
      <c r="M751" s="10" t="s">
        <v>63</v>
      </c>
      <c r="N751" s="10" t="s">
        <v>137</v>
      </c>
      <c r="O751" s="10" t="s">
        <v>3601</v>
      </c>
      <c r="P751" s="10" t="str">
        <f>VLOOKUP(A751,import!A:P,16,0)</f>
        <v>Geleneksel</v>
      </c>
      <c r="Q751" s="12"/>
      <c r="R751" s="12" t="b">
        <v>1</v>
      </c>
      <c r="S751" s="12" t="b">
        <v>0</v>
      </c>
      <c r="T751" s="13" t="s">
        <v>51</v>
      </c>
      <c r="U751" s="13" t="s">
        <v>52</v>
      </c>
      <c r="V751" s="13" t="s">
        <v>131</v>
      </c>
      <c r="W751" s="20" t="s">
        <v>3602</v>
      </c>
      <c r="X751" s="15">
        <v>44641.0</v>
      </c>
      <c r="Y751" s="15">
        <v>44643.0</v>
      </c>
      <c r="Z751" s="16"/>
      <c r="AA751" s="17" t="s">
        <v>56</v>
      </c>
      <c r="AB751" s="16">
        <v>44641.0</v>
      </c>
      <c r="AC751" s="16"/>
      <c r="AD751" s="16"/>
      <c r="AE751" s="17"/>
      <c r="AF751" s="16"/>
      <c r="AG751" s="17"/>
      <c r="AH751" s="16"/>
      <c r="AI751" s="16"/>
      <c r="AJ751" s="16"/>
      <c r="AK751" s="17" t="s">
        <v>52</v>
      </c>
      <c r="AL751" s="16"/>
      <c r="AM751" s="16"/>
      <c r="AN751" s="16"/>
      <c r="AO751" s="16"/>
      <c r="AP751" s="18"/>
      <c r="AQ751" s="16"/>
    </row>
    <row r="752" ht="15.75" customHeight="1">
      <c r="A752" s="10" t="s">
        <v>3603</v>
      </c>
      <c r="B752" s="10" t="s">
        <v>3604</v>
      </c>
      <c r="C752" s="10" t="str">
        <f>VLOOKUP(A752,import!A:C,3,0)</f>
        <v>DOĞRU</v>
      </c>
      <c r="D752" s="10" t="s">
        <v>451</v>
      </c>
      <c r="E752" s="10">
        <f>VLOOKUP(A752,import!A:J,5,0)</f>
        <v>4527</v>
      </c>
      <c r="F752" s="10">
        <f>VLOOKUP(A752,import!A:J,6,0)</f>
        <v>237</v>
      </c>
      <c r="G752" s="10">
        <f>VLOOKUP(A752,import!A:J,7,0)</f>
        <v>9</v>
      </c>
      <c r="H752" s="10">
        <f>VLOOKUP(A752,import!A:J,8,0)</f>
        <v>21</v>
      </c>
      <c r="I752" s="10">
        <f>VLOOKUP(A752,import!A:J,9,0)</f>
        <v>30</v>
      </c>
      <c r="J752" s="11">
        <f>VLOOKUP(A752,import!A:J,10,0)</f>
        <v>0.3</v>
      </c>
      <c r="K752" s="10" t="s">
        <v>3605</v>
      </c>
      <c r="L752" s="10">
        <v>3.243585862E9</v>
      </c>
      <c r="M752" s="10" t="s">
        <v>63</v>
      </c>
      <c r="N752" s="10" t="s">
        <v>700</v>
      </c>
      <c r="O752" s="10" t="s">
        <v>3606</v>
      </c>
      <c r="P752" s="10" t="str">
        <f>VLOOKUP(A752,import!A:P,16,0)</f>
        <v>Geleneksel</v>
      </c>
      <c r="Q752" s="12" t="s">
        <v>84</v>
      </c>
      <c r="R752" s="12" t="b">
        <v>1</v>
      </c>
      <c r="S752" s="12" t="b">
        <v>0</v>
      </c>
      <c r="T752" s="13" t="s">
        <v>3607</v>
      </c>
      <c r="U752" s="13" t="s">
        <v>103</v>
      </c>
      <c r="V752" s="13" t="s">
        <v>66</v>
      </c>
      <c r="W752" s="10" t="s">
        <v>3608</v>
      </c>
      <c r="X752" s="15">
        <v>44553.0</v>
      </c>
      <c r="Y752" s="15">
        <v>44554.0</v>
      </c>
      <c r="Z752" s="16"/>
      <c r="AA752" s="17" t="s">
        <v>56</v>
      </c>
      <c r="AB752" s="16">
        <v>44460.0</v>
      </c>
      <c r="AC752" s="17" t="s">
        <v>86</v>
      </c>
      <c r="AD752" s="16">
        <v>44487.0</v>
      </c>
      <c r="AE752" s="17" t="s">
        <v>56</v>
      </c>
      <c r="AF752" s="16">
        <v>44495.0</v>
      </c>
      <c r="AG752" s="17" t="s">
        <v>56</v>
      </c>
      <c r="AH752" s="16">
        <v>44550.0</v>
      </c>
      <c r="AI752" s="17" t="s">
        <v>56</v>
      </c>
      <c r="AJ752" s="16">
        <v>44558.0</v>
      </c>
      <c r="AK752" s="17" t="s">
        <v>87</v>
      </c>
      <c r="AL752" s="17" t="s">
        <v>87</v>
      </c>
      <c r="AM752" s="17" t="s">
        <v>89</v>
      </c>
      <c r="AN752" s="17" t="s">
        <v>103</v>
      </c>
      <c r="AO752" s="17" t="s">
        <v>87</v>
      </c>
      <c r="AP752" s="18" t="s">
        <v>58</v>
      </c>
      <c r="AQ752" s="16"/>
    </row>
    <row r="753" ht="15.75" customHeight="1">
      <c r="A753" s="10" t="s">
        <v>3609</v>
      </c>
      <c r="B753" s="10" t="s">
        <v>3610</v>
      </c>
      <c r="C753" s="10" t="str">
        <f>VLOOKUP(A753,import!A:C,3,0)</f>
        <v>DOĞRU</v>
      </c>
      <c r="D753" s="10" t="s">
        <v>70</v>
      </c>
      <c r="E753" s="10">
        <f>VLOOKUP(A753,import!A:J,5,0)</f>
        <v>2239</v>
      </c>
      <c r="F753" s="10">
        <f>VLOOKUP(A753,import!A:J,6,0)</f>
        <v>53</v>
      </c>
      <c r="G753" s="10">
        <f>VLOOKUP(A753,import!A:J,7,0)</f>
        <v>14</v>
      </c>
      <c r="H753" s="10">
        <f>VLOOKUP(A753,import!A:J,8,0)</f>
        <v>11</v>
      </c>
      <c r="I753" s="10">
        <f>VLOOKUP(A753,import!A:J,9,0)</f>
        <v>25</v>
      </c>
      <c r="J753" s="11">
        <f>VLOOKUP(A753,import!A:J,10,0)</f>
        <v>0.56</v>
      </c>
      <c r="K753" s="10" t="s">
        <v>3611</v>
      </c>
      <c r="L753" s="10">
        <v>3.243581424E9</v>
      </c>
      <c r="M753" s="10" t="s">
        <v>63</v>
      </c>
      <c r="N753" s="10" t="s">
        <v>700</v>
      </c>
      <c r="O753" s="10" t="s">
        <v>3612</v>
      </c>
      <c r="P753" s="10" t="str">
        <f>VLOOKUP(A753,import!A:P,16,0)</f>
        <v>Geleneksel</v>
      </c>
      <c r="Q753" s="12" t="s">
        <v>146</v>
      </c>
      <c r="R753" s="12" t="b">
        <v>1</v>
      </c>
      <c r="S753" s="12" t="b">
        <v>0</v>
      </c>
      <c r="T753" s="13" t="s">
        <v>51</v>
      </c>
      <c r="U753" s="13" t="s">
        <v>133</v>
      </c>
      <c r="V753" s="13" t="s">
        <v>66</v>
      </c>
      <c r="W753" s="13" t="s">
        <v>3613</v>
      </c>
      <c r="X753" s="15">
        <v>44271.0</v>
      </c>
      <c r="Y753" s="15">
        <v>44271.0</v>
      </c>
      <c r="Z753" s="16"/>
      <c r="AA753" s="16"/>
      <c r="AB753" s="16"/>
      <c r="AC753" s="16"/>
      <c r="AD753" s="16"/>
      <c r="AE753" s="17"/>
      <c r="AF753" s="16"/>
      <c r="AG753" s="17"/>
      <c r="AH753" s="16"/>
      <c r="AI753" s="16"/>
      <c r="AJ753" s="16"/>
      <c r="AK753" s="16"/>
      <c r="AL753" s="16"/>
      <c r="AM753" s="16"/>
      <c r="AN753" s="16"/>
      <c r="AO753" s="16"/>
      <c r="AP753" s="18" t="s">
        <v>58</v>
      </c>
      <c r="AQ753" s="16"/>
    </row>
    <row r="754" ht="15.75" hidden="1" customHeight="1">
      <c r="A754" s="10" t="s">
        <v>3614</v>
      </c>
      <c r="B754" s="10" t="s">
        <v>3615</v>
      </c>
      <c r="C754" s="10" t="str">
        <f>VLOOKUP(A754,import!A:C,3,0)</f>
        <v>DOĞRU</v>
      </c>
      <c r="D754" s="10" t="s">
        <v>363</v>
      </c>
      <c r="E754" s="10">
        <f>VLOOKUP(A754,import!A:J,5,0)</f>
        <v>1764</v>
      </c>
      <c r="F754" s="10">
        <f>VLOOKUP(A754,import!A:J,6,0)</f>
        <v>55</v>
      </c>
      <c r="G754" s="10">
        <f>VLOOKUP(A754,import!A:J,7,0)</f>
        <v>0</v>
      </c>
      <c r="H754" s="10">
        <f>VLOOKUP(A754,import!A:J,8,0)</f>
        <v>32</v>
      </c>
      <c r="I754" s="10">
        <f>VLOOKUP(A754,import!A:J,9,0)</f>
        <v>32</v>
      </c>
      <c r="J754" s="11">
        <f>VLOOKUP(A754,import!A:J,10,0)</f>
        <v>0</v>
      </c>
      <c r="K754" s="10" t="s">
        <v>3616</v>
      </c>
      <c r="L754" s="10">
        <v>5.322632668E9</v>
      </c>
      <c r="M754" s="10" t="s">
        <v>187</v>
      </c>
      <c r="N754" s="10" t="s">
        <v>188</v>
      </c>
      <c r="O754" s="10" t="s">
        <v>3617</v>
      </c>
      <c r="P754" s="10" t="str">
        <f>VLOOKUP(A754,import!A:P,16,0)</f>
        <v>Geleneksel</v>
      </c>
      <c r="Q754" s="12"/>
      <c r="R754" s="12" t="b">
        <v>0</v>
      </c>
      <c r="S754" s="12" t="b">
        <v>0</v>
      </c>
      <c r="T754" s="13" t="s">
        <v>485</v>
      </c>
      <c r="U754" s="13"/>
      <c r="V754" s="13"/>
      <c r="W754" s="13"/>
      <c r="X754" s="15"/>
      <c r="Y754" s="15"/>
      <c r="Z754" s="16"/>
      <c r="AA754" s="16"/>
      <c r="AB754" s="16"/>
      <c r="AC754" s="16"/>
      <c r="AD754" s="16"/>
      <c r="AE754" s="17"/>
      <c r="AF754" s="16"/>
      <c r="AG754" s="17"/>
      <c r="AH754" s="16"/>
      <c r="AI754" s="16"/>
      <c r="AJ754" s="16"/>
      <c r="AK754" s="16"/>
      <c r="AL754" s="16"/>
      <c r="AM754" s="16"/>
      <c r="AN754" s="16"/>
      <c r="AO754" s="16"/>
      <c r="AP754" s="18" t="s">
        <v>58</v>
      </c>
      <c r="AQ754" s="16"/>
    </row>
    <row r="755" ht="15.75" customHeight="1">
      <c r="A755" s="10" t="s">
        <v>3618</v>
      </c>
      <c r="B755" s="10" t="s">
        <v>3619</v>
      </c>
      <c r="C755" s="10" t="str">
        <f>VLOOKUP(A755,import!A:C,3,0)</f>
        <v>YANLIŞ</v>
      </c>
      <c r="D755" s="10" t="s">
        <v>1063</v>
      </c>
      <c r="E755" s="10">
        <f>VLOOKUP(A755,import!A:J,5,0)</f>
        <v>1</v>
      </c>
      <c r="F755" s="10" t="str">
        <f>VLOOKUP(A755,import!A:J,6,0)</f>
        <v/>
      </c>
      <c r="G755" s="10">
        <f>VLOOKUP(A755,import!A:J,7,0)</f>
        <v>0</v>
      </c>
      <c r="H755" s="10">
        <f>VLOOKUP(A755,import!A:J,8,0)</f>
        <v>99</v>
      </c>
      <c r="I755" s="10">
        <f>VLOOKUP(A755,import!A:J,9,0)</f>
        <v>99</v>
      </c>
      <c r="J755" s="11">
        <f>VLOOKUP(A755,import!A:J,10,0)</f>
        <v>0</v>
      </c>
      <c r="K755" s="10" t="s">
        <v>414</v>
      </c>
      <c r="L755" s="10">
        <v>3.243361983E9</v>
      </c>
      <c r="M755" s="10" t="s">
        <v>137</v>
      </c>
      <c r="N755" s="10" t="s">
        <v>374</v>
      </c>
      <c r="O755" s="10" t="s">
        <v>3620</v>
      </c>
      <c r="P755" s="10" t="str">
        <f>VLOOKUP(A755,import!A:P,16,0)</f>
        <v>Geleneksel</v>
      </c>
      <c r="Q755" s="12"/>
      <c r="R755" s="12" t="b">
        <v>1</v>
      </c>
      <c r="S755" s="12" t="b">
        <v>1</v>
      </c>
      <c r="T755" s="13" t="s">
        <v>591</v>
      </c>
      <c r="U755" s="13"/>
      <c r="V755" s="13"/>
      <c r="W755" s="13" t="s">
        <v>3621</v>
      </c>
      <c r="X755" s="15"/>
      <c r="Y755" s="15"/>
      <c r="Z755" s="16"/>
      <c r="AA755" s="17" t="s">
        <v>55</v>
      </c>
      <c r="AB755" s="16">
        <v>44411.0</v>
      </c>
      <c r="AC755" s="17" t="s">
        <v>56</v>
      </c>
      <c r="AD755" s="16">
        <v>44411.0</v>
      </c>
      <c r="AE755" s="17" t="s">
        <v>56</v>
      </c>
      <c r="AF755" s="16">
        <v>44512.0</v>
      </c>
      <c r="AG755" s="17"/>
      <c r="AH755" s="16"/>
      <c r="AI755" s="16"/>
      <c r="AJ755" s="16"/>
      <c r="AK755" s="17" t="s">
        <v>95</v>
      </c>
      <c r="AL755" s="17" t="s">
        <v>95</v>
      </c>
      <c r="AM755" s="17" t="s">
        <v>89</v>
      </c>
      <c r="AN755" s="16"/>
      <c r="AO755" s="16"/>
      <c r="AP755" s="18" t="s">
        <v>58</v>
      </c>
      <c r="AQ755" s="16"/>
    </row>
    <row r="756" ht="15.75" customHeight="1">
      <c r="A756" s="10" t="s">
        <v>3622</v>
      </c>
      <c r="B756" s="10" t="s">
        <v>3623</v>
      </c>
      <c r="C756" s="10" t="str">
        <f>VLOOKUP(A756,import!A:C,3,0)</f>
        <v>DOĞRU</v>
      </c>
      <c r="D756" s="10" t="s">
        <v>363</v>
      </c>
      <c r="E756" s="10">
        <f>VLOOKUP(A756,import!A:J,5,0)</f>
        <v>1045</v>
      </c>
      <c r="F756" s="10">
        <f>VLOOKUP(A756,import!A:J,6,0)</f>
        <v>74</v>
      </c>
      <c r="G756" s="10">
        <f>VLOOKUP(A756,import!A:J,7,0)</f>
        <v>0</v>
      </c>
      <c r="H756" s="10">
        <f>VLOOKUP(A756,import!A:J,8,0)</f>
        <v>59</v>
      </c>
      <c r="I756" s="10">
        <f>VLOOKUP(A756,import!A:J,9,0)</f>
        <v>59</v>
      </c>
      <c r="J756" s="11">
        <f>VLOOKUP(A756,import!A:J,10,0)</f>
        <v>0</v>
      </c>
      <c r="K756" s="10" t="s">
        <v>414</v>
      </c>
      <c r="L756" s="10">
        <v>3.243580817E9</v>
      </c>
      <c r="M756" s="10" t="s">
        <v>63</v>
      </c>
      <c r="N756" s="10" t="s">
        <v>100</v>
      </c>
      <c r="O756" s="10" t="s">
        <v>3624</v>
      </c>
      <c r="P756" s="10" t="str">
        <f>VLOOKUP(A756,import!A:P,16,0)</f>
        <v>Geleneksel</v>
      </c>
      <c r="Q756" s="12"/>
      <c r="R756" s="12" t="b">
        <v>1</v>
      </c>
      <c r="S756" s="12" t="b">
        <v>0</v>
      </c>
      <c r="T756" s="13"/>
      <c r="U756" s="13"/>
      <c r="V756" s="13"/>
      <c r="W756" s="13" t="s">
        <v>3625</v>
      </c>
      <c r="X756" s="15"/>
      <c r="Y756" s="15"/>
      <c r="Z756" s="16"/>
      <c r="AA756" s="17" t="s">
        <v>230</v>
      </c>
      <c r="AB756" s="16">
        <v>44523.0</v>
      </c>
      <c r="AC756" s="17" t="s">
        <v>230</v>
      </c>
      <c r="AD756" s="16">
        <v>44545.0</v>
      </c>
      <c r="AE756" s="17" t="s">
        <v>230</v>
      </c>
      <c r="AF756" s="16">
        <v>44548.0</v>
      </c>
      <c r="AG756" s="17" t="s">
        <v>230</v>
      </c>
      <c r="AH756" s="16">
        <v>44550.0</v>
      </c>
      <c r="AI756" s="17" t="s">
        <v>230</v>
      </c>
      <c r="AJ756" s="16">
        <v>44649.0</v>
      </c>
      <c r="AK756" s="17" t="s">
        <v>267</v>
      </c>
      <c r="AL756" s="17" t="s">
        <v>89</v>
      </c>
      <c r="AM756" s="17" t="s">
        <v>314</v>
      </c>
      <c r="AN756" s="17" t="s">
        <v>103</v>
      </c>
      <c r="AO756" s="17" t="s">
        <v>89</v>
      </c>
      <c r="AP756" s="18" t="s">
        <v>58</v>
      </c>
      <c r="AQ756" s="16"/>
    </row>
    <row r="757" ht="15.75" hidden="1" customHeight="1">
      <c r="A757" s="10" t="s">
        <v>3626</v>
      </c>
      <c r="B757" s="10" t="s">
        <v>3627</v>
      </c>
      <c r="C757" s="10" t="str">
        <f>VLOOKUP(A757,import!A:C,3,0)</f>
        <v>DOĞRU</v>
      </c>
      <c r="D757" s="10" t="s">
        <v>363</v>
      </c>
      <c r="E757" s="10">
        <f>VLOOKUP(A757,import!A:J,5,0)</f>
        <v>948</v>
      </c>
      <c r="F757" s="10">
        <f>VLOOKUP(A757,import!A:J,6,0)</f>
        <v>1</v>
      </c>
      <c r="G757" s="10">
        <f>VLOOKUP(A757,import!A:J,7,0)</f>
        <v>0</v>
      </c>
      <c r="H757" s="10">
        <f>VLOOKUP(A757,import!A:J,8,0)</f>
        <v>13</v>
      </c>
      <c r="I757" s="10">
        <f>VLOOKUP(A757,import!A:J,9,0)</f>
        <v>13</v>
      </c>
      <c r="J757" s="11">
        <f>VLOOKUP(A757,import!A:J,10,0)</f>
        <v>0</v>
      </c>
      <c r="K757" s="10" t="s">
        <v>3628</v>
      </c>
      <c r="L757" s="10">
        <v>3.243300014E9</v>
      </c>
      <c r="M757" s="10" t="s">
        <v>72</v>
      </c>
      <c r="N757" s="10" t="s">
        <v>150</v>
      </c>
      <c r="O757" s="10" t="s">
        <v>3629</v>
      </c>
      <c r="P757" s="10" t="str">
        <f>VLOOKUP(A757,import!A:P,16,0)</f>
        <v>Geleneksel</v>
      </c>
      <c r="Q757" s="12"/>
      <c r="R757" s="12" t="b">
        <v>1</v>
      </c>
      <c r="S757" s="12" t="b">
        <v>0</v>
      </c>
      <c r="T757" s="13" t="s">
        <v>521</v>
      </c>
      <c r="U757" s="13"/>
      <c r="V757" s="13"/>
      <c r="W757" s="13" t="s">
        <v>3630</v>
      </c>
      <c r="X757" s="15"/>
      <c r="Y757" s="15"/>
      <c r="Z757" s="16"/>
      <c r="AA757" s="16"/>
      <c r="AB757" s="16"/>
      <c r="AC757" s="16"/>
      <c r="AD757" s="16"/>
      <c r="AE757" s="17"/>
      <c r="AF757" s="16"/>
      <c r="AG757" s="17"/>
      <c r="AH757" s="16"/>
      <c r="AI757" s="16"/>
      <c r="AJ757" s="16"/>
      <c r="AK757" s="16"/>
      <c r="AL757" s="16"/>
      <c r="AM757" s="16"/>
      <c r="AN757" s="16"/>
      <c r="AO757" s="16"/>
      <c r="AP757" s="18" t="s">
        <v>58</v>
      </c>
      <c r="AQ757" s="16"/>
    </row>
    <row r="758" ht="15.75" customHeight="1">
      <c r="A758" s="10" t="s">
        <v>3631</v>
      </c>
      <c r="B758" s="10" t="s">
        <v>3632</v>
      </c>
      <c r="C758" s="10" t="str">
        <f>VLOOKUP(A758,import!A:C,3,0)</f>
        <v>DOĞRU</v>
      </c>
      <c r="D758" s="10" t="s">
        <v>363</v>
      </c>
      <c r="E758" s="10">
        <f>VLOOKUP(A758,import!A:J,5,0)</f>
        <v>583</v>
      </c>
      <c r="F758" s="10">
        <f>VLOOKUP(A758,import!A:J,6,0)</f>
        <v>107</v>
      </c>
      <c r="G758" s="10">
        <f>VLOOKUP(A758,import!A:J,7,0)</f>
        <v>10</v>
      </c>
      <c r="H758" s="10">
        <f>VLOOKUP(A758,import!A:J,8,0)</f>
        <v>8</v>
      </c>
      <c r="I758" s="10">
        <f>VLOOKUP(A758,import!A:J,9,0)</f>
        <v>18</v>
      </c>
      <c r="J758" s="11">
        <f>VLOOKUP(A758,import!A:J,10,0)</f>
        <v>0.56</v>
      </c>
      <c r="K758" s="10" t="s">
        <v>3633</v>
      </c>
      <c r="L758" s="10">
        <v>5.303683845E9</v>
      </c>
      <c r="M758" s="10" t="s">
        <v>63</v>
      </c>
      <c r="N758" s="10" t="s">
        <v>137</v>
      </c>
      <c r="O758" s="10" t="s">
        <v>3634</v>
      </c>
      <c r="P758" s="10" t="str">
        <f>VLOOKUP(A758,import!A:P,16,0)</f>
        <v>Geleneksel</v>
      </c>
      <c r="Q758" s="12"/>
      <c r="R758" s="12" t="b">
        <v>1</v>
      </c>
      <c r="S758" s="12" t="b">
        <v>0</v>
      </c>
      <c r="T758" s="13" t="s">
        <v>51</v>
      </c>
      <c r="U758" s="13" t="s">
        <v>133</v>
      </c>
      <c r="V758" s="13" t="s">
        <v>53</v>
      </c>
      <c r="W758" s="13"/>
      <c r="X758" s="15">
        <v>44508.0</v>
      </c>
      <c r="Y758" s="15">
        <v>44509.0</v>
      </c>
      <c r="Z758" s="16"/>
      <c r="AA758" s="17" t="s">
        <v>56</v>
      </c>
      <c r="AB758" s="16">
        <v>44508.0</v>
      </c>
      <c r="AC758" s="16"/>
      <c r="AD758" s="16"/>
      <c r="AE758" s="17"/>
      <c r="AF758" s="16"/>
      <c r="AG758" s="17"/>
      <c r="AH758" s="16"/>
      <c r="AI758" s="16"/>
      <c r="AJ758" s="16"/>
      <c r="AK758" s="17" t="s">
        <v>133</v>
      </c>
      <c r="AL758" s="16"/>
      <c r="AM758" s="16"/>
      <c r="AN758" s="16"/>
      <c r="AO758" s="16"/>
      <c r="AP758" s="18" t="s">
        <v>58</v>
      </c>
      <c r="AQ758" s="16"/>
    </row>
    <row r="759" ht="15.75" hidden="1" customHeight="1">
      <c r="A759" s="10" t="s">
        <v>3635</v>
      </c>
      <c r="B759" s="10" t="s">
        <v>3636</v>
      </c>
      <c r="C759" s="10" t="str">
        <f>VLOOKUP(A759,import!A:C,3,0)</f>
        <v>DOĞRU</v>
      </c>
      <c r="D759" s="10" t="s">
        <v>356</v>
      </c>
      <c r="E759" s="10">
        <f>VLOOKUP(A759,import!A:J,5,0)</f>
        <v>1578</v>
      </c>
      <c r="F759" s="10">
        <f>VLOOKUP(A759,import!A:J,6,0)</f>
        <v>171</v>
      </c>
      <c r="G759" s="10">
        <f>VLOOKUP(A759,import!A:J,7,0)</f>
        <v>0</v>
      </c>
      <c r="H759" s="10">
        <f>VLOOKUP(A759,import!A:J,8,0)</f>
        <v>9</v>
      </c>
      <c r="I759" s="10">
        <f>VLOOKUP(A759,import!A:J,9,0)</f>
        <v>9</v>
      </c>
      <c r="J759" s="11">
        <f>VLOOKUP(A759,import!A:J,10,0)</f>
        <v>0</v>
      </c>
      <c r="K759" s="10" t="s">
        <v>3637</v>
      </c>
      <c r="L759" s="10">
        <v>3.246143749E9</v>
      </c>
      <c r="M759" s="10" t="s">
        <v>156</v>
      </c>
      <c r="N759" s="10" t="s">
        <v>3638</v>
      </c>
      <c r="O759" s="10" t="s">
        <v>3639</v>
      </c>
      <c r="P759" s="10" t="str">
        <f>VLOOKUP(A759,import!A:P,16,0)</f>
        <v>Geleneksel</v>
      </c>
      <c r="Q759" s="12" t="s">
        <v>50</v>
      </c>
      <c r="R759" s="12" t="b">
        <v>1</v>
      </c>
      <c r="S759" s="12" t="b">
        <v>0</v>
      </c>
      <c r="T759" s="13" t="s">
        <v>130</v>
      </c>
      <c r="U759" s="13"/>
      <c r="V759" s="13"/>
      <c r="W759" s="13" t="s">
        <v>3640</v>
      </c>
      <c r="X759" s="15"/>
      <c r="Y759" s="15"/>
      <c r="Z759" s="16"/>
      <c r="AA759" s="16"/>
      <c r="AB759" s="16"/>
      <c r="AC759" s="16"/>
      <c r="AD759" s="16"/>
      <c r="AE759" s="17"/>
      <c r="AF759" s="16"/>
      <c r="AG759" s="17"/>
      <c r="AH759" s="16"/>
      <c r="AI759" s="16"/>
      <c r="AJ759" s="16"/>
      <c r="AK759" s="16"/>
      <c r="AL759" s="16"/>
      <c r="AM759" s="16"/>
      <c r="AN759" s="16"/>
      <c r="AO759" s="16"/>
      <c r="AP759" s="18" t="s">
        <v>58</v>
      </c>
      <c r="AQ759" s="16"/>
    </row>
    <row r="760" ht="15.75" hidden="1" customHeight="1">
      <c r="A760" s="10" t="s">
        <v>3641</v>
      </c>
      <c r="B760" s="10" t="s">
        <v>3642</v>
      </c>
      <c r="C760" s="10" t="str">
        <f>VLOOKUP(A760,import!A:C,3,0)</f>
        <v>DOĞRU</v>
      </c>
      <c r="D760" s="10" t="s">
        <v>118</v>
      </c>
      <c r="E760" s="10">
        <f>VLOOKUP(A760,import!A:J,5,0)</f>
        <v>58</v>
      </c>
      <c r="F760" s="10">
        <f>VLOOKUP(A760,import!A:J,6,0)</f>
        <v>21</v>
      </c>
      <c r="G760" s="10">
        <f>VLOOKUP(A760,import!A:J,7,0)</f>
        <v>0</v>
      </c>
      <c r="H760" s="10">
        <f>VLOOKUP(A760,import!A:J,8,0)</f>
        <v>12</v>
      </c>
      <c r="I760" s="10">
        <f>VLOOKUP(A760,import!A:J,9,0)</f>
        <v>12</v>
      </c>
      <c r="J760" s="11">
        <f>VLOOKUP(A760,import!A:J,10,0)</f>
        <v>0</v>
      </c>
      <c r="K760" s="10" t="s">
        <v>3643</v>
      </c>
      <c r="L760" s="10">
        <v>5.388243783E9</v>
      </c>
      <c r="M760" s="10" t="s">
        <v>215</v>
      </c>
      <c r="N760" s="10" t="s">
        <v>789</v>
      </c>
      <c r="O760" s="10" t="s">
        <v>3644</v>
      </c>
      <c r="P760" s="10" t="str">
        <f>VLOOKUP(A760,import!A:P,16,0)</f>
        <v>Geleneksel</v>
      </c>
      <c r="Q760" s="12"/>
      <c r="R760" s="12" t="b">
        <v>1</v>
      </c>
      <c r="S760" s="12" t="b">
        <v>0</v>
      </c>
      <c r="T760" s="13" t="s">
        <v>199</v>
      </c>
      <c r="U760" s="13"/>
      <c r="V760" s="23"/>
      <c r="W760" s="13" t="s">
        <v>3645</v>
      </c>
      <c r="X760" s="15"/>
      <c r="Y760" s="15"/>
      <c r="Z760" s="16"/>
      <c r="AA760" s="17" t="s">
        <v>56</v>
      </c>
      <c r="AB760" s="16">
        <v>44656.0</v>
      </c>
      <c r="AC760" s="16"/>
      <c r="AD760" s="16"/>
      <c r="AE760" s="17"/>
      <c r="AF760" s="16"/>
      <c r="AG760" s="17"/>
      <c r="AH760" s="16"/>
      <c r="AI760" s="16"/>
      <c r="AJ760" s="16"/>
      <c r="AK760" s="17" t="s">
        <v>103</v>
      </c>
      <c r="AL760" s="16"/>
      <c r="AM760" s="16"/>
      <c r="AN760" s="16"/>
      <c r="AO760" s="16"/>
      <c r="AP760" s="18"/>
      <c r="AQ760" s="16"/>
    </row>
    <row r="761" ht="15.75" hidden="1" customHeight="1">
      <c r="A761" s="10" t="s">
        <v>3646</v>
      </c>
      <c r="B761" s="10" t="s">
        <v>3647</v>
      </c>
      <c r="C761" s="10" t="str">
        <f>VLOOKUP(A761,import!A:C,3,0)</f>
        <v>DOĞRU</v>
      </c>
      <c r="D761" s="10" t="s">
        <v>2207</v>
      </c>
      <c r="E761" s="10">
        <f>VLOOKUP(A761,import!A:J,5,0)</f>
        <v>381</v>
      </c>
      <c r="F761" s="10">
        <f>VLOOKUP(A761,import!A:J,6,0)</f>
        <v>28</v>
      </c>
      <c r="G761" s="10">
        <f>VLOOKUP(A761,import!A:J,7,0)</f>
        <v>9</v>
      </c>
      <c r="H761" s="10">
        <f>VLOOKUP(A761,import!A:J,8,0)</f>
        <v>19</v>
      </c>
      <c r="I761" s="10">
        <f>VLOOKUP(A761,import!A:J,9,0)</f>
        <v>28</v>
      </c>
      <c r="J761" s="11">
        <f>VLOOKUP(A761,import!A:J,10,0)</f>
        <v>0.32</v>
      </c>
      <c r="K761" s="10" t="s">
        <v>3648</v>
      </c>
      <c r="L761" s="10">
        <v>5.535673163E9</v>
      </c>
      <c r="M761" s="10" t="s">
        <v>47</v>
      </c>
      <c r="N761" s="10" t="s">
        <v>479</v>
      </c>
      <c r="O761" s="10" t="s">
        <v>3649</v>
      </c>
      <c r="P761" s="10" t="str">
        <f>VLOOKUP(A761,import!A:P,16,0)</f>
        <v>Geleneksel</v>
      </c>
      <c r="Q761" s="12"/>
      <c r="R761" s="12" t="b">
        <v>1</v>
      </c>
      <c r="S761" s="12" t="b">
        <v>0</v>
      </c>
      <c r="T761" s="13" t="s">
        <v>51</v>
      </c>
      <c r="U761" s="13" t="s">
        <v>108</v>
      </c>
      <c r="V761" s="13" t="s">
        <v>53</v>
      </c>
      <c r="W761" s="13" t="s">
        <v>211</v>
      </c>
      <c r="X761" s="15">
        <v>44504.0</v>
      </c>
      <c r="Y761" s="15">
        <v>44508.0</v>
      </c>
      <c r="Z761" s="16"/>
      <c r="AA761" s="17" t="s">
        <v>56</v>
      </c>
      <c r="AB761" s="16">
        <v>44504.0</v>
      </c>
      <c r="AC761" s="17" t="s">
        <v>56</v>
      </c>
      <c r="AD761" s="16">
        <v>44533.0</v>
      </c>
      <c r="AE761" s="17"/>
      <c r="AF761" s="16"/>
      <c r="AG761" s="17"/>
      <c r="AH761" s="16"/>
      <c r="AI761" s="16"/>
      <c r="AJ761" s="16"/>
      <c r="AK761" s="17" t="s">
        <v>108</v>
      </c>
      <c r="AL761" s="17" t="s">
        <v>108</v>
      </c>
      <c r="AM761" s="16"/>
      <c r="AN761" s="16"/>
      <c r="AO761" s="16"/>
      <c r="AP761" s="18" t="s">
        <v>58</v>
      </c>
      <c r="AQ761" s="16"/>
    </row>
    <row r="762" ht="15.75" hidden="1" customHeight="1">
      <c r="A762" s="10" t="s">
        <v>3650</v>
      </c>
      <c r="B762" s="10" t="s">
        <v>3651</v>
      </c>
      <c r="C762" s="10" t="str">
        <f>VLOOKUP(A762,import!A:C,3,0)</f>
        <v>YANLIŞ</v>
      </c>
      <c r="D762" s="10" t="s">
        <v>61</v>
      </c>
      <c r="E762" s="10">
        <f>VLOOKUP(A762,import!A:J,5,0)</f>
        <v>212</v>
      </c>
      <c r="F762" s="10" t="str">
        <f>VLOOKUP(A762,import!A:J,6,0)</f>
        <v/>
      </c>
      <c r="G762" s="10">
        <f>VLOOKUP(A762,import!A:J,7,0)</f>
        <v>45</v>
      </c>
      <c r="H762" s="10">
        <f>VLOOKUP(A762,import!A:J,8,0)</f>
        <v>15</v>
      </c>
      <c r="I762" s="10">
        <f>VLOOKUP(A762,import!A:J,9,0)</f>
        <v>60</v>
      </c>
      <c r="J762" s="11">
        <f>VLOOKUP(A762,import!A:J,10,0)</f>
        <v>0.75</v>
      </c>
      <c r="K762" s="10" t="s">
        <v>3652</v>
      </c>
      <c r="L762" s="10">
        <v>5.352340532E9</v>
      </c>
      <c r="M762" s="10" t="s">
        <v>72</v>
      </c>
      <c r="N762" s="10" t="s">
        <v>150</v>
      </c>
      <c r="O762" s="10" t="s">
        <v>3653</v>
      </c>
      <c r="P762" s="10" t="str">
        <f>VLOOKUP(A762,import!A:P,16,0)</f>
        <v>Geleneksel</v>
      </c>
      <c r="Q762" s="12"/>
      <c r="R762" s="12" t="b">
        <v>1</v>
      </c>
      <c r="S762" s="12" t="b">
        <v>0</v>
      </c>
      <c r="T762" s="13" t="s">
        <v>51</v>
      </c>
      <c r="U762" s="13" t="s">
        <v>314</v>
      </c>
      <c r="V762" s="23" t="s">
        <v>53</v>
      </c>
      <c r="W762" s="13" t="s">
        <v>3654</v>
      </c>
      <c r="X762" s="15">
        <v>44505.0</v>
      </c>
      <c r="Y762" s="15">
        <v>44509.0</v>
      </c>
      <c r="Z762" s="16"/>
      <c r="AA762" s="17" t="s">
        <v>230</v>
      </c>
      <c r="AB762" s="16">
        <v>44356.0</v>
      </c>
      <c r="AC762" s="17" t="s">
        <v>55</v>
      </c>
      <c r="AD762" s="16">
        <v>44356.0</v>
      </c>
      <c r="AE762" s="17" t="s">
        <v>56</v>
      </c>
      <c r="AF762" s="16">
        <v>44361.0</v>
      </c>
      <c r="AG762" s="17" t="s">
        <v>55</v>
      </c>
      <c r="AH762" s="16">
        <v>44431.0</v>
      </c>
      <c r="AI762" s="17" t="s">
        <v>56</v>
      </c>
      <c r="AJ762" s="16">
        <v>44553.0</v>
      </c>
      <c r="AK762" s="17" t="s">
        <v>52</v>
      </c>
      <c r="AL762" s="17" t="s">
        <v>52</v>
      </c>
      <c r="AM762" s="17" t="s">
        <v>88</v>
      </c>
      <c r="AN762" s="17" t="s">
        <v>926</v>
      </c>
      <c r="AO762" s="17" t="s">
        <v>89</v>
      </c>
      <c r="AP762" s="18" t="s">
        <v>58</v>
      </c>
      <c r="AQ762" s="17"/>
    </row>
    <row r="763" ht="15.75" hidden="1" customHeight="1">
      <c r="A763" s="10" t="s">
        <v>3655</v>
      </c>
      <c r="B763" s="10" t="s">
        <v>3656</v>
      </c>
      <c r="C763" s="10" t="str">
        <f>VLOOKUP(A763,import!A:C,3,0)</f>
        <v>DOĞRU</v>
      </c>
      <c r="D763" s="10" t="s">
        <v>363</v>
      </c>
      <c r="E763" s="10">
        <f>VLOOKUP(A763,import!A:J,5,0)</f>
        <v>177</v>
      </c>
      <c r="F763" s="10">
        <f>VLOOKUP(A763,import!A:J,6,0)</f>
        <v>40</v>
      </c>
      <c r="G763" s="10">
        <f>VLOOKUP(A763,import!A:J,7,0)</f>
        <v>0</v>
      </c>
      <c r="H763" s="10">
        <f>VLOOKUP(A763,import!A:J,8,0)</f>
        <v>29</v>
      </c>
      <c r="I763" s="10">
        <f>VLOOKUP(A763,import!A:J,9,0)</f>
        <v>29</v>
      </c>
      <c r="J763" s="11">
        <f>VLOOKUP(A763,import!A:J,10,0)</f>
        <v>0</v>
      </c>
      <c r="K763" s="10" t="s">
        <v>3657</v>
      </c>
      <c r="L763" s="10">
        <v>5.352340532E9</v>
      </c>
      <c r="M763" s="10" t="s">
        <v>72</v>
      </c>
      <c r="N763" s="10" t="s">
        <v>1298</v>
      </c>
      <c r="O763" s="10" t="s">
        <v>3653</v>
      </c>
      <c r="P763" s="10" t="str">
        <f>VLOOKUP(A763,import!A:P,16,0)</f>
        <v>Geleneksel</v>
      </c>
      <c r="Q763" s="12"/>
      <c r="R763" s="12" t="b">
        <v>1</v>
      </c>
      <c r="S763" s="12" t="b">
        <v>0</v>
      </c>
      <c r="T763" s="13" t="s">
        <v>140</v>
      </c>
      <c r="U763" s="13"/>
      <c r="V763" s="13"/>
      <c r="W763" s="13" t="s">
        <v>3658</v>
      </c>
      <c r="X763" s="15"/>
      <c r="Y763" s="15"/>
      <c r="Z763" s="16"/>
      <c r="AA763" s="17" t="s">
        <v>55</v>
      </c>
      <c r="AB763" s="16">
        <v>44578.0</v>
      </c>
      <c r="AC763" s="17" t="s">
        <v>55</v>
      </c>
      <c r="AD763" s="16">
        <v>44590.0</v>
      </c>
      <c r="AE763" s="17"/>
      <c r="AF763" s="16"/>
      <c r="AG763" s="17"/>
      <c r="AH763" s="16"/>
      <c r="AI763" s="16"/>
      <c r="AJ763" s="16"/>
      <c r="AK763" s="17" t="s">
        <v>89</v>
      </c>
      <c r="AL763" s="17" t="s">
        <v>133</v>
      </c>
      <c r="AM763" s="16"/>
      <c r="AN763" s="16"/>
      <c r="AO763" s="16"/>
      <c r="AP763" s="18"/>
      <c r="AQ763" s="16"/>
    </row>
    <row r="764" ht="15.75" hidden="1" customHeight="1">
      <c r="A764" s="10" t="s">
        <v>3659</v>
      </c>
      <c r="B764" s="10" t="s">
        <v>3660</v>
      </c>
      <c r="C764" s="10" t="str">
        <f>VLOOKUP(A764,import!A:C,3,0)</f>
        <v>DOĞRU</v>
      </c>
      <c r="D764" s="10" t="s">
        <v>70</v>
      </c>
      <c r="E764" s="10">
        <f>VLOOKUP(A764,import!A:J,5,0)</f>
        <v>54</v>
      </c>
      <c r="F764" s="10" t="str">
        <f>VLOOKUP(A764,import!A:J,6,0)</f>
        <v/>
      </c>
      <c r="G764" s="10">
        <f>VLOOKUP(A764,import!A:J,7,0)</f>
        <v>3</v>
      </c>
      <c r="H764" s="10">
        <f>VLOOKUP(A764,import!A:J,8,0)</f>
        <v>7</v>
      </c>
      <c r="I764" s="10">
        <f>VLOOKUP(A764,import!A:J,9,0)</f>
        <v>10</v>
      </c>
      <c r="J764" s="11">
        <f>VLOOKUP(A764,import!A:J,10,0)</f>
        <v>0.3</v>
      </c>
      <c r="K764" s="10" t="s">
        <v>3661</v>
      </c>
      <c r="L764" s="10">
        <v>5.307933833E9</v>
      </c>
      <c r="M764" s="10" t="s">
        <v>72</v>
      </c>
      <c r="N764" s="10" t="s">
        <v>82</v>
      </c>
      <c r="O764" s="10" t="s">
        <v>3662</v>
      </c>
      <c r="P764" s="10" t="str">
        <f>VLOOKUP(A764,import!A:P,16,0)</f>
        <v>Geleneksel</v>
      </c>
      <c r="Q764" s="12" t="s">
        <v>146</v>
      </c>
      <c r="R764" s="12" t="b">
        <v>1</v>
      </c>
      <c r="S764" s="12" t="b">
        <v>0</v>
      </c>
      <c r="T764" s="13" t="s">
        <v>51</v>
      </c>
      <c r="U764" s="13" t="s">
        <v>133</v>
      </c>
      <c r="V764" s="13" t="s">
        <v>53</v>
      </c>
      <c r="W764" s="13" t="s">
        <v>3663</v>
      </c>
      <c r="X764" s="15">
        <v>44267.0</v>
      </c>
      <c r="Y764" s="15">
        <v>44273.0</v>
      </c>
      <c r="Z764" s="16"/>
      <c r="AA764" s="16"/>
      <c r="AB764" s="16"/>
      <c r="AC764" s="16"/>
      <c r="AD764" s="16"/>
      <c r="AE764" s="17"/>
      <c r="AF764" s="16"/>
      <c r="AG764" s="17"/>
      <c r="AH764" s="16"/>
      <c r="AI764" s="16"/>
      <c r="AJ764" s="16"/>
      <c r="AK764" s="16"/>
      <c r="AL764" s="16"/>
      <c r="AM764" s="16"/>
      <c r="AN764" s="16"/>
      <c r="AO764" s="16"/>
      <c r="AP764" s="18" t="s">
        <v>58</v>
      </c>
      <c r="AQ764" s="16"/>
    </row>
    <row r="765" ht="15.75" customHeight="1">
      <c r="A765" s="10" t="s">
        <v>3664</v>
      </c>
      <c r="B765" s="10" t="s">
        <v>3665</v>
      </c>
      <c r="C765" s="10" t="str">
        <f>VLOOKUP(A765,import!A:C,3,0)</f>
        <v>YANLIŞ</v>
      </c>
      <c r="D765" s="10" t="s">
        <v>451</v>
      </c>
      <c r="E765" s="10">
        <f>VLOOKUP(A765,import!A:J,5,0)</f>
        <v>36</v>
      </c>
      <c r="F765" s="10" t="str">
        <f>VLOOKUP(A765,import!A:J,6,0)</f>
        <v/>
      </c>
      <c r="G765" s="10">
        <f>VLOOKUP(A765,import!A:J,7,0)</f>
        <v>0</v>
      </c>
      <c r="H765" s="10">
        <f>VLOOKUP(A765,import!A:J,8,0)</f>
        <v>8</v>
      </c>
      <c r="I765" s="10">
        <f>VLOOKUP(A765,import!A:J,9,0)</f>
        <v>8</v>
      </c>
      <c r="J765" s="11">
        <f>VLOOKUP(A765,import!A:J,10,0)</f>
        <v>0</v>
      </c>
      <c r="K765" s="10" t="s">
        <v>3666</v>
      </c>
      <c r="L765" s="10">
        <v>5.350449302E9</v>
      </c>
      <c r="M765" s="10" t="s">
        <v>137</v>
      </c>
      <c r="N765" s="10" t="s">
        <v>426</v>
      </c>
      <c r="O765" s="10" t="s">
        <v>3667</v>
      </c>
      <c r="P765" s="10" t="str">
        <f>VLOOKUP(A765,import!A:P,16,0)</f>
        <v>Geleneksel</v>
      </c>
      <c r="Q765" s="12"/>
      <c r="R765" s="12" t="b">
        <v>1</v>
      </c>
      <c r="S765" s="12" t="b">
        <v>0</v>
      </c>
      <c r="T765" s="13" t="s">
        <v>130</v>
      </c>
      <c r="U765" s="13" t="s">
        <v>89</v>
      </c>
      <c r="V765" s="23" t="s">
        <v>66</v>
      </c>
      <c r="W765" s="13"/>
      <c r="X765" s="15">
        <v>44581.0</v>
      </c>
      <c r="Y765" s="15">
        <v>44588.0</v>
      </c>
      <c r="Z765" s="16"/>
      <c r="AA765" s="17" t="s">
        <v>56</v>
      </c>
      <c r="AB765" s="16">
        <v>44579.0</v>
      </c>
      <c r="AC765" s="17" t="s">
        <v>56</v>
      </c>
      <c r="AD765" s="16">
        <v>44581.0</v>
      </c>
      <c r="AE765" s="17"/>
      <c r="AF765" s="16"/>
      <c r="AG765" s="17"/>
      <c r="AH765" s="16"/>
      <c r="AI765" s="16"/>
      <c r="AJ765" s="16"/>
      <c r="AK765" s="17" t="s">
        <v>89</v>
      </c>
      <c r="AL765" s="17" t="s">
        <v>89</v>
      </c>
      <c r="AM765" s="16"/>
      <c r="AN765" s="16"/>
      <c r="AO765" s="16"/>
      <c r="AP765" s="18"/>
      <c r="AQ765" s="16"/>
    </row>
    <row r="766" ht="15.75" customHeight="1">
      <c r="A766" s="10" t="s">
        <v>3668</v>
      </c>
      <c r="B766" s="10" t="s">
        <v>3669</v>
      </c>
      <c r="C766" s="10" t="str">
        <f>VLOOKUP(A766,import!A:C,3,0)</f>
        <v>DOĞRU</v>
      </c>
      <c r="D766" s="10" t="s">
        <v>564</v>
      </c>
      <c r="E766" s="10">
        <f>VLOOKUP(A766,import!A:J,5,0)</f>
        <v>63</v>
      </c>
      <c r="F766" s="10" t="str">
        <f>VLOOKUP(A766,import!A:J,6,0)</f>
        <v/>
      </c>
      <c r="G766" s="10">
        <f>VLOOKUP(A766,import!A:J,7,0)</f>
        <v>5</v>
      </c>
      <c r="H766" s="10">
        <f>VLOOKUP(A766,import!A:J,8,0)</f>
        <v>1</v>
      </c>
      <c r="I766" s="10">
        <f>VLOOKUP(A766,import!A:J,9,0)</f>
        <v>6</v>
      </c>
      <c r="J766" s="11">
        <f>VLOOKUP(A766,import!A:J,10,0)</f>
        <v>0.83</v>
      </c>
      <c r="K766" s="10" t="s">
        <v>3670</v>
      </c>
      <c r="L766" s="10">
        <v>5.536232451E9</v>
      </c>
      <c r="M766" s="10" t="s">
        <v>63</v>
      </c>
      <c r="N766" s="10" t="s">
        <v>93</v>
      </c>
      <c r="O766" s="10" t="s">
        <v>3671</v>
      </c>
      <c r="P766" s="10" t="str">
        <f>VLOOKUP(A766,import!A:P,16,0)</f>
        <v>Geleneksel</v>
      </c>
      <c r="Q766" s="12"/>
      <c r="R766" s="12" t="b">
        <v>1</v>
      </c>
      <c r="S766" s="12" t="b">
        <v>0</v>
      </c>
      <c r="T766" s="13" t="s">
        <v>51</v>
      </c>
      <c r="U766" s="13" t="s">
        <v>95</v>
      </c>
      <c r="V766" s="13" t="s">
        <v>53</v>
      </c>
      <c r="W766" s="13" t="s">
        <v>3672</v>
      </c>
      <c r="X766" s="15">
        <v>44418.0</v>
      </c>
      <c r="Y766" s="15">
        <v>44424.0</v>
      </c>
      <c r="Z766" s="16"/>
      <c r="AA766" s="17" t="s">
        <v>56</v>
      </c>
      <c r="AB766" s="16">
        <v>44418.0</v>
      </c>
      <c r="AC766" s="16"/>
      <c r="AD766" s="16"/>
      <c r="AE766" s="17"/>
      <c r="AF766" s="16"/>
      <c r="AG766" s="17"/>
      <c r="AH766" s="16"/>
      <c r="AI766" s="16"/>
      <c r="AJ766" s="16"/>
      <c r="AK766" s="17" t="s">
        <v>95</v>
      </c>
      <c r="AL766" s="16"/>
      <c r="AM766" s="16"/>
      <c r="AN766" s="16"/>
      <c r="AO766" s="16"/>
      <c r="AP766" s="18" t="s">
        <v>58</v>
      </c>
      <c r="AQ766" s="16"/>
    </row>
    <row r="767" ht="15.75" hidden="1" customHeight="1">
      <c r="A767" s="10" t="s">
        <v>3673</v>
      </c>
      <c r="B767" s="10" t="s">
        <v>3674</v>
      </c>
      <c r="C767" s="10" t="str">
        <f>VLOOKUP(A767,import!A:C,3,0)</f>
        <v>DOĞRU</v>
      </c>
      <c r="D767" s="10" t="s">
        <v>106</v>
      </c>
      <c r="E767" s="10">
        <f>VLOOKUP(A767,import!A:J,5,0)</f>
        <v>346</v>
      </c>
      <c r="F767" s="10" t="str">
        <f>VLOOKUP(A767,import!A:J,6,0)</f>
        <v/>
      </c>
      <c r="G767" s="10">
        <f>VLOOKUP(A767,import!A:J,7,0)</f>
        <v>0</v>
      </c>
      <c r="H767" s="10">
        <f>VLOOKUP(A767,import!A:J,8,0)</f>
        <v>23</v>
      </c>
      <c r="I767" s="10">
        <f>VLOOKUP(A767,import!A:J,9,0)</f>
        <v>23</v>
      </c>
      <c r="J767" s="11">
        <f>VLOOKUP(A767,import!A:J,10,0)</f>
        <v>0</v>
      </c>
      <c r="K767" s="10" t="s">
        <v>3675</v>
      </c>
      <c r="L767" s="10">
        <v>5.050215732E9</v>
      </c>
      <c r="M767" s="10" t="s">
        <v>187</v>
      </c>
      <c r="N767" s="10" t="s">
        <v>150</v>
      </c>
      <c r="O767" s="10" t="s">
        <v>3676</v>
      </c>
      <c r="P767" s="10" t="str">
        <f>VLOOKUP(A767,import!A:P,16,0)</f>
        <v>Geleneksel</v>
      </c>
      <c r="Q767" s="12"/>
      <c r="R767" s="12" t="b">
        <v>0</v>
      </c>
      <c r="S767" s="12" t="b">
        <v>0</v>
      </c>
      <c r="T767" s="13" t="s">
        <v>485</v>
      </c>
      <c r="U767" s="13"/>
      <c r="V767" s="13"/>
      <c r="W767" s="13"/>
      <c r="X767" s="15"/>
      <c r="Y767" s="15"/>
      <c r="Z767" s="16"/>
      <c r="AA767" s="16"/>
      <c r="AB767" s="16"/>
      <c r="AC767" s="16"/>
      <c r="AD767" s="16"/>
      <c r="AE767" s="17"/>
      <c r="AF767" s="16"/>
      <c r="AG767" s="17"/>
      <c r="AH767" s="16"/>
      <c r="AI767" s="16"/>
      <c r="AJ767" s="16"/>
      <c r="AK767" s="16"/>
      <c r="AL767" s="16"/>
      <c r="AM767" s="16"/>
      <c r="AN767" s="16"/>
      <c r="AO767" s="16"/>
      <c r="AP767" s="18" t="s">
        <v>58</v>
      </c>
      <c r="AQ767" s="16"/>
    </row>
    <row r="768" ht="15.75" hidden="1" customHeight="1">
      <c r="A768" s="10" t="s">
        <v>3677</v>
      </c>
      <c r="B768" s="10" t="s">
        <v>3678</v>
      </c>
      <c r="C768" s="10" t="str">
        <f>VLOOKUP(A768,import!A:C,3,0)</f>
        <v>DOĞRU</v>
      </c>
      <c r="D768" s="10" t="s">
        <v>498</v>
      </c>
      <c r="E768" s="10">
        <f>VLOOKUP(A768,import!A:J,5,0)</f>
        <v>5</v>
      </c>
      <c r="F768" s="10" t="str">
        <f>VLOOKUP(A768,import!A:J,6,0)</f>
        <v/>
      </c>
      <c r="G768" s="10">
        <f>VLOOKUP(A768,import!A:J,7,0)</f>
        <v>36</v>
      </c>
      <c r="H768" s="10">
        <f>VLOOKUP(A768,import!A:J,8,0)</f>
        <v>13</v>
      </c>
      <c r="I768" s="10">
        <f>VLOOKUP(A768,import!A:J,9,0)</f>
        <v>49</v>
      </c>
      <c r="J768" s="11">
        <f>VLOOKUP(A768,import!A:J,10,0)</f>
        <v>0.73</v>
      </c>
      <c r="K768" s="10" t="s">
        <v>3679</v>
      </c>
      <c r="L768" s="10">
        <v>5.364874247E9</v>
      </c>
      <c r="M768" s="10" t="s">
        <v>72</v>
      </c>
      <c r="N768" s="10" t="s">
        <v>82</v>
      </c>
      <c r="O768" s="10" t="s">
        <v>3680</v>
      </c>
      <c r="P768" s="10" t="str">
        <f>VLOOKUP(A768,import!A:P,16,0)</f>
        <v>Geleneksel</v>
      </c>
      <c r="Q768" s="12"/>
      <c r="R768" s="12" t="b">
        <v>1</v>
      </c>
      <c r="S768" s="12" t="b">
        <v>0</v>
      </c>
      <c r="T768" s="13" t="s">
        <v>51</v>
      </c>
      <c r="U768" s="13" t="s">
        <v>133</v>
      </c>
      <c r="V768" s="17" t="s">
        <v>66</v>
      </c>
      <c r="W768" s="13"/>
      <c r="X768" s="15">
        <v>44648.0</v>
      </c>
      <c r="Y768" s="15">
        <v>44649.0</v>
      </c>
      <c r="Z768" s="16"/>
      <c r="AA768" s="17" t="s">
        <v>56</v>
      </c>
      <c r="AB768" s="16">
        <v>44648.0</v>
      </c>
      <c r="AC768" s="16"/>
      <c r="AD768" s="16"/>
      <c r="AE768" s="17"/>
      <c r="AF768" s="16"/>
      <c r="AG768" s="17"/>
      <c r="AH768" s="16"/>
      <c r="AI768" s="16"/>
      <c r="AJ768" s="16"/>
      <c r="AK768" s="17" t="s">
        <v>133</v>
      </c>
      <c r="AL768" s="16"/>
      <c r="AM768" s="16"/>
      <c r="AN768" s="16"/>
      <c r="AO768" s="16"/>
      <c r="AP768" s="18"/>
      <c r="AQ768" s="16"/>
    </row>
    <row r="769" ht="15.75" hidden="1" customHeight="1">
      <c r="A769" s="10" t="s">
        <v>3681</v>
      </c>
      <c r="B769" s="10" t="s">
        <v>3682</v>
      </c>
      <c r="C769" s="10" t="str">
        <f>VLOOKUP(A769,import!A:C,3,0)</f>
        <v>DOĞRU</v>
      </c>
      <c r="D769" s="10" t="s">
        <v>363</v>
      </c>
      <c r="E769" s="10">
        <f>VLOOKUP(A769,import!A:J,5,0)</f>
        <v>1164</v>
      </c>
      <c r="F769" s="10">
        <f>VLOOKUP(A769,import!A:J,6,0)</f>
        <v>60</v>
      </c>
      <c r="G769" s="10">
        <f>VLOOKUP(A769,import!A:J,7,0)</f>
        <v>12</v>
      </c>
      <c r="H769" s="10">
        <f>VLOOKUP(A769,import!A:J,8,0)</f>
        <v>18</v>
      </c>
      <c r="I769" s="10">
        <f>VLOOKUP(A769,import!A:J,9,0)</f>
        <v>30</v>
      </c>
      <c r="J769" s="11">
        <f>VLOOKUP(A769,import!A:J,10,0)</f>
        <v>0.4</v>
      </c>
      <c r="K769" s="10" t="s">
        <v>3683</v>
      </c>
      <c r="L769" s="10">
        <v>3.246266062E9</v>
      </c>
      <c r="M769" s="10" t="s">
        <v>156</v>
      </c>
      <c r="N769" s="10" t="s">
        <v>3638</v>
      </c>
      <c r="O769" s="10" t="s">
        <v>3684</v>
      </c>
      <c r="P769" s="10" t="str">
        <f>VLOOKUP(A769,import!A:P,16,0)</f>
        <v>Geleneksel</v>
      </c>
      <c r="Q769" s="12" t="s">
        <v>146</v>
      </c>
      <c r="R769" s="12" t="b">
        <v>1</v>
      </c>
      <c r="S769" s="12" t="b">
        <v>0</v>
      </c>
      <c r="T769" s="13" t="s">
        <v>51</v>
      </c>
      <c r="U769" s="13" t="s">
        <v>376</v>
      </c>
      <c r="V769" s="13" t="s">
        <v>53</v>
      </c>
      <c r="W769" s="13" t="s">
        <v>3685</v>
      </c>
      <c r="X769" s="15">
        <v>44301.0</v>
      </c>
      <c r="Y769" s="15">
        <v>44302.0</v>
      </c>
      <c r="Z769" s="16"/>
      <c r="AA769" s="17" t="s">
        <v>56</v>
      </c>
      <c r="AB769" s="16">
        <v>44553.0</v>
      </c>
      <c r="AC769" s="16"/>
      <c r="AD769" s="16"/>
      <c r="AE769" s="17"/>
      <c r="AF769" s="16"/>
      <c r="AG769" s="17"/>
      <c r="AH769" s="16"/>
      <c r="AI769" s="16"/>
      <c r="AJ769" s="16"/>
      <c r="AK769" s="17" t="s">
        <v>89</v>
      </c>
      <c r="AL769" s="16"/>
      <c r="AM769" s="16"/>
      <c r="AN769" s="16"/>
      <c r="AO769" s="16"/>
      <c r="AP769" s="18" t="s">
        <v>58</v>
      </c>
      <c r="AQ769" s="16"/>
    </row>
    <row r="770" ht="15.75" customHeight="1">
      <c r="A770" s="10" t="s">
        <v>3686</v>
      </c>
      <c r="B770" s="10" t="s">
        <v>3687</v>
      </c>
      <c r="C770" s="10" t="str">
        <f>VLOOKUP(A770,import!A:C,3,0)</f>
        <v>DOĞRU</v>
      </c>
      <c r="D770" s="10" t="s">
        <v>363</v>
      </c>
      <c r="E770" s="10">
        <f>VLOOKUP(A770,import!A:J,5,0)</f>
        <v>315</v>
      </c>
      <c r="F770" s="10">
        <f>VLOOKUP(A770,import!A:J,6,0)</f>
        <v>14</v>
      </c>
      <c r="G770" s="10">
        <f>VLOOKUP(A770,import!A:J,7,0)</f>
        <v>19</v>
      </c>
      <c r="H770" s="10">
        <f>VLOOKUP(A770,import!A:J,8,0)</f>
        <v>51</v>
      </c>
      <c r="I770" s="10">
        <f>VLOOKUP(A770,import!A:J,9,0)</f>
        <v>70</v>
      </c>
      <c r="J770" s="11">
        <f>VLOOKUP(A770,import!A:J,10,0)</f>
        <v>0.27</v>
      </c>
      <c r="K770" s="10" t="s">
        <v>3688</v>
      </c>
      <c r="L770" s="10">
        <v>5.30220328E9</v>
      </c>
      <c r="M770" s="10" t="s">
        <v>63</v>
      </c>
      <c r="N770" s="10" t="s">
        <v>64</v>
      </c>
      <c r="O770" s="10" t="s">
        <v>3689</v>
      </c>
      <c r="P770" s="10" t="str">
        <f>VLOOKUP(A770,import!A:P,16,0)</f>
        <v>Geleneksel</v>
      </c>
      <c r="Q770" s="12"/>
      <c r="R770" s="12" t="b">
        <v>1</v>
      </c>
      <c r="S770" s="12" t="b">
        <v>0</v>
      </c>
      <c r="T770" s="13" t="s">
        <v>51</v>
      </c>
      <c r="U770" s="13" t="s">
        <v>89</v>
      </c>
      <c r="V770" s="13" t="s">
        <v>66</v>
      </c>
      <c r="W770" s="13" t="s">
        <v>3690</v>
      </c>
      <c r="X770" s="15">
        <v>44495.0</v>
      </c>
      <c r="Y770" s="15">
        <v>44496.0</v>
      </c>
      <c r="Z770" s="16"/>
      <c r="AA770" s="17" t="s">
        <v>56</v>
      </c>
      <c r="AB770" s="16">
        <v>44404.0</v>
      </c>
      <c r="AC770" s="17" t="s">
        <v>56</v>
      </c>
      <c r="AD770" s="16">
        <v>44487.0</v>
      </c>
      <c r="AE770" s="17" t="s">
        <v>56</v>
      </c>
      <c r="AF770" s="16">
        <v>44495.0</v>
      </c>
      <c r="AG770" s="17" t="s">
        <v>55</v>
      </c>
      <c r="AH770" s="16">
        <v>44552.0</v>
      </c>
      <c r="AI770" s="17" t="s">
        <v>56</v>
      </c>
      <c r="AJ770" s="16">
        <v>44558.0</v>
      </c>
      <c r="AK770" s="17" t="s">
        <v>52</v>
      </c>
      <c r="AL770" s="17" t="s">
        <v>133</v>
      </c>
      <c r="AM770" s="17" t="s">
        <v>89</v>
      </c>
      <c r="AN770" s="17" t="s">
        <v>321</v>
      </c>
      <c r="AO770" s="17" t="s">
        <v>87</v>
      </c>
      <c r="AP770" s="18" t="s">
        <v>58</v>
      </c>
      <c r="AQ770" s="16"/>
    </row>
    <row r="771" ht="15.75" hidden="1" customHeight="1">
      <c r="A771" s="10" t="s">
        <v>3691</v>
      </c>
      <c r="B771" s="10" t="s">
        <v>3692</v>
      </c>
      <c r="C771" s="10" t="str">
        <f>VLOOKUP(A771,import!A:C,3,0)</f>
        <v>DOĞRU</v>
      </c>
      <c r="D771" s="10" t="s">
        <v>363</v>
      </c>
      <c r="E771" s="10">
        <f>VLOOKUP(A771,import!A:J,5,0)</f>
        <v>582</v>
      </c>
      <c r="F771" s="10">
        <f>VLOOKUP(A771,import!A:J,6,0)</f>
        <v>60</v>
      </c>
      <c r="G771" s="10">
        <f>VLOOKUP(A771,import!A:J,7,0)</f>
        <v>11</v>
      </c>
      <c r="H771" s="10">
        <f>VLOOKUP(A771,import!A:J,8,0)</f>
        <v>11</v>
      </c>
      <c r="I771" s="10">
        <f>VLOOKUP(A771,import!A:J,9,0)</f>
        <v>22</v>
      </c>
      <c r="J771" s="11">
        <f>VLOOKUP(A771,import!A:J,10,0)</f>
        <v>0.5</v>
      </c>
      <c r="K771" s="10" t="s">
        <v>3693</v>
      </c>
      <c r="L771" s="10">
        <v>3.243293E9</v>
      </c>
      <c r="M771" s="10" t="s">
        <v>72</v>
      </c>
      <c r="N771" s="10" t="s">
        <v>120</v>
      </c>
      <c r="O771" s="10" t="s">
        <v>3694</v>
      </c>
      <c r="P771" s="10" t="str">
        <f>VLOOKUP(A771,import!A:P,16,0)</f>
        <v>Geleneksel</v>
      </c>
      <c r="Q771" s="12"/>
      <c r="R771" s="12" t="b">
        <v>1</v>
      </c>
      <c r="S771" s="12" t="b">
        <v>0</v>
      </c>
      <c r="T771" s="13" t="s">
        <v>51</v>
      </c>
      <c r="U771" s="13" t="s">
        <v>329</v>
      </c>
      <c r="V771" s="13" t="s">
        <v>66</v>
      </c>
      <c r="W771" s="13" t="s">
        <v>3695</v>
      </c>
      <c r="X771" s="15">
        <v>44537.0</v>
      </c>
      <c r="Y771" s="15">
        <v>44539.0</v>
      </c>
      <c r="Z771" s="16"/>
      <c r="AA771" s="17" t="s">
        <v>56</v>
      </c>
      <c r="AB771" s="16">
        <v>44350.0</v>
      </c>
      <c r="AC771" s="17" t="s">
        <v>56</v>
      </c>
      <c r="AD771" s="16">
        <v>44431.0</v>
      </c>
      <c r="AE771" s="17" t="s">
        <v>56</v>
      </c>
      <c r="AF771" s="16">
        <v>44512.0</v>
      </c>
      <c r="AG771" s="17" t="s">
        <v>56</v>
      </c>
      <c r="AH771" s="16">
        <v>44537.0</v>
      </c>
      <c r="AI771" s="16"/>
      <c r="AJ771" s="16"/>
      <c r="AK771" s="17" t="s">
        <v>88</v>
      </c>
      <c r="AL771" s="17" t="s">
        <v>926</v>
      </c>
      <c r="AM771" s="17" t="s">
        <v>89</v>
      </c>
      <c r="AN771" s="17" t="s">
        <v>329</v>
      </c>
      <c r="AO771" s="16"/>
      <c r="AP771" s="18" t="s">
        <v>58</v>
      </c>
      <c r="AQ771" s="16"/>
    </row>
    <row r="772" ht="15.75" hidden="1" customHeight="1">
      <c r="A772" s="10" t="s">
        <v>3696</v>
      </c>
      <c r="B772" s="10" t="s">
        <v>3697</v>
      </c>
      <c r="C772" s="10" t="str">
        <f>VLOOKUP(A772,import!A:C,3,0)</f>
        <v>DOĞRU</v>
      </c>
      <c r="D772" s="10" t="s">
        <v>106</v>
      </c>
      <c r="E772" s="10">
        <f>VLOOKUP(A772,import!A:J,5,0)</f>
        <v>138</v>
      </c>
      <c r="F772" s="10">
        <f>VLOOKUP(A772,import!A:J,6,0)</f>
        <v>43</v>
      </c>
      <c r="G772" s="10">
        <f>VLOOKUP(A772,import!A:J,7,0)</f>
        <v>0</v>
      </c>
      <c r="H772" s="10">
        <f>VLOOKUP(A772,import!A:J,8,0)</f>
        <v>14</v>
      </c>
      <c r="I772" s="10">
        <f>VLOOKUP(A772,import!A:J,9,0)</f>
        <v>14</v>
      </c>
      <c r="J772" s="11">
        <f>VLOOKUP(A772,import!A:J,10,0)</f>
        <v>0</v>
      </c>
      <c r="K772" s="10" t="s">
        <v>3698</v>
      </c>
      <c r="L772" s="10">
        <v>5.061507072E9</v>
      </c>
      <c r="M772" s="10" t="s">
        <v>215</v>
      </c>
      <c r="N772" s="10" t="s">
        <v>634</v>
      </c>
      <c r="O772" s="10" t="s">
        <v>3699</v>
      </c>
      <c r="P772" s="10" t="str">
        <f>VLOOKUP(A772,import!A:P,16,0)</f>
        <v>Geleneksel</v>
      </c>
      <c r="Q772" s="12"/>
      <c r="R772" s="12" t="b">
        <v>1</v>
      </c>
      <c r="S772" s="12" t="b">
        <v>0</v>
      </c>
      <c r="T772" s="13" t="s">
        <v>265</v>
      </c>
      <c r="U772" s="13"/>
      <c r="V772" s="19"/>
      <c r="W772" s="13" t="s">
        <v>3700</v>
      </c>
      <c r="X772" s="15"/>
      <c r="Y772" s="15"/>
      <c r="Z772" s="16"/>
      <c r="AA772" s="17" t="s">
        <v>56</v>
      </c>
      <c r="AB772" s="16">
        <v>44634.0</v>
      </c>
      <c r="AC772" s="17" t="s">
        <v>56</v>
      </c>
      <c r="AD772" s="16">
        <v>44657.0</v>
      </c>
      <c r="AE772" s="17"/>
      <c r="AF772" s="16"/>
      <c r="AG772" s="17"/>
      <c r="AH772" s="16"/>
      <c r="AI772" s="16"/>
      <c r="AJ772" s="16"/>
      <c r="AK772" s="17" t="s">
        <v>89</v>
      </c>
      <c r="AL772" s="17" t="s">
        <v>329</v>
      </c>
      <c r="AM772" s="16"/>
      <c r="AN772" s="16"/>
      <c r="AO772" s="16"/>
      <c r="AP772" s="18"/>
      <c r="AQ772" s="16"/>
    </row>
    <row r="773" ht="15.75" customHeight="1">
      <c r="A773" s="10" t="s">
        <v>3701</v>
      </c>
      <c r="B773" s="10" t="s">
        <v>3702</v>
      </c>
      <c r="C773" s="10" t="str">
        <f>VLOOKUP(A773,import!A:C,3,0)</f>
        <v>DOĞRU</v>
      </c>
      <c r="D773" s="10" t="s">
        <v>564</v>
      </c>
      <c r="E773" s="10">
        <f>VLOOKUP(A773,import!A:J,5,0)</f>
        <v>101</v>
      </c>
      <c r="F773" s="10" t="str">
        <f>VLOOKUP(A773,import!A:J,6,0)</f>
        <v/>
      </c>
      <c r="G773" s="10">
        <f>VLOOKUP(A773,import!A:J,7,0)</f>
        <v>1</v>
      </c>
      <c r="H773" s="10">
        <f>VLOOKUP(A773,import!A:J,8,0)</f>
        <v>60</v>
      </c>
      <c r="I773" s="10">
        <f>VLOOKUP(A773,import!A:J,9,0)</f>
        <v>61</v>
      </c>
      <c r="J773" s="11">
        <f>VLOOKUP(A773,import!A:J,10,0)</f>
        <v>0.02</v>
      </c>
      <c r="K773" s="10" t="s">
        <v>3703</v>
      </c>
      <c r="L773" s="10">
        <v>5.395769996E9</v>
      </c>
      <c r="M773" s="10" t="s">
        <v>137</v>
      </c>
      <c r="N773" s="10" t="s">
        <v>845</v>
      </c>
      <c r="O773" s="10" t="s">
        <v>3704</v>
      </c>
      <c r="P773" s="10" t="str">
        <f>VLOOKUP(A773,import!A:P,16,0)</f>
        <v>Geleneksel</v>
      </c>
      <c r="Q773" s="12"/>
      <c r="R773" s="12" t="b">
        <v>1</v>
      </c>
      <c r="S773" s="12" t="b">
        <v>1</v>
      </c>
      <c r="T773" s="13"/>
      <c r="U773" s="13"/>
      <c r="V773" s="13"/>
      <c r="W773" s="13" t="s">
        <v>3705</v>
      </c>
      <c r="X773" s="15"/>
      <c r="Y773" s="15"/>
      <c r="Z773" s="16"/>
      <c r="AA773" s="17" t="s">
        <v>56</v>
      </c>
      <c r="AB773" s="16">
        <v>44550.0</v>
      </c>
      <c r="AC773" s="16"/>
      <c r="AD773" s="16"/>
      <c r="AE773" s="17"/>
      <c r="AF773" s="16"/>
      <c r="AG773" s="17"/>
      <c r="AH773" s="16"/>
      <c r="AI773" s="16"/>
      <c r="AJ773" s="16"/>
      <c r="AK773" s="17" t="s">
        <v>89</v>
      </c>
      <c r="AL773" s="16"/>
      <c r="AM773" s="16"/>
      <c r="AN773" s="16"/>
      <c r="AO773" s="16"/>
      <c r="AP773" s="18"/>
      <c r="AQ773" s="16"/>
    </row>
    <row r="774" ht="15.75" hidden="1" customHeight="1">
      <c r="A774" s="18" t="s">
        <v>3706</v>
      </c>
      <c r="B774" s="18" t="s">
        <v>3707</v>
      </c>
      <c r="C774" s="10" t="str">
        <f>VLOOKUP(A774,import!A:C,3,0)</f>
        <v>DOĞRU</v>
      </c>
      <c r="D774" s="18" t="s">
        <v>118</v>
      </c>
      <c r="E774" s="10">
        <f>VLOOKUP(A774,import!A:J,5,0)</f>
        <v>7</v>
      </c>
      <c r="F774" s="10">
        <f>VLOOKUP(A774,import!A:J,6,0)</f>
        <v>7</v>
      </c>
      <c r="G774" s="10">
        <f>VLOOKUP(A774,import!A:J,7,0)</f>
        <v>0</v>
      </c>
      <c r="H774" s="10">
        <f>VLOOKUP(A774,import!A:J,8,0)</f>
        <v>11</v>
      </c>
      <c r="I774" s="10">
        <f>VLOOKUP(A774,import!A:J,9,0)</f>
        <v>11</v>
      </c>
      <c r="J774" s="11">
        <f>VLOOKUP(A774,import!A:J,10,0)</f>
        <v>0</v>
      </c>
      <c r="K774" s="18" t="s">
        <v>3708</v>
      </c>
      <c r="L774" s="18">
        <v>5.436483535E9</v>
      </c>
      <c r="M774" s="18" t="s">
        <v>187</v>
      </c>
      <c r="N774" s="18" t="s">
        <v>3709</v>
      </c>
      <c r="O774" s="18" t="s">
        <v>3710</v>
      </c>
      <c r="P774" s="10" t="str">
        <f>VLOOKUP(A774,import!A:P,16,0)</f>
        <v>Geleneksel</v>
      </c>
      <c r="Q774" s="12"/>
      <c r="R774" s="12" t="b">
        <v>0</v>
      </c>
      <c r="S774" s="12" t="b">
        <v>0</v>
      </c>
      <c r="T774" s="13"/>
      <c r="U774" s="13"/>
      <c r="V774" s="13"/>
      <c r="W774" s="13"/>
      <c r="X774" s="15"/>
      <c r="Y774" s="15"/>
      <c r="Z774" s="16"/>
      <c r="AA774" s="17"/>
      <c r="AB774" s="16"/>
      <c r="AC774" s="16"/>
      <c r="AD774" s="16"/>
      <c r="AE774" s="17"/>
      <c r="AF774" s="16"/>
      <c r="AG774" s="17"/>
      <c r="AH774" s="16"/>
      <c r="AI774" s="16"/>
      <c r="AJ774" s="16"/>
      <c r="AK774" s="17"/>
      <c r="AL774" s="16"/>
      <c r="AM774" s="16"/>
      <c r="AN774" s="16"/>
      <c r="AO774" s="16"/>
      <c r="AP774" s="18"/>
      <c r="AQ774" s="16"/>
    </row>
    <row r="775" ht="15.75" hidden="1" customHeight="1">
      <c r="A775" s="18" t="s">
        <v>3711</v>
      </c>
      <c r="B775" s="18" t="s">
        <v>3712</v>
      </c>
      <c r="C775" s="10" t="str">
        <f>VLOOKUP(A775,import!A:C,3,0)</f>
        <v>DOĞRU</v>
      </c>
      <c r="D775" s="18" t="s">
        <v>372</v>
      </c>
      <c r="E775" s="10">
        <f>VLOOKUP(A775,import!A:J,5,0)</f>
        <v>6</v>
      </c>
      <c r="F775" s="10">
        <f>VLOOKUP(A775,import!A:J,6,0)</f>
        <v>6</v>
      </c>
      <c r="G775" s="10">
        <f>VLOOKUP(A775,import!A:J,7,0)</f>
        <v>0</v>
      </c>
      <c r="H775" s="10">
        <f>VLOOKUP(A775,import!A:J,8,0)</f>
        <v>10</v>
      </c>
      <c r="I775" s="10">
        <f>VLOOKUP(A775,import!A:J,9,0)</f>
        <v>10</v>
      </c>
      <c r="J775" s="11">
        <f>VLOOKUP(A775,import!A:J,10,0)</f>
        <v>0</v>
      </c>
      <c r="K775" s="18" t="s">
        <v>3713</v>
      </c>
      <c r="L775" s="18">
        <v>5.334102323E9</v>
      </c>
      <c r="M775" s="18" t="s">
        <v>72</v>
      </c>
      <c r="N775" s="18" t="s">
        <v>983</v>
      </c>
      <c r="O775" s="18" t="s">
        <v>3714</v>
      </c>
      <c r="P775" s="10" t="str">
        <f>VLOOKUP(A775,import!A:P,16,0)</f>
        <v>Geleneksel</v>
      </c>
      <c r="Q775" s="12"/>
      <c r="R775" s="12" t="b">
        <v>0</v>
      </c>
      <c r="S775" s="12" t="b">
        <v>0</v>
      </c>
      <c r="T775" s="13"/>
      <c r="U775" s="13"/>
      <c r="V775" s="13"/>
      <c r="W775" s="13"/>
      <c r="X775" s="15"/>
      <c r="Y775" s="15"/>
      <c r="Z775" s="16"/>
      <c r="AA775" s="17"/>
      <c r="AB775" s="16"/>
      <c r="AC775" s="16"/>
      <c r="AD775" s="16"/>
      <c r="AE775" s="17"/>
      <c r="AF775" s="16"/>
      <c r="AG775" s="17"/>
      <c r="AH775" s="16"/>
      <c r="AI775" s="16"/>
      <c r="AJ775" s="16"/>
      <c r="AK775" s="17"/>
      <c r="AL775" s="16"/>
      <c r="AM775" s="16"/>
      <c r="AN775" s="16"/>
      <c r="AO775" s="16"/>
      <c r="AP775" s="18"/>
      <c r="AQ775" s="16"/>
    </row>
    <row r="776" ht="15.75" hidden="1" customHeight="1">
      <c r="A776" s="10" t="s">
        <v>3715</v>
      </c>
      <c r="B776" s="10" t="s">
        <v>3716</v>
      </c>
      <c r="C776" s="10" t="str">
        <f>VLOOKUP(A776,import!A:C,3,0)</f>
        <v>DOĞRU</v>
      </c>
      <c r="D776" s="10" t="s">
        <v>363</v>
      </c>
      <c r="E776" s="10">
        <f>VLOOKUP(A776,import!A:J,5,0)</f>
        <v>1070</v>
      </c>
      <c r="F776" s="10">
        <f>VLOOKUP(A776,import!A:J,6,0)</f>
        <v>82</v>
      </c>
      <c r="G776" s="10">
        <f>VLOOKUP(A776,import!A:J,7,0)</f>
        <v>1</v>
      </c>
      <c r="H776" s="10">
        <f>VLOOKUP(A776,import!A:J,8,0)</f>
        <v>35</v>
      </c>
      <c r="I776" s="10">
        <f>VLOOKUP(A776,import!A:J,9,0)</f>
        <v>36</v>
      </c>
      <c r="J776" s="11">
        <f>VLOOKUP(A776,import!A:J,10,0)</f>
        <v>0.03</v>
      </c>
      <c r="K776" s="10" t="s">
        <v>3717</v>
      </c>
      <c r="L776" s="10">
        <v>3.249331399E9</v>
      </c>
      <c r="M776" s="10" t="s">
        <v>72</v>
      </c>
      <c r="N776" s="10" t="s">
        <v>352</v>
      </c>
      <c r="O776" s="10" t="s">
        <v>3718</v>
      </c>
      <c r="P776" s="10" t="str">
        <f>VLOOKUP(A776,import!A:P,16,0)</f>
        <v>Geleneksel</v>
      </c>
      <c r="Q776" s="12" t="s">
        <v>146</v>
      </c>
      <c r="R776" s="12" t="b">
        <v>1</v>
      </c>
      <c r="S776" s="12" t="b">
        <v>0</v>
      </c>
      <c r="T776" s="13" t="s">
        <v>51</v>
      </c>
      <c r="U776" s="13" t="s">
        <v>133</v>
      </c>
      <c r="V776" s="13" t="s">
        <v>53</v>
      </c>
      <c r="W776" s="13" t="s">
        <v>3719</v>
      </c>
      <c r="X776" s="15">
        <v>44266.0</v>
      </c>
      <c r="Y776" s="15">
        <v>44270.0</v>
      </c>
      <c r="Z776" s="16"/>
      <c r="AA776" s="17" t="s">
        <v>230</v>
      </c>
      <c r="AB776" s="16">
        <v>44524.0</v>
      </c>
      <c r="AC776" s="16"/>
      <c r="AD776" s="16"/>
      <c r="AE776" s="17"/>
      <c r="AF776" s="16"/>
      <c r="AG776" s="17"/>
      <c r="AH776" s="16"/>
      <c r="AI776" s="16"/>
      <c r="AJ776" s="16"/>
      <c r="AK776" s="17" t="s">
        <v>103</v>
      </c>
      <c r="AL776" s="16"/>
      <c r="AM776" s="16"/>
      <c r="AN776" s="16"/>
      <c r="AO776" s="16"/>
      <c r="AP776" s="18" t="s">
        <v>58</v>
      </c>
      <c r="AQ776" s="16"/>
    </row>
    <row r="777" ht="15.75" hidden="1" customHeight="1">
      <c r="A777" s="10" t="s">
        <v>3720</v>
      </c>
      <c r="B777" s="10" t="s">
        <v>3721</v>
      </c>
      <c r="C777" s="10" t="str">
        <f>VLOOKUP(A777,import!A:C,3,0)</f>
        <v>DOĞRU</v>
      </c>
      <c r="D777" s="10" t="s">
        <v>106</v>
      </c>
      <c r="E777" s="10">
        <f>VLOOKUP(A777,import!A:J,5,0)</f>
        <v>36</v>
      </c>
      <c r="F777" s="10" t="str">
        <f>VLOOKUP(A777,import!A:J,6,0)</f>
        <v/>
      </c>
      <c r="G777" s="10">
        <f>VLOOKUP(A777,import!A:J,7,0)</f>
        <v>0</v>
      </c>
      <c r="H777" s="10">
        <f>VLOOKUP(A777,import!A:J,8,0)</f>
        <v>5</v>
      </c>
      <c r="I777" s="10">
        <f>VLOOKUP(A777,import!A:J,9,0)</f>
        <v>5</v>
      </c>
      <c r="J777" s="11">
        <f>VLOOKUP(A777,import!A:J,10,0)</f>
        <v>0</v>
      </c>
      <c r="K777" s="10" t="s">
        <v>3722</v>
      </c>
      <c r="L777" s="10">
        <v>5.346288533E9</v>
      </c>
      <c r="M777" s="10" t="s">
        <v>47</v>
      </c>
      <c r="N777" s="10" t="s">
        <v>489</v>
      </c>
      <c r="O777" s="10" t="s">
        <v>3723</v>
      </c>
      <c r="P777" s="10" t="str">
        <f>VLOOKUP(A777,import!A:P,16,0)</f>
        <v>Geleneksel</v>
      </c>
      <c r="Q777" s="12"/>
      <c r="R777" s="12" t="b">
        <v>0</v>
      </c>
      <c r="S777" s="12" t="b">
        <v>0</v>
      </c>
      <c r="T777" s="13"/>
      <c r="U777" s="13"/>
      <c r="V777" s="13"/>
      <c r="W777" s="13"/>
      <c r="X777" s="15"/>
      <c r="Y777" s="15"/>
      <c r="Z777" s="16"/>
      <c r="AA777" s="17"/>
      <c r="AB777" s="16"/>
      <c r="AC777" s="16"/>
      <c r="AD777" s="16"/>
      <c r="AE777" s="17"/>
      <c r="AF777" s="16"/>
      <c r="AG777" s="17"/>
      <c r="AH777" s="16"/>
      <c r="AI777" s="16"/>
      <c r="AJ777" s="16"/>
      <c r="AK777" s="17"/>
      <c r="AL777" s="16"/>
      <c r="AM777" s="16"/>
      <c r="AN777" s="16"/>
      <c r="AO777" s="16"/>
      <c r="AP777" s="18"/>
      <c r="AQ777" s="16"/>
    </row>
    <row r="778" ht="15.75" hidden="1" customHeight="1">
      <c r="A778" s="10" t="s">
        <v>3724</v>
      </c>
      <c r="B778" s="10" t="s">
        <v>3725</v>
      </c>
      <c r="C778" s="10" t="str">
        <f>VLOOKUP(A778,import!A:C,3,0)</f>
        <v>DOĞRU</v>
      </c>
      <c r="D778" s="10" t="s">
        <v>106</v>
      </c>
      <c r="E778" s="10">
        <f>VLOOKUP(A778,import!A:J,5,0)</f>
        <v>67</v>
      </c>
      <c r="F778" s="10">
        <f>VLOOKUP(A778,import!A:J,6,0)</f>
        <v>21</v>
      </c>
      <c r="G778" s="10">
        <f>VLOOKUP(A778,import!A:J,7,0)</f>
        <v>0</v>
      </c>
      <c r="H778" s="10">
        <f>VLOOKUP(A778,import!A:J,8,0)</f>
        <v>23</v>
      </c>
      <c r="I778" s="10">
        <f>VLOOKUP(A778,import!A:J,9,0)</f>
        <v>23</v>
      </c>
      <c r="J778" s="11">
        <f>VLOOKUP(A778,import!A:J,10,0)</f>
        <v>0</v>
      </c>
      <c r="K778" s="10" t="s">
        <v>3726</v>
      </c>
      <c r="L778" s="10">
        <v>5.333326881E9</v>
      </c>
      <c r="M778" s="10" t="s">
        <v>215</v>
      </c>
      <c r="N778" s="10" t="s">
        <v>227</v>
      </c>
      <c r="O778" s="10" t="s">
        <v>3727</v>
      </c>
      <c r="P778" s="10" t="str">
        <f>VLOOKUP(A778,import!A:P,16,0)</f>
        <v>Geleneksel</v>
      </c>
      <c r="Q778" s="12"/>
      <c r="R778" s="12" t="b">
        <v>1</v>
      </c>
      <c r="S778" s="12" t="b">
        <v>0</v>
      </c>
      <c r="T778" s="13" t="s">
        <v>130</v>
      </c>
      <c r="U778" s="13"/>
      <c r="V778" s="13"/>
      <c r="W778" s="13" t="s">
        <v>3728</v>
      </c>
      <c r="X778" s="15"/>
      <c r="Y778" s="15"/>
      <c r="Z778" s="16"/>
      <c r="AA778" s="17" t="s">
        <v>86</v>
      </c>
      <c r="AB778" s="16">
        <v>44628.0</v>
      </c>
      <c r="AC778" s="17" t="s">
        <v>56</v>
      </c>
      <c r="AD778" s="16">
        <v>44643.0</v>
      </c>
      <c r="AE778" s="17" t="s">
        <v>230</v>
      </c>
      <c r="AF778" s="16">
        <v>44657.0</v>
      </c>
      <c r="AG778" s="17"/>
      <c r="AH778" s="16"/>
      <c r="AI778" s="16"/>
      <c r="AJ778" s="16"/>
      <c r="AK778" s="17" t="s">
        <v>52</v>
      </c>
      <c r="AL778" s="17" t="s">
        <v>367</v>
      </c>
      <c r="AM778" s="17" t="s">
        <v>329</v>
      </c>
      <c r="AN778" s="16"/>
      <c r="AO778" s="16"/>
      <c r="AP778" s="18"/>
      <c r="AQ778" s="16"/>
    </row>
    <row r="779" ht="15.75" customHeight="1">
      <c r="A779" s="10" t="s">
        <v>3729</v>
      </c>
      <c r="B779" s="10" t="s">
        <v>3730</v>
      </c>
      <c r="C779" s="10" t="str">
        <f>VLOOKUP(A779,import!A:C,3,0)</f>
        <v>DOĞRU</v>
      </c>
      <c r="D779" s="10" t="s">
        <v>118</v>
      </c>
      <c r="E779" s="10">
        <f>VLOOKUP(A779,import!A:J,5,0)</f>
        <v>1318</v>
      </c>
      <c r="F779" s="10">
        <f>VLOOKUP(A779,import!A:J,6,0)</f>
        <v>147</v>
      </c>
      <c r="G779" s="10">
        <f>VLOOKUP(A779,import!A:J,7,0)</f>
        <v>14</v>
      </c>
      <c r="H779" s="10">
        <f>VLOOKUP(A779,import!A:J,8,0)</f>
        <v>15</v>
      </c>
      <c r="I779" s="10">
        <f>VLOOKUP(A779,import!A:J,9,0)</f>
        <v>29</v>
      </c>
      <c r="J779" s="11">
        <f>VLOOKUP(A779,import!A:J,10,0)</f>
        <v>0.48</v>
      </c>
      <c r="K779" s="10" t="s">
        <v>3731</v>
      </c>
      <c r="L779" s="10">
        <v>5.351052533E9</v>
      </c>
      <c r="M779" s="10" t="s">
        <v>137</v>
      </c>
      <c r="N779" s="10" t="s">
        <v>209</v>
      </c>
      <c r="O779" s="10" t="s">
        <v>3732</v>
      </c>
      <c r="P779" s="10" t="str">
        <f>VLOOKUP(A779,import!A:P,16,0)</f>
        <v>Geleneksel</v>
      </c>
      <c r="Q779" s="12"/>
      <c r="R779" s="12" t="b">
        <v>1</v>
      </c>
      <c r="S779" s="12" t="b">
        <v>0</v>
      </c>
      <c r="T779" s="13" t="s">
        <v>51</v>
      </c>
      <c r="U779" s="13" t="s">
        <v>89</v>
      </c>
      <c r="V779" s="13" t="s">
        <v>66</v>
      </c>
      <c r="W779" s="13" t="s">
        <v>211</v>
      </c>
      <c r="X779" s="15">
        <v>44526.0</v>
      </c>
      <c r="Y779" s="15">
        <v>44529.0</v>
      </c>
      <c r="Z779" s="16"/>
      <c r="AA779" s="17" t="s">
        <v>56</v>
      </c>
      <c r="AB779" s="16">
        <v>44526.0</v>
      </c>
      <c r="AC779" s="17" t="s">
        <v>56</v>
      </c>
      <c r="AD779" s="16">
        <v>44533.0</v>
      </c>
      <c r="AE779" s="17"/>
      <c r="AF779" s="16"/>
      <c r="AG779" s="17"/>
      <c r="AH779" s="16"/>
      <c r="AI779" s="16"/>
      <c r="AJ779" s="16"/>
      <c r="AK779" s="17" t="s">
        <v>89</v>
      </c>
      <c r="AL779" s="17" t="s">
        <v>108</v>
      </c>
      <c r="AM779" s="16"/>
      <c r="AN779" s="16"/>
      <c r="AO779" s="16"/>
      <c r="AP779" s="18" t="s">
        <v>58</v>
      </c>
      <c r="AQ779" s="16"/>
    </row>
    <row r="780" ht="15.75" hidden="1" customHeight="1">
      <c r="A780" s="10" t="s">
        <v>3733</v>
      </c>
      <c r="B780" s="10" t="s">
        <v>3734</v>
      </c>
      <c r="C780" s="10" t="str">
        <f>VLOOKUP(A780,import!A:C,3,0)</f>
        <v>DOĞRU</v>
      </c>
      <c r="D780" s="10" t="s">
        <v>106</v>
      </c>
      <c r="E780" s="10">
        <f>VLOOKUP(A780,import!A:J,5,0)</f>
        <v>65</v>
      </c>
      <c r="F780" s="10">
        <f>VLOOKUP(A780,import!A:J,6,0)</f>
        <v>18</v>
      </c>
      <c r="G780" s="10">
        <f>VLOOKUP(A780,import!A:J,7,0)</f>
        <v>0</v>
      </c>
      <c r="H780" s="10">
        <f>VLOOKUP(A780,import!A:J,8,0)</f>
        <v>20</v>
      </c>
      <c r="I780" s="10">
        <f>VLOOKUP(A780,import!A:J,9,0)</f>
        <v>20</v>
      </c>
      <c r="J780" s="11">
        <f>VLOOKUP(A780,import!A:J,10,0)</f>
        <v>0</v>
      </c>
      <c r="K780" s="10" t="s">
        <v>3735</v>
      </c>
      <c r="L780" s="10">
        <v>3.243257579E9</v>
      </c>
      <c r="M780" s="10" t="s">
        <v>72</v>
      </c>
      <c r="N780" s="10" t="s">
        <v>1298</v>
      </c>
      <c r="O780" s="10" t="s">
        <v>3736</v>
      </c>
      <c r="P780" s="10" t="str">
        <f>VLOOKUP(A780,import!A:P,16,0)</f>
        <v>Geleneksel</v>
      </c>
      <c r="Q780" s="12"/>
      <c r="R780" s="12" t="b">
        <v>1</v>
      </c>
      <c r="S780" s="12" t="b">
        <v>0</v>
      </c>
      <c r="T780" s="13" t="s">
        <v>199</v>
      </c>
      <c r="U780" s="13"/>
      <c r="V780" s="13"/>
      <c r="W780" s="13" t="s">
        <v>3100</v>
      </c>
      <c r="X780" s="15"/>
      <c r="Y780" s="15"/>
      <c r="Z780" s="16"/>
      <c r="AA780" s="17" t="s">
        <v>56</v>
      </c>
      <c r="AB780" s="16">
        <v>44629.0</v>
      </c>
      <c r="AC780" s="17" t="s">
        <v>56</v>
      </c>
      <c r="AD780" s="16">
        <v>44635.0</v>
      </c>
      <c r="AE780" s="17"/>
      <c r="AF780" s="16"/>
      <c r="AG780" s="17"/>
      <c r="AH780" s="16"/>
      <c r="AI780" s="16"/>
      <c r="AJ780" s="16"/>
      <c r="AK780" s="17" t="s">
        <v>133</v>
      </c>
      <c r="AL780" s="16"/>
      <c r="AM780" s="16"/>
      <c r="AN780" s="16"/>
      <c r="AO780" s="16"/>
      <c r="AP780" s="18"/>
      <c r="AQ780" s="16"/>
    </row>
    <row r="781" ht="15.75" hidden="1" customHeight="1">
      <c r="A781" s="10" t="s">
        <v>3737</v>
      </c>
      <c r="B781" s="10" t="s">
        <v>3738</v>
      </c>
      <c r="C781" s="10" t="str">
        <f>VLOOKUP(A781,import!A:C,3,0)</f>
        <v>DOĞRU</v>
      </c>
      <c r="D781" s="10" t="s">
        <v>106</v>
      </c>
      <c r="E781" s="10">
        <f>VLOOKUP(A781,import!A:J,5,0)</f>
        <v>77</v>
      </c>
      <c r="F781" s="10" t="str">
        <f>VLOOKUP(A781,import!A:J,6,0)</f>
        <v/>
      </c>
      <c r="G781" s="10">
        <f>VLOOKUP(A781,import!A:J,7,0)</f>
        <v>8</v>
      </c>
      <c r="H781" s="10">
        <f>VLOOKUP(A781,import!A:J,8,0)</f>
        <v>7</v>
      </c>
      <c r="I781" s="10">
        <f>VLOOKUP(A781,import!A:J,9,0)</f>
        <v>15</v>
      </c>
      <c r="J781" s="11">
        <f>VLOOKUP(A781,import!A:J,10,0)</f>
        <v>0.53</v>
      </c>
      <c r="K781" s="10" t="s">
        <v>3739</v>
      </c>
      <c r="L781" s="10">
        <v>5.44854335E9</v>
      </c>
      <c r="M781" s="10" t="s">
        <v>72</v>
      </c>
      <c r="N781" s="10" t="s">
        <v>352</v>
      </c>
      <c r="O781" s="10" t="s">
        <v>3740</v>
      </c>
      <c r="P781" s="10" t="str">
        <f>VLOOKUP(A781,import!A:P,16,0)</f>
        <v>Geleneksel</v>
      </c>
      <c r="Q781" s="12"/>
      <c r="R781" s="12" t="b">
        <v>1</v>
      </c>
      <c r="S781" s="12" t="b">
        <v>0</v>
      </c>
      <c r="T781" s="13" t="s">
        <v>51</v>
      </c>
      <c r="U781" s="13" t="s">
        <v>314</v>
      </c>
      <c r="V781" s="13" t="s">
        <v>53</v>
      </c>
      <c r="W781" s="13" t="s">
        <v>3741</v>
      </c>
      <c r="X781" s="15">
        <v>44554.0</v>
      </c>
      <c r="Y781" s="15">
        <v>44559.0</v>
      </c>
      <c r="Z781" s="16"/>
      <c r="AA781" s="17" t="s">
        <v>55</v>
      </c>
      <c r="AB781" s="16">
        <v>44551.0</v>
      </c>
      <c r="AC781" s="17" t="s">
        <v>55</v>
      </c>
      <c r="AD781" s="16">
        <v>44551.0</v>
      </c>
      <c r="AE781" s="17" t="s">
        <v>56</v>
      </c>
      <c r="AF781" s="16">
        <v>44551.0</v>
      </c>
      <c r="AG781" s="17" t="s">
        <v>56</v>
      </c>
      <c r="AH781" s="16">
        <v>44552.0</v>
      </c>
      <c r="AI781" s="17" t="s">
        <v>56</v>
      </c>
      <c r="AJ781" s="16">
        <v>44554.0</v>
      </c>
      <c r="AK781" s="17" t="s">
        <v>314</v>
      </c>
      <c r="AL781" s="17" t="s">
        <v>314</v>
      </c>
      <c r="AM781" s="17" t="s">
        <v>314</v>
      </c>
      <c r="AN781" s="17" t="s">
        <v>314</v>
      </c>
      <c r="AO781" s="17" t="s">
        <v>314</v>
      </c>
      <c r="AP781" s="18"/>
      <c r="AQ781" s="16"/>
    </row>
    <row r="782" ht="15.75" hidden="1" customHeight="1">
      <c r="A782" s="10" t="s">
        <v>3742</v>
      </c>
      <c r="B782" s="10" t="s">
        <v>3743</v>
      </c>
      <c r="C782" s="10" t="str">
        <f>VLOOKUP(A782,import!A:C,3,0)</f>
        <v>DOĞRU</v>
      </c>
      <c r="D782" s="10" t="s">
        <v>106</v>
      </c>
      <c r="E782" s="10">
        <f>VLOOKUP(A782,import!A:J,5,0)</f>
        <v>303</v>
      </c>
      <c r="F782" s="10">
        <f>VLOOKUP(A782,import!A:J,6,0)</f>
        <v>17</v>
      </c>
      <c r="G782" s="10">
        <f>VLOOKUP(A782,import!A:J,7,0)</f>
        <v>0</v>
      </c>
      <c r="H782" s="10">
        <f>VLOOKUP(A782,import!A:J,8,0)</f>
        <v>24</v>
      </c>
      <c r="I782" s="10">
        <f>VLOOKUP(A782,import!A:J,9,0)</f>
        <v>24</v>
      </c>
      <c r="J782" s="11">
        <f>VLOOKUP(A782,import!A:J,10,0)</f>
        <v>0</v>
      </c>
      <c r="K782" s="10" t="s">
        <v>3482</v>
      </c>
      <c r="L782" s="10">
        <v>5.431560016E9</v>
      </c>
      <c r="M782" s="10" t="s">
        <v>47</v>
      </c>
      <c r="N782" s="10" t="s">
        <v>3483</v>
      </c>
      <c r="O782" s="10" t="s">
        <v>3744</v>
      </c>
      <c r="P782" s="10" t="str">
        <f>VLOOKUP(A782,import!A:P,16,0)</f>
        <v>Geleneksel</v>
      </c>
      <c r="Q782" s="12"/>
      <c r="R782" s="12" t="b">
        <v>0</v>
      </c>
      <c r="S782" s="12" t="b">
        <v>0</v>
      </c>
      <c r="T782" s="13" t="s">
        <v>485</v>
      </c>
      <c r="U782" s="13"/>
      <c r="V782" s="13"/>
      <c r="W782" s="13"/>
      <c r="X782" s="15"/>
      <c r="Y782" s="15"/>
      <c r="Z782" s="16"/>
      <c r="AA782" s="16"/>
      <c r="AB782" s="16"/>
      <c r="AC782" s="16"/>
      <c r="AD782" s="16"/>
      <c r="AE782" s="17"/>
      <c r="AF782" s="16"/>
      <c r="AG782" s="17"/>
      <c r="AH782" s="16"/>
      <c r="AI782" s="16"/>
      <c r="AJ782" s="16"/>
      <c r="AK782" s="16"/>
      <c r="AL782" s="16"/>
      <c r="AM782" s="16"/>
      <c r="AN782" s="16"/>
      <c r="AO782" s="16"/>
      <c r="AP782" s="18" t="s">
        <v>58</v>
      </c>
      <c r="AQ782" s="16"/>
    </row>
    <row r="783" ht="15.75" hidden="1" customHeight="1">
      <c r="A783" s="10" t="s">
        <v>3745</v>
      </c>
      <c r="B783" s="10" t="s">
        <v>3743</v>
      </c>
      <c r="C783" s="10" t="str">
        <f>VLOOKUP(A783,import!A:C,3,0)</f>
        <v>DOĞRU</v>
      </c>
      <c r="D783" s="10" t="s">
        <v>106</v>
      </c>
      <c r="E783" s="10" t="str">
        <f>VLOOKUP(A783,import!A:J,5,0)</f>
        <v/>
      </c>
      <c r="F783" s="10" t="str">
        <f>VLOOKUP(A783,import!A:J,6,0)</f>
        <v/>
      </c>
      <c r="G783" s="10">
        <f>VLOOKUP(A783,import!A:J,7,0)</f>
        <v>0</v>
      </c>
      <c r="H783" s="10">
        <f>VLOOKUP(A783,import!A:J,8,0)</f>
        <v>14</v>
      </c>
      <c r="I783" s="10">
        <f>VLOOKUP(A783,import!A:J,9,0)</f>
        <v>14</v>
      </c>
      <c r="J783" s="11">
        <f>VLOOKUP(A783,import!A:J,10,0)</f>
        <v>0</v>
      </c>
      <c r="K783" s="10" t="s">
        <v>3746</v>
      </c>
      <c r="L783" s="10">
        <v>5.431560016E9</v>
      </c>
      <c r="M783" s="10" t="s">
        <v>47</v>
      </c>
      <c r="N783" s="10" t="s">
        <v>3483</v>
      </c>
      <c r="O783" s="10" t="s">
        <v>3744</v>
      </c>
      <c r="P783" s="10" t="str">
        <f>VLOOKUP(A783,import!A:P,16,0)</f>
        <v>Geleneksel</v>
      </c>
      <c r="Q783" s="12"/>
      <c r="R783" s="12" t="b">
        <v>0</v>
      </c>
      <c r="S783" s="12" t="b">
        <v>0</v>
      </c>
      <c r="T783" s="13" t="s">
        <v>485</v>
      </c>
      <c r="U783" s="13"/>
      <c r="V783" s="13"/>
      <c r="W783" s="13" t="s">
        <v>3747</v>
      </c>
      <c r="X783" s="15"/>
      <c r="Y783" s="15"/>
      <c r="Z783" s="16"/>
      <c r="AA783" s="17" t="s">
        <v>56</v>
      </c>
      <c r="AB783" s="15">
        <v>44694.0</v>
      </c>
      <c r="AC783" s="16"/>
      <c r="AD783" s="16"/>
      <c r="AE783" s="17"/>
      <c r="AF783" s="16"/>
      <c r="AG783" s="17"/>
      <c r="AH783" s="16"/>
      <c r="AI783" s="16"/>
      <c r="AJ783" s="16"/>
      <c r="AK783" s="17" t="s">
        <v>367</v>
      </c>
      <c r="AL783" s="16"/>
      <c r="AM783" s="16"/>
      <c r="AN783" s="16"/>
      <c r="AO783" s="16"/>
      <c r="AP783" s="18"/>
      <c r="AQ783" s="16"/>
    </row>
    <row r="784" ht="15.75" hidden="1" customHeight="1">
      <c r="A784" s="10" t="s">
        <v>3748</v>
      </c>
      <c r="B784" s="10" t="s">
        <v>3749</v>
      </c>
      <c r="C784" s="10" t="str">
        <f>VLOOKUP(A784,import!A:C,3,0)</f>
        <v>YANLIŞ</v>
      </c>
      <c r="D784" s="10" t="s">
        <v>61</v>
      </c>
      <c r="E784" s="10">
        <f>VLOOKUP(A784,import!A:J,5,0)</f>
        <v>138</v>
      </c>
      <c r="F784" s="10" t="str">
        <f>VLOOKUP(A784,import!A:J,6,0)</f>
        <v/>
      </c>
      <c r="G784" s="10">
        <f>VLOOKUP(A784,import!A:J,7,0)</f>
        <v>0</v>
      </c>
      <c r="H784" s="10">
        <f>VLOOKUP(A784,import!A:J,8,0)</f>
        <v>5</v>
      </c>
      <c r="I784" s="10">
        <f>VLOOKUP(A784,import!A:J,9,0)</f>
        <v>5</v>
      </c>
      <c r="J784" s="11">
        <f>VLOOKUP(A784,import!A:J,10,0)</f>
        <v>0</v>
      </c>
      <c r="K784" s="10" t="s">
        <v>3750</v>
      </c>
      <c r="L784" s="10">
        <v>5.469650101E9</v>
      </c>
      <c r="M784" s="10" t="s">
        <v>156</v>
      </c>
      <c r="N784" s="10" t="s">
        <v>596</v>
      </c>
      <c r="O784" s="10" t="s">
        <v>3751</v>
      </c>
      <c r="P784" s="10" t="str">
        <f>VLOOKUP(A784,import!A:P,16,0)</f>
        <v>Geleneksel</v>
      </c>
      <c r="Q784" s="12"/>
      <c r="R784" s="12" t="b">
        <v>0</v>
      </c>
      <c r="S784" s="12" t="b">
        <v>0</v>
      </c>
      <c r="T784" s="13"/>
      <c r="U784" s="13"/>
      <c r="V784" s="13"/>
      <c r="W784" s="13"/>
      <c r="X784" s="15"/>
      <c r="Y784" s="15"/>
      <c r="Z784" s="16"/>
      <c r="AA784" s="16"/>
      <c r="AB784" s="16"/>
      <c r="AC784" s="16"/>
      <c r="AD784" s="16"/>
      <c r="AE784" s="17"/>
      <c r="AF784" s="16"/>
      <c r="AG784" s="17"/>
      <c r="AH784" s="16"/>
      <c r="AI784" s="16"/>
      <c r="AJ784" s="16"/>
      <c r="AK784" s="16"/>
      <c r="AL784" s="16"/>
      <c r="AM784" s="16"/>
      <c r="AN784" s="16"/>
      <c r="AO784" s="16"/>
      <c r="AP784" s="18" t="s">
        <v>58</v>
      </c>
      <c r="AQ784" s="16"/>
    </row>
    <row r="785" ht="15.75" hidden="1" customHeight="1">
      <c r="A785" s="10" t="s">
        <v>3752</v>
      </c>
      <c r="B785" s="10" t="s">
        <v>3753</v>
      </c>
      <c r="C785" s="10" t="str">
        <f>VLOOKUP(A785,import!A:C,3,0)</f>
        <v>DOĞRU</v>
      </c>
      <c r="D785" s="10" t="s">
        <v>372</v>
      </c>
      <c r="E785" s="10">
        <f>VLOOKUP(A785,import!A:J,5,0)</f>
        <v>900</v>
      </c>
      <c r="F785" s="10">
        <f>VLOOKUP(A785,import!A:J,6,0)</f>
        <v>87</v>
      </c>
      <c r="G785" s="10">
        <f>VLOOKUP(A785,import!A:J,7,0)</f>
        <v>0</v>
      </c>
      <c r="H785" s="10">
        <f>VLOOKUP(A785,import!A:J,8,0)</f>
        <v>24</v>
      </c>
      <c r="I785" s="10">
        <f>VLOOKUP(A785,import!A:J,9,0)</f>
        <v>24</v>
      </c>
      <c r="J785" s="11">
        <f>VLOOKUP(A785,import!A:J,10,0)</f>
        <v>0</v>
      </c>
      <c r="K785" s="10" t="s">
        <v>3754</v>
      </c>
      <c r="L785" s="10">
        <v>3.242230055E9</v>
      </c>
      <c r="M785" s="10" t="s">
        <v>215</v>
      </c>
      <c r="N785" s="10" t="s">
        <v>745</v>
      </c>
      <c r="O785" s="10" t="s">
        <v>3755</v>
      </c>
      <c r="P785" s="10" t="str">
        <f>VLOOKUP(A785,import!A:P,16,0)</f>
        <v>Geleneksel</v>
      </c>
      <c r="Q785" s="12"/>
      <c r="R785" s="12" t="b">
        <v>1</v>
      </c>
      <c r="S785" s="12" t="b">
        <v>0</v>
      </c>
      <c r="T785" s="13" t="s">
        <v>265</v>
      </c>
      <c r="U785" s="13"/>
      <c r="V785" s="19"/>
      <c r="W785" s="13" t="s">
        <v>3756</v>
      </c>
      <c r="X785" s="15"/>
      <c r="Y785" s="15"/>
      <c r="Z785" s="16"/>
      <c r="AA785" s="17" t="s">
        <v>86</v>
      </c>
      <c r="AB785" s="16">
        <v>44635.0</v>
      </c>
      <c r="AC785" s="16"/>
      <c r="AD785" s="16"/>
      <c r="AE785" s="17"/>
      <c r="AF785" s="16"/>
      <c r="AG785" s="17"/>
      <c r="AH785" s="16"/>
      <c r="AI785" s="16"/>
      <c r="AJ785" s="16"/>
      <c r="AK785" s="17" t="s">
        <v>89</v>
      </c>
      <c r="AL785" s="16"/>
      <c r="AM785" s="16"/>
      <c r="AN785" s="16"/>
      <c r="AO785" s="16"/>
      <c r="AP785" s="18"/>
      <c r="AQ785" s="16"/>
    </row>
    <row r="786" ht="15.75" customHeight="1">
      <c r="A786" s="10" t="s">
        <v>3757</v>
      </c>
      <c r="B786" s="10" t="s">
        <v>3758</v>
      </c>
      <c r="C786" s="10" t="str">
        <f>VLOOKUP(A786,import!A:C,3,0)</f>
        <v>DOĞRU</v>
      </c>
      <c r="D786" s="10" t="s">
        <v>372</v>
      </c>
      <c r="E786" s="10">
        <f>VLOOKUP(A786,import!A:J,5,0)</f>
        <v>2671</v>
      </c>
      <c r="F786" s="10">
        <f>VLOOKUP(A786,import!A:J,6,0)</f>
        <v>124</v>
      </c>
      <c r="G786" s="10">
        <f>VLOOKUP(A786,import!A:J,7,0)</f>
        <v>48</v>
      </c>
      <c r="H786" s="10">
        <f>VLOOKUP(A786,import!A:J,8,0)</f>
        <v>35</v>
      </c>
      <c r="I786" s="10">
        <f>VLOOKUP(A786,import!A:J,9,0)</f>
        <v>83</v>
      </c>
      <c r="J786" s="11">
        <f>VLOOKUP(A786,import!A:J,10,0)</f>
        <v>0.58</v>
      </c>
      <c r="K786" s="10" t="s">
        <v>2886</v>
      </c>
      <c r="L786" s="10">
        <v>5.389312333E9</v>
      </c>
      <c r="M786" s="10" t="s">
        <v>63</v>
      </c>
      <c r="N786" s="10" t="s">
        <v>137</v>
      </c>
      <c r="O786" s="10" t="s">
        <v>3759</v>
      </c>
      <c r="P786" s="10" t="str">
        <f>VLOOKUP(A786,import!A:P,16,0)</f>
        <v>Geleneksel</v>
      </c>
      <c r="Q786" s="12" t="s">
        <v>84</v>
      </c>
      <c r="R786" s="12" t="b">
        <v>1</v>
      </c>
      <c r="S786" s="12" t="b">
        <v>0</v>
      </c>
      <c r="T786" s="13" t="s">
        <v>51</v>
      </c>
      <c r="U786" s="13" t="s">
        <v>108</v>
      </c>
      <c r="V786" s="13" t="s">
        <v>66</v>
      </c>
      <c r="W786" s="13" t="s">
        <v>3760</v>
      </c>
      <c r="X786" s="15">
        <v>44504.0</v>
      </c>
      <c r="Y786" s="15">
        <v>44508.0</v>
      </c>
      <c r="Z786" s="16"/>
      <c r="AA786" s="17" t="s">
        <v>56</v>
      </c>
      <c r="AB786" s="16">
        <v>44504.0</v>
      </c>
      <c r="AC786" s="16"/>
      <c r="AD786" s="16"/>
      <c r="AE786" s="17"/>
      <c r="AF786" s="16"/>
      <c r="AG786" s="17"/>
      <c r="AH786" s="16"/>
      <c r="AI786" s="16"/>
      <c r="AJ786" s="16"/>
      <c r="AK786" s="17" t="s">
        <v>108</v>
      </c>
      <c r="AL786" s="16"/>
      <c r="AM786" s="16"/>
      <c r="AN786" s="16"/>
      <c r="AO786" s="16"/>
      <c r="AP786" s="18" t="s">
        <v>58</v>
      </c>
      <c r="AQ786" s="16"/>
    </row>
    <row r="787" ht="15.75" hidden="1" customHeight="1">
      <c r="A787" s="10" t="s">
        <v>3761</v>
      </c>
      <c r="B787" s="10" t="s">
        <v>3762</v>
      </c>
      <c r="C787" s="10" t="str">
        <f>VLOOKUP(A787,import!A:C,3,0)</f>
        <v>DOĞRU</v>
      </c>
      <c r="D787" s="10" t="s">
        <v>372</v>
      </c>
      <c r="E787" s="10">
        <f>VLOOKUP(A787,import!A:J,5,0)</f>
        <v>1479</v>
      </c>
      <c r="F787" s="10">
        <f>VLOOKUP(A787,import!A:J,6,0)</f>
        <v>95</v>
      </c>
      <c r="G787" s="10">
        <f>VLOOKUP(A787,import!A:J,7,0)</f>
        <v>0</v>
      </c>
      <c r="H787" s="10">
        <f>VLOOKUP(A787,import!A:J,8,0)</f>
        <v>214</v>
      </c>
      <c r="I787" s="10">
        <f>VLOOKUP(A787,import!A:J,9,0)</f>
        <v>214</v>
      </c>
      <c r="J787" s="11">
        <f>VLOOKUP(A787,import!A:J,10,0)</f>
        <v>0</v>
      </c>
      <c r="K787" s="10" t="s">
        <v>3763</v>
      </c>
      <c r="L787" s="10">
        <v>5.334892262E9</v>
      </c>
      <c r="M787" s="10" t="s">
        <v>156</v>
      </c>
      <c r="N787" s="10" t="s">
        <v>1365</v>
      </c>
      <c r="O787" s="10" t="s">
        <v>3764</v>
      </c>
      <c r="P787" s="10" t="str">
        <f>VLOOKUP(A787,import!A:P,16,0)</f>
        <v>Geleneksel</v>
      </c>
      <c r="Q787" s="12" t="s">
        <v>84</v>
      </c>
      <c r="R787" s="12" t="b">
        <v>1</v>
      </c>
      <c r="S787" s="12" t="b">
        <v>0</v>
      </c>
      <c r="T787" s="13" t="s">
        <v>55</v>
      </c>
      <c r="U787" s="13"/>
      <c r="V787" s="13"/>
      <c r="W787" s="13" t="s">
        <v>3765</v>
      </c>
      <c r="X787" s="15"/>
      <c r="Y787" s="15"/>
      <c r="Z787" s="16"/>
      <c r="AA787" s="16"/>
      <c r="AB787" s="16"/>
      <c r="AC787" s="16"/>
      <c r="AD787" s="16"/>
      <c r="AE787" s="17"/>
      <c r="AF787" s="16"/>
      <c r="AG787" s="17"/>
      <c r="AH787" s="16"/>
      <c r="AI787" s="16"/>
      <c r="AJ787" s="16"/>
      <c r="AK787" s="16"/>
      <c r="AL787" s="16"/>
      <c r="AM787" s="16"/>
      <c r="AN787" s="16"/>
      <c r="AO787" s="16"/>
      <c r="AP787" s="18" t="s">
        <v>58</v>
      </c>
      <c r="AQ787" s="16"/>
    </row>
    <row r="788" ht="15.75" hidden="1" customHeight="1">
      <c r="A788" s="10" t="s">
        <v>3766</v>
      </c>
      <c r="B788" s="10" t="s">
        <v>3767</v>
      </c>
      <c r="C788" s="10" t="str">
        <f>VLOOKUP(A788,import!A:C,3,0)</f>
        <v>DOĞRU</v>
      </c>
      <c r="D788" s="10" t="s">
        <v>372</v>
      </c>
      <c r="E788" s="10">
        <f>VLOOKUP(A788,import!A:J,5,0)</f>
        <v>1694</v>
      </c>
      <c r="F788" s="10">
        <f>VLOOKUP(A788,import!A:J,6,0)</f>
        <v>44</v>
      </c>
      <c r="G788" s="10">
        <f>VLOOKUP(A788,import!A:J,7,0)</f>
        <v>0</v>
      </c>
      <c r="H788" s="10">
        <f>VLOOKUP(A788,import!A:J,8,0)</f>
        <v>49</v>
      </c>
      <c r="I788" s="10">
        <f>VLOOKUP(A788,import!A:J,9,0)</f>
        <v>49</v>
      </c>
      <c r="J788" s="11">
        <f>VLOOKUP(A788,import!A:J,10,0)</f>
        <v>0</v>
      </c>
      <c r="K788" s="10" t="s">
        <v>3768</v>
      </c>
      <c r="L788" s="10">
        <v>3.242333232E9</v>
      </c>
      <c r="M788" s="10" t="s">
        <v>215</v>
      </c>
      <c r="N788" s="10" t="s">
        <v>263</v>
      </c>
      <c r="O788" s="10" t="s">
        <v>3769</v>
      </c>
      <c r="P788" s="10" t="str">
        <f>VLOOKUP(A788,import!A:P,16,0)</f>
        <v>Geleneksel</v>
      </c>
      <c r="Q788" s="12" t="s">
        <v>84</v>
      </c>
      <c r="R788" s="12" t="b">
        <v>1</v>
      </c>
      <c r="S788" s="12" t="b">
        <v>1</v>
      </c>
      <c r="T788" s="13"/>
      <c r="U788" s="13"/>
      <c r="V788" s="13"/>
      <c r="W788" s="13" t="s">
        <v>3770</v>
      </c>
      <c r="X788" s="15"/>
      <c r="Y788" s="15"/>
      <c r="Z788" s="16"/>
      <c r="AA788" s="17" t="s">
        <v>55</v>
      </c>
      <c r="AB788" s="16">
        <v>44635.0</v>
      </c>
      <c r="AC788" s="16"/>
      <c r="AD788" s="16"/>
      <c r="AE788" s="17"/>
      <c r="AF788" s="16"/>
      <c r="AG788" s="17"/>
      <c r="AH788" s="16"/>
      <c r="AI788" s="16"/>
      <c r="AJ788" s="16"/>
      <c r="AK788" s="17" t="s">
        <v>89</v>
      </c>
      <c r="AL788" s="16"/>
      <c r="AM788" s="16"/>
      <c r="AN788" s="16"/>
      <c r="AO788" s="16"/>
      <c r="AP788" s="18" t="s">
        <v>58</v>
      </c>
      <c r="AQ788" s="16"/>
    </row>
    <row r="789" ht="15.75" hidden="1" customHeight="1">
      <c r="A789" s="10" t="s">
        <v>3771</v>
      </c>
      <c r="B789" s="10" t="s">
        <v>3772</v>
      </c>
      <c r="C789" s="10" t="str">
        <f>VLOOKUP(A789,import!A:C,3,0)</f>
        <v>DOĞRU</v>
      </c>
      <c r="D789" s="10" t="s">
        <v>372</v>
      </c>
      <c r="E789" s="10">
        <f>VLOOKUP(A789,import!A:J,5,0)</f>
        <v>140</v>
      </c>
      <c r="F789" s="10">
        <f>VLOOKUP(A789,import!A:J,6,0)</f>
        <v>4</v>
      </c>
      <c r="G789" s="10">
        <f>VLOOKUP(A789,import!A:J,7,0)</f>
        <v>3</v>
      </c>
      <c r="H789" s="10">
        <f>VLOOKUP(A789,import!A:J,8,0)</f>
        <v>19</v>
      </c>
      <c r="I789" s="10">
        <f>VLOOKUP(A789,import!A:J,9,0)</f>
        <v>22</v>
      </c>
      <c r="J789" s="11">
        <f>VLOOKUP(A789,import!A:J,10,0)</f>
        <v>0.14</v>
      </c>
      <c r="K789" s="10" t="s">
        <v>3773</v>
      </c>
      <c r="L789" s="10">
        <v>3.24341633E9</v>
      </c>
      <c r="M789" s="10" t="s">
        <v>72</v>
      </c>
      <c r="N789" s="10" t="s">
        <v>548</v>
      </c>
      <c r="O789" s="10" t="s">
        <v>3774</v>
      </c>
      <c r="P789" s="10" t="str">
        <f>VLOOKUP(A789,import!A:P,16,0)</f>
        <v>Geleneksel</v>
      </c>
      <c r="Q789" s="12"/>
      <c r="R789" s="12" t="b">
        <v>1</v>
      </c>
      <c r="S789" s="12" t="b">
        <v>0</v>
      </c>
      <c r="T789" s="13" t="s">
        <v>199</v>
      </c>
      <c r="U789" s="13" t="s">
        <v>133</v>
      </c>
      <c r="V789" s="13" t="s">
        <v>66</v>
      </c>
      <c r="W789" s="13" t="s">
        <v>3775</v>
      </c>
      <c r="X789" s="15">
        <v>44638.0</v>
      </c>
      <c r="Y789" s="15">
        <v>44644.0</v>
      </c>
      <c r="Z789" s="16"/>
      <c r="AA789" s="17" t="s">
        <v>56</v>
      </c>
      <c r="AB789" s="16">
        <v>44522.0</v>
      </c>
      <c r="AC789" s="17" t="s">
        <v>56</v>
      </c>
      <c r="AD789" s="16">
        <v>44536.0</v>
      </c>
      <c r="AE789" s="17" t="s">
        <v>56</v>
      </c>
      <c r="AF789" s="16">
        <v>44638.0</v>
      </c>
      <c r="AG789" s="17"/>
      <c r="AH789" s="16"/>
      <c r="AI789" s="16"/>
      <c r="AJ789" s="16"/>
      <c r="AK789" s="17" t="s">
        <v>52</v>
      </c>
      <c r="AL789" s="17" t="s">
        <v>314</v>
      </c>
      <c r="AM789" s="17" t="s">
        <v>133</v>
      </c>
      <c r="AN789" s="16"/>
      <c r="AO789" s="16"/>
      <c r="AP789" s="18" t="s">
        <v>58</v>
      </c>
      <c r="AQ789" s="16"/>
    </row>
    <row r="790" ht="15.75" customHeight="1">
      <c r="A790" s="10" t="s">
        <v>3776</v>
      </c>
      <c r="B790" s="10" t="s">
        <v>3777</v>
      </c>
      <c r="C790" s="10" t="str">
        <f>VLOOKUP(A790,import!A:C,3,0)</f>
        <v>DOĞRU</v>
      </c>
      <c r="D790" s="10" t="s">
        <v>372</v>
      </c>
      <c r="E790" s="10">
        <f>VLOOKUP(A790,import!A:J,5,0)</f>
        <v>2753</v>
      </c>
      <c r="F790" s="10">
        <f>VLOOKUP(A790,import!A:J,6,0)</f>
        <v>105</v>
      </c>
      <c r="G790" s="10">
        <f>VLOOKUP(A790,import!A:J,7,0)</f>
        <v>33</v>
      </c>
      <c r="H790" s="10">
        <f>VLOOKUP(A790,import!A:J,8,0)</f>
        <v>22</v>
      </c>
      <c r="I790" s="10">
        <f>VLOOKUP(A790,import!A:J,9,0)</f>
        <v>55</v>
      </c>
      <c r="J790" s="11">
        <f>VLOOKUP(A790,import!A:J,10,0)</f>
        <v>0.6</v>
      </c>
      <c r="K790" s="10" t="s">
        <v>3778</v>
      </c>
      <c r="L790" s="10">
        <v>5.060589688E9</v>
      </c>
      <c r="M790" s="10" t="s">
        <v>137</v>
      </c>
      <c r="N790" s="10" t="s">
        <v>526</v>
      </c>
      <c r="O790" s="10" t="s">
        <v>3779</v>
      </c>
      <c r="P790" s="10" t="str">
        <f>VLOOKUP(A790,import!A:P,16,0)</f>
        <v>Geleneksel</v>
      </c>
      <c r="Q790" s="12" t="s">
        <v>84</v>
      </c>
      <c r="R790" s="12" t="b">
        <v>1</v>
      </c>
      <c r="S790" s="12" t="b">
        <v>0</v>
      </c>
      <c r="T790" s="13" t="s">
        <v>272</v>
      </c>
      <c r="U790" s="13" t="s">
        <v>87</v>
      </c>
      <c r="V790" s="13" t="s">
        <v>53</v>
      </c>
      <c r="W790" s="28" t="s">
        <v>3780</v>
      </c>
      <c r="X790" s="15">
        <v>44298.0</v>
      </c>
      <c r="Y790" s="15">
        <v>44299.0</v>
      </c>
      <c r="Z790" s="16"/>
      <c r="AA790" s="17" t="s">
        <v>56</v>
      </c>
      <c r="AB790" s="16">
        <v>44547.0</v>
      </c>
      <c r="AC790" s="16"/>
      <c r="AD790" s="16"/>
      <c r="AE790" s="17"/>
      <c r="AF790" s="16"/>
      <c r="AG790" s="17"/>
      <c r="AH790" s="16"/>
      <c r="AI790" s="16"/>
      <c r="AJ790" s="16"/>
      <c r="AK790" s="17" t="s">
        <v>87</v>
      </c>
      <c r="AL790" s="16"/>
      <c r="AM790" s="16"/>
      <c r="AN790" s="16"/>
      <c r="AO790" s="16"/>
      <c r="AP790" s="18" t="s">
        <v>58</v>
      </c>
      <c r="AQ790" s="16"/>
    </row>
    <row r="791" ht="15.75" hidden="1" customHeight="1">
      <c r="A791" s="10" t="s">
        <v>3781</v>
      </c>
      <c r="B791" s="10" t="s">
        <v>3782</v>
      </c>
      <c r="C791" s="10" t="str">
        <f>VLOOKUP(A791,import!A:C,3,0)</f>
        <v>DOĞRU</v>
      </c>
      <c r="D791" s="10" t="s">
        <v>372</v>
      </c>
      <c r="E791" s="10">
        <f>VLOOKUP(A791,import!A:J,5,0)</f>
        <v>80</v>
      </c>
      <c r="F791" s="10">
        <f>VLOOKUP(A791,import!A:J,6,0)</f>
        <v>54</v>
      </c>
      <c r="G791" s="10">
        <f>VLOOKUP(A791,import!A:J,7,0)</f>
        <v>0</v>
      </c>
      <c r="H791" s="10">
        <f>VLOOKUP(A791,import!A:J,8,0)</f>
        <v>114</v>
      </c>
      <c r="I791" s="10">
        <f>VLOOKUP(A791,import!A:J,9,0)</f>
        <v>114</v>
      </c>
      <c r="J791" s="11">
        <f>VLOOKUP(A791,import!A:J,10,0)</f>
        <v>0</v>
      </c>
      <c r="K791" s="10" t="s">
        <v>3783</v>
      </c>
      <c r="L791" s="10">
        <v>5.385210232E9</v>
      </c>
      <c r="M791" s="10" t="s">
        <v>156</v>
      </c>
      <c r="N791" s="10" t="s">
        <v>204</v>
      </c>
      <c r="O791" s="10" t="s">
        <v>3784</v>
      </c>
      <c r="P791" s="10" t="str">
        <f>VLOOKUP(A791,import!A:P,16,0)</f>
        <v>Geleneksel</v>
      </c>
      <c r="Q791" s="12"/>
      <c r="R791" s="12" t="b">
        <v>0</v>
      </c>
      <c r="S791" s="12" t="b">
        <v>0</v>
      </c>
      <c r="T791" s="13"/>
      <c r="U791" s="13"/>
      <c r="V791" s="13"/>
      <c r="W791" s="13"/>
      <c r="X791" s="15"/>
      <c r="Y791" s="15"/>
      <c r="Z791" s="16"/>
      <c r="AA791" s="17"/>
      <c r="AB791" s="16"/>
      <c r="AC791" s="16"/>
      <c r="AD791" s="16"/>
      <c r="AE791" s="17"/>
      <c r="AF791" s="16"/>
      <c r="AG791" s="17"/>
      <c r="AH791" s="16"/>
      <c r="AI791" s="16"/>
      <c r="AJ791" s="16"/>
      <c r="AK791" s="17"/>
      <c r="AL791" s="16"/>
      <c r="AM791" s="16"/>
      <c r="AN791" s="16"/>
      <c r="AO791" s="16"/>
      <c r="AP791" s="18"/>
      <c r="AQ791" s="16"/>
    </row>
    <row r="792" ht="15.75" hidden="1" customHeight="1">
      <c r="A792" s="10" t="s">
        <v>3785</v>
      </c>
      <c r="B792" s="10" t="s">
        <v>3786</v>
      </c>
      <c r="C792" s="10" t="str">
        <f>VLOOKUP(A792,import!A:C,3,0)</f>
        <v>DOĞRU</v>
      </c>
      <c r="D792" s="10" t="s">
        <v>372</v>
      </c>
      <c r="E792" s="10">
        <f>VLOOKUP(A792,import!A:J,5,0)</f>
        <v>2810</v>
      </c>
      <c r="F792" s="10">
        <f>VLOOKUP(A792,import!A:J,6,0)</f>
        <v>91</v>
      </c>
      <c r="G792" s="10">
        <f>VLOOKUP(A792,import!A:J,7,0)</f>
        <v>20</v>
      </c>
      <c r="H792" s="10">
        <f>VLOOKUP(A792,import!A:J,8,0)</f>
        <v>9</v>
      </c>
      <c r="I792" s="10">
        <f>VLOOKUP(A792,import!A:J,9,0)</f>
        <v>29</v>
      </c>
      <c r="J792" s="11">
        <f>VLOOKUP(A792,import!A:J,10,0)</f>
        <v>0.69</v>
      </c>
      <c r="K792" s="10" t="s">
        <v>3787</v>
      </c>
      <c r="L792" s="10">
        <v>5.526903344E9</v>
      </c>
      <c r="M792" s="10" t="s">
        <v>215</v>
      </c>
      <c r="N792" s="10" t="s">
        <v>745</v>
      </c>
      <c r="O792" s="10" t="s">
        <v>3788</v>
      </c>
      <c r="P792" s="10" t="str">
        <f>VLOOKUP(A792,import!A:P,16,0)</f>
        <v>Geleneksel</v>
      </c>
      <c r="Q792" s="12"/>
      <c r="R792" s="12" t="b">
        <v>1</v>
      </c>
      <c r="S792" s="12" t="b">
        <v>0</v>
      </c>
      <c r="T792" s="13" t="s">
        <v>51</v>
      </c>
      <c r="U792" s="13" t="s">
        <v>329</v>
      </c>
      <c r="V792" s="13" t="s">
        <v>53</v>
      </c>
      <c r="W792" s="13" t="s">
        <v>3789</v>
      </c>
      <c r="X792" s="15">
        <v>44552.0</v>
      </c>
      <c r="Y792" s="15">
        <v>44554.0</v>
      </c>
      <c r="Z792" s="16"/>
      <c r="AA792" s="17" t="s">
        <v>56</v>
      </c>
      <c r="AB792" s="16">
        <v>44412.0</v>
      </c>
      <c r="AC792" s="17" t="s">
        <v>86</v>
      </c>
      <c r="AD792" s="16">
        <v>44417.0</v>
      </c>
      <c r="AE792" s="17" t="s">
        <v>56</v>
      </c>
      <c r="AF792" s="16">
        <v>44480.0</v>
      </c>
      <c r="AG792" s="17" t="s">
        <v>56</v>
      </c>
      <c r="AH792" s="16">
        <v>44491.0</v>
      </c>
      <c r="AI792" s="17" t="s">
        <v>56</v>
      </c>
      <c r="AJ792" s="16">
        <v>44552.0</v>
      </c>
      <c r="AK792" s="17" t="s">
        <v>57</v>
      </c>
      <c r="AL792" s="17" t="s">
        <v>57</v>
      </c>
      <c r="AM792" s="17" t="s">
        <v>87</v>
      </c>
      <c r="AN792" s="17" t="s">
        <v>89</v>
      </c>
      <c r="AO792" s="17" t="s">
        <v>329</v>
      </c>
      <c r="AP792" s="18" t="s">
        <v>58</v>
      </c>
      <c r="AQ792" s="17"/>
    </row>
    <row r="793" ht="15.75" hidden="1" customHeight="1">
      <c r="A793" s="10" t="s">
        <v>3790</v>
      </c>
      <c r="B793" s="10" t="s">
        <v>3791</v>
      </c>
      <c r="C793" s="10" t="str">
        <f>VLOOKUP(A793,import!A:C,3,0)</f>
        <v>DOĞRU</v>
      </c>
      <c r="D793" s="10" t="s">
        <v>372</v>
      </c>
      <c r="E793" s="10">
        <f>VLOOKUP(A793,import!A:J,5,0)</f>
        <v>5571</v>
      </c>
      <c r="F793" s="10">
        <f>VLOOKUP(A793,import!A:J,6,0)</f>
        <v>445</v>
      </c>
      <c r="G793" s="10">
        <f>VLOOKUP(A793,import!A:J,7,0)</f>
        <v>10</v>
      </c>
      <c r="H793" s="10">
        <f>VLOOKUP(A793,import!A:J,8,0)</f>
        <v>89</v>
      </c>
      <c r="I793" s="10">
        <f>VLOOKUP(A793,import!A:J,9,0)</f>
        <v>99</v>
      </c>
      <c r="J793" s="11">
        <f>VLOOKUP(A793,import!A:J,10,0)</f>
        <v>0.1</v>
      </c>
      <c r="K793" s="10" t="s">
        <v>3792</v>
      </c>
      <c r="L793" s="10">
        <v>3.246242121E9</v>
      </c>
      <c r="M793" s="10" t="s">
        <v>156</v>
      </c>
      <c r="N793" s="10" t="s">
        <v>1365</v>
      </c>
      <c r="O793" s="10" t="s">
        <v>3793</v>
      </c>
      <c r="P793" s="10" t="str">
        <f>VLOOKUP(A793,import!A:P,16,0)</f>
        <v>Geleneksel</v>
      </c>
      <c r="Q793" s="12"/>
      <c r="R793" s="12" t="b">
        <v>1</v>
      </c>
      <c r="S793" s="12" t="b">
        <v>0</v>
      </c>
      <c r="T793" s="37" t="s">
        <v>248</v>
      </c>
      <c r="U793" s="13"/>
      <c r="V793" s="13"/>
      <c r="W793" s="13" t="s">
        <v>3794</v>
      </c>
      <c r="X793" s="15"/>
      <c r="Y793" s="15"/>
      <c r="Z793" s="16"/>
      <c r="AA793" s="17" t="s">
        <v>56</v>
      </c>
      <c r="AB793" s="16">
        <v>44540.0</v>
      </c>
      <c r="AC793" s="16"/>
      <c r="AD793" s="16"/>
      <c r="AE793" s="17"/>
      <c r="AF793" s="16"/>
      <c r="AG793" s="17"/>
      <c r="AH793" s="16"/>
      <c r="AI793" s="16"/>
      <c r="AJ793" s="16"/>
      <c r="AK793" s="17" t="s">
        <v>52</v>
      </c>
      <c r="AL793" s="16"/>
      <c r="AM793" s="16"/>
      <c r="AN793" s="16"/>
      <c r="AO793" s="16"/>
      <c r="AP793" s="18" t="s">
        <v>58</v>
      </c>
      <c r="AQ793" s="16"/>
    </row>
    <row r="794" ht="15.75" hidden="1" customHeight="1">
      <c r="A794" s="10" t="s">
        <v>3795</v>
      </c>
      <c r="B794" s="10" t="s">
        <v>3796</v>
      </c>
      <c r="C794" s="10" t="str">
        <f>VLOOKUP(A794,import!A:C,3,0)</f>
        <v>DOĞRU</v>
      </c>
      <c r="D794" s="10" t="s">
        <v>372</v>
      </c>
      <c r="E794" s="10">
        <f>VLOOKUP(A794,import!A:J,5,0)</f>
        <v>368</v>
      </c>
      <c r="F794" s="10">
        <f>VLOOKUP(A794,import!A:J,6,0)</f>
        <v>39</v>
      </c>
      <c r="G794" s="10">
        <f>VLOOKUP(A794,import!A:J,7,0)</f>
        <v>0</v>
      </c>
      <c r="H794" s="10">
        <f>VLOOKUP(A794,import!A:J,8,0)</f>
        <v>41</v>
      </c>
      <c r="I794" s="10">
        <f>VLOOKUP(A794,import!A:J,9,0)</f>
        <v>41</v>
      </c>
      <c r="J794" s="11">
        <f>VLOOKUP(A794,import!A:J,10,0)</f>
        <v>0</v>
      </c>
      <c r="K794" s="10" t="s">
        <v>3797</v>
      </c>
      <c r="L794" s="10">
        <v>3.248142411E9</v>
      </c>
      <c r="M794" s="10" t="s">
        <v>902</v>
      </c>
      <c r="N794" s="10" t="s">
        <v>1667</v>
      </c>
      <c r="O794" s="10" t="s">
        <v>3798</v>
      </c>
      <c r="P794" s="10" t="str">
        <f>VLOOKUP(A794,import!A:P,16,0)</f>
        <v>Geleneksel</v>
      </c>
      <c r="Q794" s="12"/>
      <c r="R794" s="12" t="b">
        <v>0</v>
      </c>
      <c r="S794" s="12" t="b">
        <v>0</v>
      </c>
      <c r="T794" s="13"/>
      <c r="U794" s="13"/>
      <c r="V794" s="13"/>
      <c r="W794" s="13"/>
      <c r="X794" s="15"/>
      <c r="Y794" s="15"/>
      <c r="Z794" s="16"/>
      <c r="AA794" s="17"/>
      <c r="AB794" s="16"/>
      <c r="AC794" s="16"/>
      <c r="AD794" s="16"/>
      <c r="AE794" s="17"/>
      <c r="AF794" s="16"/>
      <c r="AG794" s="17"/>
      <c r="AH794" s="16"/>
      <c r="AI794" s="16"/>
      <c r="AJ794" s="16"/>
      <c r="AK794" s="17"/>
      <c r="AL794" s="16"/>
      <c r="AM794" s="16"/>
      <c r="AN794" s="16"/>
      <c r="AO794" s="16"/>
      <c r="AP794" s="18"/>
      <c r="AQ794" s="16"/>
    </row>
    <row r="795" ht="15.75" hidden="1" customHeight="1">
      <c r="A795" s="10" t="s">
        <v>3799</v>
      </c>
      <c r="B795" s="10" t="s">
        <v>3800</v>
      </c>
      <c r="C795" s="10" t="str">
        <f>VLOOKUP(A795,import!A:C,3,0)</f>
        <v>DOĞRU</v>
      </c>
      <c r="D795" s="10" t="s">
        <v>372</v>
      </c>
      <c r="E795" s="10">
        <f>VLOOKUP(A795,import!A:J,5,0)</f>
        <v>4708</v>
      </c>
      <c r="F795" s="10">
        <f>VLOOKUP(A795,import!A:J,6,0)</f>
        <v>219</v>
      </c>
      <c r="G795" s="10">
        <f>VLOOKUP(A795,import!A:J,7,0)</f>
        <v>30</v>
      </c>
      <c r="H795" s="10">
        <f>VLOOKUP(A795,import!A:J,8,0)</f>
        <v>18</v>
      </c>
      <c r="I795" s="10">
        <f>VLOOKUP(A795,import!A:J,9,0)</f>
        <v>48</v>
      </c>
      <c r="J795" s="11">
        <f>VLOOKUP(A795,import!A:J,10,0)</f>
        <v>0.63</v>
      </c>
      <c r="K795" s="10" t="s">
        <v>3801</v>
      </c>
      <c r="L795" s="10">
        <v>3.243280108E9</v>
      </c>
      <c r="M795" s="10" t="s">
        <v>72</v>
      </c>
      <c r="N795" s="10" t="s">
        <v>73</v>
      </c>
      <c r="O795" s="10" t="s">
        <v>3802</v>
      </c>
      <c r="P795" s="10" t="str">
        <f>VLOOKUP(A795,import!A:P,16,0)</f>
        <v>Geleneksel</v>
      </c>
      <c r="Q795" s="12" t="s">
        <v>84</v>
      </c>
      <c r="R795" s="12" t="b">
        <v>1</v>
      </c>
      <c r="S795" s="12" t="b">
        <v>0</v>
      </c>
      <c r="T795" s="13" t="s">
        <v>51</v>
      </c>
      <c r="U795" s="13" t="s">
        <v>376</v>
      </c>
      <c r="V795" s="13" t="s">
        <v>66</v>
      </c>
      <c r="W795" s="13" t="s">
        <v>3803</v>
      </c>
      <c r="X795" s="15">
        <v>44301.0</v>
      </c>
      <c r="Y795" s="15">
        <v>44307.0</v>
      </c>
      <c r="Z795" s="16"/>
      <c r="AA795" s="17" t="s">
        <v>56</v>
      </c>
      <c r="AB795" s="16">
        <v>44553.0</v>
      </c>
      <c r="AC795" s="16"/>
      <c r="AD795" s="16"/>
      <c r="AE795" s="17"/>
      <c r="AF795" s="16"/>
      <c r="AG795" s="17"/>
      <c r="AH795" s="16"/>
      <c r="AI795" s="16"/>
      <c r="AJ795" s="16"/>
      <c r="AK795" s="17" t="s">
        <v>89</v>
      </c>
      <c r="AL795" s="16"/>
      <c r="AM795" s="16"/>
      <c r="AN795" s="16"/>
      <c r="AO795" s="16"/>
      <c r="AP795" s="18" t="s">
        <v>58</v>
      </c>
      <c r="AQ795" s="16"/>
    </row>
    <row r="796" ht="15.75" hidden="1" customHeight="1">
      <c r="A796" s="10" t="s">
        <v>3804</v>
      </c>
      <c r="B796" s="10" t="s">
        <v>3805</v>
      </c>
      <c r="C796" s="10" t="str">
        <f>VLOOKUP(A796,import!A:C,3,0)</f>
        <v>DOĞRU</v>
      </c>
      <c r="D796" s="10" t="s">
        <v>451</v>
      </c>
      <c r="E796" s="10">
        <f>VLOOKUP(A796,import!A:J,5,0)</f>
        <v>68</v>
      </c>
      <c r="F796" s="10">
        <f>VLOOKUP(A796,import!A:J,6,0)</f>
        <v>13</v>
      </c>
      <c r="G796" s="10">
        <f>VLOOKUP(A796,import!A:J,7,0)</f>
        <v>0</v>
      </c>
      <c r="H796" s="10">
        <f>VLOOKUP(A796,import!A:J,8,0)</f>
        <v>13</v>
      </c>
      <c r="I796" s="10">
        <f>VLOOKUP(A796,import!A:J,9,0)</f>
        <v>13</v>
      </c>
      <c r="J796" s="11">
        <f>VLOOKUP(A796,import!A:J,10,0)</f>
        <v>0</v>
      </c>
      <c r="K796" s="10" t="s">
        <v>3806</v>
      </c>
      <c r="L796" s="10">
        <v>3.243273444E9</v>
      </c>
      <c r="M796" s="10" t="s">
        <v>72</v>
      </c>
      <c r="N796" s="10" t="s">
        <v>181</v>
      </c>
      <c r="O796" s="10" t="s">
        <v>3807</v>
      </c>
      <c r="P796" s="10" t="str">
        <f>VLOOKUP(A796,import!A:P,16,0)</f>
        <v>Geleneksel</v>
      </c>
      <c r="Q796" s="12"/>
      <c r="R796" s="12" t="b">
        <v>1</v>
      </c>
      <c r="S796" s="12" t="b">
        <v>0</v>
      </c>
      <c r="T796" s="13" t="s">
        <v>199</v>
      </c>
      <c r="U796" s="13"/>
      <c r="V796" s="13"/>
      <c r="W796" s="13" t="s">
        <v>3808</v>
      </c>
      <c r="X796" s="15"/>
      <c r="Y796" s="15"/>
      <c r="Z796" s="16"/>
      <c r="AA796" s="17" t="s">
        <v>56</v>
      </c>
      <c r="AB796" s="16">
        <v>44508.0</v>
      </c>
      <c r="AC796" s="17" t="s">
        <v>56</v>
      </c>
      <c r="AD796" s="16">
        <v>44516.0</v>
      </c>
      <c r="AE796" s="17" t="s">
        <v>230</v>
      </c>
      <c r="AF796" s="16">
        <v>44540.0</v>
      </c>
      <c r="AG796" s="17" t="s">
        <v>56</v>
      </c>
      <c r="AH796" s="16">
        <v>44551.0</v>
      </c>
      <c r="AI796" s="16"/>
      <c r="AJ796" s="16"/>
      <c r="AK796" s="17" t="s">
        <v>133</v>
      </c>
      <c r="AL796" s="17" t="s">
        <v>108</v>
      </c>
      <c r="AM796" s="17" t="s">
        <v>89</v>
      </c>
      <c r="AN796" s="17" t="s">
        <v>314</v>
      </c>
      <c r="AO796" s="16"/>
      <c r="AP796" s="18" t="s">
        <v>58</v>
      </c>
      <c r="AQ796" s="16"/>
    </row>
    <row r="797" ht="15.75" hidden="1" customHeight="1">
      <c r="A797" s="10" t="s">
        <v>3809</v>
      </c>
      <c r="B797" s="10" t="s">
        <v>3810</v>
      </c>
      <c r="C797" s="10" t="str">
        <f>VLOOKUP(A797,import!A:C,3,0)</f>
        <v>DOĞRU</v>
      </c>
      <c r="D797" s="10" t="s">
        <v>118</v>
      </c>
      <c r="E797" s="10">
        <f>VLOOKUP(A797,import!A:J,5,0)</f>
        <v>2450</v>
      </c>
      <c r="F797" s="10">
        <f>VLOOKUP(A797,import!A:J,6,0)</f>
        <v>244</v>
      </c>
      <c r="G797" s="10">
        <f>VLOOKUP(A797,import!A:J,7,0)</f>
        <v>9</v>
      </c>
      <c r="H797" s="10">
        <f>VLOOKUP(A797,import!A:J,8,0)</f>
        <v>8</v>
      </c>
      <c r="I797" s="10">
        <f>VLOOKUP(A797,import!A:J,9,0)</f>
        <v>17</v>
      </c>
      <c r="J797" s="11">
        <f>VLOOKUP(A797,import!A:J,10,0)</f>
        <v>0.53</v>
      </c>
      <c r="K797" s="10" t="s">
        <v>3811</v>
      </c>
      <c r="L797" s="10">
        <v>3.24327752E9</v>
      </c>
      <c r="M797" s="10" t="s">
        <v>72</v>
      </c>
      <c r="N797" s="10" t="s">
        <v>73</v>
      </c>
      <c r="O797" s="10" t="s">
        <v>3812</v>
      </c>
      <c r="P797" s="10" t="str">
        <f>VLOOKUP(A797,import!A:P,16,0)</f>
        <v>Geleneksel</v>
      </c>
      <c r="Q797" s="12"/>
      <c r="R797" s="12" t="b">
        <v>1</v>
      </c>
      <c r="S797" s="12" t="b">
        <v>0</v>
      </c>
      <c r="T797" s="13" t="s">
        <v>51</v>
      </c>
      <c r="U797" s="13" t="s">
        <v>314</v>
      </c>
      <c r="V797" s="13" t="s">
        <v>66</v>
      </c>
      <c r="W797" s="13" t="s">
        <v>3813</v>
      </c>
      <c r="X797" s="15">
        <v>44544.0</v>
      </c>
      <c r="Y797" s="15">
        <v>44546.0</v>
      </c>
      <c r="Z797" s="16"/>
      <c r="AA797" s="17" t="s">
        <v>86</v>
      </c>
      <c r="AB797" s="16">
        <v>44501.0</v>
      </c>
      <c r="AC797" s="17" t="s">
        <v>55</v>
      </c>
      <c r="AD797" s="16">
        <v>44524.0</v>
      </c>
      <c r="AE797" s="17" t="s">
        <v>230</v>
      </c>
      <c r="AF797" s="16">
        <v>44544.0</v>
      </c>
      <c r="AG797" s="17" t="s">
        <v>230</v>
      </c>
      <c r="AH797" s="16">
        <v>44544.0</v>
      </c>
      <c r="AI797" s="17" t="s">
        <v>56</v>
      </c>
      <c r="AJ797" s="16">
        <v>44544.0</v>
      </c>
      <c r="AK797" s="17" t="s">
        <v>52</v>
      </c>
      <c r="AL797" s="17" t="s">
        <v>103</v>
      </c>
      <c r="AM797" s="17" t="s">
        <v>108</v>
      </c>
      <c r="AN797" s="17" t="s">
        <v>314</v>
      </c>
      <c r="AO797" s="17" t="s">
        <v>314</v>
      </c>
      <c r="AP797" s="18" t="s">
        <v>58</v>
      </c>
      <c r="AQ797" s="17"/>
    </row>
    <row r="798" ht="15.75" hidden="1" customHeight="1">
      <c r="A798" s="10" t="s">
        <v>3814</v>
      </c>
      <c r="B798" s="10" t="s">
        <v>3815</v>
      </c>
      <c r="C798" s="10" t="str">
        <f>VLOOKUP(A798,import!A:C,3,0)</f>
        <v>DOĞRU</v>
      </c>
      <c r="D798" s="10" t="s">
        <v>363</v>
      </c>
      <c r="E798" s="10">
        <f>VLOOKUP(A798,import!A:J,5,0)</f>
        <v>286</v>
      </c>
      <c r="F798" s="10">
        <f>VLOOKUP(A798,import!A:J,6,0)</f>
        <v>24</v>
      </c>
      <c r="G798" s="10">
        <f>VLOOKUP(A798,import!A:J,7,0)</f>
        <v>0</v>
      </c>
      <c r="H798" s="10">
        <f>VLOOKUP(A798,import!A:J,8,0)</f>
        <v>37</v>
      </c>
      <c r="I798" s="10">
        <f>VLOOKUP(A798,import!A:J,9,0)</f>
        <v>37</v>
      </c>
      <c r="J798" s="11">
        <f>VLOOKUP(A798,import!A:J,10,0)</f>
        <v>0</v>
      </c>
      <c r="K798" s="10" t="s">
        <v>3816</v>
      </c>
      <c r="L798" s="10">
        <v>5.301258601E9</v>
      </c>
      <c r="M798" s="10" t="s">
        <v>47</v>
      </c>
      <c r="N798" s="10" t="s">
        <v>3817</v>
      </c>
      <c r="O798" s="10" t="s">
        <v>3818</v>
      </c>
      <c r="P798" s="10" t="str">
        <f>VLOOKUP(A798,import!A:P,16,0)</f>
        <v>Geleneksel</v>
      </c>
      <c r="Q798" s="12"/>
      <c r="R798" s="12" t="b">
        <v>0</v>
      </c>
      <c r="S798" s="12" t="b">
        <v>0</v>
      </c>
      <c r="T798" s="13" t="s">
        <v>485</v>
      </c>
      <c r="U798" s="13"/>
      <c r="V798" s="13"/>
      <c r="W798" s="13"/>
      <c r="X798" s="15"/>
      <c r="Y798" s="15"/>
      <c r="Z798" s="16"/>
      <c r="AA798" s="16"/>
      <c r="AB798" s="16"/>
      <c r="AC798" s="16"/>
      <c r="AD798" s="16"/>
      <c r="AE798" s="17"/>
      <c r="AF798" s="16"/>
      <c r="AG798" s="17"/>
      <c r="AH798" s="16"/>
      <c r="AI798" s="16"/>
      <c r="AJ798" s="16"/>
      <c r="AK798" s="16"/>
      <c r="AL798" s="16"/>
      <c r="AM798" s="16"/>
      <c r="AN798" s="16"/>
      <c r="AO798" s="16"/>
      <c r="AP798" s="18" t="s">
        <v>58</v>
      </c>
      <c r="AQ798" s="16"/>
    </row>
    <row r="799" ht="15.75" customHeight="1">
      <c r="A799" s="10" t="s">
        <v>3819</v>
      </c>
      <c r="B799" s="10" t="s">
        <v>3820</v>
      </c>
      <c r="C799" s="10" t="str">
        <f>VLOOKUP(A799,import!A:C,3,0)</f>
        <v>DOĞRU</v>
      </c>
      <c r="D799" s="10" t="s">
        <v>45</v>
      </c>
      <c r="E799" s="10">
        <f>VLOOKUP(A799,import!A:J,5,0)</f>
        <v>1177</v>
      </c>
      <c r="F799" s="10">
        <f>VLOOKUP(A799,import!A:J,6,0)</f>
        <v>116</v>
      </c>
      <c r="G799" s="10">
        <f>VLOOKUP(A799,import!A:J,7,0)</f>
        <v>20</v>
      </c>
      <c r="H799" s="10">
        <f>VLOOKUP(A799,import!A:J,8,0)</f>
        <v>23</v>
      </c>
      <c r="I799" s="10">
        <f>VLOOKUP(A799,import!A:J,9,0)</f>
        <v>43</v>
      </c>
      <c r="J799" s="11">
        <f>VLOOKUP(A799,import!A:J,10,0)</f>
        <v>0.47</v>
      </c>
      <c r="K799" s="10" t="s">
        <v>3821</v>
      </c>
      <c r="L799" s="10">
        <v>3.242316207E9</v>
      </c>
      <c r="M799" s="10" t="s">
        <v>137</v>
      </c>
      <c r="N799" s="10" t="s">
        <v>209</v>
      </c>
      <c r="O799" s="10" t="s">
        <v>3822</v>
      </c>
      <c r="P799" s="10" t="str">
        <f>VLOOKUP(A799,import!A:P,16,0)</f>
        <v>Geleneksel</v>
      </c>
      <c r="Q799" s="12"/>
      <c r="R799" s="12" t="b">
        <v>1</v>
      </c>
      <c r="S799" s="12" t="b">
        <v>0</v>
      </c>
      <c r="T799" s="13" t="s">
        <v>51</v>
      </c>
      <c r="U799" s="13" t="s">
        <v>89</v>
      </c>
      <c r="V799" s="13" t="s">
        <v>53</v>
      </c>
      <c r="W799" s="13" t="s">
        <v>3823</v>
      </c>
      <c r="X799" s="15">
        <v>44515.0</v>
      </c>
      <c r="Y799" s="15">
        <v>44517.0</v>
      </c>
      <c r="Z799" s="16"/>
      <c r="AA799" s="17" t="s">
        <v>56</v>
      </c>
      <c r="AB799" s="16">
        <v>44515.0</v>
      </c>
      <c r="AC799" s="17" t="s">
        <v>56</v>
      </c>
      <c r="AD799" s="16">
        <v>44533.0</v>
      </c>
      <c r="AE799" s="17"/>
      <c r="AF799" s="16"/>
      <c r="AG799" s="17"/>
      <c r="AH799" s="16"/>
      <c r="AI799" s="16"/>
      <c r="AJ799" s="16"/>
      <c r="AK799" s="17" t="s">
        <v>89</v>
      </c>
      <c r="AL799" s="17" t="s">
        <v>108</v>
      </c>
      <c r="AM799" s="16"/>
      <c r="AN799" s="16"/>
      <c r="AO799" s="16"/>
      <c r="AP799" s="18" t="s">
        <v>58</v>
      </c>
      <c r="AQ799" s="16"/>
    </row>
    <row r="800" ht="15.75" hidden="1" customHeight="1">
      <c r="A800" s="10" t="s">
        <v>3824</v>
      </c>
      <c r="B800" s="10" t="s">
        <v>3825</v>
      </c>
      <c r="C800" s="10" t="str">
        <f>VLOOKUP(A800,import!A:C,3,0)</f>
        <v>DOĞRU</v>
      </c>
      <c r="D800" s="10" t="s">
        <v>118</v>
      </c>
      <c r="E800" s="10">
        <f>VLOOKUP(A800,import!A:J,5,0)</f>
        <v>7638</v>
      </c>
      <c r="F800" s="10">
        <f>VLOOKUP(A800,import!A:J,6,0)</f>
        <v>351</v>
      </c>
      <c r="G800" s="10">
        <f>VLOOKUP(A800,import!A:J,7,0)</f>
        <v>6</v>
      </c>
      <c r="H800" s="10">
        <f>VLOOKUP(A800,import!A:J,8,0)</f>
        <v>2</v>
      </c>
      <c r="I800" s="10">
        <f>VLOOKUP(A800,import!A:J,9,0)</f>
        <v>8</v>
      </c>
      <c r="J800" s="11">
        <f>VLOOKUP(A800,import!A:J,10,0)</f>
        <v>0.75</v>
      </c>
      <c r="K800" s="10" t="s">
        <v>3826</v>
      </c>
      <c r="L800" s="10">
        <v>5.313857421E9</v>
      </c>
      <c r="M800" s="10" t="s">
        <v>72</v>
      </c>
      <c r="N800" s="10" t="s">
        <v>73</v>
      </c>
      <c r="O800" s="10" t="s">
        <v>3827</v>
      </c>
      <c r="P800" s="10" t="str">
        <f>VLOOKUP(A800,import!A:P,16,0)</f>
        <v>Geleneksel</v>
      </c>
      <c r="Q800" s="12" t="s">
        <v>50</v>
      </c>
      <c r="R800" s="12" t="b">
        <v>1</v>
      </c>
      <c r="S800" s="12" t="b">
        <v>0</v>
      </c>
      <c r="T800" s="13" t="s">
        <v>51</v>
      </c>
      <c r="U800" s="13" t="s">
        <v>545</v>
      </c>
      <c r="V800" s="13" t="s">
        <v>66</v>
      </c>
      <c r="W800" s="13" t="s">
        <v>3828</v>
      </c>
      <c r="X800" s="15">
        <v>44295.0</v>
      </c>
      <c r="Y800" s="15">
        <v>44299.0</v>
      </c>
      <c r="Z800" s="16"/>
      <c r="AA800" s="16"/>
      <c r="AB800" s="16"/>
      <c r="AC800" s="16"/>
      <c r="AD800" s="16"/>
      <c r="AE800" s="17"/>
      <c r="AF800" s="16"/>
      <c r="AG800" s="17"/>
      <c r="AH800" s="16"/>
      <c r="AI800" s="16"/>
      <c r="AJ800" s="16"/>
      <c r="AK800" s="16"/>
      <c r="AL800" s="16"/>
      <c r="AM800" s="16"/>
      <c r="AN800" s="16"/>
      <c r="AO800" s="16"/>
      <c r="AP800" s="18" t="s">
        <v>58</v>
      </c>
      <c r="AQ800" s="16"/>
    </row>
    <row r="801" ht="15.75" customHeight="1">
      <c r="A801" s="10" t="s">
        <v>3829</v>
      </c>
      <c r="B801" s="10" t="s">
        <v>3830</v>
      </c>
      <c r="C801" s="10" t="str">
        <f>VLOOKUP(A801,import!A:C,3,0)</f>
        <v>DOĞRU</v>
      </c>
      <c r="D801" s="10" t="s">
        <v>70</v>
      </c>
      <c r="E801" s="10">
        <f>VLOOKUP(A801,import!A:J,5,0)</f>
        <v>6585</v>
      </c>
      <c r="F801" s="10">
        <f>VLOOKUP(A801,import!A:J,6,0)</f>
        <v>563</v>
      </c>
      <c r="G801" s="10">
        <f>VLOOKUP(A801,import!A:J,7,0)</f>
        <v>12</v>
      </c>
      <c r="H801" s="10">
        <f>VLOOKUP(A801,import!A:J,8,0)</f>
        <v>4</v>
      </c>
      <c r="I801" s="10">
        <f>VLOOKUP(A801,import!A:J,9,0)</f>
        <v>16</v>
      </c>
      <c r="J801" s="11">
        <f>VLOOKUP(A801,import!A:J,10,0)</f>
        <v>0.75</v>
      </c>
      <c r="K801" s="10" t="s">
        <v>3831</v>
      </c>
      <c r="L801" s="10">
        <v>3.243365002E9</v>
      </c>
      <c r="M801" s="10" t="s">
        <v>137</v>
      </c>
      <c r="N801" s="10" t="s">
        <v>138</v>
      </c>
      <c r="O801" s="10" t="s">
        <v>3832</v>
      </c>
      <c r="P801" s="10" t="str">
        <f>VLOOKUP(A801,import!A:P,16,0)</f>
        <v>Geleneksel</v>
      </c>
      <c r="Q801" s="12" t="s">
        <v>50</v>
      </c>
      <c r="R801" s="12" t="b">
        <v>1</v>
      </c>
      <c r="S801" s="12" t="b">
        <v>0</v>
      </c>
      <c r="T801" s="13" t="s">
        <v>51</v>
      </c>
      <c r="U801" s="13" t="s">
        <v>52</v>
      </c>
      <c r="V801" s="13" t="s">
        <v>66</v>
      </c>
      <c r="W801" s="13" t="s">
        <v>3833</v>
      </c>
      <c r="X801" s="15">
        <v>44481.0</v>
      </c>
      <c r="Y801" s="15">
        <v>44483.0</v>
      </c>
      <c r="Z801" s="16"/>
      <c r="AA801" s="17" t="s">
        <v>56</v>
      </c>
      <c r="AB801" s="16">
        <v>44481.0</v>
      </c>
      <c r="AC801" s="16"/>
      <c r="AD801" s="16"/>
      <c r="AE801" s="17"/>
      <c r="AF801" s="16"/>
      <c r="AG801" s="17"/>
      <c r="AH801" s="16"/>
      <c r="AI801" s="16"/>
      <c r="AJ801" s="16"/>
      <c r="AK801" s="17" t="s">
        <v>52</v>
      </c>
      <c r="AL801" s="16"/>
      <c r="AM801" s="16"/>
      <c r="AN801" s="16"/>
      <c r="AO801" s="16"/>
      <c r="AP801" s="18" t="s">
        <v>58</v>
      </c>
      <c r="AQ801" s="16"/>
    </row>
    <row r="802" ht="15.75" hidden="1" customHeight="1">
      <c r="A802" s="10" t="s">
        <v>3834</v>
      </c>
      <c r="B802" s="10" t="s">
        <v>3835</v>
      </c>
      <c r="C802" s="10" t="str">
        <f>VLOOKUP(A802,import!A:C,3,0)</f>
        <v>DOĞRU</v>
      </c>
      <c r="D802" s="10" t="s">
        <v>45</v>
      </c>
      <c r="E802" s="10">
        <f>VLOOKUP(A802,import!A:J,5,0)</f>
        <v>112</v>
      </c>
      <c r="F802" s="10">
        <f>VLOOKUP(A802,import!A:J,6,0)</f>
        <v>3</v>
      </c>
      <c r="G802" s="10">
        <f>VLOOKUP(A802,import!A:J,7,0)</f>
        <v>0</v>
      </c>
      <c r="H802" s="10">
        <f>VLOOKUP(A802,import!A:J,8,0)</f>
        <v>39</v>
      </c>
      <c r="I802" s="10">
        <f>VLOOKUP(A802,import!A:J,9,0)</f>
        <v>39</v>
      </c>
      <c r="J802" s="11">
        <f>VLOOKUP(A802,import!A:J,10,0)</f>
        <v>0</v>
      </c>
      <c r="K802" s="10" t="s">
        <v>3836</v>
      </c>
      <c r="L802" s="10">
        <v>5.375800684E9</v>
      </c>
      <c r="M802" s="10" t="s">
        <v>72</v>
      </c>
      <c r="N802" s="10" t="s">
        <v>333</v>
      </c>
      <c r="O802" s="10" t="s">
        <v>3837</v>
      </c>
      <c r="P802" s="10" t="str">
        <f>VLOOKUP(A802,import!A:P,16,0)</f>
        <v>Geleneksel</v>
      </c>
      <c r="Q802" s="12"/>
      <c r="R802" s="12" t="b">
        <v>1</v>
      </c>
      <c r="S802" s="12" t="b">
        <v>1</v>
      </c>
      <c r="T802" s="13"/>
      <c r="U802" s="13"/>
      <c r="V802" s="13"/>
      <c r="W802" s="13" t="s">
        <v>3838</v>
      </c>
      <c r="X802" s="15"/>
      <c r="Y802" s="15"/>
      <c r="Z802" s="16"/>
      <c r="AA802" s="17" t="s">
        <v>56</v>
      </c>
      <c r="AB802" s="16">
        <v>44512.0</v>
      </c>
      <c r="AC802" s="16"/>
      <c r="AD802" s="16"/>
      <c r="AE802" s="17"/>
      <c r="AF802" s="16"/>
      <c r="AG802" s="17"/>
      <c r="AH802" s="16"/>
      <c r="AI802" s="16"/>
      <c r="AJ802" s="16"/>
      <c r="AK802" s="17" t="s">
        <v>89</v>
      </c>
      <c r="AL802" s="16"/>
      <c r="AM802" s="16"/>
      <c r="AN802" s="16"/>
      <c r="AO802" s="16"/>
      <c r="AP802" s="18" t="s">
        <v>58</v>
      </c>
      <c r="AQ802" s="16"/>
    </row>
    <row r="803" ht="15.75" customHeight="1">
      <c r="A803" s="10" t="s">
        <v>3839</v>
      </c>
      <c r="B803" s="10" t="s">
        <v>3840</v>
      </c>
      <c r="C803" s="10" t="str">
        <f>VLOOKUP(A803,import!A:C,3,0)</f>
        <v>DOĞRU</v>
      </c>
      <c r="D803" s="10" t="s">
        <v>80</v>
      </c>
      <c r="E803" s="10">
        <f>VLOOKUP(A803,import!A:J,5,0)</f>
        <v>270</v>
      </c>
      <c r="F803" s="10">
        <f>VLOOKUP(A803,import!A:J,6,0)</f>
        <v>16</v>
      </c>
      <c r="G803" s="10">
        <f>VLOOKUP(A803,import!A:J,7,0)</f>
        <v>8</v>
      </c>
      <c r="H803" s="10">
        <f>VLOOKUP(A803,import!A:J,8,0)</f>
        <v>9</v>
      </c>
      <c r="I803" s="10">
        <f>VLOOKUP(A803,import!A:J,9,0)</f>
        <v>17</v>
      </c>
      <c r="J803" s="11">
        <f>VLOOKUP(A803,import!A:J,10,0)</f>
        <v>0.47</v>
      </c>
      <c r="K803" s="10" t="s">
        <v>3841</v>
      </c>
      <c r="L803" s="10">
        <v>3.243581261E9</v>
      </c>
      <c r="M803" s="10" t="s">
        <v>63</v>
      </c>
      <c r="N803" s="10" t="s">
        <v>566</v>
      </c>
      <c r="O803" s="10" t="s">
        <v>3842</v>
      </c>
      <c r="P803" s="10" t="str">
        <f>VLOOKUP(A803,import!A:P,16,0)</f>
        <v>Geleneksel</v>
      </c>
      <c r="Q803" s="12" t="s">
        <v>50</v>
      </c>
      <c r="R803" s="12" t="b">
        <v>1</v>
      </c>
      <c r="S803" s="12" t="b">
        <v>0</v>
      </c>
      <c r="T803" s="13" t="s">
        <v>51</v>
      </c>
      <c r="U803" s="13" t="s">
        <v>108</v>
      </c>
      <c r="V803" s="13" t="s">
        <v>66</v>
      </c>
      <c r="W803" s="13" t="s">
        <v>3843</v>
      </c>
      <c r="X803" s="15">
        <v>44266.0</v>
      </c>
      <c r="Y803" s="15">
        <v>44271.0</v>
      </c>
      <c r="Z803" s="16"/>
      <c r="AA803" s="16"/>
      <c r="AB803" s="16"/>
      <c r="AC803" s="16"/>
      <c r="AD803" s="16"/>
      <c r="AE803" s="17"/>
      <c r="AF803" s="16"/>
      <c r="AG803" s="17"/>
      <c r="AH803" s="16"/>
      <c r="AI803" s="16"/>
      <c r="AJ803" s="16"/>
      <c r="AK803" s="16"/>
      <c r="AL803" s="16"/>
      <c r="AM803" s="16"/>
      <c r="AN803" s="16"/>
      <c r="AO803" s="16"/>
      <c r="AP803" s="18" t="s">
        <v>58</v>
      </c>
      <c r="AQ803" s="16"/>
    </row>
    <row r="804" ht="15.75" hidden="1" customHeight="1">
      <c r="A804" s="10" t="s">
        <v>3844</v>
      </c>
      <c r="B804" s="10" t="s">
        <v>3845</v>
      </c>
      <c r="C804" s="10" t="str">
        <f>VLOOKUP(A804,import!A:C,3,0)</f>
        <v>DOĞRU</v>
      </c>
      <c r="D804" s="10" t="s">
        <v>45</v>
      </c>
      <c r="E804" s="10">
        <f>VLOOKUP(A804,import!A:J,5,0)</f>
        <v>16137</v>
      </c>
      <c r="F804" s="10">
        <f>VLOOKUP(A804,import!A:J,6,0)</f>
        <v>338</v>
      </c>
      <c r="G804" s="10">
        <f>VLOOKUP(A804,import!A:J,7,0)</f>
        <v>31</v>
      </c>
      <c r="H804" s="10">
        <f>VLOOKUP(A804,import!A:J,8,0)</f>
        <v>15</v>
      </c>
      <c r="I804" s="10">
        <f>VLOOKUP(A804,import!A:J,9,0)</f>
        <v>46</v>
      </c>
      <c r="J804" s="11">
        <f>VLOOKUP(A804,import!A:J,10,0)</f>
        <v>0.67</v>
      </c>
      <c r="K804" s="10" t="s">
        <v>3846</v>
      </c>
      <c r="L804" s="10">
        <v>5.495295522E9</v>
      </c>
      <c r="M804" s="10" t="s">
        <v>72</v>
      </c>
      <c r="N804" s="10" t="s">
        <v>82</v>
      </c>
      <c r="O804" s="10" t="s">
        <v>3847</v>
      </c>
      <c r="P804" s="10" t="str">
        <f>VLOOKUP(A804,import!A:P,16,0)</f>
        <v>Geleneksel</v>
      </c>
      <c r="Q804" s="12" t="s">
        <v>84</v>
      </c>
      <c r="R804" s="12" t="b">
        <v>1</v>
      </c>
      <c r="S804" s="12" t="b">
        <v>0</v>
      </c>
      <c r="T804" s="13" t="s">
        <v>51</v>
      </c>
      <c r="U804" s="13" t="s">
        <v>1218</v>
      </c>
      <c r="V804" s="13" t="s">
        <v>53</v>
      </c>
      <c r="W804" s="13" t="s">
        <v>3828</v>
      </c>
      <c r="X804" s="15">
        <v>44287.0</v>
      </c>
      <c r="Y804" s="15">
        <v>44291.0</v>
      </c>
      <c r="Z804" s="16"/>
      <c r="AA804" s="16"/>
      <c r="AB804" s="16"/>
      <c r="AC804" s="16"/>
      <c r="AD804" s="16"/>
      <c r="AE804" s="17"/>
      <c r="AF804" s="16"/>
      <c r="AG804" s="17"/>
      <c r="AH804" s="16"/>
      <c r="AI804" s="16"/>
      <c r="AJ804" s="16"/>
      <c r="AK804" s="16"/>
      <c r="AL804" s="16"/>
      <c r="AM804" s="16"/>
      <c r="AN804" s="16"/>
      <c r="AO804" s="16"/>
      <c r="AP804" s="18" t="s">
        <v>58</v>
      </c>
      <c r="AQ804" s="16"/>
    </row>
    <row r="805" ht="15.75" hidden="1" customHeight="1">
      <c r="A805" s="10" t="s">
        <v>3848</v>
      </c>
      <c r="B805" s="10" t="s">
        <v>3849</v>
      </c>
      <c r="C805" s="10" t="str">
        <f>VLOOKUP(A805,import!A:C,3,0)</f>
        <v>DOĞRU</v>
      </c>
      <c r="D805" s="10" t="s">
        <v>45</v>
      </c>
      <c r="E805" s="10">
        <f>VLOOKUP(A805,import!A:J,5,0)</f>
        <v>494</v>
      </c>
      <c r="F805" s="10">
        <f>VLOOKUP(A805,import!A:J,6,0)</f>
        <v>67</v>
      </c>
      <c r="G805" s="10">
        <f>VLOOKUP(A805,import!A:J,7,0)</f>
        <v>0</v>
      </c>
      <c r="H805" s="10">
        <f>VLOOKUP(A805,import!A:J,8,0)</f>
        <v>16</v>
      </c>
      <c r="I805" s="10">
        <f>VLOOKUP(A805,import!A:J,9,0)</f>
        <v>16</v>
      </c>
      <c r="J805" s="11">
        <f>VLOOKUP(A805,import!A:J,10,0)</f>
        <v>0</v>
      </c>
      <c r="K805" s="10" t="s">
        <v>3850</v>
      </c>
      <c r="L805" s="10">
        <v>5.384045669E9</v>
      </c>
      <c r="M805" s="10" t="s">
        <v>902</v>
      </c>
      <c r="N805" s="10" t="s">
        <v>1483</v>
      </c>
      <c r="O805" s="10" t="s">
        <v>3851</v>
      </c>
      <c r="P805" s="10" t="str">
        <f>VLOOKUP(A805,import!A:P,16,0)</f>
        <v>Geleneksel</v>
      </c>
      <c r="Q805" s="12"/>
      <c r="R805" s="12" t="b">
        <v>0</v>
      </c>
      <c r="S805" s="12" t="b">
        <v>0</v>
      </c>
      <c r="T805" s="13"/>
      <c r="U805" s="13"/>
      <c r="V805" s="13"/>
      <c r="W805" s="13"/>
      <c r="X805" s="15"/>
      <c r="Y805" s="15"/>
      <c r="Z805" s="16"/>
      <c r="AA805" s="17"/>
      <c r="AB805" s="16"/>
      <c r="AC805" s="16"/>
      <c r="AD805" s="16"/>
      <c r="AE805" s="17"/>
      <c r="AF805" s="16"/>
      <c r="AG805" s="17"/>
      <c r="AH805" s="16"/>
      <c r="AI805" s="16"/>
      <c r="AJ805" s="16"/>
      <c r="AK805" s="17"/>
      <c r="AL805" s="16"/>
      <c r="AM805" s="16"/>
      <c r="AN805" s="16"/>
      <c r="AO805" s="16"/>
      <c r="AP805" s="18"/>
      <c r="AQ805" s="16"/>
    </row>
    <row r="806" ht="15.75" hidden="1" customHeight="1">
      <c r="A806" s="10" t="s">
        <v>3852</v>
      </c>
      <c r="B806" s="10" t="s">
        <v>3853</v>
      </c>
      <c r="C806" s="10" t="str">
        <f>VLOOKUP(A806,import!A:C,3,0)</f>
        <v>DOĞRU</v>
      </c>
      <c r="D806" s="10" t="s">
        <v>70</v>
      </c>
      <c r="E806" s="10">
        <f>VLOOKUP(A806,import!A:J,5,0)</f>
        <v>2944</v>
      </c>
      <c r="F806" s="10">
        <f>VLOOKUP(A806,import!A:J,6,0)</f>
        <v>250</v>
      </c>
      <c r="G806" s="10">
        <f>VLOOKUP(A806,import!A:J,7,0)</f>
        <v>6</v>
      </c>
      <c r="H806" s="10">
        <f>VLOOKUP(A806,import!A:J,8,0)</f>
        <v>30</v>
      </c>
      <c r="I806" s="10">
        <f>VLOOKUP(A806,import!A:J,9,0)</f>
        <v>36</v>
      </c>
      <c r="J806" s="11">
        <f>VLOOKUP(A806,import!A:J,10,0)</f>
        <v>0.17</v>
      </c>
      <c r="K806" s="10" t="s">
        <v>3854</v>
      </c>
      <c r="L806" s="10">
        <v>5.422505422E9</v>
      </c>
      <c r="M806" s="10" t="s">
        <v>72</v>
      </c>
      <c r="N806" s="10" t="s">
        <v>82</v>
      </c>
      <c r="O806" s="10" t="s">
        <v>3855</v>
      </c>
      <c r="P806" s="10" t="str">
        <f>VLOOKUP(A806,import!A:P,16,0)</f>
        <v>Geleneksel</v>
      </c>
      <c r="Q806" s="12"/>
      <c r="R806" s="12" t="b">
        <v>1</v>
      </c>
      <c r="S806" s="12" t="b">
        <v>0</v>
      </c>
      <c r="T806" s="13" t="s">
        <v>51</v>
      </c>
      <c r="U806" s="13" t="s">
        <v>89</v>
      </c>
      <c r="V806" s="13" t="s">
        <v>66</v>
      </c>
      <c r="W806" s="13" t="s">
        <v>3856</v>
      </c>
      <c r="X806" s="15">
        <v>44530.0</v>
      </c>
      <c r="Y806" s="15">
        <v>44532.0</v>
      </c>
      <c r="Z806" s="16"/>
      <c r="AA806" s="17" t="s">
        <v>56</v>
      </c>
      <c r="AB806" s="16">
        <v>44476.0</v>
      </c>
      <c r="AC806" s="17" t="s">
        <v>55</v>
      </c>
      <c r="AD806" s="16">
        <v>44517.0</v>
      </c>
      <c r="AE806" s="17"/>
      <c r="AF806" s="16"/>
      <c r="AG806" s="17"/>
      <c r="AH806" s="16"/>
      <c r="AI806" s="16"/>
      <c r="AJ806" s="16"/>
      <c r="AK806" s="17" t="s">
        <v>171</v>
      </c>
      <c r="AL806" s="17" t="s">
        <v>314</v>
      </c>
      <c r="AM806" s="16"/>
      <c r="AN806" s="16"/>
      <c r="AO806" s="16"/>
      <c r="AP806" s="18" t="s">
        <v>58</v>
      </c>
      <c r="AQ806" s="16"/>
    </row>
    <row r="807" ht="15.75" hidden="1" customHeight="1">
      <c r="A807" s="10" t="s">
        <v>3857</v>
      </c>
      <c r="B807" s="10" t="s">
        <v>3858</v>
      </c>
      <c r="C807" s="10" t="str">
        <f>VLOOKUP(A807,import!A:C,3,0)</f>
        <v>DOĞRU</v>
      </c>
      <c r="D807" s="10" t="s">
        <v>167</v>
      </c>
      <c r="E807" s="10">
        <f>VLOOKUP(A807,import!A:J,5,0)</f>
        <v>162</v>
      </c>
      <c r="F807" s="10">
        <f>VLOOKUP(A807,import!A:J,6,0)</f>
        <v>1</v>
      </c>
      <c r="G807" s="10">
        <f>VLOOKUP(A807,import!A:J,7,0)</f>
        <v>0</v>
      </c>
      <c r="H807" s="10">
        <f>VLOOKUP(A807,import!A:J,8,0)</f>
        <v>17</v>
      </c>
      <c r="I807" s="10">
        <f>VLOOKUP(A807,import!A:J,9,0)</f>
        <v>17</v>
      </c>
      <c r="J807" s="11">
        <f>VLOOKUP(A807,import!A:J,10,0)</f>
        <v>0</v>
      </c>
      <c r="K807" s="10" t="s">
        <v>3859</v>
      </c>
      <c r="L807" s="10">
        <v>5.510885133E9</v>
      </c>
      <c r="M807" s="10" t="s">
        <v>187</v>
      </c>
      <c r="N807" s="10" t="s">
        <v>3860</v>
      </c>
      <c r="O807" s="10" t="s">
        <v>3861</v>
      </c>
      <c r="P807" s="10" t="str">
        <f>VLOOKUP(A807,import!A:P,16,0)</f>
        <v>Geleneksel</v>
      </c>
      <c r="Q807" s="12"/>
      <c r="R807" s="12" t="b">
        <v>0</v>
      </c>
      <c r="S807" s="12" t="b">
        <v>0</v>
      </c>
      <c r="T807" s="13" t="s">
        <v>485</v>
      </c>
      <c r="U807" s="13"/>
      <c r="V807" s="13"/>
      <c r="W807" s="13"/>
      <c r="X807" s="15"/>
      <c r="Y807" s="15"/>
      <c r="Z807" s="16"/>
      <c r="AA807" s="16"/>
      <c r="AB807" s="16"/>
      <c r="AC807" s="16"/>
      <c r="AD807" s="16"/>
      <c r="AE807" s="17"/>
      <c r="AF807" s="16"/>
      <c r="AG807" s="17"/>
      <c r="AH807" s="16"/>
      <c r="AI807" s="16"/>
      <c r="AJ807" s="16"/>
      <c r="AK807" s="16"/>
      <c r="AL807" s="16"/>
      <c r="AM807" s="16"/>
      <c r="AN807" s="16"/>
      <c r="AO807" s="16"/>
      <c r="AP807" s="18" t="s">
        <v>58</v>
      </c>
      <c r="AQ807" s="16"/>
    </row>
    <row r="808" ht="15.75" hidden="1" customHeight="1">
      <c r="A808" s="10" t="s">
        <v>3862</v>
      </c>
      <c r="B808" s="10" t="s">
        <v>3863</v>
      </c>
      <c r="C808" s="10" t="str">
        <f>VLOOKUP(A808,import!A:C,3,0)</f>
        <v>DOĞRU</v>
      </c>
      <c r="D808" s="10" t="s">
        <v>913</v>
      </c>
      <c r="E808" s="10">
        <f>VLOOKUP(A808,import!A:J,5,0)</f>
        <v>531</v>
      </c>
      <c r="F808" s="10">
        <f>VLOOKUP(A808,import!A:J,6,0)</f>
        <v>48</v>
      </c>
      <c r="G808" s="10">
        <f>VLOOKUP(A808,import!A:J,7,0)</f>
        <v>21</v>
      </c>
      <c r="H808" s="10">
        <f>VLOOKUP(A808,import!A:J,8,0)</f>
        <v>5</v>
      </c>
      <c r="I808" s="10">
        <f>VLOOKUP(A808,import!A:J,9,0)</f>
        <v>26</v>
      </c>
      <c r="J808" s="11">
        <f>VLOOKUP(A808,import!A:J,10,0)</f>
        <v>0.81</v>
      </c>
      <c r="K808" s="10" t="s">
        <v>3864</v>
      </c>
      <c r="L808" s="10">
        <v>3.243289757E9</v>
      </c>
      <c r="M808" s="10" t="s">
        <v>72</v>
      </c>
      <c r="N808" s="10" t="s">
        <v>810</v>
      </c>
      <c r="O808" s="10" t="s">
        <v>3865</v>
      </c>
      <c r="P808" s="10" t="str">
        <f>VLOOKUP(A808,import!A:P,16,0)</f>
        <v>Geleneksel</v>
      </c>
      <c r="Q808" s="12"/>
      <c r="R808" s="12" t="b">
        <v>1</v>
      </c>
      <c r="S808" s="12" t="b">
        <v>0</v>
      </c>
      <c r="T808" s="13" t="s">
        <v>51</v>
      </c>
      <c r="U808" s="13" t="s">
        <v>171</v>
      </c>
      <c r="V808" s="13" t="s">
        <v>53</v>
      </c>
      <c r="W808" s="13" t="s">
        <v>3866</v>
      </c>
      <c r="X808" s="15">
        <v>44477.0</v>
      </c>
      <c r="Y808" s="15">
        <v>44480.0</v>
      </c>
      <c r="Z808" s="16"/>
      <c r="AA808" s="17" t="s">
        <v>56</v>
      </c>
      <c r="AB808" s="16">
        <v>44477.0</v>
      </c>
      <c r="AC808" s="16"/>
      <c r="AD808" s="16"/>
      <c r="AE808" s="17"/>
      <c r="AF808" s="16"/>
      <c r="AG808" s="17"/>
      <c r="AH808" s="16"/>
      <c r="AI808" s="16"/>
      <c r="AJ808" s="16"/>
      <c r="AK808" s="17" t="s">
        <v>171</v>
      </c>
      <c r="AL808" s="16"/>
      <c r="AM808" s="16"/>
      <c r="AN808" s="16"/>
      <c r="AO808" s="16"/>
      <c r="AP808" s="18" t="s">
        <v>58</v>
      </c>
      <c r="AQ808" s="16"/>
    </row>
    <row r="809" ht="15.75" hidden="1" customHeight="1">
      <c r="A809" s="10" t="s">
        <v>3867</v>
      </c>
      <c r="B809" s="10" t="s">
        <v>3868</v>
      </c>
      <c r="C809" s="10" t="str">
        <f>VLOOKUP(A809,import!A:C,3,0)</f>
        <v>DOĞRU</v>
      </c>
      <c r="D809" s="10" t="s">
        <v>363</v>
      </c>
      <c r="E809" s="10">
        <f>VLOOKUP(A809,import!A:J,5,0)</f>
        <v>288</v>
      </c>
      <c r="F809" s="10" t="str">
        <f>VLOOKUP(A809,import!A:J,6,0)</f>
        <v/>
      </c>
      <c r="G809" s="10">
        <f>VLOOKUP(A809,import!A:J,7,0)</f>
        <v>19</v>
      </c>
      <c r="H809" s="10">
        <f>VLOOKUP(A809,import!A:J,8,0)</f>
        <v>6</v>
      </c>
      <c r="I809" s="10">
        <f>VLOOKUP(A809,import!A:J,9,0)</f>
        <v>25</v>
      </c>
      <c r="J809" s="11">
        <f>VLOOKUP(A809,import!A:J,10,0)</f>
        <v>0.76</v>
      </c>
      <c r="K809" s="10" t="s">
        <v>3869</v>
      </c>
      <c r="L809" s="10">
        <v>3.243255802E9</v>
      </c>
      <c r="M809" s="10" t="s">
        <v>72</v>
      </c>
      <c r="N809" s="10" t="s">
        <v>716</v>
      </c>
      <c r="O809" s="10" t="s">
        <v>3870</v>
      </c>
      <c r="P809" s="10" t="str">
        <f>VLOOKUP(A809,import!A:P,16,0)</f>
        <v>Geleneksel</v>
      </c>
      <c r="Q809" s="12"/>
      <c r="R809" s="12" t="b">
        <v>1</v>
      </c>
      <c r="S809" s="12" t="b">
        <v>0</v>
      </c>
      <c r="T809" s="13" t="s">
        <v>51</v>
      </c>
      <c r="U809" s="13" t="s">
        <v>52</v>
      </c>
      <c r="V809" s="13" t="s">
        <v>53</v>
      </c>
      <c r="W809" s="13" t="s">
        <v>3871</v>
      </c>
      <c r="X809" s="15">
        <v>44344.0</v>
      </c>
      <c r="Y809" s="15">
        <v>44354.0</v>
      </c>
      <c r="Z809" s="16"/>
      <c r="AA809" s="17" t="s">
        <v>56</v>
      </c>
      <c r="AB809" s="16">
        <v>44553.0</v>
      </c>
      <c r="AC809" s="16"/>
      <c r="AD809" s="16"/>
      <c r="AE809" s="17"/>
      <c r="AF809" s="16"/>
      <c r="AG809" s="17"/>
      <c r="AH809" s="16"/>
      <c r="AI809" s="16"/>
      <c r="AJ809" s="16"/>
      <c r="AK809" s="17" t="s">
        <v>89</v>
      </c>
      <c r="AL809" s="16"/>
      <c r="AM809" s="16"/>
      <c r="AN809" s="16"/>
      <c r="AO809" s="16"/>
      <c r="AP809" s="18" t="s">
        <v>58</v>
      </c>
      <c r="AQ809" s="16"/>
    </row>
    <row r="810" ht="15.75" hidden="1" customHeight="1">
      <c r="A810" s="10" t="s">
        <v>3872</v>
      </c>
      <c r="B810" s="10" t="s">
        <v>3873</v>
      </c>
      <c r="C810" s="10" t="str">
        <f>VLOOKUP(A810,import!A:C,3,0)</f>
        <v>DOĞRU</v>
      </c>
      <c r="D810" s="10" t="s">
        <v>363</v>
      </c>
      <c r="E810" s="10">
        <f>VLOOKUP(A810,import!A:J,5,0)</f>
        <v>85</v>
      </c>
      <c r="F810" s="10">
        <f>VLOOKUP(A810,import!A:J,6,0)</f>
        <v>10</v>
      </c>
      <c r="G810" s="10">
        <f>VLOOKUP(A810,import!A:J,7,0)</f>
        <v>36</v>
      </c>
      <c r="H810" s="10">
        <f>VLOOKUP(A810,import!A:J,8,0)</f>
        <v>5</v>
      </c>
      <c r="I810" s="10">
        <f>VLOOKUP(A810,import!A:J,9,0)</f>
        <v>41</v>
      </c>
      <c r="J810" s="11">
        <f>VLOOKUP(A810,import!A:J,10,0)</f>
        <v>0.88</v>
      </c>
      <c r="K810" s="10" t="s">
        <v>3874</v>
      </c>
      <c r="L810" s="10">
        <v>5.459630821E9</v>
      </c>
      <c r="M810" s="10" t="s">
        <v>72</v>
      </c>
      <c r="N810" s="10" t="s">
        <v>548</v>
      </c>
      <c r="O810" s="10" t="s">
        <v>3875</v>
      </c>
      <c r="P810" s="10" t="str">
        <f>VLOOKUP(A810,import!A:P,16,0)</f>
        <v>Geleneksel</v>
      </c>
      <c r="Q810" s="12"/>
      <c r="R810" s="12" t="b">
        <v>1</v>
      </c>
      <c r="S810" s="12" t="b">
        <v>0</v>
      </c>
      <c r="T810" s="13" t="s">
        <v>51</v>
      </c>
      <c r="U810" s="13" t="s">
        <v>133</v>
      </c>
      <c r="V810" s="13" t="s">
        <v>66</v>
      </c>
      <c r="W810" s="13"/>
      <c r="X810" s="15">
        <v>44636.0</v>
      </c>
      <c r="Y810" s="15">
        <v>44637.0</v>
      </c>
      <c r="Z810" s="16"/>
      <c r="AA810" s="17" t="s">
        <v>56</v>
      </c>
      <c r="AB810" s="16">
        <v>44349.0</v>
      </c>
      <c r="AC810" s="17" t="s">
        <v>55</v>
      </c>
      <c r="AD810" s="16">
        <v>44428.0</v>
      </c>
      <c r="AE810" s="17" t="s">
        <v>56</v>
      </c>
      <c r="AF810" s="16">
        <v>44524.0</v>
      </c>
      <c r="AG810" s="17" t="s">
        <v>56</v>
      </c>
      <c r="AH810" s="16">
        <v>44636.0</v>
      </c>
      <c r="AI810" s="16"/>
      <c r="AJ810" s="16"/>
      <c r="AK810" s="17" t="s">
        <v>163</v>
      </c>
      <c r="AL810" s="17" t="s">
        <v>95</v>
      </c>
      <c r="AM810" s="17" t="s">
        <v>103</v>
      </c>
      <c r="AN810" s="17" t="s">
        <v>133</v>
      </c>
      <c r="AO810" s="16"/>
      <c r="AP810" s="18" t="s">
        <v>58</v>
      </c>
      <c r="AQ810" s="16"/>
    </row>
    <row r="811" ht="15.75" customHeight="1">
      <c r="A811" s="10" t="s">
        <v>3876</v>
      </c>
      <c r="B811" s="10" t="s">
        <v>3877</v>
      </c>
      <c r="C811" s="10" t="str">
        <f>VLOOKUP(A811,import!A:C,3,0)</f>
        <v>DOĞRU</v>
      </c>
      <c r="D811" s="10" t="s">
        <v>372</v>
      </c>
      <c r="E811" s="10">
        <f>VLOOKUP(A811,import!A:J,5,0)</f>
        <v>1619</v>
      </c>
      <c r="F811" s="10">
        <f>VLOOKUP(A811,import!A:J,6,0)</f>
        <v>88</v>
      </c>
      <c r="G811" s="10">
        <f>VLOOKUP(A811,import!A:J,7,0)</f>
        <v>0</v>
      </c>
      <c r="H811" s="10">
        <f>VLOOKUP(A811,import!A:J,8,0)</f>
        <v>120</v>
      </c>
      <c r="I811" s="10">
        <f>VLOOKUP(A811,import!A:J,9,0)</f>
        <v>120</v>
      </c>
      <c r="J811" s="11">
        <f>VLOOKUP(A811,import!A:J,10,0)</f>
        <v>0</v>
      </c>
      <c r="K811" s="10" t="s">
        <v>3878</v>
      </c>
      <c r="L811" s="10">
        <v>5.392084028E9</v>
      </c>
      <c r="M811" s="10" t="s">
        <v>63</v>
      </c>
      <c r="N811" s="10" t="s">
        <v>100</v>
      </c>
      <c r="O811" s="10" t="s">
        <v>3879</v>
      </c>
      <c r="P811" s="10" t="str">
        <f>VLOOKUP(A811,import!A:P,16,0)</f>
        <v>Geleneksel</v>
      </c>
      <c r="Q811" s="12" t="s">
        <v>84</v>
      </c>
      <c r="R811" s="12" t="b">
        <v>1</v>
      </c>
      <c r="S811" s="12" t="b">
        <v>0</v>
      </c>
      <c r="T811" s="13" t="s">
        <v>199</v>
      </c>
      <c r="U811" s="13"/>
      <c r="V811" s="13"/>
      <c r="W811" s="13" t="s">
        <v>3880</v>
      </c>
      <c r="X811" s="15"/>
      <c r="Y811" s="15"/>
      <c r="Z811" s="16"/>
      <c r="AA811" s="17" t="s">
        <v>55</v>
      </c>
      <c r="AB811" s="16">
        <v>44418.0</v>
      </c>
      <c r="AC811" s="17" t="s">
        <v>265</v>
      </c>
      <c r="AD811" s="16">
        <v>44450.0</v>
      </c>
      <c r="AE811" s="17" t="s">
        <v>86</v>
      </c>
      <c r="AF811" s="16">
        <v>44460.0</v>
      </c>
      <c r="AG811" s="17" t="s">
        <v>230</v>
      </c>
      <c r="AH811" s="16">
        <v>44489.0</v>
      </c>
      <c r="AI811" s="17" t="s">
        <v>56</v>
      </c>
      <c r="AJ811" s="16">
        <v>44504.0</v>
      </c>
      <c r="AK811" s="16"/>
      <c r="AL811" s="17" t="s">
        <v>108</v>
      </c>
      <c r="AM811" s="17" t="s">
        <v>87</v>
      </c>
      <c r="AN811" s="17" t="s">
        <v>367</v>
      </c>
      <c r="AO811" s="17" t="s">
        <v>108</v>
      </c>
      <c r="AP811" s="18" t="s">
        <v>58</v>
      </c>
      <c r="AQ811" s="17"/>
    </row>
    <row r="812" ht="15.75" hidden="1" customHeight="1">
      <c r="A812" s="10" t="s">
        <v>3881</v>
      </c>
      <c r="B812" s="10" t="s">
        <v>3882</v>
      </c>
      <c r="C812" s="10" t="str">
        <f>VLOOKUP(A812,import!A:C,3,0)</f>
        <v>DOĞRU</v>
      </c>
      <c r="D812" s="10" t="s">
        <v>372</v>
      </c>
      <c r="E812" s="10">
        <f>VLOOKUP(A812,import!A:J,5,0)</f>
        <v>2519</v>
      </c>
      <c r="F812" s="10">
        <f>VLOOKUP(A812,import!A:J,6,0)</f>
        <v>90</v>
      </c>
      <c r="G812" s="10">
        <f>VLOOKUP(A812,import!A:J,7,0)</f>
        <v>2</v>
      </c>
      <c r="H812" s="10">
        <f>VLOOKUP(A812,import!A:J,8,0)</f>
        <v>54</v>
      </c>
      <c r="I812" s="10">
        <f>VLOOKUP(A812,import!A:J,9,0)</f>
        <v>56</v>
      </c>
      <c r="J812" s="11">
        <f>VLOOKUP(A812,import!A:J,10,0)</f>
        <v>0.04</v>
      </c>
      <c r="K812" s="10" t="s">
        <v>3883</v>
      </c>
      <c r="L812" s="10">
        <v>5.322680678E9</v>
      </c>
      <c r="M812" s="10" t="s">
        <v>72</v>
      </c>
      <c r="N812" s="10" t="s">
        <v>73</v>
      </c>
      <c r="O812" s="10" t="s">
        <v>3884</v>
      </c>
      <c r="P812" s="10" t="str">
        <f>VLOOKUP(A812,import!A:P,16,0)</f>
        <v>Geleneksel</v>
      </c>
      <c r="Q812" s="12" t="s">
        <v>84</v>
      </c>
      <c r="R812" s="12" t="b">
        <v>1</v>
      </c>
      <c r="S812" s="12" t="b">
        <v>0</v>
      </c>
      <c r="T812" s="13" t="s">
        <v>51</v>
      </c>
      <c r="U812" s="13" t="s">
        <v>52</v>
      </c>
      <c r="V812" s="13" t="s">
        <v>53</v>
      </c>
      <c r="W812" s="13" t="s">
        <v>170</v>
      </c>
      <c r="X812" s="15">
        <v>44440.0</v>
      </c>
      <c r="Y812" s="15">
        <v>44441.0</v>
      </c>
      <c r="Z812" s="16"/>
      <c r="AA812" s="17" t="s">
        <v>56</v>
      </c>
      <c r="AB812" s="16">
        <v>44440.0</v>
      </c>
      <c r="AC812" s="16"/>
      <c r="AD812" s="16"/>
      <c r="AE812" s="17" t="s">
        <v>55</v>
      </c>
      <c r="AF812" s="16">
        <v>44350.0</v>
      </c>
      <c r="AG812" s="17" t="s">
        <v>55</v>
      </c>
      <c r="AH812" s="16">
        <v>44350.0</v>
      </c>
      <c r="AI812" s="17" t="s">
        <v>55</v>
      </c>
      <c r="AJ812" s="16">
        <v>44559.0</v>
      </c>
      <c r="AK812" s="17" t="s">
        <v>52</v>
      </c>
      <c r="AL812" s="17" t="s">
        <v>133</v>
      </c>
      <c r="AM812" s="17" t="s">
        <v>88</v>
      </c>
      <c r="AN812" s="17" t="s">
        <v>88</v>
      </c>
      <c r="AO812" s="17" t="s">
        <v>57</v>
      </c>
      <c r="AP812" s="18" t="s">
        <v>58</v>
      </c>
      <c r="AQ812" s="17"/>
    </row>
    <row r="813" ht="15.75" customHeight="1">
      <c r="A813" s="10" t="s">
        <v>3885</v>
      </c>
      <c r="B813" s="10" t="s">
        <v>3886</v>
      </c>
      <c r="C813" s="10" t="str">
        <f>VLOOKUP(A813,import!A:C,3,0)</f>
        <v>DOĞRU</v>
      </c>
      <c r="D813" s="10" t="s">
        <v>45</v>
      </c>
      <c r="E813" s="10">
        <f>VLOOKUP(A813,import!A:J,5,0)</f>
        <v>230</v>
      </c>
      <c r="F813" s="10">
        <f>VLOOKUP(A813,import!A:J,6,0)</f>
        <v>22</v>
      </c>
      <c r="G813" s="10">
        <f>VLOOKUP(A813,import!A:J,7,0)</f>
        <v>11</v>
      </c>
      <c r="H813" s="10">
        <f>VLOOKUP(A813,import!A:J,8,0)</f>
        <v>3</v>
      </c>
      <c r="I813" s="10">
        <f>VLOOKUP(A813,import!A:J,9,0)</f>
        <v>14</v>
      </c>
      <c r="J813" s="11">
        <f>VLOOKUP(A813,import!A:J,10,0)</f>
        <v>0.79</v>
      </c>
      <c r="K813" s="10" t="s">
        <v>3887</v>
      </c>
      <c r="L813" s="10">
        <v>5.327070057E9</v>
      </c>
      <c r="M813" s="10" t="s">
        <v>137</v>
      </c>
      <c r="N813" s="10" t="s">
        <v>845</v>
      </c>
      <c r="O813" s="10" t="s">
        <v>3888</v>
      </c>
      <c r="P813" s="10" t="str">
        <f>VLOOKUP(A813,import!A:P,16,0)</f>
        <v>Geleneksel</v>
      </c>
      <c r="Q813" s="12"/>
      <c r="R813" s="12" t="b">
        <v>1</v>
      </c>
      <c r="S813" s="12" t="b">
        <v>0</v>
      </c>
      <c r="T813" s="13" t="s">
        <v>51</v>
      </c>
      <c r="U813" s="13" t="s">
        <v>267</v>
      </c>
      <c r="V813" s="17" t="s">
        <v>66</v>
      </c>
      <c r="W813" s="13" t="s">
        <v>3889</v>
      </c>
      <c r="X813" s="15">
        <v>44566.0</v>
      </c>
      <c r="Y813" s="15">
        <v>44568.0</v>
      </c>
      <c r="Z813" s="16"/>
      <c r="AA813" s="17" t="s">
        <v>56</v>
      </c>
      <c r="AB813" s="16">
        <v>44566.0</v>
      </c>
      <c r="AC813" s="16"/>
      <c r="AD813" s="16"/>
      <c r="AE813" s="17"/>
      <c r="AF813" s="16"/>
      <c r="AG813" s="17"/>
      <c r="AH813" s="16"/>
      <c r="AI813" s="16"/>
      <c r="AJ813" s="16"/>
      <c r="AK813" s="17" t="s">
        <v>267</v>
      </c>
      <c r="AL813" s="16"/>
      <c r="AM813" s="16"/>
      <c r="AN813" s="16"/>
      <c r="AO813" s="16"/>
      <c r="AP813" s="18"/>
      <c r="AQ813" s="16"/>
    </row>
    <row r="814" ht="15.75" hidden="1" customHeight="1">
      <c r="A814" s="10" t="s">
        <v>3890</v>
      </c>
      <c r="B814" s="10" t="s">
        <v>3891</v>
      </c>
      <c r="C814" s="10" t="str">
        <f>VLOOKUP(A814,import!A:C,3,0)</f>
        <v>DOĞRU</v>
      </c>
      <c r="D814" s="10" t="s">
        <v>884</v>
      </c>
      <c r="E814" s="10">
        <f>VLOOKUP(A814,import!A:J,5,0)</f>
        <v>283</v>
      </c>
      <c r="F814" s="10">
        <f>VLOOKUP(A814,import!A:J,6,0)</f>
        <v>6</v>
      </c>
      <c r="G814" s="10">
        <f>VLOOKUP(A814,import!A:J,7,0)</f>
        <v>43</v>
      </c>
      <c r="H814" s="10">
        <f>VLOOKUP(A814,import!A:J,8,0)</f>
        <v>15</v>
      </c>
      <c r="I814" s="10">
        <f>VLOOKUP(A814,import!A:J,9,0)</f>
        <v>58</v>
      </c>
      <c r="J814" s="11">
        <f>VLOOKUP(A814,import!A:J,10,0)</f>
        <v>0.74</v>
      </c>
      <c r="K814" s="10" t="s">
        <v>3892</v>
      </c>
      <c r="L814" s="10">
        <v>5.32405069E9</v>
      </c>
      <c r="M814" s="10" t="s">
        <v>72</v>
      </c>
      <c r="N814" s="10" t="s">
        <v>120</v>
      </c>
      <c r="O814" s="10" t="s">
        <v>3893</v>
      </c>
      <c r="P814" s="10" t="str">
        <f>VLOOKUP(A814,import!A:P,16,0)</f>
        <v>Geleneksel</v>
      </c>
      <c r="Q814" s="12"/>
      <c r="R814" s="12" t="b">
        <v>1</v>
      </c>
      <c r="S814" s="12" t="b">
        <v>0</v>
      </c>
      <c r="T814" s="13" t="s">
        <v>51</v>
      </c>
      <c r="U814" s="13" t="s">
        <v>89</v>
      </c>
      <c r="V814" s="13" t="s">
        <v>53</v>
      </c>
      <c r="W814" s="13" t="s">
        <v>3894</v>
      </c>
      <c r="X814" s="15">
        <v>44553.0</v>
      </c>
      <c r="Y814" s="15">
        <v>44557.0</v>
      </c>
      <c r="Z814" s="16"/>
      <c r="AA814" s="17" t="s">
        <v>56</v>
      </c>
      <c r="AB814" s="16">
        <v>44355.0</v>
      </c>
      <c r="AC814" s="17" t="s">
        <v>56</v>
      </c>
      <c r="AD814" s="16">
        <v>44553.0</v>
      </c>
      <c r="AE814" s="17"/>
      <c r="AF814" s="16"/>
      <c r="AG814" s="17"/>
      <c r="AH814" s="16"/>
      <c r="AI814" s="16"/>
      <c r="AJ814" s="16"/>
      <c r="AK814" s="17" t="s">
        <v>163</v>
      </c>
      <c r="AL814" s="17" t="s">
        <v>89</v>
      </c>
      <c r="AM814" s="16"/>
      <c r="AN814" s="16"/>
      <c r="AO814" s="16"/>
      <c r="AP814" s="18" t="s">
        <v>58</v>
      </c>
      <c r="AQ814" s="16"/>
    </row>
    <row r="815" ht="15.75" customHeight="1">
      <c r="A815" s="10" t="s">
        <v>3895</v>
      </c>
      <c r="B815" s="10" t="s">
        <v>3896</v>
      </c>
      <c r="C815" s="10" t="str">
        <f>VLOOKUP(A815,import!A:C,3,0)</f>
        <v>DOĞRU</v>
      </c>
      <c r="D815" s="10" t="s">
        <v>913</v>
      </c>
      <c r="E815" s="10">
        <f>VLOOKUP(A815,import!A:J,5,0)</f>
        <v>1550</v>
      </c>
      <c r="F815" s="10">
        <f>VLOOKUP(A815,import!A:J,6,0)</f>
        <v>114</v>
      </c>
      <c r="G815" s="10">
        <f>VLOOKUP(A815,import!A:J,7,0)</f>
        <v>0</v>
      </c>
      <c r="H815" s="10">
        <f>VLOOKUP(A815,import!A:J,8,0)</f>
        <v>20</v>
      </c>
      <c r="I815" s="10">
        <f>VLOOKUP(A815,import!A:J,9,0)</f>
        <v>20</v>
      </c>
      <c r="J815" s="11">
        <f>VLOOKUP(A815,import!A:J,10,0)</f>
        <v>0</v>
      </c>
      <c r="K815" s="10" t="s">
        <v>3204</v>
      </c>
      <c r="L815" s="10">
        <v>5.345671911E9</v>
      </c>
      <c r="M815" s="10" t="s">
        <v>137</v>
      </c>
      <c r="N815" s="10" t="s">
        <v>138</v>
      </c>
      <c r="O815" s="10" t="s">
        <v>3897</v>
      </c>
      <c r="P815" s="10" t="str">
        <f>VLOOKUP(A815,import!A:P,16,0)</f>
        <v>Geleneksel</v>
      </c>
      <c r="Q815" s="12"/>
      <c r="R815" s="12" t="b">
        <v>1</v>
      </c>
      <c r="S815" s="12" t="b">
        <v>0</v>
      </c>
      <c r="T815" s="13" t="s">
        <v>199</v>
      </c>
      <c r="U815" s="13"/>
      <c r="V815" s="13"/>
      <c r="W815" s="13" t="s">
        <v>3898</v>
      </c>
      <c r="X815" s="15"/>
      <c r="Y815" s="15"/>
      <c r="Z815" s="16"/>
      <c r="AA815" s="17" t="s">
        <v>56</v>
      </c>
      <c r="AB815" s="16">
        <v>44411.0</v>
      </c>
      <c r="AC815" s="17" t="s">
        <v>56</v>
      </c>
      <c r="AD815" s="16">
        <v>44411.0</v>
      </c>
      <c r="AE815" s="17" t="s">
        <v>55</v>
      </c>
      <c r="AF815" s="16">
        <v>44494.0</v>
      </c>
      <c r="AG815" s="17" t="s">
        <v>56</v>
      </c>
      <c r="AH815" s="16">
        <v>44536.0</v>
      </c>
      <c r="AI815" s="16"/>
      <c r="AJ815" s="16"/>
      <c r="AK815" s="17" t="s">
        <v>95</v>
      </c>
      <c r="AL815" s="17" t="s">
        <v>95</v>
      </c>
      <c r="AM815" s="17" t="s">
        <v>89</v>
      </c>
      <c r="AN815" s="17" t="s">
        <v>89</v>
      </c>
      <c r="AO815" s="16"/>
      <c r="AP815" s="18" t="s">
        <v>58</v>
      </c>
      <c r="AQ815" s="16"/>
    </row>
    <row r="816" ht="15.75" customHeight="1">
      <c r="A816" s="10" t="s">
        <v>3899</v>
      </c>
      <c r="B816" s="10" t="s">
        <v>3900</v>
      </c>
      <c r="C816" s="10" t="str">
        <f>VLOOKUP(A816,import!A:C,3,0)</f>
        <v>DOĞRU</v>
      </c>
      <c r="D816" s="10" t="s">
        <v>1063</v>
      </c>
      <c r="E816" s="10">
        <f>VLOOKUP(A816,import!A:J,5,0)</f>
        <v>147</v>
      </c>
      <c r="F816" s="10">
        <f>VLOOKUP(A816,import!A:J,6,0)</f>
        <v>35</v>
      </c>
      <c r="G816" s="10">
        <f>VLOOKUP(A816,import!A:J,7,0)</f>
        <v>29</v>
      </c>
      <c r="H816" s="10">
        <f>VLOOKUP(A816,import!A:J,8,0)</f>
        <v>5</v>
      </c>
      <c r="I816" s="10">
        <f>VLOOKUP(A816,import!A:J,9,0)</f>
        <v>34</v>
      </c>
      <c r="J816" s="11">
        <f>VLOOKUP(A816,import!A:J,10,0)</f>
        <v>0.85</v>
      </c>
      <c r="K816" s="10" t="s">
        <v>3901</v>
      </c>
      <c r="L816" s="10">
        <v>3.249992255E9</v>
      </c>
      <c r="M816" s="10" t="s">
        <v>63</v>
      </c>
      <c r="N816" s="10" t="s">
        <v>100</v>
      </c>
      <c r="O816" s="10" t="s">
        <v>3902</v>
      </c>
      <c r="P816" s="10" t="str">
        <f>VLOOKUP(A816,import!A:P,16,0)</f>
        <v>Geleneksel</v>
      </c>
      <c r="Q816" s="12"/>
      <c r="R816" s="12" t="b">
        <v>1</v>
      </c>
      <c r="S816" s="12" t="b">
        <v>0</v>
      </c>
      <c r="T816" s="13" t="s">
        <v>51</v>
      </c>
      <c r="U816" s="13" t="s">
        <v>267</v>
      </c>
      <c r="V816" s="13" t="s">
        <v>66</v>
      </c>
      <c r="W816" s="13" t="s">
        <v>3903</v>
      </c>
      <c r="X816" s="15">
        <v>44497.0</v>
      </c>
      <c r="Y816" s="15">
        <v>44498.0</v>
      </c>
      <c r="Z816" s="16"/>
      <c r="AA816" s="17" t="s">
        <v>55</v>
      </c>
      <c r="AB816" s="16">
        <v>44482.0</v>
      </c>
      <c r="AC816" s="17" t="s">
        <v>56</v>
      </c>
      <c r="AD816" s="16">
        <v>44487.0</v>
      </c>
      <c r="AE816" s="17" t="s">
        <v>55</v>
      </c>
      <c r="AF816" s="16">
        <v>44495.0</v>
      </c>
      <c r="AG816" s="17" t="s">
        <v>56</v>
      </c>
      <c r="AH816" s="16">
        <v>44497.0</v>
      </c>
      <c r="AI816" s="17" t="s">
        <v>56</v>
      </c>
      <c r="AJ816" s="16">
        <v>44553.0</v>
      </c>
      <c r="AK816" s="17" t="s">
        <v>171</v>
      </c>
      <c r="AL816" s="17" t="s">
        <v>87</v>
      </c>
      <c r="AM816" s="17" t="s">
        <v>89</v>
      </c>
      <c r="AN816" s="17" t="s">
        <v>267</v>
      </c>
      <c r="AO816" s="17" t="s">
        <v>89</v>
      </c>
      <c r="AP816" s="18" t="s">
        <v>58</v>
      </c>
      <c r="AQ816" s="16"/>
    </row>
    <row r="817" ht="15.75" customHeight="1">
      <c r="A817" s="10" t="s">
        <v>3904</v>
      </c>
      <c r="B817" s="10" t="s">
        <v>3905</v>
      </c>
      <c r="C817" s="10" t="str">
        <f>VLOOKUP(A817,import!A:C,3,0)</f>
        <v>DOĞRU</v>
      </c>
      <c r="D817" s="10" t="s">
        <v>1063</v>
      </c>
      <c r="E817" s="10">
        <f>VLOOKUP(A817,import!A:J,5,0)</f>
        <v>1265</v>
      </c>
      <c r="F817" s="10">
        <f>VLOOKUP(A817,import!A:J,6,0)</f>
        <v>38</v>
      </c>
      <c r="G817" s="10">
        <f>VLOOKUP(A817,import!A:J,7,0)</f>
        <v>0</v>
      </c>
      <c r="H817" s="10">
        <f>VLOOKUP(A817,import!A:J,8,0)</f>
        <v>48</v>
      </c>
      <c r="I817" s="10">
        <f>VLOOKUP(A817,import!A:J,9,0)</f>
        <v>48</v>
      </c>
      <c r="J817" s="11">
        <f>VLOOKUP(A817,import!A:J,10,0)</f>
        <v>0</v>
      </c>
      <c r="K817" s="10" t="s">
        <v>3906</v>
      </c>
      <c r="L817" s="10">
        <v>5.327648134E9</v>
      </c>
      <c r="M817" s="10" t="s">
        <v>63</v>
      </c>
      <c r="N817" s="10" t="s">
        <v>100</v>
      </c>
      <c r="O817" s="10" t="s">
        <v>3907</v>
      </c>
      <c r="P817" s="10" t="str">
        <f>VLOOKUP(A817,import!A:P,16,0)</f>
        <v>Geleneksel</v>
      </c>
      <c r="Q817" s="12" t="s">
        <v>84</v>
      </c>
      <c r="R817" s="12" t="b">
        <v>1</v>
      </c>
      <c r="S817" s="12" t="b">
        <v>0</v>
      </c>
      <c r="T817" s="13" t="s">
        <v>265</v>
      </c>
      <c r="U817" s="13" t="s">
        <v>89</v>
      </c>
      <c r="V817" s="13"/>
      <c r="W817" s="13" t="s">
        <v>3908</v>
      </c>
      <c r="X817" s="15"/>
      <c r="Y817" s="15"/>
      <c r="Z817" s="16"/>
      <c r="AA817" s="17" t="s">
        <v>55</v>
      </c>
      <c r="AB817" s="16">
        <v>44450.0</v>
      </c>
      <c r="AC817" s="17" t="s">
        <v>56</v>
      </c>
      <c r="AD817" s="16">
        <v>44462.0</v>
      </c>
      <c r="AE817" s="17" t="s">
        <v>56</v>
      </c>
      <c r="AF817" s="16">
        <v>44495.0</v>
      </c>
      <c r="AG817" s="17" t="s">
        <v>56</v>
      </c>
      <c r="AH817" s="16">
        <v>44504.0</v>
      </c>
      <c r="AI817" s="17" t="s">
        <v>56</v>
      </c>
      <c r="AJ817" s="16">
        <v>44649.0</v>
      </c>
      <c r="AK817" s="17" t="s">
        <v>108</v>
      </c>
      <c r="AL817" s="17" t="s">
        <v>367</v>
      </c>
      <c r="AM817" s="17" t="s">
        <v>89</v>
      </c>
      <c r="AN817" s="17" t="s">
        <v>108</v>
      </c>
      <c r="AO817" s="17" t="s">
        <v>89</v>
      </c>
      <c r="AP817" s="18" t="s">
        <v>58</v>
      </c>
      <c r="AQ817" s="17"/>
    </row>
    <row r="818" ht="15.75" hidden="1" customHeight="1">
      <c r="A818" s="10" t="s">
        <v>3909</v>
      </c>
      <c r="B818" s="10" t="s">
        <v>3910</v>
      </c>
      <c r="C818" s="10" t="str">
        <f>VLOOKUP(A818,import!A:C,3,0)</f>
        <v>DOĞRU</v>
      </c>
      <c r="D818" s="10" t="s">
        <v>913</v>
      </c>
      <c r="E818" s="10">
        <f>VLOOKUP(A818,import!A:J,5,0)</f>
        <v>320</v>
      </c>
      <c r="F818" s="10">
        <f>VLOOKUP(A818,import!A:J,6,0)</f>
        <v>17</v>
      </c>
      <c r="G818" s="10">
        <f>VLOOKUP(A818,import!A:J,7,0)</f>
        <v>0</v>
      </c>
      <c r="H818" s="10">
        <f>VLOOKUP(A818,import!A:J,8,0)</f>
        <v>35</v>
      </c>
      <c r="I818" s="10">
        <f>VLOOKUP(A818,import!A:J,9,0)</f>
        <v>35</v>
      </c>
      <c r="J818" s="11">
        <f>VLOOKUP(A818,import!A:J,10,0)</f>
        <v>0</v>
      </c>
      <c r="K818" s="10" t="s">
        <v>3911</v>
      </c>
      <c r="L818" s="10">
        <v>5.31692971E9</v>
      </c>
      <c r="M818" s="10" t="s">
        <v>187</v>
      </c>
      <c r="N818" s="10" t="s">
        <v>1533</v>
      </c>
      <c r="O818" s="10" t="s">
        <v>3912</v>
      </c>
      <c r="P818" s="10" t="str">
        <f>VLOOKUP(A818,import!A:P,16,0)</f>
        <v>Geleneksel</v>
      </c>
      <c r="Q818" s="12"/>
      <c r="R818" s="12" t="b">
        <v>0</v>
      </c>
      <c r="S818" s="12" t="b">
        <v>0</v>
      </c>
      <c r="T818" s="13" t="s">
        <v>485</v>
      </c>
      <c r="U818" s="13"/>
      <c r="V818" s="13"/>
      <c r="W818" s="13"/>
      <c r="X818" s="15"/>
      <c r="Y818" s="15"/>
      <c r="Z818" s="16"/>
      <c r="AA818" s="16"/>
      <c r="AB818" s="16"/>
      <c r="AC818" s="16"/>
      <c r="AD818" s="16"/>
      <c r="AE818" s="17"/>
      <c r="AF818" s="16"/>
      <c r="AG818" s="17"/>
      <c r="AH818" s="16"/>
      <c r="AI818" s="16"/>
      <c r="AJ818" s="16"/>
      <c r="AK818" s="16"/>
      <c r="AL818" s="16"/>
      <c r="AM818" s="16"/>
      <c r="AN818" s="16"/>
      <c r="AO818" s="16"/>
      <c r="AP818" s="18" t="s">
        <v>58</v>
      </c>
      <c r="AQ818" s="16"/>
    </row>
    <row r="819" ht="15.75" customHeight="1">
      <c r="A819" s="10" t="s">
        <v>3913</v>
      </c>
      <c r="B819" s="10" t="s">
        <v>3914</v>
      </c>
      <c r="C819" s="10" t="str">
        <f>VLOOKUP(A819,import!A:C,3,0)</f>
        <v>DOĞRU</v>
      </c>
      <c r="D819" s="10" t="s">
        <v>61</v>
      </c>
      <c r="E819" s="10">
        <f>VLOOKUP(A819,import!A:J,5,0)</f>
        <v>7</v>
      </c>
      <c r="F819" s="10">
        <f>VLOOKUP(A819,import!A:J,6,0)</f>
        <v>2</v>
      </c>
      <c r="G819" s="10">
        <f>VLOOKUP(A819,import!A:J,7,0)</f>
        <v>22</v>
      </c>
      <c r="H819" s="10">
        <f>VLOOKUP(A819,import!A:J,8,0)</f>
        <v>0</v>
      </c>
      <c r="I819" s="10">
        <f>VLOOKUP(A819,import!A:J,9,0)</f>
        <v>22</v>
      </c>
      <c r="J819" s="11">
        <f>VLOOKUP(A819,import!A:J,10,0)</f>
        <v>1</v>
      </c>
      <c r="K819" s="10" t="s">
        <v>3915</v>
      </c>
      <c r="L819" s="10">
        <v>5.363666444E9</v>
      </c>
      <c r="M819" s="10" t="s">
        <v>63</v>
      </c>
      <c r="N819" s="10" t="s">
        <v>700</v>
      </c>
      <c r="O819" s="10" t="s">
        <v>3916</v>
      </c>
      <c r="P819" s="10" t="str">
        <f>VLOOKUP(A819,import!A:P,16,0)</f>
        <v>Geleneksel</v>
      </c>
      <c r="Q819" s="12"/>
      <c r="R819" s="12" t="b">
        <v>1</v>
      </c>
      <c r="S819" s="12" t="b">
        <v>0</v>
      </c>
      <c r="T819" s="13" t="s">
        <v>51</v>
      </c>
      <c r="U819" s="13" t="s">
        <v>52</v>
      </c>
      <c r="V819" s="13" t="s">
        <v>131</v>
      </c>
      <c r="W819" s="13" t="s">
        <v>3917</v>
      </c>
      <c r="X819" s="15">
        <v>44641.0</v>
      </c>
      <c r="Y819" s="15">
        <v>44643.0</v>
      </c>
      <c r="Z819" s="16"/>
      <c r="AA819" s="17" t="s">
        <v>56</v>
      </c>
      <c r="AB819" s="16">
        <v>44641.0</v>
      </c>
      <c r="AC819" s="16"/>
      <c r="AD819" s="16"/>
      <c r="AE819" s="17"/>
      <c r="AF819" s="16"/>
      <c r="AG819" s="17"/>
      <c r="AH819" s="16"/>
      <c r="AI819" s="16"/>
      <c r="AJ819" s="16"/>
      <c r="AK819" s="17" t="s">
        <v>52</v>
      </c>
      <c r="AL819" s="16"/>
      <c r="AM819" s="16"/>
      <c r="AN819" s="16"/>
      <c r="AO819" s="16"/>
      <c r="AP819" s="18"/>
      <c r="AQ819" s="16"/>
    </row>
    <row r="820" ht="15.75" hidden="1" customHeight="1">
      <c r="A820" s="10" t="s">
        <v>3918</v>
      </c>
      <c r="B820" s="10" t="s">
        <v>3919</v>
      </c>
      <c r="C820" s="10" t="str">
        <f>VLOOKUP(A820,import!A:C,3,0)</f>
        <v>DOĞRU</v>
      </c>
      <c r="D820" s="10" t="s">
        <v>884</v>
      </c>
      <c r="E820" s="10">
        <f>VLOOKUP(A820,import!A:J,5,0)</f>
        <v>2</v>
      </c>
      <c r="F820" s="10" t="str">
        <f>VLOOKUP(A820,import!A:J,6,0)</f>
        <v/>
      </c>
      <c r="G820" s="10">
        <f>VLOOKUP(A820,import!A:J,7,0)</f>
        <v>1</v>
      </c>
      <c r="H820" s="10">
        <f>VLOOKUP(A820,import!A:J,8,0)</f>
        <v>23</v>
      </c>
      <c r="I820" s="10">
        <f>VLOOKUP(A820,import!A:J,9,0)</f>
        <v>24</v>
      </c>
      <c r="J820" s="11">
        <f>VLOOKUP(A820,import!A:J,10,0)</f>
        <v>0.04</v>
      </c>
      <c r="K820" s="10" t="s">
        <v>3920</v>
      </c>
      <c r="L820" s="10">
        <v>5.546945245E9</v>
      </c>
      <c r="M820" s="10" t="s">
        <v>72</v>
      </c>
      <c r="N820" s="10" t="s">
        <v>113</v>
      </c>
      <c r="O820" s="10" t="s">
        <v>3921</v>
      </c>
      <c r="P820" s="10" t="str">
        <f>VLOOKUP(A820,import!A:P,16,0)</f>
        <v>Geleneksel</v>
      </c>
      <c r="Q820" s="12"/>
      <c r="R820" s="12" t="b">
        <v>1</v>
      </c>
      <c r="S820" s="12" t="b">
        <v>0</v>
      </c>
      <c r="T820" s="13" t="s">
        <v>51</v>
      </c>
      <c r="U820" s="13" t="s">
        <v>133</v>
      </c>
      <c r="V820" s="13" t="s">
        <v>66</v>
      </c>
      <c r="W820" s="13" t="s">
        <v>3922</v>
      </c>
      <c r="X820" s="15">
        <v>44498.0</v>
      </c>
      <c r="Y820" s="15">
        <v>44501.0</v>
      </c>
      <c r="Z820" s="16"/>
      <c r="AA820" s="17" t="s">
        <v>56</v>
      </c>
      <c r="AB820" s="16">
        <v>44426.0</v>
      </c>
      <c r="AC820" s="17" t="s">
        <v>56</v>
      </c>
      <c r="AD820" s="16">
        <v>44431.0</v>
      </c>
      <c r="AE820" s="17" t="s">
        <v>265</v>
      </c>
      <c r="AF820" s="16">
        <v>44440.0</v>
      </c>
      <c r="AG820" s="17" t="s">
        <v>56</v>
      </c>
      <c r="AH820" s="16">
        <v>44475.0</v>
      </c>
      <c r="AI820" s="17" t="s">
        <v>56</v>
      </c>
      <c r="AJ820" s="16">
        <v>44574.0</v>
      </c>
      <c r="AK820" s="17" t="s">
        <v>57</v>
      </c>
      <c r="AL820" s="17" t="s">
        <v>367</v>
      </c>
      <c r="AM820" s="17" t="s">
        <v>52</v>
      </c>
      <c r="AN820" s="17" t="s">
        <v>171</v>
      </c>
      <c r="AO820" s="17" t="s">
        <v>89</v>
      </c>
      <c r="AP820" s="18" t="s">
        <v>58</v>
      </c>
      <c r="AQ820" s="17"/>
    </row>
    <row r="821" ht="15.75" hidden="1" customHeight="1">
      <c r="A821" s="10" t="s">
        <v>3923</v>
      </c>
      <c r="B821" s="10" t="s">
        <v>3924</v>
      </c>
      <c r="C821" s="10" t="str">
        <f>VLOOKUP(A821,import!A:C,3,0)</f>
        <v>DOĞRU</v>
      </c>
      <c r="D821" s="10" t="s">
        <v>80</v>
      </c>
      <c r="E821" s="10">
        <f>VLOOKUP(A821,import!A:J,5,0)</f>
        <v>454</v>
      </c>
      <c r="F821" s="10">
        <f>VLOOKUP(A821,import!A:J,6,0)</f>
        <v>4</v>
      </c>
      <c r="G821" s="10">
        <f>VLOOKUP(A821,import!A:J,7,0)</f>
        <v>0</v>
      </c>
      <c r="H821" s="10">
        <f>VLOOKUP(A821,import!A:J,8,0)</f>
        <v>12</v>
      </c>
      <c r="I821" s="10">
        <f>VLOOKUP(A821,import!A:J,9,0)</f>
        <v>12</v>
      </c>
      <c r="J821" s="11">
        <f>VLOOKUP(A821,import!A:J,10,0)</f>
        <v>0</v>
      </c>
      <c r="K821" s="10" t="s">
        <v>3925</v>
      </c>
      <c r="L821" s="10">
        <v>5.380535233E9</v>
      </c>
      <c r="M821" s="10" t="s">
        <v>47</v>
      </c>
      <c r="N821" s="10" t="s">
        <v>479</v>
      </c>
      <c r="O821" s="10" t="s">
        <v>3926</v>
      </c>
      <c r="P821" s="10" t="str">
        <f>VLOOKUP(A821,import!A:P,16,0)</f>
        <v>Geleneksel</v>
      </c>
      <c r="Q821" s="12"/>
      <c r="R821" s="12" t="b">
        <v>1</v>
      </c>
      <c r="S821" s="12" t="b">
        <v>0</v>
      </c>
      <c r="T821" s="13" t="s">
        <v>130</v>
      </c>
      <c r="U821" s="13" t="s">
        <v>108</v>
      </c>
      <c r="V821" s="13" t="s">
        <v>53</v>
      </c>
      <c r="W821" s="13" t="s">
        <v>3927</v>
      </c>
      <c r="X821" s="15">
        <v>44504.0</v>
      </c>
      <c r="Y821" s="15">
        <v>44508.0</v>
      </c>
      <c r="Z821" s="16"/>
      <c r="AA821" s="17" t="s">
        <v>56</v>
      </c>
      <c r="AB821" s="16">
        <v>44504.0</v>
      </c>
      <c r="AC821" s="16"/>
      <c r="AD821" s="16"/>
      <c r="AE821" s="17"/>
      <c r="AF821" s="16"/>
      <c r="AG821" s="17"/>
      <c r="AH821" s="16"/>
      <c r="AI821" s="16"/>
      <c r="AJ821" s="16"/>
      <c r="AK821" s="17" t="s">
        <v>108</v>
      </c>
      <c r="AL821" s="16"/>
      <c r="AM821" s="16"/>
      <c r="AN821" s="16"/>
      <c r="AO821" s="16"/>
      <c r="AP821" s="18" t="s">
        <v>58</v>
      </c>
      <c r="AQ821" s="16"/>
    </row>
    <row r="822" ht="15.75" hidden="1" customHeight="1">
      <c r="A822" s="10" t="s">
        <v>3928</v>
      </c>
      <c r="B822" s="10" t="s">
        <v>3929</v>
      </c>
      <c r="C822" s="10" t="str">
        <f>VLOOKUP(A822,import!A:C,3,0)</f>
        <v>DOĞRU</v>
      </c>
      <c r="D822" s="10" t="s">
        <v>80</v>
      </c>
      <c r="E822" s="10">
        <f>VLOOKUP(A822,import!A:J,5,0)</f>
        <v>5858</v>
      </c>
      <c r="F822" s="10">
        <f>VLOOKUP(A822,import!A:J,6,0)</f>
        <v>491</v>
      </c>
      <c r="G822" s="10">
        <f>VLOOKUP(A822,import!A:J,7,0)</f>
        <v>10</v>
      </c>
      <c r="H822" s="10">
        <f>VLOOKUP(A822,import!A:J,8,0)</f>
        <v>29</v>
      </c>
      <c r="I822" s="10">
        <f>VLOOKUP(A822,import!A:J,9,0)</f>
        <v>39</v>
      </c>
      <c r="J822" s="11">
        <f>VLOOKUP(A822,import!A:J,10,0)</f>
        <v>0.26</v>
      </c>
      <c r="K822" s="10" t="s">
        <v>3930</v>
      </c>
      <c r="L822" s="10">
        <v>5.523335717E9</v>
      </c>
      <c r="M822" s="10" t="s">
        <v>72</v>
      </c>
      <c r="N822" s="10" t="s">
        <v>82</v>
      </c>
      <c r="O822" s="10" t="s">
        <v>3931</v>
      </c>
      <c r="P822" s="10" t="str">
        <f>VLOOKUP(A822,import!A:P,16,0)</f>
        <v>Geleneksel</v>
      </c>
      <c r="Q822" s="12"/>
      <c r="R822" s="12" t="b">
        <v>1</v>
      </c>
      <c r="S822" s="12" t="b">
        <v>0</v>
      </c>
      <c r="T822" s="13" t="s">
        <v>51</v>
      </c>
      <c r="U822" s="13" t="s">
        <v>103</v>
      </c>
      <c r="V822" s="13" t="s">
        <v>66</v>
      </c>
      <c r="W822" s="13" t="s">
        <v>3932</v>
      </c>
      <c r="X822" s="15">
        <v>44483.0</v>
      </c>
      <c r="Y822" s="15">
        <v>44484.0</v>
      </c>
      <c r="Z822" s="16"/>
      <c r="AA822" s="17" t="s">
        <v>230</v>
      </c>
      <c r="AB822" s="16">
        <v>44404.0</v>
      </c>
      <c r="AC822" s="17" t="s">
        <v>86</v>
      </c>
      <c r="AD822" s="16">
        <v>44426.0</v>
      </c>
      <c r="AE822" s="17" t="s">
        <v>55</v>
      </c>
      <c r="AF822" s="16"/>
      <c r="AG822" s="17" t="s">
        <v>55</v>
      </c>
      <c r="AH822" s="16">
        <v>44431.0</v>
      </c>
      <c r="AI822" s="17" t="s">
        <v>56</v>
      </c>
      <c r="AJ822" s="16">
        <v>44572.0</v>
      </c>
      <c r="AK822" s="17" t="s">
        <v>52</v>
      </c>
      <c r="AL822" s="17" t="s">
        <v>57</v>
      </c>
      <c r="AM822" s="16"/>
      <c r="AN822" s="17" t="s">
        <v>367</v>
      </c>
      <c r="AO822" s="17" t="s">
        <v>133</v>
      </c>
      <c r="AP822" s="18" t="s">
        <v>58</v>
      </c>
      <c r="AQ822" s="17"/>
    </row>
    <row r="823" ht="15.75" customHeight="1">
      <c r="A823" s="10" t="s">
        <v>3933</v>
      </c>
      <c r="B823" s="10" t="s">
        <v>3934</v>
      </c>
      <c r="C823" s="10" t="str">
        <f>VLOOKUP(A823,import!A:C,3,0)</f>
        <v>DOĞRU</v>
      </c>
      <c r="D823" s="10" t="s">
        <v>70</v>
      </c>
      <c r="E823" s="10">
        <f>VLOOKUP(A823,import!A:J,5,0)</f>
        <v>13619</v>
      </c>
      <c r="F823" s="10">
        <f>VLOOKUP(A823,import!A:J,6,0)</f>
        <v>541</v>
      </c>
      <c r="G823" s="10">
        <f>VLOOKUP(A823,import!A:J,7,0)</f>
        <v>13</v>
      </c>
      <c r="H823" s="10">
        <f>VLOOKUP(A823,import!A:J,8,0)</f>
        <v>13</v>
      </c>
      <c r="I823" s="10">
        <f>VLOOKUP(A823,import!A:J,9,0)</f>
        <v>26</v>
      </c>
      <c r="J823" s="11">
        <f>VLOOKUP(A823,import!A:J,10,0)</f>
        <v>0.5</v>
      </c>
      <c r="K823" s="10" t="s">
        <v>3935</v>
      </c>
      <c r="L823" s="10">
        <v>3.243360613E9</v>
      </c>
      <c r="M823" s="10" t="s">
        <v>137</v>
      </c>
      <c r="N823" s="10" t="s">
        <v>209</v>
      </c>
      <c r="O823" s="10" t="s">
        <v>3936</v>
      </c>
      <c r="P823" s="10" t="str">
        <f>VLOOKUP(A823,import!A:P,16,0)</f>
        <v>Geleneksel</v>
      </c>
      <c r="Q823" s="12" t="s">
        <v>84</v>
      </c>
      <c r="R823" s="12" t="b">
        <v>1</v>
      </c>
      <c r="S823" s="12" t="b">
        <v>0</v>
      </c>
      <c r="T823" s="13" t="s">
        <v>51</v>
      </c>
      <c r="U823" s="13" t="s">
        <v>52</v>
      </c>
      <c r="V823" s="13" t="s">
        <v>66</v>
      </c>
      <c r="W823" s="13" t="s">
        <v>3937</v>
      </c>
      <c r="X823" s="15">
        <v>44490.0</v>
      </c>
      <c r="Y823" s="15">
        <v>44491.0</v>
      </c>
      <c r="Z823" s="16"/>
      <c r="AA823" s="17" t="s">
        <v>56</v>
      </c>
      <c r="AB823" s="16">
        <v>44488.0</v>
      </c>
      <c r="AC823" s="17" t="s">
        <v>56</v>
      </c>
      <c r="AD823" s="16">
        <v>44490.0</v>
      </c>
      <c r="AE823" s="17"/>
      <c r="AF823" s="16"/>
      <c r="AG823" s="17"/>
      <c r="AH823" s="16"/>
      <c r="AI823" s="16"/>
      <c r="AJ823" s="16"/>
      <c r="AK823" s="17" t="s">
        <v>108</v>
      </c>
      <c r="AL823" s="17" t="s">
        <v>52</v>
      </c>
      <c r="AM823" s="16"/>
      <c r="AN823" s="16"/>
      <c r="AO823" s="16"/>
      <c r="AP823" s="18" t="s">
        <v>58</v>
      </c>
      <c r="AQ823" s="16"/>
    </row>
    <row r="824" ht="15.75" customHeight="1">
      <c r="A824" s="10" t="s">
        <v>3938</v>
      </c>
      <c r="B824" s="10" t="s">
        <v>3939</v>
      </c>
      <c r="C824" s="10" t="str">
        <f>VLOOKUP(A824,import!A:C,3,0)</f>
        <v>DOĞRU</v>
      </c>
      <c r="D824" s="10" t="s">
        <v>451</v>
      </c>
      <c r="E824" s="10">
        <f>VLOOKUP(A824,import!A:J,5,0)</f>
        <v>12306</v>
      </c>
      <c r="F824" s="10">
        <f>VLOOKUP(A824,import!A:J,6,0)</f>
        <v>557</v>
      </c>
      <c r="G824" s="10">
        <f>VLOOKUP(A824,import!A:J,7,0)</f>
        <v>43</v>
      </c>
      <c r="H824" s="10">
        <f>VLOOKUP(A824,import!A:J,8,0)</f>
        <v>40</v>
      </c>
      <c r="I824" s="10">
        <f>VLOOKUP(A824,import!A:J,9,0)</f>
        <v>83</v>
      </c>
      <c r="J824" s="11">
        <f>VLOOKUP(A824,import!A:J,10,0)</f>
        <v>0.52</v>
      </c>
      <c r="K824" s="10" t="s">
        <v>3935</v>
      </c>
      <c r="L824" s="10">
        <v>3.242388282E9</v>
      </c>
      <c r="M824" s="10" t="s">
        <v>137</v>
      </c>
      <c r="N824" s="10" t="s">
        <v>209</v>
      </c>
      <c r="O824" s="10" t="s">
        <v>3940</v>
      </c>
      <c r="P824" s="10" t="str">
        <f>VLOOKUP(A824,import!A:P,16,0)</f>
        <v>Geleneksel</v>
      </c>
      <c r="Q824" s="12" t="s">
        <v>84</v>
      </c>
      <c r="R824" s="12" t="b">
        <v>1</v>
      </c>
      <c r="S824" s="12" t="b">
        <v>0</v>
      </c>
      <c r="T824" s="13" t="s">
        <v>51</v>
      </c>
      <c r="U824" s="13" t="s">
        <v>654</v>
      </c>
      <c r="V824" s="13" t="s">
        <v>66</v>
      </c>
      <c r="W824" s="13" t="s">
        <v>3941</v>
      </c>
      <c r="X824" s="15">
        <v>44277.0</v>
      </c>
      <c r="Y824" s="15">
        <v>44278.0</v>
      </c>
      <c r="Z824" s="16"/>
      <c r="AA824" s="16"/>
      <c r="AB824" s="16"/>
      <c r="AC824" s="16"/>
      <c r="AD824" s="16"/>
      <c r="AE824" s="17"/>
      <c r="AF824" s="16"/>
      <c r="AG824" s="17"/>
      <c r="AH824" s="16"/>
      <c r="AI824" s="16"/>
      <c r="AJ824" s="16"/>
      <c r="AK824" s="16"/>
      <c r="AL824" s="16"/>
      <c r="AM824" s="16"/>
      <c r="AN824" s="16"/>
      <c r="AO824" s="16"/>
      <c r="AP824" s="18" t="s">
        <v>58</v>
      </c>
      <c r="AQ824" s="16"/>
    </row>
    <row r="825" ht="15.75" hidden="1" customHeight="1">
      <c r="A825" s="10" t="s">
        <v>3942</v>
      </c>
      <c r="B825" s="10" t="s">
        <v>3943</v>
      </c>
      <c r="C825" s="10" t="str">
        <f>VLOOKUP(A825,import!A:C,3,0)</f>
        <v>DOĞRU</v>
      </c>
      <c r="D825" s="10" t="s">
        <v>451</v>
      </c>
      <c r="E825" s="10">
        <f>VLOOKUP(A825,import!A:J,5,0)</f>
        <v>49960</v>
      </c>
      <c r="F825" s="10">
        <f>VLOOKUP(A825,import!A:J,6,0)</f>
        <v>1706</v>
      </c>
      <c r="G825" s="10">
        <f>VLOOKUP(A825,import!A:J,7,0)</f>
        <v>18</v>
      </c>
      <c r="H825" s="10">
        <f>VLOOKUP(A825,import!A:J,8,0)</f>
        <v>68</v>
      </c>
      <c r="I825" s="10">
        <f>VLOOKUP(A825,import!A:J,9,0)</f>
        <v>86</v>
      </c>
      <c r="J825" s="11">
        <f>VLOOKUP(A825,import!A:J,10,0)</f>
        <v>0.21</v>
      </c>
      <c r="K825" s="10" t="s">
        <v>3935</v>
      </c>
      <c r="L825" s="10">
        <v>3.243291515E9</v>
      </c>
      <c r="M825" s="10" t="s">
        <v>72</v>
      </c>
      <c r="N825" s="10" t="s">
        <v>113</v>
      </c>
      <c r="O825" s="10" t="s">
        <v>3944</v>
      </c>
      <c r="P825" s="10" t="str">
        <f>VLOOKUP(A825,import!A:P,16,0)</f>
        <v>Geleneksel</v>
      </c>
      <c r="Q825" s="12" t="s">
        <v>84</v>
      </c>
      <c r="R825" s="12" t="b">
        <v>1</v>
      </c>
      <c r="S825" s="12" t="b">
        <v>0</v>
      </c>
      <c r="T825" s="13" t="s">
        <v>51</v>
      </c>
      <c r="U825" s="13" t="s">
        <v>654</v>
      </c>
      <c r="V825" s="13" t="s">
        <v>66</v>
      </c>
      <c r="W825" s="13" t="s">
        <v>3945</v>
      </c>
      <c r="X825" s="15">
        <v>44277.0</v>
      </c>
      <c r="Y825" s="15">
        <v>44278.0</v>
      </c>
      <c r="Z825" s="16"/>
      <c r="AA825" s="17" t="s">
        <v>56</v>
      </c>
      <c r="AB825" s="16">
        <v>44551.0</v>
      </c>
      <c r="AC825" s="16"/>
      <c r="AD825" s="16"/>
      <c r="AE825" s="17"/>
      <c r="AF825" s="16"/>
      <c r="AG825" s="17"/>
      <c r="AH825" s="16"/>
      <c r="AI825" s="16"/>
      <c r="AJ825" s="16"/>
      <c r="AK825" s="17" t="s">
        <v>87</v>
      </c>
      <c r="AL825" s="16"/>
      <c r="AM825" s="16"/>
      <c r="AN825" s="16"/>
      <c r="AO825" s="16"/>
      <c r="AP825" s="18" t="s">
        <v>58</v>
      </c>
      <c r="AQ825" s="16"/>
    </row>
    <row r="826" ht="15.75" customHeight="1">
      <c r="A826" s="10" t="s">
        <v>3946</v>
      </c>
      <c r="B826" s="10" t="s">
        <v>3947</v>
      </c>
      <c r="C826" s="10" t="str">
        <f>VLOOKUP(A826,import!A:C,3,0)</f>
        <v>DOĞRU</v>
      </c>
      <c r="D826" s="10" t="s">
        <v>70</v>
      </c>
      <c r="E826" s="10">
        <f>VLOOKUP(A826,import!A:J,5,0)</f>
        <v>62490</v>
      </c>
      <c r="F826" s="10">
        <f>VLOOKUP(A826,import!A:J,6,0)</f>
        <v>1770</v>
      </c>
      <c r="G826" s="10">
        <f>VLOOKUP(A826,import!A:J,7,0)</f>
        <v>41</v>
      </c>
      <c r="H826" s="10">
        <f>VLOOKUP(A826,import!A:J,8,0)</f>
        <v>42</v>
      </c>
      <c r="I826" s="10">
        <f>VLOOKUP(A826,import!A:J,9,0)</f>
        <v>83</v>
      </c>
      <c r="J826" s="11">
        <f>VLOOKUP(A826,import!A:J,10,0)</f>
        <v>0.49</v>
      </c>
      <c r="K826" s="10" t="s">
        <v>3935</v>
      </c>
      <c r="L826" s="10">
        <v>3.245022929E9</v>
      </c>
      <c r="M826" s="10" t="s">
        <v>63</v>
      </c>
      <c r="N826" s="10" t="s">
        <v>93</v>
      </c>
      <c r="O826" s="10" t="s">
        <v>3948</v>
      </c>
      <c r="P826" s="10" t="str">
        <f>VLOOKUP(A826,import!A:P,16,0)</f>
        <v>Geleneksel</v>
      </c>
      <c r="Q826" s="12" t="s">
        <v>84</v>
      </c>
      <c r="R826" s="12" t="b">
        <v>1</v>
      </c>
      <c r="S826" s="12" t="b">
        <v>0</v>
      </c>
      <c r="T826" s="14" t="s">
        <v>51</v>
      </c>
      <c r="U826" s="13" t="s">
        <v>267</v>
      </c>
      <c r="V826" s="13" t="s">
        <v>66</v>
      </c>
      <c r="W826" s="14" t="s">
        <v>3949</v>
      </c>
      <c r="X826" s="15">
        <v>44497.0</v>
      </c>
      <c r="Y826" s="15">
        <v>44498.0</v>
      </c>
      <c r="Z826" s="16"/>
      <c r="AA826" s="17" t="s">
        <v>56</v>
      </c>
      <c r="AB826" s="16">
        <v>44460.0</v>
      </c>
      <c r="AC826" s="17" t="s">
        <v>56</v>
      </c>
      <c r="AD826" s="16">
        <v>44497.0</v>
      </c>
      <c r="AE826" s="17" t="s">
        <v>230</v>
      </c>
      <c r="AF826" s="16">
        <v>44504.0</v>
      </c>
      <c r="AG826" s="17"/>
      <c r="AH826" s="16"/>
      <c r="AI826" s="16"/>
      <c r="AJ826" s="16"/>
      <c r="AK826" s="17" t="s">
        <v>87</v>
      </c>
      <c r="AL826" s="17" t="s">
        <v>267</v>
      </c>
      <c r="AM826" s="17" t="s">
        <v>108</v>
      </c>
      <c r="AN826" s="16"/>
      <c r="AO826" s="16"/>
      <c r="AP826" s="18" t="s">
        <v>58</v>
      </c>
      <c r="AQ826" s="16"/>
    </row>
    <row r="827" ht="15.75" hidden="1" customHeight="1">
      <c r="A827" s="10" t="s">
        <v>3950</v>
      </c>
      <c r="B827" s="10" t="s">
        <v>3951</v>
      </c>
      <c r="C827" s="10" t="str">
        <f>VLOOKUP(A827,import!A:C,3,0)</f>
        <v>DOĞRU</v>
      </c>
      <c r="D827" s="10" t="s">
        <v>70</v>
      </c>
      <c r="E827" s="10">
        <f>VLOOKUP(A827,import!A:J,5,0)</f>
        <v>4480</v>
      </c>
      <c r="F827" s="10">
        <f>VLOOKUP(A827,import!A:J,6,0)</f>
        <v>416</v>
      </c>
      <c r="G827" s="10">
        <f>VLOOKUP(A827,import!A:J,7,0)</f>
        <v>18</v>
      </c>
      <c r="H827" s="10">
        <f>VLOOKUP(A827,import!A:J,8,0)</f>
        <v>33</v>
      </c>
      <c r="I827" s="10">
        <f>VLOOKUP(A827,import!A:J,9,0)</f>
        <v>51</v>
      </c>
      <c r="J827" s="11">
        <f>VLOOKUP(A827,import!A:J,10,0)</f>
        <v>0.35</v>
      </c>
      <c r="K827" s="10" t="s">
        <v>3952</v>
      </c>
      <c r="L827" s="10">
        <v>5.526794627E9</v>
      </c>
      <c r="M827" s="10" t="s">
        <v>72</v>
      </c>
      <c r="N827" s="10" t="s">
        <v>73</v>
      </c>
      <c r="O827" s="10" t="s">
        <v>3953</v>
      </c>
      <c r="P827" s="10" t="str">
        <f>VLOOKUP(A827,import!A:P,16,0)</f>
        <v>Geleneksel</v>
      </c>
      <c r="Q827" s="12"/>
      <c r="R827" s="12" t="b">
        <v>1</v>
      </c>
      <c r="S827" s="12" t="b">
        <v>0</v>
      </c>
      <c r="T827" s="13" t="s">
        <v>51</v>
      </c>
      <c r="U827" s="13" t="s">
        <v>89</v>
      </c>
      <c r="V827" s="13" t="s">
        <v>53</v>
      </c>
      <c r="W827" s="13" t="s">
        <v>3954</v>
      </c>
      <c r="X827" s="15">
        <v>44536.0</v>
      </c>
      <c r="Y827" s="15">
        <v>44537.0</v>
      </c>
      <c r="Z827" s="16"/>
      <c r="AA827" s="17" t="s">
        <v>56</v>
      </c>
      <c r="AB827" s="16">
        <v>44536.0</v>
      </c>
      <c r="AC827" s="17" t="s">
        <v>55</v>
      </c>
      <c r="AD827" s="16">
        <v>44559.0</v>
      </c>
      <c r="AE827" s="17" t="s">
        <v>56</v>
      </c>
      <c r="AF827" s="16">
        <v>44560.0</v>
      </c>
      <c r="AG827" s="17"/>
      <c r="AH827" s="16"/>
      <c r="AI827" s="16"/>
      <c r="AJ827" s="16"/>
      <c r="AK827" s="17" t="s">
        <v>89</v>
      </c>
      <c r="AL827" s="17" t="s">
        <v>133</v>
      </c>
      <c r="AM827" s="17" t="s">
        <v>87</v>
      </c>
      <c r="AN827" s="16"/>
      <c r="AO827" s="16"/>
      <c r="AP827" s="18" t="s">
        <v>58</v>
      </c>
      <c r="AQ827" s="16"/>
    </row>
    <row r="828" ht="15.75" hidden="1" customHeight="1">
      <c r="A828" s="10" t="s">
        <v>3955</v>
      </c>
      <c r="B828" s="10" t="s">
        <v>3956</v>
      </c>
      <c r="C828" s="10" t="str">
        <f>VLOOKUP(A828,import!A:C,3,0)</f>
        <v>DOĞRU</v>
      </c>
      <c r="D828" s="10" t="s">
        <v>70</v>
      </c>
      <c r="E828" s="10">
        <f>VLOOKUP(A828,import!A:J,5,0)</f>
        <v>4191</v>
      </c>
      <c r="F828" s="10">
        <f>VLOOKUP(A828,import!A:J,6,0)</f>
        <v>469</v>
      </c>
      <c r="G828" s="10">
        <f>VLOOKUP(A828,import!A:J,7,0)</f>
        <v>9</v>
      </c>
      <c r="H828" s="10">
        <f>VLOOKUP(A828,import!A:J,8,0)</f>
        <v>36</v>
      </c>
      <c r="I828" s="10">
        <f>VLOOKUP(A828,import!A:J,9,0)</f>
        <v>45</v>
      </c>
      <c r="J828" s="11">
        <f>VLOOKUP(A828,import!A:J,10,0)</f>
        <v>0.2</v>
      </c>
      <c r="K828" s="10" t="s">
        <v>3935</v>
      </c>
      <c r="L828" s="10">
        <v>5.356241256E9</v>
      </c>
      <c r="M828" s="10" t="s">
        <v>72</v>
      </c>
      <c r="N828" s="10" t="s">
        <v>538</v>
      </c>
      <c r="O828" s="10" t="s">
        <v>3957</v>
      </c>
      <c r="P828" s="10" t="str">
        <f>VLOOKUP(A828,import!A:P,16,0)</f>
        <v>Geleneksel</v>
      </c>
      <c r="Q828" s="12"/>
      <c r="R828" s="12" t="b">
        <v>1</v>
      </c>
      <c r="S828" s="12" t="b">
        <v>0</v>
      </c>
      <c r="T828" s="27" t="s">
        <v>140</v>
      </c>
      <c r="U828" s="13" t="s">
        <v>108</v>
      </c>
      <c r="V828" s="13" t="s">
        <v>66</v>
      </c>
      <c r="W828" s="13" t="s">
        <v>3958</v>
      </c>
      <c r="X828" s="15">
        <v>44488.0</v>
      </c>
      <c r="Y828" s="15">
        <v>44489.0</v>
      </c>
      <c r="Z828" s="16"/>
      <c r="AA828" s="17" t="s">
        <v>86</v>
      </c>
      <c r="AB828" s="16">
        <v>44417.0</v>
      </c>
      <c r="AC828" s="17" t="s">
        <v>56</v>
      </c>
      <c r="AD828" s="16">
        <v>44428.0</v>
      </c>
      <c r="AE828" s="17" t="s">
        <v>56</v>
      </c>
      <c r="AF828" s="16">
        <v>44431.0</v>
      </c>
      <c r="AG828" s="17" t="s">
        <v>56</v>
      </c>
      <c r="AH828" s="16">
        <v>44488.0</v>
      </c>
      <c r="AI828" s="17" t="s">
        <v>86</v>
      </c>
      <c r="AJ828" s="16">
        <v>44578.0</v>
      </c>
      <c r="AK828" s="17" t="s">
        <v>1252</v>
      </c>
      <c r="AL828" s="17" t="s">
        <v>95</v>
      </c>
      <c r="AM828" s="17" t="s">
        <v>367</v>
      </c>
      <c r="AN828" s="17" t="s">
        <v>108</v>
      </c>
      <c r="AO828" s="17" t="s">
        <v>89</v>
      </c>
      <c r="AP828" s="18" t="s">
        <v>58</v>
      </c>
      <c r="AQ828" s="16"/>
    </row>
    <row r="829" ht="15.75" hidden="1" customHeight="1">
      <c r="A829" s="10" t="s">
        <v>3959</v>
      </c>
      <c r="B829" s="10" t="s">
        <v>3960</v>
      </c>
      <c r="C829" s="10" t="str">
        <f>VLOOKUP(A829,import!A:C,3,0)</f>
        <v>DOĞRU</v>
      </c>
      <c r="D829" s="10" t="s">
        <v>80</v>
      </c>
      <c r="E829" s="10">
        <f>VLOOKUP(A829,import!A:J,5,0)</f>
        <v>963</v>
      </c>
      <c r="F829" s="10">
        <f>VLOOKUP(A829,import!A:J,6,0)</f>
        <v>150</v>
      </c>
      <c r="G829" s="10">
        <f>VLOOKUP(A829,import!A:J,7,0)</f>
        <v>0</v>
      </c>
      <c r="H829" s="10">
        <f>VLOOKUP(A829,import!A:J,8,0)</f>
        <v>10</v>
      </c>
      <c r="I829" s="10">
        <f>VLOOKUP(A829,import!A:J,9,0)</f>
        <v>10</v>
      </c>
      <c r="J829" s="11">
        <f>VLOOKUP(A829,import!A:J,10,0)</f>
        <v>0</v>
      </c>
      <c r="K829" s="10" t="s">
        <v>3961</v>
      </c>
      <c r="L829" s="10">
        <v>3.24814981E9</v>
      </c>
      <c r="M829" s="10" t="s">
        <v>902</v>
      </c>
      <c r="N829" s="10" t="s">
        <v>1667</v>
      </c>
      <c r="O829" s="10" t="s">
        <v>3962</v>
      </c>
      <c r="P829" s="10" t="str">
        <f>VLOOKUP(A829,import!A:P,16,0)</f>
        <v>Geleneksel</v>
      </c>
      <c r="Q829" s="12"/>
      <c r="R829" s="12" t="b">
        <v>0</v>
      </c>
      <c r="S829" s="12" t="b">
        <v>0</v>
      </c>
      <c r="T829" s="13"/>
      <c r="U829" s="13"/>
      <c r="V829" s="13"/>
      <c r="W829" s="13"/>
      <c r="X829" s="15"/>
      <c r="Y829" s="15"/>
      <c r="Z829" s="16"/>
      <c r="AA829" s="17"/>
      <c r="AB829" s="16"/>
      <c r="AC829" s="16"/>
      <c r="AD829" s="16"/>
      <c r="AE829" s="17"/>
      <c r="AF829" s="16"/>
      <c r="AG829" s="17"/>
      <c r="AH829" s="16"/>
      <c r="AI829" s="16"/>
      <c r="AJ829" s="16"/>
      <c r="AK829" s="17"/>
      <c r="AL829" s="16"/>
      <c r="AM829" s="16"/>
      <c r="AN829" s="16"/>
      <c r="AO829" s="16"/>
      <c r="AP829" s="18"/>
      <c r="AQ829" s="16"/>
    </row>
    <row r="830" ht="15.75" hidden="1" customHeight="1">
      <c r="A830" s="10" t="s">
        <v>3963</v>
      </c>
      <c r="B830" s="10" t="s">
        <v>3964</v>
      </c>
      <c r="C830" s="10" t="str">
        <f>VLOOKUP(A830,import!A:C,3,0)</f>
        <v>DOĞRU</v>
      </c>
      <c r="D830" s="10" t="s">
        <v>70</v>
      </c>
      <c r="E830" s="10">
        <f>VLOOKUP(A830,import!A:J,5,0)</f>
        <v>3549</v>
      </c>
      <c r="F830" s="10">
        <f>VLOOKUP(A830,import!A:J,6,0)</f>
        <v>126</v>
      </c>
      <c r="G830" s="10">
        <f>VLOOKUP(A830,import!A:J,7,0)</f>
        <v>13</v>
      </c>
      <c r="H830" s="10">
        <f>VLOOKUP(A830,import!A:J,8,0)</f>
        <v>31</v>
      </c>
      <c r="I830" s="10">
        <f>VLOOKUP(A830,import!A:J,9,0)</f>
        <v>44</v>
      </c>
      <c r="J830" s="11">
        <f>VLOOKUP(A830,import!A:J,10,0)</f>
        <v>0.3</v>
      </c>
      <c r="K830" s="10" t="s">
        <v>3965</v>
      </c>
      <c r="L830" s="10">
        <v>3.243260686E9</v>
      </c>
      <c r="M830" s="10" t="s">
        <v>72</v>
      </c>
      <c r="N830" s="10" t="s">
        <v>73</v>
      </c>
      <c r="O830" s="10" t="s">
        <v>3966</v>
      </c>
      <c r="P830" s="10" t="str">
        <f>VLOOKUP(A830,import!A:P,16,0)</f>
        <v>Geleneksel</v>
      </c>
      <c r="Q830" s="12" t="s">
        <v>84</v>
      </c>
      <c r="R830" s="12" t="b">
        <v>1</v>
      </c>
      <c r="S830" s="12" t="b">
        <v>0</v>
      </c>
      <c r="T830" s="13" t="s">
        <v>51</v>
      </c>
      <c r="U830" s="13" t="s">
        <v>52</v>
      </c>
      <c r="V830" s="13" t="s">
        <v>66</v>
      </c>
      <c r="W830" s="13" t="s">
        <v>3967</v>
      </c>
      <c r="X830" s="15">
        <v>44494.0</v>
      </c>
      <c r="Y830" s="15">
        <v>44495.0</v>
      </c>
      <c r="Z830" s="16"/>
      <c r="AA830" s="17" t="s">
        <v>56</v>
      </c>
      <c r="AB830" s="16">
        <v>44428.0</v>
      </c>
      <c r="AC830" s="17" t="s">
        <v>56</v>
      </c>
      <c r="AD830" s="16">
        <v>44475.0</v>
      </c>
      <c r="AE830" s="17" t="s">
        <v>56</v>
      </c>
      <c r="AF830" s="16">
        <v>44494.0</v>
      </c>
      <c r="AG830" s="17" t="s">
        <v>56</v>
      </c>
      <c r="AH830" s="16">
        <v>44553.0</v>
      </c>
      <c r="AI830" s="16"/>
      <c r="AJ830" s="16"/>
      <c r="AK830" s="17" t="s">
        <v>95</v>
      </c>
      <c r="AL830" s="17" t="s">
        <v>171</v>
      </c>
      <c r="AM830" s="17" t="s">
        <v>52</v>
      </c>
      <c r="AN830" s="17" t="s">
        <v>89</v>
      </c>
      <c r="AO830" s="16"/>
      <c r="AP830" s="18" t="s">
        <v>58</v>
      </c>
      <c r="AQ830" s="16"/>
    </row>
    <row r="831" ht="15.75" hidden="1" customHeight="1">
      <c r="A831" s="10" t="s">
        <v>3968</v>
      </c>
      <c r="B831" s="10" t="s">
        <v>3969</v>
      </c>
      <c r="C831" s="10" t="str">
        <f>VLOOKUP(A831,import!A:C,3,0)</f>
        <v>YANLIŞ</v>
      </c>
      <c r="D831" s="10" t="s">
        <v>118</v>
      </c>
      <c r="E831" s="10">
        <f>VLOOKUP(A831,import!A:J,5,0)</f>
        <v>22</v>
      </c>
      <c r="F831" s="10" t="str">
        <f>VLOOKUP(A831,import!A:J,6,0)</f>
        <v/>
      </c>
      <c r="G831" s="10">
        <f>VLOOKUP(A831,import!A:J,7,0)</f>
        <v>0</v>
      </c>
      <c r="H831" s="10">
        <f>VLOOKUP(A831,import!A:J,8,0)</f>
        <v>12</v>
      </c>
      <c r="I831" s="10">
        <f>VLOOKUP(A831,import!A:J,9,0)</f>
        <v>12</v>
      </c>
      <c r="J831" s="11">
        <f>VLOOKUP(A831,import!A:J,10,0)</f>
        <v>0</v>
      </c>
      <c r="K831" s="10" t="s">
        <v>3970</v>
      </c>
      <c r="L831" s="10">
        <v>3.243414545E9</v>
      </c>
      <c r="M831" s="10" t="s">
        <v>72</v>
      </c>
      <c r="N831" s="10" t="s">
        <v>548</v>
      </c>
      <c r="O831" s="10" t="s">
        <v>3971</v>
      </c>
      <c r="P831" s="10" t="str">
        <f>VLOOKUP(A831,import!A:P,16,0)</f>
        <v>Geleneksel</v>
      </c>
      <c r="Q831" s="12" t="s">
        <v>50</v>
      </c>
      <c r="R831" s="12" t="b">
        <v>1</v>
      </c>
      <c r="S831" s="13" t="b">
        <v>0</v>
      </c>
      <c r="T831" s="13" t="s">
        <v>51</v>
      </c>
      <c r="U831" s="13" t="s">
        <v>87</v>
      </c>
      <c r="V831" s="13" t="s">
        <v>53</v>
      </c>
      <c r="W831" s="13" t="s">
        <v>3972</v>
      </c>
      <c r="X831" s="15">
        <v>44496.0</v>
      </c>
      <c r="Y831" s="15">
        <v>44497.0</v>
      </c>
      <c r="Z831" s="16"/>
      <c r="AA831" s="17" t="s">
        <v>56</v>
      </c>
      <c r="AB831" s="16">
        <v>44496.0</v>
      </c>
      <c r="AC831" s="17" t="s">
        <v>86</v>
      </c>
      <c r="AD831" s="16">
        <v>44350.0</v>
      </c>
      <c r="AE831" s="17" t="s">
        <v>56</v>
      </c>
      <c r="AF831" s="16">
        <v>44519.0</v>
      </c>
      <c r="AG831" s="17"/>
      <c r="AH831" s="16"/>
      <c r="AI831" s="16"/>
      <c r="AJ831" s="16"/>
      <c r="AK831" s="17" t="s">
        <v>87</v>
      </c>
      <c r="AL831" s="17" t="s">
        <v>88</v>
      </c>
      <c r="AM831" s="17" t="s">
        <v>87</v>
      </c>
      <c r="AN831" s="16"/>
      <c r="AO831" s="16"/>
      <c r="AP831" s="18" t="s">
        <v>58</v>
      </c>
      <c r="AQ831" s="16"/>
    </row>
    <row r="832" ht="15.75" customHeight="1">
      <c r="A832" s="10" t="s">
        <v>3973</v>
      </c>
      <c r="B832" s="10" t="s">
        <v>3974</v>
      </c>
      <c r="C832" s="10" t="str">
        <f>VLOOKUP(A832,import!A:C,3,0)</f>
        <v>DOĞRU</v>
      </c>
      <c r="D832" s="10" t="s">
        <v>70</v>
      </c>
      <c r="E832" s="10">
        <f>VLOOKUP(A832,import!A:J,5,0)</f>
        <v>11</v>
      </c>
      <c r="F832" s="10" t="str">
        <f>VLOOKUP(A832,import!A:J,6,0)</f>
        <v/>
      </c>
      <c r="G832" s="10">
        <f>VLOOKUP(A832,import!A:J,7,0)</f>
        <v>6</v>
      </c>
      <c r="H832" s="10">
        <f>VLOOKUP(A832,import!A:J,8,0)</f>
        <v>2</v>
      </c>
      <c r="I832" s="10">
        <f>VLOOKUP(A832,import!A:J,9,0)</f>
        <v>8</v>
      </c>
      <c r="J832" s="11">
        <f>VLOOKUP(A832,import!A:J,10,0)</f>
        <v>0.75</v>
      </c>
      <c r="K832" s="10" t="s">
        <v>3975</v>
      </c>
      <c r="L832" s="10">
        <v>3.24337361E9</v>
      </c>
      <c r="M832" s="10" t="s">
        <v>137</v>
      </c>
      <c r="N832" s="10" t="s">
        <v>374</v>
      </c>
      <c r="O832" s="10" t="s">
        <v>3976</v>
      </c>
      <c r="P832" s="10" t="str">
        <f>VLOOKUP(A832,import!A:P,16,0)</f>
        <v>Geleneksel</v>
      </c>
      <c r="Q832" s="12"/>
      <c r="R832" s="12" t="b">
        <v>1</v>
      </c>
      <c r="S832" s="12" t="b">
        <v>0</v>
      </c>
      <c r="T832" s="13" t="s">
        <v>51</v>
      </c>
      <c r="U832" s="13" t="s">
        <v>267</v>
      </c>
      <c r="V832" s="17" t="s">
        <v>66</v>
      </c>
      <c r="W832" s="13">
        <v>5.070366373E9</v>
      </c>
      <c r="X832" s="15">
        <v>44566.0</v>
      </c>
      <c r="Y832" s="15">
        <v>44568.0</v>
      </c>
      <c r="Z832" s="16"/>
      <c r="AA832" s="17" t="s">
        <v>56</v>
      </c>
      <c r="AB832" s="16">
        <v>44566.0</v>
      </c>
      <c r="AC832" s="16"/>
      <c r="AD832" s="16"/>
      <c r="AE832" s="17"/>
      <c r="AF832" s="16"/>
      <c r="AG832" s="17"/>
      <c r="AH832" s="16"/>
      <c r="AI832" s="16"/>
      <c r="AJ832" s="16"/>
      <c r="AK832" s="17" t="s">
        <v>267</v>
      </c>
      <c r="AL832" s="16"/>
      <c r="AM832" s="16"/>
      <c r="AN832" s="16"/>
      <c r="AO832" s="16"/>
      <c r="AP832" s="18"/>
      <c r="AQ832" s="16"/>
    </row>
    <row r="833" ht="15.75" customHeight="1">
      <c r="A833" s="10" t="s">
        <v>3977</v>
      </c>
      <c r="B833" s="10" t="s">
        <v>3978</v>
      </c>
      <c r="C833" s="10" t="str">
        <f>VLOOKUP(A833,import!A:C,3,0)</f>
        <v>DOĞRU</v>
      </c>
      <c r="D833" s="10" t="s">
        <v>564</v>
      </c>
      <c r="E833" s="10">
        <f>VLOOKUP(A833,import!A:J,5,0)</f>
        <v>475</v>
      </c>
      <c r="F833" s="10">
        <f>VLOOKUP(A833,import!A:J,6,0)</f>
        <v>24</v>
      </c>
      <c r="G833" s="10">
        <f>VLOOKUP(A833,import!A:J,7,0)</f>
        <v>18</v>
      </c>
      <c r="H833" s="10">
        <f>VLOOKUP(A833,import!A:J,8,0)</f>
        <v>20</v>
      </c>
      <c r="I833" s="10">
        <f>VLOOKUP(A833,import!A:J,9,0)</f>
        <v>38</v>
      </c>
      <c r="J833" s="11">
        <f>VLOOKUP(A833,import!A:J,10,0)</f>
        <v>0.47</v>
      </c>
      <c r="K833" s="10" t="s">
        <v>3979</v>
      </c>
      <c r="L833" s="10">
        <v>3.242323833E9</v>
      </c>
      <c r="M833" s="10" t="s">
        <v>137</v>
      </c>
      <c r="N833" s="10" t="s">
        <v>138</v>
      </c>
      <c r="O833" s="10" t="s">
        <v>3980</v>
      </c>
      <c r="P833" s="10" t="str">
        <f>VLOOKUP(A833,import!A:P,16,0)</f>
        <v>Geleneksel</v>
      </c>
      <c r="Q833" s="12" t="s">
        <v>84</v>
      </c>
      <c r="R833" s="12" t="b">
        <v>1</v>
      </c>
      <c r="S833" s="12" t="b">
        <v>0</v>
      </c>
      <c r="T833" s="13" t="s">
        <v>199</v>
      </c>
      <c r="U833" s="13" t="s">
        <v>103</v>
      </c>
      <c r="V833" s="13" t="s">
        <v>53</v>
      </c>
      <c r="W833" s="13" t="s">
        <v>3981</v>
      </c>
      <c r="X833" s="15">
        <v>44550.0</v>
      </c>
      <c r="Y833" s="15">
        <v>44554.0</v>
      </c>
      <c r="Z833" s="16"/>
      <c r="AA833" s="17" t="s">
        <v>56</v>
      </c>
      <c r="AB833" s="16">
        <v>44349.0</v>
      </c>
      <c r="AC833" s="17" t="s">
        <v>56</v>
      </c>
      <c r="AD833" s="16">
        <v>44496.0</v>
      </c>
      <c r="AE833" s="17" t="s">
        <v>56</v>
      </c>
      <c r="AF833" s="16">
        <v>44550.0</v>
      </c>
      <c r="AG833" s="17" t="s">
        <v>56</v>
      </c>
      <c r="AH833" s="16">
        <v>44554.0</v>
      </c>
      <c r="AI833" s="17" t="s">
        <v>56</v>
      </c>
      <c r="AJ833" s="16">
        <v>44581.0</v>
      </c>
      <c r="AK833" s="17" t="s">
        <v>124</v>
      </c>
      <c r="AL833" s="17" t="s">
        <v>87</v>
      </c>
      <c r="AM833" s="17" t="s">
        <v>103</v>
      </c>
      <c r="AN833" s="17" t="s">
        <v>103</v>
      </c>
      <c r="AO833" s="17" t="s">
        <v>89</v>
      </c>
      <c r="AP833" s="18" t="s">
        <v>58</v>
      </c>
      <c r="AQ833" s="16"/>
    </row>
    <row r="834" ht="15.75" customHeight="1">
      <c r="A834" s="10" t="s">
        <v>3982</v>
      </c>
      <c r="B834" s="10" t="s">
        <v>3983</v>
      </c>
      <c r="C834" s="10" t="str">
        <f>VLOOKUP(A834,import!A:C,3,0)</f>
        <v>DOĞRU</v>
      </c>
      <c r="D834" s="10" t="s">
        <v>106</v>
      </c>
      <c r="E834" s="10">
        <f>VLOOKUP(A834,import!A:J,5,0)</f>
        <v>1051</v>
      </c>
      <c r="F834" s="10">
        <f>VLOOKUP(A834,import!A:J,6,0)</f>
        <v>44</v>
      </c>
      <c r="G834" s="10">
        <f>VLOOKUP(A834,import!A:J,7,0)</f>
        <v>9</v>
      </c>
      <c r="H834" s="10">
        <f>VLOOKUP(A834,import!A:J,8,0)</f>
        <v>3</v>
      </c>
      <c r="I834" s="10">
        <f>VLOOKUP(A834,import!A:J,9,0)</f>
        <v>12</v>
      </c>
      <c r="J834" s="11">
        <f>VLOOKUP(A834,import!A:J,10,0)</f>
        <v>0.75</v>
      </c>
      <c r="K834" s="10" t="s">
        <v>3984</v>
      </c>
      <c r="L834" s="10">
        <v>5.436445333E9</v>
      </c>
      <c r="M834" s="10" t="s">
        <v>63</v>
      </c>
      <c r="N834" s="10" t="s">
        <v>1447</v>
      </c>
      <c r="O834" s="10" t="s">
        <v>3985</v>
      </c>
      <c r="P834" s="10" t="str">
        <f>VLOOKUP(A834,import!A:P,16,0)</f>
        <v>Geleneksel</v>
      </c>
      <c r="Q834" s="12"/>
      <c r="R834" s="12" t="b">
        <v>1</v>
      </c>
      <c r="S834" s="12" t="b">
        <v>0</v>
      </c>
      <c r="T834" s="13" t="s">
        <v>51</v>
      </c>
      <c r="U834" s="13" t="s">
        <v>267</v>
      </c>
      <c r="V834" s="13" t="s">
        <v>53</v>
      </c>
      <c r="W834" s="13" t="s">
        <v>3986</v>
      </c>
      <c r="X834" s="15">
        <v>44459.0</v>
      </c>
      <c r="Y834" s="15">
        <v>44460.0</v>
      </c>
      <c r="Z834" s="16"/>
      <c r="AA834" s="17" t="s">
        <v>56</v>
      </c>
      <c r="AB834" s="16">
        <v>44460.0</v>
      </c>
      <c r="AC834" s="16"/>
      <c r="AD834" s="16"/>
      <c r="AE834" s="17"/>
      <c r="AF834" s="16"/>
      <c r="AG834" s="17"/>
      <c r="AH834" s="16"/>
      <c r="AI834" s="16"/>
      <c r="AJ834" s="16"/>
      <c r="AK834" s="17" t="s">
        <v>267</v>
      </c>
      <c r="AL834" s="16"/>
      <c r="AM834" s="16"/>
      <c r="AN834" s="16"/>
      <c r="AO834" s="16"/>
      <c r="AP834" s="18" t="s">
        <v>58</v>
      </c>
      <c r="AQ834" s="16"/>
    </row>
    <row r="835" ht="15.75" hidden="1" customHeight="1">
      <c r="A835" s="10" t="s">
        <v>3987</v>
      </c>
      <c r="B835" s="10" t="s">
        <v>3988</v>
      </c>
      <c r="C835" s="10" t="str">
        <f>VLOOKUP(A835,import!A:C,3,0)</f>
        <v>DOĞRU</v>
      </c>
      <c r="D835" s="10" t="s">
        <v>80</v>
      </c>
      <c r="E835" s="10">
        <f>VLOOKUP(A835,import!A:J,5,0)</f>
        <v>305</v>
      </c>
      <c r="F835" s="10" t="str">
        <f>VLOOKUP(A835,import!A:J,6,0)</f>
        <v/>
      </c>
      <c r="G835" s="10">
        <f>VLOOKUP(A835,import!A:J,7,0)</f>
        <v>4</v>
      </c>
      <c r="H835" s="10">
        <f>VLOOKUP(A835,import!A:J,8,0)</f>
        <v>3</v>
      </c>
      <c r="I835" s="10">
        <f>VLOOKUP(A835,import!A:J,9,0)</f>
        <v>7</v>
      </c>
      <c r="J835" s="11">
        <f>VLOOKUP(A835,import!A:J,10,0)</f>
        <v>0.57</v>
      </c>
      <c r="K835" s="10" t="s">
        <v>3989</v>
      </c>
      <c r="L835" s="10">
        <v>3.245150715E9</v>
      </c>
      <c r="M835" s="10" t="s">
        <v>47</v>
      </c>
      <c r="N835" s="10" t="s">
        <v>48</v>
      </c>
      <c r="O835" s="10" t="s">
        <v>3990</v>
      </c>
      <c r="P835" s="10" t="str">
        <f>VLOOKUP(A835,import!A:P,16,0)</f>
        <v>Geleneksel</v>
      </c>
      <c r="Q835" s="12"/>
      <c r="R835" s="12" t="b">
        <v>1</v>
      </c>
      <c r="S835" s="12" t="b">
        <v>0</v>
      </c>
      <c r="T835" s="13" t="s">
        <v>51</v>
      </c>
      <c r="U835" s="13" t="s">
        <v>103</v>
      </c>
      <c r="V835" s="13" t="s">
        <v>66</v>
      </c>
      <c r="W835" s="13" t="s">
        <v>3991</v>
      </c>
      <c r="X835" s="15">
        <v>44538.0</v>
      </c>
      <c r="Y835" s="15">
        <v>44540.0</v>
      </c>
      <c r="Z835" s="16"/>
      <c r="AA835" s="17" t="s">
        <v>56</v>
      </c>
      <c r="AB835" s="16">
        <v>44538.0</v>
      </c>
      <c r="AC835" s="16"/>
      <c r="AD835" s="16"/>
      <c r="AE835" s="17"/>
      <c r="AF835" s="16"/>
      <c r="AG835" s="17"/>
      <c r="AH835" s="16"/>
      <c r="AI835" s="16"/>
      <c r="AJ835" s="16"/>
      <c r="AK835" s="17" t="s">
        <v>103</v>
      </c>
      <c r="AL835" s="16"/>
      <c r="AM835" s="16"/>
      <c r="AN835" s="16"/>
      <c r="AO835" s="16"/>
      <c r="AP835" s="18" t="s">
        <v>58</v>
      </c>
      <c r="AQ835" s="16"/>
    </row>
    <row r="836" ht="15.75" hidden="1" customHeight="1">
      <c r="A836" s="10" t="s">
        <v>3992</v>
      </c>
      <c r="B836" s="10" t="s">
        <v>3993</v>
      </c>
      <c r="C836" s="10" t="str">
        <f>VLOOKUP(A836,import!A:C,3,0)</f>
        <v>DOĞRU</v>
      </c>
      <c r="D836" s="10" t="s">
        <v>61</v>
      </c>
      <c r="E836" s="10">
        <f>VLOOKUP(A836,import!A:J,5,0)</f>
        <v>1314</v>
      </c>
      <c r="F836" s="10">
        <f>VLOOKUP(A836,import!A:J,6,0)</f>
        <v>88</v>
      </c>
      <c r="G836" s="10">
        <f>VLOOKUP(A836,import!A:J,7,0)</f>
        <v>6</v>
      </c>
      <c r="H836" s="10">
        <f>VLOOKUP(A836,import!A:J,8,0)</f>
        <v>18</v>
      </c>
      <c r="I836" s="10">
        <f>VLOOKUP(A836,import!A:J,9,0)</f>
        <v>24</v>
      </c>
      <c r="J836" s="11">
        <f>VLOOKUP(A836,import!A:J,10,0)</f>
        <v>0.25</v>
      </c>
      <c r="K836" s="10" t="s">
        <v>3994</v>
      </c>
      <c r="L836" s="10">
        <v>3.246222399E9</v>
      </c>
      <c r="M836" s="10" t="s">
        <v>156</v>
      </c>
      <c r="N836" s="10" t="s">
        <v>338</v>
      </c>
      <c r="O836" s="10" t="s">
        <v>3995</v>
      </c>
      <c r="P836" s="10" t="str">
        <f>VLOOKUP(A836,import!A:P,16,0)</f>
        <v>Geleneksel</v>
      </c>
      <c r="Q836" s="12" t="s">
        <v>75</v>
      </c>
      <c r="R836" s="12" t="b">
        <v>1</v>
      </c>
      <c r="S836" s="13" t="b">
        <v>0</v>
      </c>
      <c r="T836" s="13" t="s">
        <v>51</v>
      </c>
      <c r="U836" s="13" t="s">
        <v>545</v>
      </c>
      <c r="V836" s="13" t="s">
        <v>66</v>
      </c>
      <c r="W836" s="13"/>
      <c r="X836" s="15">
        <v>44300.0</v>
      </c>
      <c r="Y836" s="15">
        <v>44301.0</v>
      </c>
      <c r="Z836" s="16"/>
      <c r="AA836" s="16"/>
      <c r="AB836" s="16"/>
      <c r="AC836" s="16"/>
      <c r="AD836" s="16"/>
      <c r="AE836" s="17"/>
      <c r="AF836" s="16"/>
      <c r="AG836" s="17"/>
      <c r="AH836" s="16"/>
      <c r="AI836" s="16"/>
      <c r="AJ836" s="16"/>
      <c r="AK836" s="16"/>
      <c r="AL836" s="16"/>
      <c r="AM836" s="16"/>
      <c r="AN836" s="16"/>
      <c r="AO836" s="16"/>
      <c r="AP836" s="18" t="s">
        <v>58</v>
      </c>
      <c r="AQ836" s="16"/>
    </row>
    <row r="837" ht="15.75" customHeight="1">
      <c r="A837" s="10" t="s">
        <v>3996</v>
      </c>
      <c r="B837" s="10" t="s">
        <v>3997</v>
      </c>
      <c r="C837" s="10" t="str">
        <f>VLOOKUP(A837,import!A:C,3,0)</f>
        <v>DOĞRU</v>
      </c>
      <c r="D837" s="10" t="s">
        <v>118</v>
      </c>
      <c r="E837" s="10">
        <f>VLOOKUP(A837,import!A:J,5,0)</f>
        <v>187</v>
      </c>
      <c r="F837" s="10">
        <f>VLOOKUP(A837,import!A:J,6,0)</f>
        <v>10</v>
      </c>
      <c r="G837" s="10">
        <f>VLOOKUP(A837,import!A:J,7,0)</f>
        <v>0</v>
      </c>
      <c r="H837" s="10">
        <f>VLOOKUP(A837,import!A:J,8,0)</f>
        <v>22</v>
      </c>
      <c r="I837" s="10">
        <f>VLOOKUP(A837,import!A:J,9,0)</f>
        <v>22</v>
      </c>
      <c r="J837" s="11">
        <f>VLOOKUP(A837,import!A:J,10,0)</f>
        <v>0</v>
      </c>
      <c r="K837" s="10" t="s">
        <v>2871</v>
      </c>
      <c r="L837" s="10">
        <v>5.389663301E9</v>
      </c>
      <c r="M837" s="10" t="s">
        <v>63</v>
      </c>
      <c r="N837" s="10" t="s">
        <v>137</v>
      </c>
      <c r="O837" s="10" t="s">
        <v>3998</v>
      </c>
      <c r="P837" s="10" t="str">
        <f>VLOOKUP(A837,import!A:P,16,0)</f>
        <v>Geleneksel</v>
      </c>
      <c r="Q837" s="12"/>
      <c r="R837" s="12" t="b">
        <v>1</v>
      </c>
      <c r="S837" s="12" t="b">
        <v>0</v>
      </c>
      <c r="T837" s="13" t="s">
        <v>272</v>
      </c>
      <c r="U837" s="13" t="s">
        <v>89</v>
      </c>
      <c r="V837" s="13" t="s">
        <v>66</v>
      </c>
      <c r="W837" s="13" t="s">
        <v>3999</v>
      </c>
      <c r="X837" s="15">
        <v>44573.0</v>
      </c>
      <c r="Y837" s="15">
        <v>44580.0</v>
      </c>
      <c r="Z837" s="16"/>
      <c r="AA837" s="17" t="s">
        <v>56</v>
      </c>
      <c r="AB837" s="16">
        <v>44459.0</v>
      </c>
      <c r="AC837" s="17" t="s">
        <v>56</v>
      </c>
      <c r="AD837" s="16">
        <v>44495.0</v>
      </c>
      <c r="AE837" s="17" t="s">
        <v>56</v>
      </c>
      <c r="AF837" s="16">
        <v>44571.0</v>
      </c>
      <c r="AG837" s="17" t="s">
        <v>56</v>
      </c>
      <c r="AH837" s="16">
        <v>44573.0</v>
      </c>
      <c r="AI837" s="16"/>
      <c r="AJ837" s="16"/>
      <c r="AK837" s="17" t="s">
        <v>267</v>
      </c>
      <c r="AL837" s="17" t="s">
        <v>89</v>
      </c>
      <c r="AM837" s="17" t="s">
        <v>89</v>
      </c>
      <c r="AN837" s="17" t="s">
        <v>89</v>
      </c>
      <c r="AO837" s="16"/>
      <c r="AP837" s="18" t="s">
        <v>58</v>
      </c>
      <c r="AQ837" s="16"/>
    </row>
    <row r="838" ht="15.75" hidden="1" customHeight="1">
      <c r="A838" s="10" t="s">
        <v>4000</v>
      </c>
      <c r="B838" s="10" t="s">
        <v>4001</v>
      </c>
      <c r="C838" s="10" t="str">
        <f>VLOOKUP(A838,import!A:C,3,0)</f>
        <v>DOĞRU</v>
      </c>
      <c r="D838" s="10" t="s">
        <v>754</v>
      </c>
      <c r="E838" s="10">
        <f>VLOOKUP(A838,import!A:J,5,0)</f>
        <v>3032</v>
      </c>
      <c r="F838" s="10">
        <f>VLOOKUP(A838,import!A:J,6,0)</f>
        <v>131</v>
      </c>
      <c r="G838" s="10">
        <f>VLOOKUP(A838,import!A:J,7,0)</f>
        <v>10</v>
      </c>
      <c r="H838" s="10">
        <f>VLOOKUP(A838,import!A:J,8,0)</f>
        <v>1</v>
      </c>
      <c r="I838" s="10">
        <f>VLOOKUP(A838,import!A:J,9,0)</f>
        <v>11</v>
      </c>
      <c r="J838" s="11">
        <f>VLOOKUP(A838,import!A:J,10,0)</f>
        <v>0.91</v>
      </c>
      <c r="K838" s="10" t="s">
        <v>4002</v>
      </c>
      <c r="L838" s="10">
        <v>3.243277525E9</v>
      </c>
      <c r="M838" s="10" t="s">
        <v>72</v>
      </c>
      <c r="N838" s="10" t="s">
        <v>73</v>
      </c>
      <c r="O838" s="10" t="s">
        <v>4003</v>
      </c>
      <c r="P838" s="10" t="str">
        <f>VLOOKUP(A838,import!A:P,16,0)</f>
        <v>Geleneksel</v>
      </c>
      <c r="Q838" s="12" t="s">
        <v>75</v>
      </c>
      <c r="R838" s="12" t="b">
        <v>1</v>
      </c>
      <c r="S838" s="12" t="b">
        <v>0</v>
      </c>
      <c r="T838" s="13" t="s">
        <v>51</v>
      </c>
      <c r="U838" s="13" t="s">
        <v>89</v>
      </c>
      <c r="V838" s="13" t="s">
        <v>66</v>
      </c>
      <c r="W838" s="13" t="s">
        <v>4004</v>
      </c>
      <c r="X838" s="15">
        <v>44552.0</v>
      </c>
      <c r="Y838" s="15">
        <v>44557.0</v>
      </c>
      <c r="Z838" s="16"/>
      <c r="AA838" s="17" t="s">
        <v>56</v>
      </c>
      <c r="AB838" s="16">
        <v>44431.0</v>
      </c>
      <c r="AC838" s="17" t="s">
        <v>56</v>
      </c>
      <c r="AD838" s="16">
        <v>44552.0</v>
      </c>
      <c r="AE838" s="17" t="s">
        <v>55</v>
      </c>
      <c r="AF838" s="16">
        <v>44558.0</v>
      </c>
      <c r="AG838" s="17"/>
      <c r="AH838" s="16"/>
      <c r="AI838" s="16"/>
      <c r="AJ838" s="16"/>
      <c r="AK838" s="17" t="s">
        <v>367</v>
      </c>
      <c r="AL838" s="17" t="s">
        <v>89</v>
      </c>
      <c r="AM838" s="17" t="s">
        <v>314</v>
      </c>
      <c r="AN838" s="16"/>
      <c r="AO838" s="16"/>
      <c r="AP838" s="18" t="s">
        <v>58</v>
      </c>
      <c r="AQ838" s="16"/>
    </row>
    <row r="839" ht="15.75" hidden="1" customHeight="1">
      <c r="A839" s="10" t="s">
        <v>4005</v>
      </c>
      <c r="B839" s="10" t="s">
        <v>4006</v>
      </c>
      <c r="C839" s="10" t="str">
        <f>VLOOKUP(A839,import!A:C,3,0)</f>
        <v>DOĞRU</v>
      </c>
      <c r="D839" s="10" t="s">
        <v>70</v>
      </c>
      <c r="E839" s="10">
        <f>VLOOKUP(A839,import!A:J,5,0)</f>
        <v>3305</v>
      </c>
      <c r="F839" s="10">
        <f>VLOOKUP(A839,import!A:J,6,0)</f>
        <v>89</v>
      </c>
      <c r="G839" s="10">
        <f>VLOOKUP(A839,import!A:J,7,0)</f>
        <v>36</v>
      </c>
      <c r="H839" s="10">
        <f>VLOOKUP(A839,import!A:J,8,0)</f>
        <v>9</v>
      </c>
      <c r="I839" s="10">
        <f>VLOOKUP(A839,import!A:J,9,0)</f>
        <v>45</v>
      </c>
      <c r="J839" s="11">
        <f>VLOOKUP(A839,import!A:J,10,0)</f>
        <v>0.8</v>
      </c>
      <c r="K839" s="10" t="s">
        <v>4007</v>
      </c>
      <c r="L839" s="10">
        <v>3.243283472E9</v>
      </c>
      <c r="M839" s="10" t="s">
        <v>72</v>
      </c>
      <c r="N839" s="10" t="s">
        <v>73</v>
      </c>
      <c r="O839" s="10" t="s">
        <v>4008</v>
      </c>
      <c r="P839" s="10" t="str">
        <f>VLOOKUP(A839,import!A:P,16,0)</f>
        <v>Geleneksel</v>
      </c>
      <c r="Q839" s="12" t="s">
        <v>84</v>
      </c>
      <c r="R839" s="12" t="b">
        <v>1</v>
      </c>
      <c r="S839" s="12" t="b">
        <v>0</v>
      </c>
      <c r="T839" s="13" t="s">
        <v>51</v>
      </c>
      <c r="U839" s="13" t="s">
        <v>133</v>
      </c>
      <c r="V839" s="13" t="s">
        <v>66</v>
      </c>
      <c r="W839" s="13" t="s">
        <v>4009</v>
      </c>
      <c r="X839" s="15">
        <v>44510.0</v>
      </c>
      <c r="Y839" s="15">
        <v>44512.0</v>
      </c>
      <c r="Z839" s="16"/>
      <c r="AA839" s="17" t="s">
        <v>56</v>
      </c>
      <c r="AB839" s="16">
        <v>44510.0</v>
      </c>
      <c r="AC839" s="17" t="s">
        <v>56</v>
      </c>
      <c r="AD839" s="16">
        <v>44581.0</v>
      </c>
      <c r="AE839" s="17"/>
      <c r="AF839" s="16"/>
      <c r="AG839" s="17"/>
      <c r="AH839" s="16"/>
      <c r="AI839" s="16"/>
      <c r="AJ839" s="16"/>
      <c r="AK839" s="17" t="s">
        <v>133</v>
      </c>
      <c r="AL839" s="17" t="s">
        <v>89</v>
      </c>
      <c r="AM839" s="16"/>
      <c r="AN839" s="16"/>
      <c r="AO839" s="16"/>
      <c r="AP839" s="18" t="s">
        <v>58</v>
      </c>
      <c r="AQ839" s="16"/>
    </row>
    <row r="840" ht="15.75" hidden="1" customHeight="1">
      <c r="A840" s="10" t="s">
        <v>4010</v>
      </c>
      <c r="B840" s="10" t="s">
        <v>4011</v>
      </c>
      <c r="C840" s="10" t="str">
        <f>VLOOKUP(A840,import!A:C,3,0)</f>
        <v>DOĞRU</v>
      </c>
      <c r="D840" s="10" t="s">
        <v>80</v>
      </c>
      <c r="E840" s="10">
        <f>VLOOKUP(A840,import!A:J,5,0)</f>
        <v>607</v>
      </c>
      <c r="F840" s="10">
        <f>VLOOKUP(A840,import!A:J,6,0)</f>
        <v>28</v>
      </c>
      <c r="G840" s="10">
        <f>VLOOKUP(A840,import!A:J,7,0)</f>
        <v>6</v>
      </c>
      <c r="H840" s="10">
        <f>VLOOKUP(A840,import!A:J,8,0)</f>
        <v>9</v>
      </c>
      <c r="I840" s="10">
        <f>VLOOKUP(A840,import!A:J,9,0)</f>
        <v>15</v>
      </c>
      <c r="J840" s="11">
        <f>VLOOKUP(A840,import!A:J,10,0)</f>
        <v>0.4</v>
      </c>
      <c r="K840" s="10" t="s">
        <v>4012</v>
      </c>
      <c r="L840" s="10">
        <v>3.243277677E9</v>
      </c>
      <c r="M840" s="10" t="s">
        <v>72</v>
      </c>
      <c r="N840" s="10" t="s">
        <v>73</v>
      </c>
      <c r="O840" s="10" t="s">
        <v>4013</v>
      </c>
      <c r="P840" s="10" t="str">
        <f>VLOOKUP(A840,import!A:P,16,0)</f>
        <v>Geleneksel</v>
      </c>
      <c r="Q840" s="12"/>
      <c r="R840" s="12" t="b">
        <v>1</v>
      </c>
      <c r="S840" s="12" t="b">
        <v>0</v>
      </c>
      <c r="T840" s="13" t="s">
        <v>51</v>
      </c>
      <c r="U840" s="13" t="s">
        <v>108</v>
      </c>
      <c r="V840" s="19" t="s">
        <v>66</v>
      </c>
      <c r="W840" s="13" t="s">
        <v>4014</v>
      </c>
      <c r="X840" s="15">
        <v>44488.0</v>
      </c>
      <c r="Y840" s="15">
        <v>44489.0</v>
      </c>
      <c r="Z840" s="16"/>
      <c r="AA840" s="17" t="s">
        <v>56</v>
      </c>
      <c r="AB840" s="16">
        <v>44488.0</v>
      </c>
      <c r="AC840" s="17" t="s">
        <v>56</v>
      </c>
      <c r="AD840" s="16">
        <v>44552.0</v>
      </c>
      <c r="AE840" s="17"/>
      <c r="AF840" s="16"/>
      <c r="AG840" s="17"/>
      <c r="AH840" s="16"/>
      <c r="AI840" s="16"/>
      <c r="AJ840" s="16"/>
      <c r="AK840" s="17" t="s">
        <v>108</v>
      </c>
      <c r="AL840" s="17" t="s">
        <v>89</v>
      </c>
      <c r="AM840" s="16"/>
      <c r="AN840" s="16"/>
      <c r="AO840" s="16"/>
      <c r="AP840" s="18" t="s">
        <v>58</v>
      </c>
      <c r="AQ840" s="16"/>
    </row>
    <row r="841" ht="15.75" customHeight="1">
      <c r="A841" s="10" t="s">
        <v>4015</v>
      </c>
      <c r="B841" s="10" t="s">
        <v>4016</v>
      </c>
      <c r="C841" s="10" t="str">
        <f>VLOOKUP(A841,import!A:C,3,0)</f>
        <v>DOĞRU</v>
      </c>
      <c r="D841" s="10" t="s">
        <v>106</v>
      </c>
      <c r="E841" s="10">
        <f>VLOOKUP(A841,import!A:J,5,0)</f>
        <v>2905</v>
      </c>
      <c r="F841" s="10">
        <f>VLOOKUP(A841,import!A:J,6,0)</f>
        <v>60</v>
      </c>
      <c r="G841" s="10">
        <f>VLOOKUP(A841,import!A:J,7,0)</f>
        <v>0</v>
      </c>
      <c r="H841" s="10">
        <f>VLOOKUP(A841,import!A:J,8,0)</f>
        <v>50</v>
      </c>
      <c r="I841" s="10">
        <f>VLOOKUP(A841,import!A:J,9,0)</f>
        <v>50</v>
      </c>
      <c r="J841" s="11">
        <f>VLOOKUP(A841,import!A:J,10,0)</f>
        <v>0</v>
      </c>
      <c r="K841" s="10" t="s">
        <v>4017</v>
      </c>
      <c r="L841" s="10">
        <v>5.394083931E9</v>
      </c>
      <c r="M841" s="10" t="s">
        <v>137</v>
      </c>
      <c r="N841" s="10" t="s">
        <v>1283</v>
      </c>
      <c r="O841" s="10" t="s">
        <v>4018</v>
      </c>
      <c r="P841" s="10" t="str">
        <f>VLOOKUP(A841,import!A:P,16,0)</f>
        <v>Geleneksel</v>
      </c>
      <c r="Q841" s="12" t="s">
        <v>50</v>
      </c>
      <c r="R841" s="12" t="b">
        <v>1</v>
      </c>
      <c r="S841" s="12" t="b">
        <v>1</v>
      </c>
      <c r="T841" s="13"/>
      <c r="U841" s="13" t="s">
        <v>87</v>
      </c>
      <c r="V841" s="13" t="s">
        <v>66</v>
      </c>
      <c r="W841" s="13" t="s">
        <v>4019</v>
      </c>
      <c r="X841" s="15">
        <v>44576.0</v>
      </c>
      <c r="Y841" s="15">
        <v>44579.0</v>
      </c>
      <c r="Z841" s="16"/>
      <c r="AA841" s="17" t="s">
        <v>56</v>
      </c>
      <c r="AB841" s="16">
        <v>44552.0</v>
      </c>
      <c r="AC841" s="17" t="s">
        <v>56</v>
      </c>
      <c r="AD841" s="16">
        <v>44574.0</v>
      </c>
      <c r="AE841" s="17" t="s">
        <v>56</v>
      </c>
      <c r="AF841" s="16">
        <v>44576.0</v>
      </c>
      <c r="AG841" s="17"/>
      <c r="AH841" s="16"/>
      <c r="AI841" s="16"/>
      <c r="AJ841" s="16"/>
      <c r="AK841" s="17" t="s">
        <v>89</v>
      </c>
      <c r="AL841" s="17" t="s">
        <v>89</v>
      </c>
      <c r="AM841" s="17" t="s">
        <v>87</v>
      </c>
      <c r="AN841" s="16"/>
      <c r="AO841" s="16"/>
      <c r="AP841" s="18" t="s">
        <v>58</v>
      </c>
      <c r="AQ841" s="16"/>
    </row>
    <row r="842" ht="15.75" customHeight="1">
      <c r="A842" s="10" t="s">
        <v>4020</v>
      </c>
      <c r="B842" s="10" t="s">
        <v>4021</v>
      </c>
      <c r="C842" s="10" t="str">
        <f>VLOOKUP(A842,import!A:C,3,0)</f>
        <v>DOĞRU</v>
      </c>
      <c r="D842" s="10" t="s">
        <v>80</v>
      </c>
      <c r="E842" s="10">
        <f>VLOOKUP(A842,import!A:J,5,0)</f>
        <v>590</v>
      </c>
      <c r="F842" s="10">
        <f>VLOOKUP(A842,import!A:J,6,0)</f>
        <v>26</v>
      </c>
      <c r="G842" s="10">
        <f>VLOOKUP(A842,import!A:J,7,0)</f>
        <v>0</v>
      </c>
      <c r="H842" s="10">
        <f>VLOOKUP(A842,import!A:J,8,0)</f>
        <v>14</v>
      </c>
      <c r="I842" s="10">
        <f>VLOOKUP(A842,import!A:J,9,0)</f>
        <v>14</v>
      </c>
      <c r="J842" s="11">
        <f>VLOOKUP(A842,import!A:J,10,0)</f>
        <v>0</v>
      </c>
      <c r="K842" s="10" t="s">
        <v>4022</v>
      </c>
      <c r="L842" s="10">
        <v>5.059983356E9</v>
      </c>
      <c r="M842" s="10" t="s">
        <v>137</v>
      </c>
      <c r="N842" s="10" t="s">
        <v>4023</v>
      </c>
      <c r="O842" s="10" t="s">
        <v>4024</v>
      </c>
      <c r="P842" s="10" t="str">
        <f>VLOOKUP(A842,import!A:P,16,0)</f>
        <v>Geleneksel</v>
      </c>
      <c r="Q842" s="12"/>
      <c r="R842" s="12" t="b">
        <v>1</v>
      </c>
      <c r="S842" s="12" t="b">
        <v>0</v>
      </c>
      <c r="T842" s="13" t="s">
        <v>199</v>
      </c>
      <c r="U842" s="13"/>
      <c r="V842" s="13"/>
      <c r="W842" s="13" t="s">
        <v>4025</v>
      </c>
      <c r="X842" s="15"/>
      <c r="Y842" s="15"/>
      <c r="Z842" s="16"/>
      <c r="AA842" s="17" t="s">
        <v>56</v>
      </c>
      <c r="AB842" s="16">
        <v>44536.0</v>
      </c>
      <c r="AC842" s="16"/>
      <c r="AD842" s="16"/>
      <c r="AE842" s="17"/>
      <c r="AF842" s="16"/>
      <c r="AG842" s="17"/>
      <c r="AH842" s="16"/>
      <c r="AI842" s="16"/>
      <c r="AJ842" s="16"/>
      <c r="AK842" s="17" t="s">
        <v>103</v>
      </c>
      <c r="AL842" s="16"/>
      <c r="AM842" s="16"/>
      <c r="AN842" s="16"/>
      <c r="AO842" s="16"/>
      <c r="AP842" s="18" t="s">
        <v>58</v>
      </c>
      <c r="AQ842" s="16"/>
    </row>
    <row r="843" ht="15.75" hidden="1" customHeight="1">
      <c r="A843" s="10" t="s">
        <v>4026</v>
      </c>
      <c r="B843" s="10" t="s">
        <v>4027</v>
      </c>
      <c r="C843" s="10" t="str">
        <f>VLOOKUP(A843,import!A:C,3,0)</f>
        <v>DOĞRU</v>
      </c>
      <c r="D843" s="10" t="s">
        <v>106</v>
      </c>
      <c r="E843" s="10">
        <f>VLOOKUP(A843,import!A:J,5,0)</f>
        <v>144</v>
      </c>
      <c r="F843" s="10">
        <f>VLOOKUP(A843,import!A:J,6,0)</f>
        <v>10</v>
      </c>
      <c r="G843" s="10">
        <f>VLOOKUP(A843,import!A:J,7,0)</f>
        <v>0</v>
      </c>
      <c r="H843" s="10">
        <f>VLOOKUP(A843,import!A:J,8,0)</f>
        <v>20</v>
      </c>
      <c r="I843" s="10">
        <f>VLOOKUP(A843,import!A:J,9,0)</f>
        <v>20</v>
      </c>
      <c r="J843" s="11">
        <f>VLOOKUP(A843,import!A:J,10,0)</f>
        <v>0</v>
      </c>
      <c r="K843" s="10" t="s">
        <v>4022</v>
      </c>
      <c r="L843" s="10">
        <v>3.245033646E9</v>
      </c>
      <c r="M843" s="10" t="s">
        <v>215</v>
      </c>
      <c r="N843" s="10" t="s">
        <v>442</v>
      </c>
      <c r="O843" s="10" t="s">
        <v>4028</v>
      </c>
      <c r="P843" s="10" t="str">
        <f>VLOOKUP(A843,import!A:P,16,0)</f>
        <v>Geleneksel</v>
      </c>
      <c r="Q843" s="12"/>
      <c r="R843" s="12" t="b">
        <v>1</v>
      </c>
      <c r="S843" s="12" t="b">
        <v>0</v>
      </c>
      <c r="T843" s="13" t="s">
        <v>130</v>
      </c>
      <c r="U843" s="13"/>
      <c r="V843" s="13"/>
      <c r="W843" s="13" t="s">
        <v>4029</v>
      </c>
      <c r="X843" s="15"/>
      <c r="Y843" s="15"/>
      <c r="Z843" s="16"/>
      <c r="AA843" s="17" t="s">
        <v>56</v>
      </c>
      <c r="AB843" s="16">
        <v>44540.0</v>
      </c>
      <c r="AC843" s="17" t="s">
        <v>56</v>
      </c>
      <c r="AD843" s="16">
        <v>44548.0</v>
      </c>
      <c r="AE843" s="17" t="s">
        <v>55</v>
      </c>
      <c r="AF843" s="16">
        <v>44552.0</v>
      </c>
      <c r="AG843" s="17"/>
      <c r="AH843" s="16"/>
      <c r="AI843" s="16"/>
      <c r="AJ843" s="16"/>
      <c r="AK843" s="17" t="s">
        <v>89</v>
      </c>
      <c r="AL843" s="17" t="s">
        <v>89</v>
      </c>
      <c r="AM843" s="17" t="s">
        <v>314</v>
      </c>
      <c r="AN843" s="16"/>
      <c r="AO843" s="16"/>
      <c r="AP843" s="18" t="s">
        <v>58</v>
      </c>
      <c r="AQ843" s="16"/>
    </row>
    <row r="844" ht="15.75" hidden="1" customHeight="1">
      <c r="A844" s="10" t="s">
        <v>4030</v>
      </c>
      <c r="B844" s="10" t="s">
        <v>4031</v>
      </c>
      <c r="C844" s="10" t="str">
        <f>VLOOKUP(A844,import!A:C,3,0)</f>
        <v>DOĞRU</v>
      </c>
      <c r="D844" s="10" t="s">
        <v>564</v>
      </c>
      <c r="E844" s="10">
        <f>VLOOKUP(A844,import!A:J,5,0)</f>
        <v>448</v>
      </c>
      <c r="F844" s="10">
        <f>VLOOKUP(A844,import!A:J,6,0)</f>
        <v>46</v>
      </c>
      <c r="G844" s="10">
        <f>VLOOKUP(A844,import!A:J,7,0)</f>
        <v>7</v>
      </c>
      <c r="H844" s="10">
        <f>VLOOKUP(A844,import!A:J,8,0)</f>
        <v>46</v>
      </c>
      <c r="I844" s="10">
        <f>VLOOKUP(A844,import!A:J,9,0)</f>
        <v>53</v>
      </c>
      <c r="J844" s="11">
        <f>VLOOKUP(A844,import!A:J,10,0)</f>
        <v>0.13</v>
      </c>
      <c r="K844" s="10" t="s">
        <v>4032</v>
      </c>
      <c r="L844" s="10">
        <v>3.243287008E9</v>
      </c>
      <c r="M844" s="10" t="s">
        <v>72</v>
      </c>
      <c r="N844" s="10" t="s">
        <v>150</v>
      </c>
      <c r="O844" s="10" t="s">
        <v>4033</v>
      </c>
      <c r="P844" s="10" t="str">
        <f>VLOOKUP(A844,import!A:P,16,0)</f>
        <v>Geleneksel</v>
      </c>
      <c r="Q844" s="12"/>
      <c r="R844" s="12" t="b">
        <v>1</v>
      </c>
      <c r="S844" s="12" t="b">
        <v>0</v>
      </c>
      <c r="T844" s="13" t="s">
        <v>51</v>
      </c>
      <c r="U844" s="13" t="s">
        <v>171</v>
      </c>
      <c r="V844" s="13" t="s">
        <v>53</v>
      </c>
      <c r="W844" s="13" t="s">
        <v>4034</v>
      </c>
      <c r="X844" s="15">
        <v>44475.0</v>
      </c>
      <c r="Y844" s="15">
        <v>44477.0</v>
      </c>
      <c r="Z844" s="16"/>
      <c r="AA844" s="17" t="s">
        <v>56</v>
      </c>
      <c r="AB844" s="16">
        <v>44475.0</v>
      </c>
      <c r="AC844" s="17" t="s">
        <v>56</v>
      </c>
      <c r="AD844" s="16">
        <v>44559.0</v>
      </c>
      <c r="AE844" s="17" t="s">
        <v>56</v>
      </c>
      <c r="AF844" s="16">
        <v>44629.0</v>
      </c>
      <c r="AG844" s="17"/>
      <c r="AH844" s="16"/>
      <c r="AI844" s="16"/>
      <c r="AJ844" s="16"/>
      <c r="AK844" s="17" t="s">
        <v>171</v>
      </c>
      <c r="AL844" s="17" t="s">
        <v>133</v>
      </c>
      <c r="AM844" s="17" t="s">
        <v>133</v>
      </c>
      <c r="AN844" s="16"/>
      <c r="AO844" s="16"/>
      <c r="AP844" s="18" t="s">
        <v>58</v>
      </c>
      <c r="AQ844" s="16"/>
    </row>
    <row r="845" ht="15.75" hidden="1" customHeight="1">
      <c r="A845" s="10" t="s">
        <v>4035</v>
      </c>
      <c r="B845" s="10" t="s">
        <v>4036</v>
      </c>
      <c r="C845" s="10" t="str">
        <f>VLOOKUP(A845,import!A:C,3,0)</f>
        <v>DOĞRU</v>
      </c>
      <c r="D845" s="10" t="s">
        <v>564</v>
      </c>
      <c r="E845" s="10">
        <f>VLOOKUP(A845,import!A:J,5,0)</f>
        <v>19</v>
      </c>
      <c r="F845" s="10">
        <f>VLOOKUP(A845,import!A:J,6,0)</f>
        <v>10</v>
      </c>
      <c r="G845" s="10">
        <f>VLOOKUP(A845,import!A:J,7,0)</f>
        <v>18</v>
      </c>
      <c r="H845" s="10">
        <f>VLOOKUP(A845,import!A:J,8,0)</f>
        <v>4</v>
      </c>
      <c r="I845" s="10">
        <f>VLOOKUP(A845,import!A:J,9,0)</f>
        <v>22</v>
      </c>
      <c r="J845" s="11">
        <f>VLOOKUP(A845,import!A:J,10,0)</f>
        <v>0.82</v>
      </c>
      <c r="K845" s="10" t="s">
        <v>4037</v>
      </c>
      <c r="L845" s="10">
        <v>5.355044949E9</v>
      </c>
      <c r="M845" s="10" t="s">
        <v>72</v>
      </c>
      <c r="N845" s="10" t="s">
        <v>181</v>
      </c>
      <c r="O845" s="10" t="s">
        <v>4038</v>
      </c>
      <c r="P845" s="10" t="str">
        <f>VLOOKUP(A845,import!A:P,16,0)</f>
        <v>Geleneksel</v>
      </c>
      <c r="Q845" s="12"/>
      <c r="R845" s="12" t="b">
        <v>1</v>
      </c>
      <c r="S845" s="12" t="b">
        <v>0</v>
      </c>
      <c r="T845" s="13" t="s">
        <v>51</v>
      </c>
      <c r="U845" s="13" t="s">
        <v>133</v>
      </c>
      <c r="V845" s="17" t="s">
        <v>66</v>
      </c>
      <c r="W845" s="13"/>
      <c r="X845" s="15">
        <v>44648.0</v>
      </c>
      <c r="Y845" s="15">
        <v>44649.0</v>
      </c>
      <c r="Z845" s="16"/>
      <c r="AA845" s="17" t="s">
        <v>56</v>
      </c>
      <c r="AB845" s="16">
        <v>44648.0</v>
      </c>
      <c r="AC845" s="16"/>
      <c r="AD845" s="16"/>
      <c r="AE845" s="17"/>
      <c r="AF845" s="16"/>
      <c r="AG845" s="17"/>
      <c r="AH845" s="16"/>
      <c r="AI845" s="16"/>
      <c r="AJ845" s="16"/>
      <c r="AK845" s="17" t="s">
        <v>133</v>
      </c>
      <c r="AL845" s="16"/>
      <c r="AM845" s="16"/>
      <c r="AN845" s="16"/>
      <c r="AO845" s="16"/>
      <c r="AP845" s="18"/>
      <c r="AQ845" s="16"/>
    </row>
    <row r="846" ht="15.75" customHeight="1">
      <c r="A846" s="18" t="s">
        <v>4039</v>
      </c>
      <c r="B846" s="18" t="s">
        <v>4040</v>
      </c>
      <c r="C846" s="10" t="str">
        <f>VLOOKUP(A846,import!A:C,3,0)</f>
        <v>DOĞRU</v>
      </c>
      <c r="D846" s="18" t="s">
        <v>70</v>
      </c>
      <c r="E846" s="10">
        <f>VLOOKUP(A846,import!A:J,5,0)</f>
        <v>39</v>
      </c>
      <c r="F846" s="10">
        <f>VLOOKUP(A846,import!A:J,6,0)</f>
        <v>18</v>
      </c>
      <c r="G846" s="10">
        <f>VLOOKUP(A846,import!A:J,7,0)</f>
        <v>0</v>
      </c>
      <c r="H846" s="10">
        <f>VLOOKUP(A846,import!A:J,8,0)</f>
        <v>2</v>
      </c>
      <c r="I846" s="10">
        <f>VLOOKUP(A846,import!A:J,9,0)</f>
        <v>2</v>
      </c>
      <c r="J846" s="11">
        <f>VLOOKUP(A846,import!A:J,10,0)</f>
        <v>0</v>
      </c>
      <c r="K846" s="18" t="s">
        <v>4041</v>
      </c>
      <c r="L846" s="18">
        <v>5.523339347E9</v>
      </c>
      <c r="M846" s="18" t="s">
        <v>137</v>
      </c>
      <c r="N846" s="18" t="s">
        <v>374</v>
      </c>
      <c r="O846" s="18" t="s">
        <v>4042</v>
      </c>
      <c r="P846" s="10" t="str">
        <f>VLOOKUP(A846,import!A:P,16,0)</f>
        <v>Geleneksel</v>
      </c>
      <c r="Q846" s="12"/>
      <c r="R846" s="12" t="b">
        <v>0</v>
      </c>
      <c r="S846" s="12" t="b">
        <v>0</v>
      </c>
      <c r="T846" s="13"/>
      <c r="U846" s="13"/>
      <c r="V846" s="13"/>
      <c r="W846" s="13"/>
      <c r="X846" s="15"/>
      <c r="Y846" s="15"/>
      <c r="Z846" s="16"/>
      <c r="AA846" s="17"/>
      <c r="AB846" s="16"/>
      <c r="AC846" s="16"/>
      <c r="AD846" s="16"/>
      <c r="AE846" s="17"/>
      <c r="AF846" s="16"/>
      <c r="AG846" s="17"/>
      <c r="AH846" s="16"/>
      <c r="AI846" s="16"/>
      <c r="AJ846" s="16"/>
      <c r="AK846" s="17"/>
      <c r="AL846" s="16"/>
      <c r="AM846" s="16"/>
      <c r="AN846" s="16"/>
      <c r="AO846" s="16"/>
      <c r="AP846" s="18"/>
      <c r="AQ846" s="16"/>
    </row>
    <row r="847" ht="15.75" hidden="1" customHeight="1">
      <c r="A847" s="10" t="s">
        <v>4043</v>
      </c>
      <c r="B847" s="10" t="s">
        <v>4044</v>
      </c>
      <c r="C847" s="10" t="str">
        <f>VLOOKUP(A847,import!A:C,3,0)</f>
        <v>DOĞRU</v>
      </c>
      <c r="D847" s="10" t="s">
        <v>754</v>
      </c>
      <c r="E847" s="10">
        <f>VLOOKUP(A847,import!A:J,5,0)</f>
        <v>1001</v>
      </c>
      <c r="F847" s="10">
        <f>VLOOKUP(A847,import!A:J,6,0)</f>
        <v>25</v>
      </c>
      <c r="G847" s="10">
        <f>VLOOKUP(A847,import!A:J,7,0)</f>
        <v>10</v>
      </c>
      <c r="H847" s="10">
        <f>VLOOKUP(A847,import!A:J,8,0)</f>
        <v>4</v>
      </c>
      <c r="I847" s="10">
        <f>VLOOKUP(A847,import!A:J,9,0)</f>
        <v>14</v>
      </c>
      <c r="J847" s="11">
        <f>VLOOKUP(A847,import!A:J,10,0)</f>
        <v>0.71</v>
      </c>
      <c r="K847" s="10" t="s">
        <v>4045</v>
      </c>
      <c r="L847" s="10">
        <v>5.394992733E9</v>
      </c>
      <c r="M847" s="10" t="s">
        <v>72</v>
      </c>
      <c r="N847" s="10" t="s">
        <v>333</v>
      </c>
      <c r="O847" s="10" t="s">
        <v>4046</v>
      </c>
      <c r="P847" s="10" t="str">
        <f>VLOOKUP(A847,import!A:P,16,0)</f>
        <v>Geleneksel</v>
      </c>
      <c r="Q847" s="12" t="s">
        <v>50</v>
      </c>
      <c r="R847" s="12" t="b">
        <v>1</v>
      </c>
      <c r="S847" s="12" t="b">
        <v>0</v>
      </c>
      <c r="T847" s="13" t="s">
        <v>51</v>
      </c>
      <c r="U847" s="13" t="s">
        <v>258</v>
      </c>
      <c r="V847" s="13" t="s">
        <v>278</v>
      </c>
      <c r="W847" s="13" t="s">
        <v>4047</v>
      </c>
      <c r="X847" s="15">
        <v>44288.0</v>
      </c>
      <c r="Y847" s="15">
        <v>44292.0</v>
      </c>
      <c r="Z847" s="16"/>
      <c r="AA847" s="17" t="s">
        <v>56</v>
      </c>
      <c r="AB847" s="16">
        <v>44552.0</v>
      </c>
      <c r="AC847" s="16"/>
      <c r="AD847" s="16"/>
      <c r="AE847" s="17"/>
      <c r="AF847" s="16"/>
      <c r="AG847" s="17"/>
      <c r="AH847" s="16"/>
      <c r="AI847" s="16"/>
      <c r="AJ847" s="16"/>
      <c r="AK847" s="17" t="s">
        <v>89</v>
      </c>
      <c r="AL847" s="16"/>
      <c r="AM847" s="16"/>
      <c r="AN847" s="16"/>
      <c r="AO847" s="16"/>
      <c r="AP847" s="18" t="s">
        <v>58</v>
      </c>
      <c r="AQ847" s="16"/>
    </row>
    <row r="848" ht="15.75" customHeight="1">
      <c r="A848" s="10" t="s">
        <v>4048</v>
      </c>
      <c r="B848" s="10" t="s">
        <v>4049</v>
      </c>
      <c r="C848" s="10" t="str">
        <f>VLOOKUP(A848,import!A:C,3,0)</f>
        <v>DOĞRU</v>
      </c>
      <c r="D848" s="10" t="s">
        <v>363</v>
      </c>
      <c r="E848" s="10">
        <f>VLOOKUP(A848,import!A:J,5,0)</f>
        <v>800</v>
      </c>
      <c r="F848" s="10">
        <f>VLOOKUP(A848,import!A:J,6,0)</f>
        <v>127</v>
      </c>
      <c r="G848" s="10">
        <f>VLOOKUP(A848,import!A:J,7,0)</f>
        <v>0</v>
      </c>
      <c r="H848" s="10">
        <f>VLOOKUP(A848,import!A:J,8,0)</f>
        <v>50</v>
      </c>
      <c r="I848" s="10">
        <f>VLOOKUP(A848,import!A:J,9,0)</f>
        <v>50</v>
      </c>
      <c r="J848" s="11">
        <f>VLOOKUP(A848,import!A:J,10,0)</f>
        <v>0</v>
      </c>
      <c r="K848" s="10" t="s">
        <v>4050</v>
      </c>
      <c r="L848" s="10">
        <v>3.243573E9</v>
      </c>
      <c r="M848" s="10" t="s">
        <v>63</v>
      </c>
      <c r="N848" s="10" t="s">
        <v>100</v>
      </c>
      <c r="O848" s="10" t="s">
        <v>4051</v>
      </c>
      <c r="P848" s="10" t="str">
        <f>VLOOKUP(A848,import!A:P,16,0)</f>
        <v>Geleneksel</v>
      </c>
      <c r="Q848" s="12"/>
      <c r="R848" s="12" t="b">
        <v>1</v>
      </c>
      <c r="S848" s="12" t="b">
        <v>1</v>
      </c>
      <c r="T848" s="13"/>
      <c r="U848" s="13" t="s">
        <v>103</v>
      </c>
      <c r="V848" s="13" t="s">
        <v>66</v>
      </c>
      <c r="W848" s="13" t="s">
        <v>4052</v>
      </c>
      <c r="X848" s="15">
        <v>44585.0</v>
      </c>
      <c r="Y848" s="15">
        <v>44586.0</v>
      </c>
      <c r="Z848" s="16"/>
      <c r="AA848" s="17" t="s">
        <v>86</v>
      </c>
      <c r="AB848" s="16">
        <v>44585.0</v>
      </c>
      <c r="AC848" s="17" t="s">
        <v>56</v>
      </c>
      <c r="AD848" s="16">
        <v>44585.0</v>
      </c>
      <c r="AE848" s="17" t="s">
        <v>56</v>
      </c>
      <c r="AF848" s="16">
        <v>44590.0</v>
      </c>
      <c r="AG848" s="17"/>
      <c r="AH848" s="16"/>
      <c r="AI848" s="16"/>
      <c r="AJ848" s="16"/>
      <c r="AK848" s="17" t="s">
        <v>103</v>
      </c>
      <c r="AL848" s="17" t="s">
        <v>103</v>
      </c>
      <c r="AM848" s="17" t="s">
        <v>89</v>
      </c>
      <c r="AN848" s="16"/>
      <c r="AO848" s="16"/>
      <c r="AP848" s="18"/>
      <c r="AQ848" s="16"/>
    </row>
    <row r="849" ht="15.75" customHeight="1">
      <c r="A849" s="10" t="s">
        <v>1683</v>
      </c>
      <c r="B849" s="10" t="s">
        <v>4053</v>
      </c>
      <c r="C849" s="10" t="str">
        <f>VLOOKUP(A849,import!A:C,3,0)</f>
        <v>DOĞRU</v>
      </c>
      <c r="D849" s="10" t="s">
        <v>372</v>
      </c>
      <c r="E849" s="10">
        <f>VLOOKUP(A849,import!A:J,5,0)</f>
        <v>1073</v>
      </c>
      <c r="F849" s="10">
        <f>VLOOKUP(A849,import!A:J,6,0)</f>
        <v>73</v>
      </c>
      <c r="G849" s="10">
        <f>VLOOKUP(A849,import!A:J,7,0)</f>
        <v>0</v>
      </c>
      <c r="H849" s="10">
        <f>VLOOKUP(A849,import!A:J,8,0)</f>
        <v>52</v>
      </c>
      <c r="I849" s="10">
        <f>VLOOKUP(A849,import!A:J,9,0)</f>
        <v>52</v>
      </c>
      <c r="J849" s="11">
        <f>VLOOKUP(A849,import!A:J,10,0)</f>
        <v>0</v>
      </c>
      <c r="K849" s="10" t="s">
        <v>4054</v>
      </c>
      <c r="L849" s="10">
        <v>3.243592639E9</v>
      </c>
      <c r="M849" s="10" t="s">
        <v>63</v>
      </c>
      <c r="N849" s="10" t="s">
        <v>700</v>
      </c>
      <c r="O849" s="10" t="s">
        <v>4055</v>
      </c>
      <c r="P849" s="10" t="str">
        <f>VLOOKUP(A849,import!A:P,16,0)</f>
        <v>Geleneksel</v>
      </c>
      <c r="Q849" s="12"/>
      <c r="R849" s="12" t="b">
        <v>1</v>
      </c>
      <c r="S849" s="12" t="b">
        <v>1</v>
      </c>
      <c r="T849" s="13"/>
      <c r="U849" s="13"/>
      <c r="V849" s="13"/>
      <c r="W849" s="13" t="s">
        <v>4056</v>
      </c>
      <c r="X849" s="15"/>
      <c r="Y849" s="15"/>
      <c r="Z849" s="16"/>
      <c r="AA849" s="17" t="s">
        <v>56</v>
      </c>
      <c r="AB849" s="16">
        <v>44446.0</v>
      </c>
      <c r="AC849" s="17" t="s">
        <v>86</v>
      </c>
      <c r="AD849" s="16">
        <v>44460.0</v>
      </c>
      <c r="AE849" s="17" t="s">
        <v>56</v>
      </c>
      <c r="AF849" s="16">
        <v>44484.0</v>
      </c>
      <c r="AG849" s="17" t="s">
        <v>56</v>
      </c>
      <c r="AH849" s="16">
        <v>44489.0</v>
      </c>
      <c r="AI849" s="17" t="s">
        <v>56</v>
      </c>
      <c r="AJ849" s="16">
        <v>44495.0</v>
      </c>
      <c r="AK849" s="17" t="s">
        <v>367</v>
      </c>
      <c r="AL849" s="17" t="s">
        <v>87</v>
      </c>
      <c r="AM849" s="17" t="s">
        <v>367</v>
      </c>
      <c r="AN849" s="17" t="s">
        <v>367</v>
      </c>
      <c r="AO849" s="17" t="s">
        <v>89</v>
      </c>
      <c r="AP849" s="18" t="s">
        <v>58</v>
      </c>
      <c r="AQ849" s="17"/>
    </row>
    <row r="850" ht="15.75" hidden="1" customHeight="1">
      <c r="A850" s="10" t="s">
        <v>4057</v>
      </c>
      <c r="B850" s="10" t="s">
        <v>4058</v>
      </c>
      <c r="C850" s="10" t="str">
        <f>VLOOKUP(A850,import!A:C,3,0)</f>
        <v>DOĞRU</v>
      </c>
      <c r="D850" s="10" t="s">
        <v>564</v>
      </c>
      <c r="E850" s="10">
        <f>VLOOKUP(A850,import!A:J,5,0)</f>
        <v>187</v>
      </c>
      <c r="F850" s="10" t="str">
        <f>VLOOKUP(A850,import!A:J,6,0)</f>
        <v/>
      </c>
      <c r="G850" s="10">
        <f>VLOOKUP(A850,import!A:J,7,0)</f>
        <v>0</v>
      </c>
      <c r="H850" s="10">
        <f>VLOOKUP(A850,import!A:J,8,0)</f>
        <v>80</v>
      </c>
      <c r="I850" s="10">
        <f>VLOOKUP(A850,import!A:J,9,0)</f>
        <v>80</v>
      </c>
      <c r="J850" s="11">
        <f>VLOOKUP(A850,import!A:J,10,0)</f>
        <v>0</v>
      </c>
      <c r="K850" s="10" t="s">
        <v>4059</v>
      </c>
      <c r="L850" s="10">
        <v>5.530073996E9</v>
      </c>
      <c r="M850" s="10" t="s">
        <v>72</v>
      </c>
      <c r="N850" s="10" t="s">
        <v>82</v>
      </c>
      <c r="O850" s="10" t="s">
        <v>4060</v>
      </c>
      <c r="P850" s="10" t="str">
        <f>VLOOKUP(A850,import!A:P,16,0)</f>
        <v>Geleneksel</v>
      </c>
      <c r="Q850" s="12"/>
      <c r="R850" s="12" t="b">
        <v>1</v>
      </c>
      <c r="S850" s="12" t="b">
        <v>0</v>
      </c>
      <c r="T850" s="13" t="s">
        <v>199</v>
      </c>
      <c r="U850" s="13"/>
      <c r="V850" s="13"/>
      <c r="W850" s="13" t="s">
        <v>4061</v>
      </c>
      <c r="X850" s="15"/>
      <c r="Y850" s="15"/>
      <c r="Z850" s="16"/>
      <c r="AA850" s="17" t="s">
        <v>55</v>
      </c>
      <c r="AB850" s="16">
        <v>44624.0</v>
      </c>
      <c r="AC850" s="17" t="s">
        <v>55</v>
      </c>
      <c r="AD850" s="16">
        <v>44636.0</v>
      </c>
      <c r="AE850" s="17" t="s">
        <v>56</v>
      </c>
      <c r="AF850" s="16">
        <v>44641.0</v>
      </c>
      <c r="AG850" s="17"/>
      <c r="AH850" s="16"/>
      <c r="AI850" s="16"/>
      <c r="AJ850" s="16"/>
      <c r="AK850" s="17" t="s">
        <v>52</v>
      </c>
      <c r="AL850" s="17" t="s">
        <v>133</v>
      </c>
      <c r="AM850" s="17" t="s">
        <v>52</v>
      </c>
      <c r="AN850" s="16"/>
      <c r="AO850" s="16"/>
      <c r="AP850" s="18"/>
      <c r="AQ850" s="16"/>
    </row>
    <row r="851" ht="15.75" hidden="1" customHeight="1">
      <c r="A851" s="10" t="s">
        <v>4062</v>
      </c>
      <c r="B851" s="10" t="s">
        <v>4063</v>
      </c>
      <c r="C851" s="10" t="str">
        <f>VLOOKUP(A851,import!A:C,3,0)</f>
        <v>DOĞRU</v>
      </c>
      <c r="D851" s="10" t="s">
        <v>564</v>
      </c>
      <c r="E851" s="10">
        <f>VLOOKUP(A851,import!A:J,5,0)</f>
        <v>4714</v>
      </c>
      <c r="F851" s="10">
        <f>VLOOKUP(A851,import!A:J,6,0)</f>
        <v>148</v>
      </c>
      <c r="G851" s="10">
        <f>VLOOKUP(A851,import!A:J,7,0)</f>
        <v>31</v>
      </c>
      <c r="H851" s="10">
        <f>VLOOKUP(A851,import!A:J,8,0)</f>
        <v>28</v>
      </c>
      <c r="I851" s="10">
        <f>VLOOKUP(A851,import!A:J,9,0)</f>
        <v>59</v>
      </c>
      <c r="J851" s="11">
        <f>VLOOKUP(A851,import!A:J,10,0)</f>
        <v>0.53</v>
      </c>
      <c r="K851" s="10" t="s">
        <v>4064</v>
      </c>
      <c r="L851" s="10">
        <v>3.243287979E9</v>
      </c>
      <c r="M851" s="10" t="s">
        <v>72</v>
      </c>
      <c r="N851" s="10" t="s">
        <v>128</v>
      </c>
      <c r="O851" s="10" t="s">
        <v>4065</v>
      </c>
      <c r="P851" s="10" t="str">
        <f>VLOOKUP(A851,import!A:P,16,0)</f>
        <v>Geleneksel</v>
      </c>
      <c r="Q851" s="12"/>
      <c r="R851" s="12" t="b">
        <v>1</v>
      </c>
      <c r="S851" s="12" t="b">
        <v>0</v>
      </c>
      <c r="T851" s="13" t="s">
        <v>51</v>
      </c>
      <c r="U851" s="13" t="s">
        <v>52</v>
      </c>
      <c r="V851" s="13" t="s">
        <v>53</v>
      </c>
      <c r="W851" s="13" t="s">
        <v>4066</v>
      </c>
      <c r="X851" s="15">
        <v>44420.0</v>
      </c>
      <c r="Y851" s="15">
        <v>44424.0</v>
      </c>
      <c r="Z851" s="17" t="s">
        <v>616</v>
      </c>
      <c r="AA851" s="17" t="s">
        <v>55</v>
      </c>
      <c r="AB851" s="16">
        <v>44412.0</v>
      </c>
      <c r="AC851" s="17" t="s">
        <v>55</v>
      </c>
      <c r="AD851" s="16">
        <v>44414.0</v>
      </c>
      <c r="AE851" s="17" t="s">
        <v>55</v>
      </c>
      <c r="AF851" s="16">
        <v>44417.0</v>
      </c>
      <c r="AG851" s="17" t="s">
        <v>55</v>
      </c>
      <c r="AH851" s="16">
        <v>44420.0</v>
      </c>
      <c r="AI851" s="17" t="s">
        <v>56</v>
      </c>
      <c r="AJ851" s="16">
        <v>44581.0</v>
      </c>
      <c r="AK851" s="17" t="s">
        <v>52</v>
      </c>
      <c r="AL851" s="17" t="s">
        <v>52</v>
      </c>
      <c r="AM851" s="17" t="s">
        <v>52</v>
      </c>
      <c r="AN851" s="17" t="s">
        <v>52</v>
      </c>
      <c r="AO851" s="17" t="s">
        <v>89</v>
      </c>
      <c r="AP851" s="18" t="s">
        <v>58</v>
      </c>
      <c r="AQ851" s="17"/>
    </row>
    <row r="852" ht="15.75" customHeight="1">
      <c r="A852" s="10" t="s">
        <v>4067</v>
      </c>
      <c r="B852" s="10" t="s">
        <v>4068</v>
      </c>
      <c r="C852" s="10" t="str">
        <f>VLOOKUP(A852,import!A:C,3,0)</f>
        <v>DOĞRU</v>
      </c>
      <c r="D852" s="10" t="s">
        <v>167</v>
      </c>
      <c r="E852" s="10">
        <f>VLOOKUP(A852,import!A:J,5,0)</f>
        <v>393</v>
      </c>
      <c r="F852" s="10">
        <f>VLOOKUP(A852,import!A:J,6,0)</f>
        <v>6</v>
      </c>
      <c r="G852" s="10">
        <f>VLOOKUP(A852,import!A:J,7,0)</f>
        <v>0</v>
      </c>
      <c r="H852" s="10">
        <f>VLOOKUP(A852,import!A:J,8,0)</f>
        <v>14</v>
      </c>
      <c r="I852" s="10">
        <f>VLOOKUP(A852,import!A:J,9,0)</f>
        <v>14</v>
      </c>
      <c r="J852" s="11">
        <f>VLOOKUP(A852,import!A:J,10,0)</f>
        <v>0</v>
      </c>
      <c r="K852" s="10" t="s">
        <v>4069</v>
      </c>
      <c r="L852" s="10">
        <v>3.242380458E9</v>
      </c>
      <c r="M852" s="10" t="s">
        <v>137</v>
      </c>
      <c r="N852" s="10" t="s">
        <v>138</v>
      </c>
      <c r="O852" s="10" t="s">
        <v>4070</v>
      </c>
      <c r="P852" s="10" t="str">
        <f>VLOOKUP(A852,import!A:P,16,0)</f>
        <v>Geleneksel</v>
      </c>
      <c r="Q852" s="12" t="s">
        <v>50</v>
      </c>
      <c r="R852" s="12" t="b">
        <v>1</v>
      </c>
      <c r="S852" s="12" t="b">
        <v>1</v>
      </c>
      <c r="T852" s="13" t="s">
        <v>272</v>
      </c>
      <c r="U852" s="13" t="s">
        <v>654</v>
      </c>
      <c r="V852" s="13" t="s">
        <v>53</v>
      </c>
      <c r="W852" s="13" t="s">
        <v>4071</v>
      </c>
      <c r="X852" s="15">
        <v>44274.0</v>
      </c>
      <c r="Y852" s="15">
        <v>44277.0</v>
      </c>
      <c r="Z852" s="16"/>
      <c r="AA852" s="17" t="s">
        <v>56</v>
      </c>
      <c r="AB852" s="16">
        <v>44552.0</v>
      </c>
      <c r="AC852" s="17" t="s">
        <v>86</v>
      </c>
      <c r="AD852" s="16">
        <v>44557.0</v>
      </c>
      <c r="AE852" s="17" t="s">
        <v>56</v>
      </c>
      <c r="AF852" s="16">
        <v>44576.0</v>
      </c>
      <c r="AG852" s="17"/>
      <c r="AH852" s="16"/>
      <c r="AI852" s="16"/>
      <c r="AJ852" s="16"/>
      <c r="AK852" s="17" t="s">
        <v>89</v>
      </c>
      <c r="AL852" s="17" t="s">
        <v>321</v>
      </c>
      <c r="AM852" s="17" t="s">
        <v>87</v>
      </c>
      <c r="AN852" s="16"/>
      <c r="AO852" s="16"/>
      <c r="AP852" s="18" t="s">
        <v>58</v>
      </c>
      <c r="AQ852" s="16"/>
    </row>
    <row r="853" ht="15.75" hidden="1" customHeight="1">
      <c r="A853" s="10" t="s">
        <v>4072</v>
      </c>
      <c r="B853" s="10" t="s">
        <v>4073</v>
      </c>
      <c r="C853" s="10" t="str">
        <f>VLOOKUP(A853,import!A:C,3,0)</f>
        <v>DOĞRU</v>
      </c>
      <c r="D853" s="10" t="s">
        <v>356</v>
      </c>
      <c r="E853" s="10">
        <f>VLOOKUP(A853,import!A:J,5,0)</f>
        <v>9092</v>
      </c>
      <c r="F853" s="10">
        <f>VLOOKUP(A853,import!A:J,6,0)</f>
        <v>824</v>
      </c>
      <c r="G853" s="10">
        <f>VLOOKUP(A853,import!A:J,7,0)</f>
        <v>21</v>
      </c>
      <c r="H853" s="10">
        <f>VLOOKUP(A853,import!A:J,8,0)</f>
        <v>36</v>
      </c>
      <c r="I853" s="10">
        <f>VLOOKUP(A853,import!A:J,9,0)</f>
        <v>57</v>
      </c>
      <c r="J853" s="11">
        <f>VLOOKUP(A853,import!A:J,10,0)</f>
        <v>0.37</v>
      </c>
      <c r="K853" s="10" t="s">
        <v>4074</v>
      </c>
      <c r="L853" s="10">
        <v>3.24328329E9</v>
      </c>
      <c r="M853" s="10" t="s">
        <v>72</v>
      </c>
      <c r="N853" s="10" t="s">
        <v>181</v>
      </c>
      <c r="O853" s="10" t="s">
        <v>4075</v>
      </c>
      <c r="P853" s="10" t="str">
        <f>VLOOKUP(A853,import!A:P,16,0)</f>
        <v>Geleneksel</v>
      </c>
      <c r="Q853" s="12"/>
      <c r="R853" s="12" t="b">
        <v>1</v>
      </c>
      <c r="S853" s="12" t="b">
        <v>0</v>
      </c>
      <c r="T853" s="13" t="s">
        <v>51</v>
      </c>
      <c r="U853" s="13" t="s">
        <v>87</v>
      </c>
      <c r="V853" s="13"/>
      <c r="W853" s="13" t="s">
        <v>4076</v>
      </c>
      <c r="X853" s="15">
        <v>44629.0</v>
      </c>
      <c r="Y853" s="15">
        <v>44630.0</v>
      </c>
      <c r="Z853" s="16"/>
      <c r="AA853" s="17" t="s">
        <v>86</v>
      </c>
      <c r="AB853" s="16">
        <v>44475.0</v>
      </c>
      <c r="AC853" s="17" t="s">
        <v>56</v>
      </c>
      <c r="AD853" s="16">
        <v>44492.0</v>
      </c>
      <c r="AE853" s="17" t="s">
        <v>56</v>
      </c>
      <c r="AF853" s="16">
        <v>44510.0</v>
      </c>
      <c r="AG853" s="17" t="s">
        <v>56</v>
      </c>
      <c r="AH853" s="16">
        <v>44552.0</v>
      </c>
      <c r="AI853" s="17" t="s">
        <v>56</v>
      </c>
      <c r="AJ853" s="16">
        <v>44629.0</v>
      </c>
      <c r="AK853" s="17" t="s">
        <v>171</v>
      </c>
      <c r="AL853" s="17" t="s">
        <v>52</v>
      </c>
      <c r="AM853" s="17" t="s">
        <v>133</v>
      </c>
      <c r="AN853" s="17" t="s">
        <v>89</v>
      </c>
      <c r="AO853" s="17" t="s">
        <v>87</v>
      </c>
      <c r="AP853" s="18" t="s">
        <v>58</v>
      </c>
      <c r="AQ853" s="16"/>
    </row>
    <row r="854" ht="15.75" hidden="1" customHeight="1">
      <c r="A854" s="10" t="s">
        <v>4077</v>
      </c>
      <c r="B854" s="10" t="s">
        <v>4078</v>
      </c>
      <c r="C854" s="10" t="str">
        <f>VLOOKUP(A854,import!A:C,3,0)</f>
        <v>DOĞRU</v>
      </c>
      <c r="D854" s="10" t="s">
        <v>754</v>
      </c>
      <c r="E854" s="10">
        <f>VLOOKUP(A854,import!A:J,5,0)</f>
        <v>286</v>
      </c>
      <c r="F854" s="10">
        <f>VLOOKUP(A854,import!A:J,6,0)</f>
        <v>20</v>
      </c>
      <c r="G854" s="10">
        <f>VLOOKUP(A854,import!A:J,7,0)</f>
        <v>0</v>
      </c>
      <c r="H854" s="10">
        <f>VLOOKUP(A854,import!A:J,8,0)</f>
        <v>17</v>
      </c>
      <c r="I854" s="10">
        <f>VLOOKUP(A854,import!A:J,9,0)</f>
        <v>17</v>
      </c>
      <c r="J854" s="11">
        <f>VLOOKUP(A854,import!A:J,10,0)</f>
        <v>0</v>
      </c>
      <c r="K854" s="10" t="s">
        <v>4079</v>
      </c>
      <c r="L854" s="10">
        <v>3.246144951E9</v>
      </c>
      <c r="M854" s="10" t="s">
        <v>156</v>
      </c>
      <c r="N854" s="10" t="s">
        <v>157</v>
      </c>
      <c r="O854" s="10" t="s">
        <v>4080</v>
      </c>
      <c r="P854" s="10" t="str">
        <f>VLOOKUP(A854,import!A:P,16,0)</f>
        <v>Geleneksel</v>
      </c>
      <c r="Q854" s="12"/>
      <c r="R854" s="12" t="b">
        <v>0</v>
      </c>
      <c r="S854" s="12" t="b">
        <v>0</v>
      </c>
      <c r="T854" s="13"/>
      <c r="U854" s="13"/>
      <c r="V854" s="13"/>
      <c r="W854" s="13"/>
      <c r="X854" s="15"/>
      <c r="Y854" s="15"/>
      <c r="Z854" s="16"/>
      <c r="AA854" s="16"/>
      <c r="AB854" s="16"/>
      <c r="AC854" s="16"/>
      <c r="AD854" s="16"/>
      <c r="AE854" s="17"/>
      <c r="AF854" s="16"/>
      <c r="AG854" s="17"/>
      <c r="AH854" s="16"/>
      <c r="AI854" s="16"/>
      <c r="AJ854" s="16"/>
      <c r="AK854" s="16"/>
      <c r="AL854" s="16"/>
      <c r="AM854" s="16"/>
      <c r="AN854" s="16"/>
      <c r="AO854" s="16"/>
      <c r="AP854" s="18" t="s">
        <v>58</v>
      </c>
      <c r="AQ854" s="16"/>
    </row>
    <row r="855" ht="15.75" hidden="1" customHeight="1">
      <c r="A855" s="10" t="s">
        <v>4081</v>
      </c>
      <c r="B855" s="10" t="s">
        <v>4082</v>
      </c>
      <c r="C855" s="10" t="str">
        <f>VLOOKUP(A855,import!A:C,3,0)</f>
        <v>DOĞRU</v>
      </c>
      <c r="D855" s="10" t="s">
        <v>754</v>
      </c>
      <c r="E855" s="10">
        <f>VLOOKUP(A855,import!A:J,5,0)</f>
        <v>1235</v>
      </c>
      <c r="F855" s="10">
        <f>VLOOKUP(A855,import!A:J,6,0)</f>
        <v>75</v>
      </c>
      <c r="G855" s="10">
        <f>VLOOKUP(A855,import!A:J,7,0)</f>
        <v>0</v>
      </c>
      <c r="H855" s="10">
        <f>VLOOKUP(A855,import!A:J,8,0)</f>
        <v>30</v>
      </c>
      <c r="I855" s="10">
        <f>VLOOKUP(A855,import!A:J,9,0)</f>
        <v>30</v>
      </c>
      <c r="J855" s="11">
        <f>VLOOKUP(A855,import!A:J,10,0)</f>
        <v>0</v>
      </c>
      <c r="K855" s="10" t="s">
        <v>4083</v>
      </c>
      <c r="L855" s="10">
        <v>3.243260747E9</v>
      </c>
      <c r="M855" s="10" t="s">
        <v>72</v>
      </c>
      <c r="N855" s="10" t="s">
        <v>73</v>
      </c>
      <c r="O855" s="10" t="s">
        <v>4084</v>
      </c>
      <c r="P855" s="10" t="str">
        <f>VLOOKUP(A855,import!A:P,16,0)</f>
        <v>Geleneksel</v>
      </c>
      <c r="Q855" s="12"/>
      <c r="R855" s="12" t="b">
        <v>1</v>
      </c>
      <c r="S855" s="12" t="b">
        <v>0</v>
      </c>
      <c r="T855" s="13" t="s">
        <v>199</v>
      </c>
      <c r="U855" s="13"/>
      <c r="V855" s="13"/>
      <c r="W855" s="13" t="s">
        <v>4085</v>
      </c>
      <c r="X855" s="15"/>
      <c r="Y855" s="15"/>
      <c r="Z855" s="16"/>
      <c r="AA855" s="17" t="s">
        <v>230</v>
      </c>
      <c r="AB855" s="16">
        <v>44426.0</v>
      </c>
      <c r="AC855" s="17" t="s">
        <v>56</v>
      </c>
      <c r="AD855" s="16">
        <v>44431.0</v>
      </c>
      <c r="AE855" s="17" t="s">
        <v>56</v>
      </c>
      <c r="AF855" s="16">
        <v>44496.0</v>
      </c>
      <c r="AG855" s="17" t="s">
        <v>56</v>
      </c>
      <c r="AH855" s="16">
        <v>44503.0</v>
      </c>
      <c r="AI855" s="17" t="s">
        <v>56</v>
      </c>
      <c r="AJ855" s="16">
        <v>44536.0</v>
      </c>
      <c r="AK855" s="17" t="s">
        <v>57</v>
      </c>
      <c r="AL855" s="17" t="s">
        <v>367</v>
      </c>
      <c r="AM855" s="17" t="s">
        <v>87</v>
      </c>
      <c r="AN855" s="17" t="s">
        <v>89</v>
      </c>
      <c r="AO855" s="17" t="s">
        <v>89</v>
      </c>
      <c r="AP855" s="18" t="s">
        <v>58</v>
      </c>
      <c r="AQ855" s="17"/>
    </row>
    <row r="856" ht="15.75" customHeight="1">
      <c r="A856" s="10" t="s">
        <v>4086</v>
      </c>
      <c r="B856" s="10" t="s">
        <v>4087</v>
      </c>
      <c r="C856" s="10" t="str">
        <f>VLOOKUP(A856,import!A:C,3,0)</f>
        <v>DOĞRU</v>
      </c>
      <c r="D856" s="10" t="s">
        <v>80</v>
      </c>
      <c r="E856" s="10">
        <f>VLOOKUP(A856,import!A:J,5,0)</f>
        <v>719</v>
      </c>
      <c r="F856" s="10">
        <f>VLOOKUP(A856,import!A:J,6,0)</f>
        <v>1</v>
      </c>
      <c r="G856" s="10">
        <f>VLOOKUP(A856,import!A:J,7,0)</f>
        <v>0</v>
      </c>
      <c r="H856" s="10">
        <f>VLOOKUP(A856,import!A:J,8,0)</f>
        <v>14</v>
      </c>
      <c r="I856" s="10">
        <f>VLOOKUP(A856,import!A:J,9,0)</f>
        <v>14</v>
      </c>
      <c r="J856" s="11">
        <f>VLOOKUP(A856,import!A:J,10,0)</f>
        <v>0</v>
      </c>
      <c r="K856" s="10" t="s">
        <v>4088</v>
      </c>
      <c r="L856" s="10">
        <v>5.531002643E9</v>
      </c>
      <c r="M856" s="10" t="s">
        <v>63</v>
      </c>
      <c r="N856" s="10" t="s">
        <v>700</v>
      </c>
      <c r="O856" s="10" t="s">
        <v>4089</v>
      </c>
      <c r="P856" s="10" t="str">
        <f>VLOOKUP(A856,import!A:P,16,0)</f>
        <v>Geleneksel</v>
      </c>
      <c r="Q856" s="12"/>
      <c r="R856" s="12" t="b">
        <v>1</v>
      </c>
      <c r="S856" s="12" t="b">
        <v>1</v>
      </c>
      <c r="T856" s="13"/>
      <c r="U856" s="13"/>
      <c r="V856" s="13"/>
      <c r="W856" s="13" t="s">
        <v>4090</v>
      </c>
      <c r="X856" s="15"/>
      <c r="Y856" s="15"/>
      <c r="Z856" s="16"/>
      <c r="AA856" s="17" t="s">
        <v>56</v>
      </c>
      <c r="AB856" s="16">
        <v>44460.0</v>
      </c>
      <c r="AC856" s="17" t="s">
        <v>55</v>
      </c>
      <c r="AD856" s="16">
        <v>44462.0</v>
      </c>
      <c r="AE856" s="17" t="s">
        <v>56</v>
      </c>
      <c r="AF856" s="16">
        <v>44484.0</v>
      </c>
      <c r="AG856" s="17" t="s">
        <v>56</v>
      </c>
      <c r="AH856" s="16">
        <v>44495.0</v>
      </c>
      <c r="AI856" s="16"/>
      <c r="AJ856" s="16"/>
      <c r="AK856" s="17" t="s">
        <v>87</v>
      </c>
      <c r="AL856" s="17" t="s">
        <v>367</v>
      </c>
      <c r="AM856" s="17" t="s">
        <v>367</v>
      </c>
      <c r="AN856" s="17" t="s">
        <v>89</v>
      </c>
      <c r="AO856" s="16"/>
      <c r="AP856" s="18" t="s">
        <v>58</v>
      </c>
      <c r="AQ856" s="16"/>
    </row>
    <row r="857" ht="15.75" customHeight="1">
      <c r="A857" s="10" t="s">
        <v>4091</v>
      </c>
      <c r="B857" s="10" t="s">
        <v>4092</v>
      </c>
      <c r="C857" s="10" t="str">
        <f>VLOOKUP(A857,import!A:C,3,0)</f>
        <v>DOĞRU</v>
      </c>
      <c r="D857" s="10" t="s">
        <v>118</v>
      </c>
      <c r="E857" s="10">
        <f>VLOOKUP(A857,import!A:J,5,0)</f>
        <v>2800</v>
      </c>
      <c r="F857" s="10">
        <f>VLOOKUP(A857,import!A:J,6,0)</f>
        <v>41</v>
      </c>
      <c r="G857" s="10">
        <f>VLOOKUP(A857,import!A:J,7,0)</f>
        <v>0</v>
      </c>
      <c r="H857" s="10">
        <f>VLOOKUP(A857,import!A:J,8,0)</f>
        <v>47</v>
      </c>
      <c r="I857" s="10">
        <f>VLOOKUP(A857,import!A:J,9,0)</f>
        <v>47</v>
      </c>
      <c r="J857" s="11">
        <f>VLOOKUP(A857,import!A:J,10,0)</f>
        <v>0</v>
      </c>
      <c r="K857" s="10" t="s">
        <v>4093</v>
      </c>
      <c r="L857" s="10">
        <v>5.442168096E9</v>
      </c>
      <c r="M857" s="10" t="s">
        <v>63</v>
      </c>
      <c r="N857" s="10" t="s">
        <v>93</v>
      </c>
      <c r="O857" s="10" t="s">
        <v>4094</v>
      </c>
      <c r="P857" s="10" t="str">
        <f>VLOOKUP(A857,import!A:P,16,0)</f>
        <v>Geleneksel</v>
      </c>
      <c r="Q857" s="12" t="s">
        <v>84</v>
      </c>
      <c r="R857" s="12" t="b">
        <v>1</v>
      </c>
      <c r="S857" s="12" t="b">
        <v>0</v>
      </c>
      <c r="T857" s="13" t="s">
        <v>199</v>
      </c>
      <c r="U857" s="13" t="s">
        <v>1043</v>
      </c>
      <c r="V857" s="13" t="s">
        <v>66</v>
      </c>
      <c r="W857" s="13" t="s">
        <v>4095</v>
      </c>
      <c r="X857" s="15">
        <v>44271.0</v>
      </c>
      <c r="Y857" s="15">
        <v>44273.0</v>
      </c>
      <c r="Z857" s="16"/>
      <c r="AA857" s="17" t="s">
        <v>86</v>
      </c>
      <c r="AB857" s="16">
        <v>44418.0</v>
      </c>
      <c r="AC857" s="17" t="s">
        <v>230</v>
      </c>
      <c r="AD857" s="16">
        <v>44446.0</v>
      </c>
      <c r="AE857" s="17" t="s">
        <v>230</v>
      </c>
      <c r="AF857" s="16">
        <v>44489.0</v>
      </c>
      <c r="AG857" s="17" t="s">
        <v>230</v>
      </c>
      <c r="AH857" s="16">
        <v>44495.0</v>
      </c>
      <c r="AI857" s="17" t="s">
        <v>56</v>
      </c>
      <c r="AJ857" s="16">
        <v>44504.0</v>
      </c>
      <c r="AK857" s="17" t="s">
        <v>95</v>
      </c>
      <c r="AL857" s="17" t="s">
        <v>367</v>
      </c>
      <c r="AM857" s="17" t="s">
        <v>87</v>
      </c>
      <c r="AN857" s="17" t="s">
        <v>367</v>
      </c>
      <c r="AO857" s="17" t="s">
        <v>108</v>
      </c>
      <c r="AP857" s="18" t="s">
        <v>58</v>
      </c>
      <c r="AQ857" s="17"/>
    </row>
    <row r="858" ht="15.75" hidden="1" customHeight="1">
      <c r="A858" s="10" t="s">
        <v>4096</v>
      </c>
      <c r="B858" s="10" t="s">
        <v>4097</v>
      </c>
      <c r="C858" s="10" t="str">
        <f>VLOOKUP(A858,import!A:C,3,0)</f>
        <v>DOĞRU</v>
      </c>
      <c r="D858" s="10" t="s">
        <v>913</v>
      </c>
      <c r="E858" s="10">
        <f>VLOOKUP(A858,import!A:J,5,0)</f>
        <v>4595</v>
      </c>
      <c r="F858" s="10">
        <f>VLOOKUP(A858,import!A:J,6,0)</f>
        <v>108</v>
      </c>
      <c r="G858" s="10">
        <f>VLOOKUP(A858,import!A:J,7,0)</f>
        <v>0</v>
      </c>
      <c r="H858" s="10">
        <f>VLOOKUP(A858,import!A:J,8,0)</f>
        <v>37</v>
      </c>
      <c r="I858" s="10">
        <f>VLOOKUP(A858,import!A:J,9,0)</f>
        <v>37</v>
      </c>
      <c r="J858" s="11">
        <f>VLOOKUP(A858,import!A:J,10,0)</f>
        <v>0</v>
      </c>
      <c r="K858" s="10" t="s">
        <v>4098</v>
      </c>
      <c r="L858" s="10">
        <v>5.432553338E9</v>
      </c>
      <c r="M858" s="10" t="s">
        <v>72</v>
      </c>
      <c r="N858" s="10" t="s">
        <v>82</v>
      </c>
      <c r="O858" s="10" t="s">
        <v>4099</v>
      </c>
      <c r="P858" s="10" t="str">
        <f>VLOOKUP(A858,import!A:P,16,0)</f>
        <v>Geleneksel</v>
      </c>
      <c r="Q858" s="12" t="s">
        <v>75</v>
      </c>
      <c r="R858" s="12" t="b">
        <v>1</v>
      </c>
      <c r="S858" s="12" t="b">
        <v>0</v>
      </c>
      <c r="T858" s="13" t="s">
        <v>199</v>
      </c>
      <c r="U858" s="13" t="s">
        <v>133</v>
      </c>
      <c r="V858" s="13" t="s">
        <v>66</v>
      </c>
      <c r="W858" s="13" t="s">
        <v>4100</v>
      </c>
      <c r="X858" s="15">
        <v>44638.0</v>
      </c>
      <c r="Y858" s="15">
        <v>44644.0</v>
      </c>
      <c r="Z858" s="16"/>
      <c r="AA858" s="17" t="s">
        <v>56</v>
      </c>
      <c r="AB858" s="16">
        <v>44636.0</v>
      </c>
      <c r="AC858" s="17" t="s">
        <v>56</v>
      </c>
      <c r="AD858" s="16">
        <v>44638.0</v>
      </c>
      <c r="AE858" s="17"/>
      <c r="AF858" s="16"/>
      <c r="AG858" s="17"/>
      <c r="AH858" s="16"/>
      <c r="AI858" s="16"/>
      <c r="AJ858" s="16"/>
      <c r="AK858" s="17" t="s">
        <v>133</v>
      </c>
      <c r="AL858" s="17" t="s">
        <v>133</v>
      </c>
      <c r="AM858" s="16"/>
      <c r="AN858" s="16"/>
      <c r="AO858" s="16"/>
      <c r="AP858" s="18" t="s">
        <v>58</v>
      </c>
      <c r="AQ858" s="16"/>
    </row>
    <row r="859" ht="15.75" hidden="1" customHeight="1">
      <c r="A859" s="10" t="s">
        <v>4101</v>
      </c>
      <c r="B859" s="10" t="s">
        <v>4102</v>
      </c>
      <c r="C859" s="10" t="str">
        <f>VLOOKUP(A859,import!A:C,3,0)</f>
        <v>DOĞRU</v>
      </c>
      <c r="D859" s="10" t="s">
        <v>80</v>
      </c>
      <c r="E859" s="10">
        <f>VLOOKUP(A859,import!A:J,5,0)</f>
        <v>194</v>
      </c>
      <c r="F859" s="10">
        <f>VLOOKUP(A859,import!A:J,6,0)</f>
        <v>121</v>
      </c>
      <c r="G859" s="10">
        <f>VLOOKUP(A859,import!A:J,7,0)</f>
        <v>0</v>
      </c>
      <c r="H859" s="10">
        <f>VLOOKUP(A859,import!A:J,8,0)</f>
        <v>8</v>
      </c>
      <c r="I859" s="10">
        <f>VLOOKUP(A859,import!A:J,9,0)</f>
        <v>8</v>
      </c>
      <c r="J859" s="11">
        <f>VLOOKUP(A859,import!A:J,10,0)</f>
        <v>0</v>
      </c>
      <c r="K859" s="10" t="s">
        <v>4103</v>
      </c>
      <c r="L859" s="10">
        <v>5.49232202E9</v>
      </c>
      <c r="M859" s="10" t="s">
        <v>156</v>
      </c>
      <c r="N859" s="10" t="s">
        <v>596</v>
      </c>
      <c r="O859" s="10" t="s">
        <v>4104</v>
      </c>
      <c r="P859" s="10" t="str">
        <f>VLOOKUP(A859,import!A:P,16,0)</f>
        <v>Geleneksel</v>
      </c>
      <c r="Q859" s="12"/>
      <c r="R859" s="12" t="b">
        <v>0</v>
      </c>
      <c r="S859" s="12" t="b">
        <v>0</v>
      </c>
      <c r="T859" s="13"/>
      <c r="U859" s="13"/>
      <c r="V859" s="13"/>
      <c r="W859" s="13"/>
      <c r="X859" s="15"/>
      <c r="Y859" s="15"/>
      <c r="Z859" s="16"/>
      <c r="AA859" s="17"/>
      <c r="AB859" s="16"/>
      <c r="AC859" s="16"/>
      <c r="AD859" s="16"/>
      <c r="AE859" s="17"/>
      <c r="AF859" s="16"/>
      <c r="AG859" s="17"/>
      <c r="AH859" s="16"/>
      <c r="AI859" s="16"/>
      <c r="AJ859" s="16"/>
      <c r="AK859" s="17"/>
      <c r="AL859" s="16"/>
      <c r="AM859" s="16"/>
      <c r="AN859" s="16"/>
      <c r="AO859" s="16"/>
      <c r="AP859" s="18"/>
      <c r="AQ859" s="16"/>
    </row>
    <row r="860" ht="15.75" hidden="1" customHeight="1">
      <c r="A860" s="10" t="s">
        <v>4105</v>
      </c>
      <c r="B860" s="10" t="s">
        <v>4106</v>
      </c>
      <c r="C860" s="10" t="str">
        <f>VLOOKUP(A860,import!A:C,3,0)</f>
        <v>DOĞRU</v>
      </c>
      <c r="D860" s="10" t="s">
        <v>45</v>
      </c>
      <c r="E860" s="10">
        <f>VLOOKUP(A860,import!A:J,5,0)</f>
        <v>2725</v>
      </c>
      <c r="F860" s="10">
        <f>VLOOKUP(A860,import!A:J,6,0)</f>
        <v>83</v>
      </c>
      <c r="G860" s="10">
        <f>VLOOKUP(A860,import!A:J,7,0)</f>
        <v>0</v>
      </c>
      <c r="H860" s="10">
        <f>VLOOKUP(A860,import!A:J,8,0)</f>
        <v>55</v>
      </c>
      <c r="I860" s="10">
        <f>VLOOKUP(A860,import!A:J,9,0)</f>
        <v>55</v>
      </c>
      <c r="J860" s="11">
        <f>VLOOKUP(A860,import!A:J,10,0)</f>
        <v>0</v>
      </c>
      <c r="K860" s="10" t="s">
        <v>4107</v>
      </c>
      <c r="L860" s="10">
        <v>5.330983373E9</v>
      </c>
      <c r="M860" s="10" t="s">
        <v>156</v>
      </c>
      <c r="N860" s="10" t="s">
        <v>338</v>
      </c>
      <c r="O860" s="10" t="s">
        <v>3404</v>
      </c>
      <c r="P860" s="10" t="str">
        <f>VLOOKUP(A860,import!A:P,16,0)</f>
        <v>Geleneksel</v>
      </c>
      <c r="Q860" s="12" t="s">
        <v>84</v>
      </c>
      <c r="R860" s="12" t="b">
        <v>1</v>
      </c>
      <c r="S860" s="12" t="b">
        <v>0</v>
      </c>
      <c r="T860" s="13" t="s">
        <v>199</v>
      </c>
      <c r="U860" s="13"/>
      <c r="V860" s="13"/>
      <c r="W860" s="13" t="s">
        <v>4108</v>
      </c>
      <c r="X860" s="15"/>
      <c r="Y860" s="15"/>
      <c r="Z860" s="16"/>
      <c r="AA860" s="16"/>
      <c r="AB860" s="16"/>
      <c r="AC860" s="16"/>
      <c r="AD860" s="16"/>
      <c r="AE860" s="17"/>
      <c r="AF860" s="16"/>
      <c r="AG860" s="17"/>
      <c r="AH860" s="16"/>
      <c r="AI860" s="16"/>
      <c r="AJ860" s="16"/>
      <c r="AK860" s="16"/>
      <c r="AL860" s="16"/>
      <c r="AM860" s="16"/>
      <c r="AN860" s="16"/>
      <c r="AO860" s="16"/>
      <c r="AP860" s="18" t="s">
        <v>58</v>
      </c>
      <c r="AQ860" s="16"/>
    </row>
    <row r="861" ht="15.75" hidden="1" customHeight="1">
      <c r="A861" s="10" t="s">
        <v>4109</v>
      </c>
      <c r="B861" s="10" t="s">
        <v>4110</v>
      </c>
      <c r="C861" s="10" t="str">
        <f>VLOOKUP(A861,import!A:C,3,0)</f>
        <v>DOĞRU</v>
      </c>
      <c r="D861" s="10" t="s">
        <v>70</v>
      </c>
      <c r="E861" s="10">
        <f>VLOOKUP(A861,import!A:J,5,0)</f>
        <v>5767</v>
      </c>
      <c r="F861" s="10">
        <f>VLOOKUP(A861,import!A:J,6,0)</f>
        <v>268</v>
      </c>
      <c r="G861" s="10">
        <f>VLOOKUP(A861,import!A:J,7,0)</f>
        <v>10</v>
      </c>
      <c r="H861" s="10">
        <f>VLOOKUP(A861,import!A:J,8,0)</f>
        <v>40</v>
      </c>
      <c r="I861" s="10">
        <f>VLOOKUP(A861,import!A:J,9,0)</f>
        <v>50</v>
      </c>
      <c r="J861" s="11">
        <f>VLOOKUP(A861,import!A:J,10,0)</f>
        <v>0.2</v>
      </c>
      <c r="K861" s="10" t="s">
        <v>4111</v>
      </c>
      <c r="L861" s="10">
        <v>3.243273131E9</v>
      </c>
      <c r="M861" s="10" t="s">
        <v>72</v>
      </c>
      <c r="N861" s="10" t="s">
        <v>73</v>
      </c>
      <c r="O861" s="10" t="s">
        <v>4112</v>
      </c>
      <c r="P861" s="10" t="str">
        <f>VLOOKUP(A861,import!A:P,16,0)</f>
        <v>Geleneksel</v>
      </c>
      <c r="Q861" s="12"/>
      <c r="R861" s="12" t="b">
        <v>1</v>
      </c>
      <c r="S861" s="12" t="b">
        <v>0</v>
      </c>
      <c r="T861" s="13" t="s">
        <v>51</v>
      </c>
      <c r="U861" s="13" t="s">
        <v>4113</v>
      </c>
      <c r="V861" s="19"/>
      <c r="W861" s="13" t="s">
        <v>4114</v>
      </c>
      <c r="X861" s="15">
        <v>44372.0</v>
      </c>
      <c r="Y861" s="15">
        <v>44375.0</v>
      </c>
      <c r="Z861" s="16"/>
      <c r="AA861" s="17" t="s">
        <v>86</v>
      </c>
      <c r="AB861" s="16">
        <v>44361.0</v>
      </c>
      <c r="AC861" s="17" t="s">
        <v>56</v>
      </c>
      <c r="AD861" s="16">
        <v>44372.0</v>
      </c>
      <c r="AE861" s="17"/>
      <c r="AF861" s="16"/>
      <c r="AG861" s="17"/>
      <c r="AH861" s="16"/>
      <c r="AI861" s="16"/>
      <c r="AJ861" s="16"/>
      <c r="AK861" s="17" t="s">
        <v>88</v>
      </c>
      <c r="AL861" s="17" t="s">
        <v>4113</v>
      </c>
      <c r="AM861" s="16"/>
      <c r="AN861" s="16"/>
      <c r="AO861" s="16"/>
      <c r="AP861" s="18" t="s">
        <v>58</v>
      </c>
      <c r="AQ861" s="16"/>
    </row>
    <row r="862" ht="15.75" customHeight="1">
      <c r="A862" s="10" t="s">
        <v>4115</v>
      </c>
      <c r="B862" s="10" t="s">
        <v>4116</v>
      </c>
      <c r="C862" s="10" t="str">
        <f>VLOOKUP(A862,import!A:C,3,0)</f>
        <v>DOĞRU</v>
      </c>
      <c r="D862" s="10" t="s">
        <v>167</v>
      </c>
      <c r="E862" s="10">
        <f>VLOOKUP(A862,import!A:J,5,0)</f>
        <v>45</v>
      </c>
      <c r="F862" s="10" t="str">
        <f>VLOOKUP(A862,import!A:J,6,0)</f>
        <v/>
      </c>
      <c r="G862" s="10">
        <f>VLOOKUP(A862,import!A:J,7,0)</f>
        <v>9</v>
      </c>
      <c r="H862" s="10">
        <f>VLOOKUP(A862,import!A:J,8,0)</f>
        <v>6</v>
      </c>
      <c r="I862" s="10">
        <f>VLOOKUP(A862,import!A:J,9,0)</f>
        <v>15</v>
      </c>
      <c r="J862" s="11">
        <f>VLOOKUP(A862,import!A:J,10,0)</f>
        <v>0.6</v>
      </c>
      <c r="K862" s="10" t="s">
        <v>4117</v>
      </c>
      <c r="L862" s="10">
        <v>5.510526273E9</v>
      </c>
      <c r="M862" s="10" t="s">
        <v>63</v>
      </c>
      <c r="N862" s="10" t="s">
        <v>318</v>
      </c>
      <c r="O862" s="10" t="s">
        <v>4118</v>
      </c>
      <c r="P862" s="10" t="str">
        <f>VLOOKUP(A862,import!A:P,16,0)</f>
        <v>Geleneksel</v>
      </c>
      <c r="Q862" s="12"/>
      <c r="R862" s="12" t="b">
        <v>1</v>
      </c>
      <c r="S862" s="12" t="b">
        <v>0</v>
      </c>
      <c r="T862" s="13" t="s">
        <v>272</v>
      </c>
      <c r="U862" s="13" t="s">
        <v>89</v>
      </c>
      <c r="V862" s="13" t="s">
        <v>66</v>
      </c>
      <c r="W862" s="13" t="s">
        <v>4119</v>
      </c>
      <c r="X862" s="15">
        <v>44552.0</v>
      </c>
      <c r="Y862" s="15">
        <v>44554.0</v>
      </c>
      <c r="Z862" s="16"/>
      <c r="AA862" s="17" t="s">
        <v>56</v>
      </c>
      <c r="AB862" s="16">
        <v>44495.0</v>
      </c>
      <c r="AC862" s="17" t="s">
        <v>56</v>
      </c>
      <c r="AD862" s="16">
        <v>44552.0</v>
      </c>
      <c r="AE862" s="17"/>
      <c r="AF862" s="16"/>
      <c r="AG862" s="17"/>
      <c r="AH862" s="16"/>
      <c r="AI862" s="16"/>
      <c r="AJ862" s="16"/>
      <c r="AK862" s="17" t="s">
        <v>89</v>
      </c>
      <c r="AL862" s="17" t="s">
        <v>89</v>
      </c>
      <c r="AM862" s="16"/>
      <c r="AN862" s="16"/>
      <c r="AO862" s="16"/>
      <c r="AP862" s="18" t="s">
        <v>58</v>
      </c>
      <c r="AQ862" s="16"/>
    </row>
    <row r="863" ht="15.75" hidden="1" customHeight="1">
      <c r="A863" s="10" t="s">
        <v>4120</v>
      </c>
      <c r="B863" s="10" t="s">
        <v>4121</v>
      </c>
      <c r="C863" s="10" t="str">
        <f>VLOOKUP(A863,import!A:C,3,0)</f>
        <v>DOĞRU</v>
      </c>
      <c r="D863" s="10" t="s">
        <v>80</v>
      </c>
      <c r="E863" s="10">
        <f>VLOOKUP(A863,import!A:J,5,0)</f>
        <v>1643</v>
      </c>
      <c r="F863" s="10">
        <f>VLOOKUP(A863,import!A:J,6,0)</f>
        <v>61</v>
      </c>
      <c r="G863" s="10">
        <f>VLOOKUP(A863,import!A:J,7,0)</f>
        <v>0</v>
      </c>
      <c r="H863" s="10">
        <f>VLOOKUP(A863,import!A:J,8,0)</f>
        <v>20</v>
      </c>
      <c r="I863" s="10">
        <f>VLOOKUP(A863,import!A:J,9,0)</f>
        <v>20</v>
      </c>
      <c r="J863" s="11">
        <f>VLOOKUP(A863,import!A:J,10,0)</f>
        <v>0</v>
      </c>
      <c r="K863" s="10" t="s">
        <v>4122</v>
      </c>
      <c r="L863" s="10">
        <v>3.243250605E9</v>
      </c>
      <c r="M863" s="10" t="s">
        <v>72</v>
      </c>
      <c r="N863" s="10" t="s">
        <v>181</v>
      </c>
      <c r="O863" s="10" t="s">
        <v>4123</v>
      </c>
      <c r="P863" s="10" t="str">
        <f>VLOOKUP(A863,import!A:P,16,0)</f>
        <v>Geleneksel</v>
      </c>
      <c r="Q863" s="12" t="s">
        <v>50</v>
      </c>
      <c r="R863" s="12" t="b">
        <v>1</v>
      </c>
      <c r="S863" s="12" t="b">
        <v>0</v>
      </c>
      <c r="T863" s="13" t="s">
        <v>199</v>
      </c>
      <c r="U863" s="13"/>
      <c r="V863" s="13"/>
      <c r="W863" s="13" t="s">
        <v>4124</v>
      </c>
      <c r="X863" s="15"/>
      <c r="Y863" s="15"/>
      <c r="Z863" s="17" t="s">
        <v>2328</v>
      </c>
      <c r="AA863" s="17" t="s">
        <v>56</v>
      </c>
      <c r="AB863" s="16">
        <v>44358.0</v>
      </c>
      <c r="AC863" s="17" t="s">
        <v>56</v>
      </c>
      <c r="AD863" s="16">
        <v>44428.0</v>
      </c>
      <c r="AE863" s="17" t="s">
        <v>56</v>
      </c>
      <c r="AF863" s="16">
        <v>44503.0</v>
      </c>
      <c r="AG863" s="17"/>
      <c r="AH863" s="16"/>
      <c r="AI863" s="16"/>
      <c r="AJ863" s="16"/>
      <c r="AK863" s="17" t="s">
        <v>163</v>
      </c>
      <c r="AL863" s="17" t="s">
        <v>95</v>
      </c>
      <c r="AM863" s="17" t="s">
        <v>89</v>
      </c>
      <c r="AN863" s="16"/>
      <c r="AO863" s="16"/>
      <c r="AP863" s="18" t="s">
        <v>58</v>
      </c>
      <c r="AQ863" s="16"/>
    </row>
    <row r="864" ht="15.75" hidden="1" customHeight="1">
      <c r="A864" s="10" t="s">
        <v>4125</v>
      </c>
      <c r="B864" s="10" t="s">
        <v>4126</v>
      </c>
      <c r="C864" s="10" t="str">
        <f>VLOOKUP(A864,import!A:C,3,0)</f>
        <v>DOĞRU</v>
      </c>
      <c r="D864" s="10" t="s">
        <v>884</v>
      </c>
      <c r="E864" s="10">
        <f>VLOOKUP(A864,import!A:J,5,0)</f>
        <v>456</v>
      </c>
      <c r="F864" s="10">
        <f>VLOOKUP(A864,import!A:J,6,0)</f>
        <v>6</v>
      </c>
      <c r="G864" s="10">
        <f>VLOOKUP(A864,import!A:J,7,0)</f>
        <v>61</v>
      </c>
      <c r="H864" s="10">
        <f>VLOOKUP(A864,import!A:J,8,0)</f>
        <v>19</v>
      </c>
      <c r="I864" s="10">
        <f>VLOOKUP(A864,import!A:J,9,0)</f>
        <v>80</v>
      </c>
      <c r="J864" s="11">
        <f>VLOOKUP(A864,import!A:J,10,0)</f>
        <v>0.76</v>
      </c>
      <c r="K864" s="10" t="s">
        <v>4127</v>
      </c>
      <c r="L864" s="10">
        <v>5.424475403E9</v>
      </c>
      <c r="M864" s="10" t="s">
        <v>72</v>
      </c>
      <c r="N864" s="10" t="s">
        <v>548</v>
      </c>
      <c r="O864" s="10" t="s">
        <v>4128</v>
      </c>
      <c r="P864" s="10" t="str">
        <f>VLOOKUP(A864,import!A:P,16,0)</f>
        <v>Geleneksel</v>
      </c>
      <c r="Q864" s="12" t="s">
        <v>84</v>
      </c>
      <c r="R864" s="12" t="b">
        <v>1</v>
      </c>
      <c r="S864" s="12" t="b">
        <v>1</v>
      </c>
      <c r="T864" s="13"/>
      <c r="U864" s="13"/>
      <c r="V864" s="13"/>
      <c r="W864" s="13" t="s">
        <v>4129</v>
      </c>
      <c r="X864" s="15"/>
      <c r="Y864" s="15"/>
      <c r="Z864" s="16"/>
      <c r="AA864" s="16"/>
      <c r="AB864" s="16"/>
      <c r="AC864" s="16"/>
      <c r="AD864" s="16"/>
      <c r="AE864" s="17"/>
      <c r="AF864" s="16"/>
      <c r="AG864" s="17"/>
      <c r="AH864" s="16"/>
      <c r="AI864" s="16"/>
      <c r="AJ864" s="16"/>
      <c r="AK864" s="16"/>
      <c r="AL864" s="16"/>
      <c r="AM864" s="16"/>
      <c r="AN864" s="16"/>
      <c r="AO864" s="16"/>
      <c r="AP864" s="18" t="s">
        <v>58</v>
      </c>
      <c r="AQ864" s="16"/>
    </row>
    <row r="865" ht="15.75" customHeight="1">
      <c r="A865" s="10" t="s">
        <v>4130</v>
      </c>
      <c r="B865" s="10" t="s">
        <v>4131</v>
      </c>
      <c r="C865" s="10" t="str">
        <f>VLOOKUP(A865,import!A:C,3,0)</f>
        <v>DOĞRU</v>
      </c>
      <c r="D865" s="10" t="s">
        <v>80</v>
      </c>
      <c r="E865" s="10">
        <f>VLOOKUP(A865,import!A:J,5,0)</f>
        <v>2358</v>
      </c>
      <c r="F865" s="10">
        <f>VLOOKUP(A865,import!A:J,6,0)</f>
        <v>130</v>
      </c>
      <c r="G865" s="10">
        <f>VLOOKUP(A865,import!A:J,7,0)</f>
        <v>6</v>
      </c>
      <c r="H865" s="10">
        <f>VLOOKUP(A865,import!A:J,8,0)</f>
        <v>12</v>
      </c>
      <c r="I865" s="10">
        <f>VLOOKUP(A865,import!A:J,9,0)</f>
        <v>18</v>
      </c>
      <c r="J865" s="11">
        <f>VLOOKUP(A865,import!A:J,10,0)</f>
        <v>0.33</v>
      </c>
      <c r="K865" s="10" t="s">
        <v>4132</v>
      </c>
      <c r="L865" s="10">
        <v>5.539530733E9</v>
      </c>
      <c r="M865" s="10" t="s">
        <v>63</v>
      </c>
      <c r="N865" s="10" t="s">
        <v>318</v>
      </c>
      <c r="O865" s="10" t="s">
        <v>4133</v>
      </c>
      <c r="P865" s="10" t="str">
        <f>VLOOKUP(A865,import!A:P,16,0)</f>
        <v>Geleneksel</v>
      </c>
      <c r="Q865" s="12"/>
      <c r="R865" s="12" t="b">
        <v>1</v>
      </c>
      <c r="S865" s="12" t="b">
        <v>0</v>
      </c>
      <c r="T865" s="13" t="s">
        <v>51</v>
      </c>
      <c r="U865" s="13" t="s">
        <v>52</v>
      </c>
      <c r="V865" s="13" t="s">
        <v>53</v>
      </c>
      <c r="W865" s="13" t="s">
        <v>4134</v>
      </c>
      <c r="X865" s="15">
        <v>44404.0</v>
      </c>
      <c r="Y865" s="15">
        <v>44406.0</v>
      </c>
      <c r="Z865" s="16"/>
      <c r="AA865" s="17" t="s">
        <v>56</v>
      </c>
      <c r="AB865" s="16">
        <v>44404.0</v>
      </c>
      <c r="AC865" s="17" t="s">
        <v>55</v>
      </c>
      <c r="AD865" s="16">
        <v>44552.0</v>
      </c>
      <c r="AE865" s="17"/>
      <c r="AF865" s="16"/>
      <c r="AG865" s="17"/>
      <c r="AH865" s="16"/>
      <c r="AI865" s="16"/>
      <c r="AJ865" s="16"/>
      <c r="AK865" s="17" t="s">
        <v>52</v>
      </c>
      <c r="AL865" s="17" t="s">
        <v>321</v>
      </c>
      <c r="AM865" s="16"/>
      <c r="AN865" s="16"/>
      <c r="AO865" s="16"/>
      <c r="AP865" s="18" t="s">
        <v>58</v>
      </c>
      <c r="AQ865" s="16"/>
    </row>
    <row r="866" ht="15.75" customHeight="1">
      <c r="A866" s="10" t="s">
        <v>4135</v>
      </c>
      <c r="B866" s="10" t="s">
        <v>4136</v>
      </c>
      <c r="C866" s="10" t="str">
        <f>VLOOKUP(A866,import!A:C,3,0)</f>
        <v>DOĞRU</v>
      </c>
      <c r="D866" s="10" t="s">
        <v>118</v>
      </c>
      <c r="E866" s="10">
        <f>VLOOKUP(A866,import!A:J,5,0)</f>
        <v>10</v>
      </c>
      <c r="F866" s="10" t="str">
        <f>VLOOKUP(A866,import!A:J,6,0)</f>
        <v/>
      </c>
      <c r="G866" s="10">
        <f>VLOOKUP(A866,import!A:J,7,0)</f>
        <v>0</v>
      </c>
      <c r="H866" s="10">
        <f>VLOOKUP(A866,import!A:J,8,0)</f>
        <v>32</v>
      </c>
      <c r="I866" s="10">
        <f>VLOOKUP(A866,import!A:J,9,0)</f>
        <v>32</v>
      </c>
      <c r="J866" s="11">
        <f>VLOOKUP(A866,import!A:J,10,0)</f>
        <v>0</v>
      </c>
      <c r="K866" s="10" t="s">
        <v>4137</v>
      </c>
      <c r="L866" s="10">
        <v>5.312529612E9</v>
      </c>
      <c r="M866" s="10" t="s">
        <v>63</v>
      </c>
      <c r="N866" s="10" t="s">
        <v>100</v>
      </c>
      <c r="O866" s="10" t="s">
        <v>4138</v>
      </c>
      <c r="P866" s="10" t="str">
        <f>VLOOKUP(A866,import!A:P,16,0)</f>
        <v>Geleneksel</v>
      </c>
      <c r="Q866" s="12"/>
      <c r="R866" s="12" t="b">
        <v>1</v>
      </c>
      <c r="S866" s="12" t="b">
        <v>0</v>
      </c>
      <c r="T866" s="13" t="s">
        <v>55</v>
      </c>
      <c r="U866" s="13"/>
      <c r="V866" s="13"/>
      <c r="W866" s="13" t="s">
        <v>4139</v>
      </c>
      <c r="X866" s="15"/>
      <c r="Y866" s="15"/>
      <c r="Z866" s="16"/>
      <c r="AA866" s="17" t="s">
        <v>55</v>
      </c>
      <c r="AB866" s="16">
        <v>44660.0</v>
      </c>
      <c r="AC866" s="16"/>
      <c r="AD866" s="16"/>
      <c r="AE866" s="17"/>
      <c r="AF866" s="16"/>
      <c r="AG866" s="17"/>
      <c r="AH866" s="16"/>
      <c r="AI866" s="16"/>
      <c r="AJ866" s="16"/>
      <c r="AK866" s="17" t="s">
        <v>89</v>
      </c>
      <c r="AL866" s="16"/>
      <c r="AM866" s="16"/>
      <c r="AN866" s="16"/>
      <c r="AO866" s="16"/>
      <c r="AP866" s="18"/>
      <c r="AQ866" s="16"/>
    </row>
    <row r="867" ht="15.75" customHeight="1">
      <c r="A867" s="10" t="s">
        <v>4140</v>
      </c>
      <c r="B867" s="10" t="s">
        <v>4141</v>
      </c>
      <c r="C867" s="10" t="str">
        <f>VLOOKUP(A867,import!A:C,3,0)</f>
        <v>DOĞRU</v>
      </c>
      <c r="D867" s="10" t="s">
        <v>61</v>
      </c>
      <c r="E867" s="10">
        <f>VLOOKUP(A867,import!A:J,5,0)</f>
        <v>611</v>
      </c>
      <c r="F867" s="10">
        <f>VLOOKUP(A867,import!A:J,6,0)</f>
        <v>37</v>
      </c>
      <c r="G867" s="10">
        <f>VLOOKUP(A867,import!A:J,7,0)</f>
        <v>6</v>
      </c>
      <c r="H867" s="10">
        <f>VLOOKUP(A867,import!A:J,8,0)</f>
        <v>0</v>
      </c>
      <c r="I867" s="10">
        <f>VLOOKUP(A867,import!A:J,9,0)</f>
        <v>6</v>
      </c>
      <c r="J867" s="11">
        <f>VLOOKUP(A867,import!A:J,10,0)</f>
        <v>1</v>
      </c>
      <c r="K867" s="10" t="s">
        <v>4142</v>
      </c>
      <c r="L867" s="10">
        <v>5.357251918E9</v>
      </c>
      <c r="M867" s="10" t="s">
        <v>137</v>
      </c>
      <c r="N867" s="10" t="s">
        <v>209</v>
      </c>
      <c r="O867" s="10" t="s">
        <v>4143</v>
      </c>
      <c r="P867" s="10" t="str">
        <f>VLOOKUP(A867,import!A:P,16,0)</f>
        <v>Geleneksel</v>
      </c>
      <c r="Q867" s="12"/>
      <c r="R867" s="12" t="b">
        <v>1</v>
      </c>
      <c r="S867" s="12" t="b">
        <v>0</v>
      </c>
      <c r="T867" s="13" t="s">
        <v>51</v>
      </c>
      <c r="U867" s="13" t="s">
        <v>367</v>
      </c>
      <c r="V867" s="13" t="s">
        <v>66</v>
      </c>
      <c r="W867" s="13" t="s">
        <v>4144</v>
      </c>
      <c r="X867" s="15">
        <v>44484.0</v>
      </c>
      <c r="Y867" s="15">
        <v>44487.0</v>
      </c>
      <c r="Z867" s="16"/>
      <c r="AA867" s="17" t="s">
        <v>56</v>
      </c>
      <c r="AB867" s="16">
        <v>44484.0</v>
      </c>
      <c r="AC867" s="17" t="s">
        <v>56</v>
      </c>
      <c r="AD867" s="16">
        <v>44581.0</v>
      </c>
      <c r="AE867" s="17"/>
      <c r="AF867" s="16"/>
      <c r="AG867" s="17"/>
      <c r="AH867" s="16"/>
      <c r="AI867" s="16"/>
      <c r="AJ867" s="16"/>
      <c r="AK867" s="17" t="s">
        <v>367</v>
      </c>
      <c r="AL867" s="17" t="s">
        <v>89</v>
      </c>
      <c r="AM867" s="16"/>
      <c r="AN867" s="16"/>
      <c r="AO867" s="16"/>
      <c r="AP867" s="18" t="s">
        <v>58</v>
      </c>
      <c r="AQ867" s="16"/>
    </row>
    <row r="868" ht="15.75" hidden="1" customHeight="1">
      <c r="A868" s="10" t="s">
        <v>4145</v>
      </c>
      <c r="B868" s="10" t="s">
        <v>4146</v>
      </c>
      <c r="C868" s="10" t="str">
        <f>VLOOKUP(A868,import!A:C,3,0)</f>
        <v>DOĞRU</v>
      </c>
      <c r="D868" s="10" t="s">
        <v>558</v>
      </c>
      <c r="E868" s="10">
        <f>VLOOKUP(A868,import!A:J,5,0)</f>
        <v>602</v>
      </c>
      <c r="F868" s="10">
        <f>VLOOKUP(A868,import!A:J,6,0)</f>
        <v>27</v>
      </c>
      <c r="G868" s="10">
        <f>VLOOKUP(A868,import!A:J,7,0)</f>
        <v>29</v>
      </c>
      <c r="H868" s="10">
        <f>VLOOKUP(A868,import!A:J,8,0)</f>
        <v>22</v>
      </c>
      <c r="I868" s="10">
        <f>VLOOKUP(A868,import!A:J,9,0)</f>
        <v>51</v>
      </c>
      <c r="J868" s="11">
        <f>VLOOKUP(A868,import!A:J,10,0)</f>
        <v>0.57</v>
      </c>
      <c r="K868" s="10" t="s">
        <v>4147</v>
      </c>
      <c r="L868" s="10">
        <v>5.330218033E9</v>
      </c>
      <c r="M868" s="10" t="s">
        <v>72</v>
      </c>
      <c r="N868" s="10" t="s">
        <v>82</v>
      </c>
      <c r="O868" s="10" t="s">
        <v>4148</v>
      </c>
      <c r="P868" s="10" t="str">
        <f>VLOOKUP(A868,import!A:P,16,0)</f>
        <v>Geleneksel</v>
      </c>
      <c r="Q868" s="12" t="s">
        <v>84</v>
      </c>
      <c r="R868" s="12" t="b">
        <v>1</v>
      </c>
      <c r="S868" s="12" t="b">
        <v>0</v>
      </c>
      <c r="T868" s="13" t="s">
        <v>272</v>
      </c>
      <c r="U868" s="13" t="s">
        <v>87</v>
      </c>
      <c r="V868" s="13" t="s">
        <v>66</v>
      </c>
      <c r="W868" s="13" t="s">
        <v>4149</v>
      </c>
      <c r="X868" s="15">
        <v>44519.0</v>
      </c>
      <c r="Y868" s="15">
        <v>44522.0</v>
      </c>
      <c r="Z868" s="16"/>
      <c r="AA868" s="17" t="s">
        <v>56</v>
      </c>
      <c r="AB868" s="16">
        <v>44519.0</v>
      </c>
      <c r="AC868" s="16"/>
      <c r="AD868" s="16"/>
      <c r="AE868" s="17"/>
      <c r="AF868" s="16"/>
      <c r="AG868" s="17"/>
      <c r="AH868" s="16"/>
      <c r="AI868" s="16"/>
      <c r="AJ868" s="16"/>
      <c r="AK868" s="17" t="s">
        <v>87</v>
      </c>
      <c r="AL868" s="16"/>
      <c r="AM868" s="16"/>
      <c r="AN868" s="16"/>
      <c r="AO868" s="16"/>
      <c r="AP868" s="18" t="s">
        <v>58</v>
      </c>
      <c r="AQ868" s="16"/>
    </row>
    <row r="869" ht="15.75" customHeight="1">
      <c r="A869" s="10" t="s">
        <v>4150</v>
      </c>
      <c r="B869" s="10" t="s">
        <v>4151</v>
      </c>
      <c r="C869" s="10" t="str">
        <f>VLOOKUP(A869,import!A:C,3,0)</f>
        <v>DOĞRU</v>
      </c>
      <c r="D869" s="10" t="s">
        <v>80</v>
      </c>
      <c r="E869" s="10">
        <f>VLOOKUP(A869,import!A:J,5,0)</f>
        <v>217</v>
      </c>
      <c r="F869" s="10">
        <f>VLOOKUP(A869,import!A:J,6,0)</f>
        <v>128</v>
      </c>
      <c r="G869" s="10">
        <f>VLOOKUP(A869,import!A:J,7,0)</f>
        <v>0</v>
      </c>
      <c r="H869" s="10">
        <f>VLOOKUP(A869,import!A:J,8,0)</f>
        <v>30</v>
      </c>
      <c r="I869" s="10">
        <f>VLOOKUP(A869,import!A:J,9,0)</f>
        <v>30</v>
      </c>
      <c r="J869" s="11">
        <f>VLOOKUP(A869,import!A:J,10,0)</f>
        <v>0</v>
      </c>
      <c r="K869" s="10" t="s">
        <v>4152</v>
      </c>
      <c r="L869" s="10">
        <v>5.362313218E9</v>
      </c>
      <c r="M869" s="10" t="s">
        <v>63</v>
      </c>
      <c r="N869" s="10" t="s">
        <v>93</v>
      </c>
      <c r="O869" s="10" t="s">
        <v>4153</v>
      </c>
      <c r="P869" s="10" t="str">
        <f>VLOOKUP(A869,import!A:P,16,0)</f>
        <v>Geleneksel</v>
      </c>
      <c r="Q869" s="12"/>
      <c r="R869" s="12" t="b">
        <v>1</v>
      </c>
      <c r="S869" s="12" t="b">
        <v>0</v>
      </c>
      <c r="T869" s="13" t="s">
        <v>130</v>
      </c>
      <c r="U869" s="13"/>
      <c r="V869" s="13"/>
      <c r="W869" s="13" t="s">
        <v>1120</v>
      </c>
      <c r="X869" s="15"/>
      <c r="Y869" s="15"/>
      <c r="Z869" s="16"/>
      <c r="AA869" s="17" t="s">
        <v>56</v>
      </c>
      <c r="AB869" s="16">
        <v>44649.0</v>
      </c>
      <c r="AC869" s="16"/>
      <c r="AD869" s="16"/>
      <c r="AE869" s="17"/>
      <c r="AF869" s="16"/>
      <c r="AG869" s="17"/>
      <c r="AH869" s="16"/>
      <c r="AI869" s="16"/>
      <c r="AJ869" s="16"/>
      <c r="AK869" s="17" t="s">
        <v>89</v>
      </c>
      <c r="AL869" s="16"/>
      <c r="AM869" s="16"/>
      <c r="AN869" s="16"/>
      <c r="AO869" s="16"/>
      <c r="AP869" s="18"/>
      <c r="AQ869" s="16"/>
    </row>
    <row r="870" ht="15.75" hidden="1" customHeight="1">
      <c r="A870" s="10" t="s">
        <v>4154</v>
      </c>
      <c r="B870" s="10" t="s">
        <v>4155</v>
      </c>
      <c r="C870" s="10" t="str">
        <f>VLOOKUP(A870,import!A:C,3,0)</f>
        <v>DOĞRU</v>
      </c>
      <c r="D870" s="10" t="s">
        <v>61</v>
      </c>
      <c r="E870" s="10">
        <f>VLOOKUP(A870,import!A:J,5,0)</f>
        <v>59</v>
      </c>
      <c r="F870" s="10">
        <f>VLOOKUP(A870,import!A:J,6,0)</f>
        <v>6</v>
      </c>
      <c r="G870" s="10">
        <f>VLOOKUP(A870,import!A:J,7,0)</f>
        <v>0</v>
      </c>
      <c r="H870" s="10">
        <f>VLOOKUP(A870,import!A:J,8,0)</f>
        <v>6</v>
      </c>
      <c r="I870" s="10">
        <f>VLOOKUP(A870,import!A:J,9,0)</f>
        <v>6</v>
      </c>
      <c r="J870" s="11">
        <f>VLOOKUP(A870,import!A:J,10,0)</f>
        <v>0</v>
      </c>
      <c r="K870" s="10" t="s">
        <v>4156</v>
      </c>
      <c r="L870" s="10">
        <v>5.374413981E9</v>
      </c>
      <c r="M870" s="10" t="s">
        <v>72</v>
      </c>
      <c r="N870" s="10" t="s">
        <v>548</v>
      </c>
      <c r="O870" s="10" t="s">
        <v>4157</v>
      </c>
      <c r="P870" s="10" t="str">
        <f>VLOOKUP(A870,import!A:P,16,0)</f>
        <v>Geleneksel</v>
      </c>
      <c r="Q870" s="12"/>
      <c r="R870" s="12" t="b">
        <v>1</v>
      </c>
      <c r="S870" s="12" t="b">
        <v>1</v>
      </c>
      <c r="T870" s="13"/>
      <c r="U870" s="13"/>
      <c r="V870" s="13"/>
      <c r="W870" s="13" t="s">
        <v>2653</v>
      </c>
      <c r="X870" s="15"/>
      <c r="Y870" s="15"/>
      <c r="Z870" s="16"/>
      <c r="AA870" s="17" t="s">
        <v>56</v>
      </c>
      <c r="AB870" s="16">
        <v>44578.0</v>
      </c>
      <c r="AC870" s="16"/>
      <c r="AD870" s="16"/>
      <c r="AE870" s="17"/>
      <c r="AF870" s="16"/>
      <c r="AG870" s="17"/>
      <c r="AH870" s="16"/>
      <c r="AI870" s="16"/>
      <c r="AJ870" s="16"/>
      <c r="AK870" s="17" t="s">
        <v>89</v>
      </c>
      <c r="AL870" s="16"/>
      <c r="AM870" s="16"/>
      <c r="AN870" s="16"/>
      <c r="AO870" s="16"/>
      <c r="AP870" s="18"/>
      <c r="AQ870" s="16"/>
    </row>
    <row r="871" ht="15.75" hidden="1" customHeight="1">
      <c r="A871" s="10" t="s">
        <v>4158</v>
      </c>
      <c r="B871" s="10" t="s">
        <v>4159</v>
      </c>
      <c r="C871" s="10" t="str">
        <f>VLOOKUP(A871,import!A:C,3,0)</f>
        <v>DOĞRU</v>
      </c>
      <c r="D871" s="10" t="s">
        <v>118</v>
      </c>
      <c r="E871" s="10">
        <f>VLOOKUP(A871,import!A:J,5,0)</f>
        <v>48</v>
      </c>
      <c r="F871" s="10">
        <f>VLOOKUP(A871,import!A:J,6,0)</f>
        <v>39</v>
      </c>
      <c r="G871" s="10">
        <f>VLOOKUP(A871,import!A:J,7,0)</f>
        <v>0</v>
      </c>
      <c r="H871" s="10">
        <f>VLOOKUP(A871,import!A:J,8,0)</f>
        <v>7</v>
      </c>
      <c r="I871" s="10">
        <f>VLOOKUP(A871,import!A:J,9,0)</f>
        <v>7</v>
      </c>
      <c r="J871" s="11">
        <f>VLOOKUP(A871,import!A:J,10,0)</f>
        <v>0</v>
      </c>
      <c r="K871" s="10" t="s">
        <v>4160</v>
      </c>
      <c r="L871" s="10">
        <v>5.339736233E9</v>
      </c>
      <c r="M871" s="10" t="s">
        <v>215</v>
      </c>
      <c r="N871" s="10" t="s">
        <v>671</v>
      </c>
      <c r="O871" s="10" t="s">
        <v>4161</v>
      </c>
      <c r="P871" s="10" t="str">
        <f>VLOOKUP(A871,import!A:P,16,0)</f>
        <v>Geleneksel</v>
      </c>
      <c r="Q871" s="12"/>
      <c r="R871" s="12" t="b">
        <v>1</v>
      </c>
      <c r="S871" s="12" t="b">
        <v>0</v>
      </c>
      <c r="T871" s="13" t="s">
        <v>265</v>
      </c>
      <c r="U871" s="13"/>
      <c r="V871" s="13"/>
      <c r="W871" s="13" t="s">
        <v>4162</v>
      </c>
      <c r="X871" s="15"/>
      <c r="Y871" s="15"/>
      <c r="Z871" s="16"/>
      <c r="AA871" s="17" t="s">
        <v>56</v>
      </c>
      <c r="AB871" s="16">
        <v>44635.0</v>
      </c>
      <c r="AC871" s="16"/>
      <c r="AD871" s="16"/>
      <c r="AE871" s="17"/>
      <c r="AF871" s="16"/>
      <c r="AG871" s="17"/>
      <c r="AH871" s="16"/>
      <c r="AI871" s="16"/>
      <c r="AJ871" s="16"/>
      <c r="AK871" s="17" t="s">
        <v>89</v>
      </c>
      <c r="AL871" s="16"/>
      <c r="AM871" s="16"/>
      <c r="AN871" s="16"/>
      <c r="AO871" s="16"/>
      <c r="AP871" s="18"/>
      <c r="AQ871" s="16"/>
    </row>
    <row r="872" ht="15.75" hidden="1" customHeight="1">
      <c r="A872" s="10" t="s">
        <v>4163</v>
      </c>
      <c r="B872" s="10" t="s">
        <v>4164</v>
      </c>
      <c r="C872" s="10" t="str">
        <f>VLOOKUP(A872,import!A:C,3,0)</f>
        <v>DOĞRU</v>
      </c>
      <c r="D872" s="10" t="s">
        <v>498</v>
      </c>
      <c r="E872" s="10">
        <f>VLOOKUP(A872,import!A:J,5,0)</f>
        <v>227</v>
      </c>
      <c r="F872" s="10">
        <f>VLOOKUP(A872,import!A:J,6,0)</f>
        <v>29</v>
      </c>
      <c r="G872" s="10">
        <f>VLOOKUP(A872,import!A:J,7,0)</f>
        <v>0</v>
      </c>
      <c r="H872" s="10">
        <f>VLOOKUP(A872,import!A:J,8,0)</f>
        <v>12</v>
      </c>
      <c r="I872" s="10">
        <f>VLOOKUP(A872,import!A:J,9,0)</f>
        <v>12</v>
      </c>
      <c r="J872" s="11">
        <f>VLOOKUP(A872,import!A:J,10,0)</f>
        <v>0</v>
      </c>
      <c r="K872" s="10" t="s">
        <v>4165</v>
      </c>
      <c r="L872" s="10">
        <v>5.308276203E9</v>
      </c>
      <c r="M872" s="10" t="s">
        <v>47</v>
      </c>
      <c r="N872" s="10" t="s">
        <v>479</v>
      </c>
      <c r="O872" s="10" t="s">
        <v>4166</v>
      </c>
      <c r="P872" s="10" t="str">
        <f>VLOOKUP(A872,import!A:P,16,0)</f>
        <v>Geleneksel</v>
      </c>
      <c r="Q872" s="12"/>
      <c r="R872" s="12" t="b">
        <v>1</v>
      </c>
      <c r="S872" s="12" t="b">
        <v>0</v>
      </c>
      <c r="T872" s="13" t="s">
        <v>51</v>
      </c>
      <c r="U872" s="13" t="s">
        <v>89</v>
      </c>
      <c r="V872" s="34" t="s">
        <v>368</v>
      </c>
      <c r="W872" s="13"/>
      <c r="X872" s="15">
        <v>44694.0</v>
      </c>
      <c r="Y872" s="15">
        <v>44695.0</v>
      </c>
      <c r="Z872" s="16"/>
      <c r="AA872" s="17" t="s">
        <v>56</v>
      </c>
      <c r="AB872" s="16">
        <v>44694.0</v>
      </c>
      <c r="AC872" s="16"/>
      <c r="AD872" s="16"/>
      <c r="AE872" s="17"/>
      <c r="AF872" s="16"/>
      <c r="AG872" s="17"/>
      <c r="AH872" s="16"/>
      <c r="AI872" s="16"/>
      <c r="AJ872" s="16"/>
      <c r="AK872" s="17" t="s">
        <v>89</v>
      </c>
      <c r="AL872" s="16"/>
      <c r="AM872" s="16"/>
      <c r="AN872" s="16"/>
      <c r="AO872" s="16"/>
      <c r="AP872" s="18"/>
      <c r="AQ872" s="16"/>
    </row>
    <row r="873" ht="15.75" customHeight="1">
      <c r="A873" s="10" t="s">
        <v>4167</v>
      </c>
      <c r="B873" s="10" t="s">
        <v>4168</v>
      </c>
      <c r="C873" s="10" t="str">
        <f>VLOOKUP(A873,import!A:C,3,0)</f>
        <v>DOĞRU</v>
      </c>
      <c r="D873" s="10" t="s">
        <v>70</v>
      </c>
      <c r="E873" s="10">
        <f>VLOOKUP(A873,import!A:J,5,0)</f>
        <v>3707</v>
      </c>
      <c r="F873" s="10">
        <f>VLOOKUP(A873,import!A:J,6,0)</f>
        <v>89</v>
      </c>
      <c r="G873" s="10">
        <f>VLOOKUP(A873,import!A:J,7,0)</f>
        <v>25</v>
      </c>
      <c r="H873" s="10">
        <f>VLOOKUP(A873,import!A:J,8,0)</f>
        <v>7</v>
      </c>
      <c r="I873" s="10">
        <f>VLOOKUP(A873,import!A:J,9,0)</f>
        <v>32</v>
      </c>
      <c r="J873" s="11">
        <f>VLOOKUP(A873,import!A:J,10,0)</f>
        <v>0.78</v>
      </c>
      <c r="K873" s="10" t="s">
        <v>4169</v>
      </c>
      <c r="L873" s="10">
        <v>5.323661782E9</v>
      </c>
      <c r="M873" s="10" t="s">
        <v>63</v>
      </c>
      <c r="N873" s="10" t="s">
        <v>93</v>
      </c>
      <c r="O873" s="10" t="s">
        <v>4170</v>
      </c>
      <c r="P873" s="10" t="str">
        <f>VLOOKUP(A873,import!A:P,16,0)</f>
        <v>Geleneksel</v>
      </c>
      <c r="Q873" s="12" t="s">
        <v>75</v>
      </c>
      <c r="R873" s="12" t="b">
        <v>1</v>
      </c>
      <c r="S873" s="12" t="b">
        <v>0</v>
      </c>
      <c r="T873" s="13" t="s">
        <v>51</v>
      </c>
      <c r="U873" s="13" t="s">
        <v>1043</v>
      </c>
      <c r="V873" s="13" t="s">
        <v>66</v>
      </c>
      <c r="W873" s="13" t="s">
        <v>4171</v>
      </c>
      <c r="X873" s="15">
        <v>44271.0</v>
      </c>
      <c r="Y873" s="15">
        <v>44274.0</v>
      </c>
      <c r="Z873" s="16"/>
      <c r="AA873" s="16"/>
      <c r="AB873" s="16"/>
      <c r="AC873" s="16"/>
      <c r="AD873" s="16"/>
      <c r="AE873" s="17"/>
      <c r="AF873" s="16"/>
      <c r="AG873" s="17"/>
      <c r="AH873" s="16"/>
      <c r="AI873" s="16"/>
      <c r="AJ873" s="16"/>
      <c r="AK873" s="16"/>
      <c r="AL873" s="16"/>
      <c r="AM873" s="16"/>
      <c r="AN873" s="16"/>
      <c r="AO873" s="16"/>
      <c r="AP873" s="18" t="s">
        <v>58</v>
      </c>
      <c r="AQ873" s="16"/>
    </row>
    <row r="874" ht="15.75" customHeight="1">
      <c r="A874" s="10" t="s">
        <v>4172</v>
      </c>
      <c r="B874" s="10" t="s">
        <v>4173</v>
      </c>
      <c r="C874" s="10" t="str">
        <f>VLOOKUP(A874,import!A:C,3,0)</f>
        <v>DOĞRU</v>
      </c>
      <c r="D874" s="10" t="s">
        <v>70</v>
      </c>
      <c r="E874" s="10">
        <f>VLOOKUP(A874,import!A:J,5,0)</f>
        <v>1316</v>
      </c>
      <c r="F874" s="10">
        <f>VLOOKUP(A874,import!A:J,6,0)</f>
        <v>93</v>
      </c>
      <c r="G874" s="10">
        <f>VLOOKUP(A874,import!A:J,7,0)</f>
        <v>11</v>
      </c>
      <c r="H874" s="10">
        <f>VLOOKUP(A874,import!A:J,8,0)</f>
        <v>7</v>
      </c>
      <c r="I874" s="10">
        <f>VLOOKUP(A874,import!A:J,9,0)</f>
        <v>18</v>
      </c>
      <c r="J874" s="11">
        <f>VLOOKUP(A874,import!A:J,10,0)</f>
        <v>0.61</v>
      </c>
      <c r="K874" s="10" t="s">
        <v>4174</v>
      </c>
      <c r="L874" s="10">
        <v>5.343136153E9</v>
      </c>
      <c r="M874" s="10" t="s">
        <v>137</v>
      </c>
      <c r="N874" s="10" t="s">
        <v>144</v>
      </c>
      <c r="O874" s="10" t="s">
        <v>4175</v>
      </c>
      <c r="P874" s="10" t="str">
        <f>VLOOKUP(A874,import!A:P,16,0)</f>
        <v>Geleneksel</v>
      </c>
      <c r="Q874" s="12" t="s">
        <v>50</v>
      </c>
      <c r="R874" s="12" t="b">
        <v>1</v>
      </c>
      <c r="S874" s="12" t="b">
        <v>0</v>
      </c>
      <c r="T874" s="13" t="s">
        <v>51</v>
      </c>
      <c r="U874" s="14" t="s">
        <v>321</v>
      </c>
      <c r="V874" s="14" t="s">
        <v>53</v>
      </c>
      <c r="W874" s="14" t="s">
        <v>4176</v>
      </c>
      <c r="X874" s="29">
        <v>44557.0</v>
      </c>
      <c r="Y874" s="29">
        <v>44558.0</v>
      </c>
      <c r="Z874" s="16"/>
      <c r="AA874" s="17" t="s">
        <v>55</v>
      </c>
      <c r="AB874" s="16">
        <v>44356.0</v>
      </c>
      <c r="AC874" s="17" t="s">
        <v>56</v>
      </c>
      <c r="AD874" s="16">
        <v>44557.0</v>
      </c>
      <c r="AE874" s="17" t="s">
        <v>86</v>
      </c>
      <c r="AF874" s="16">
        <v>44558.0</v>
      </c>
      <c r="AG874" s="17"/>
      <c r="AH874" s="16"/>
      <c r="AI874" s="16"/>
      <c r="AJ874" s="16"/>
      <c r="AK874" s="17" t="s">
        <v>52</v>
      </c>
      <c r="AL874" s="17" t="s">
        <v>321</v>
      </c>
      <c r="AM874" s="17" t="s">
        <v>321</v>
      </c>
      <c r="AN874" s="16"/>
      <c r="AO874" s="16"/>
      <c r="AP874" s="18" t="s">
        <v>58</v>
      </c>
      <c r="AQ874" s="16"/>
    </row>
    <row r="875" ht="15.75" hidden="1" customHeight="1">
      <c r="A875" s="10" t="s">
        <v>4177</v>
      </c>
      <c r="B875" s="10" t="s">
        <v>4178</v>
      </c>
      <c r="C875" s="10" t="str">
        <f>VLOOKUP(A875,import!A:C,3,0)</f>
        <v>DOĞRU</v>
      </c>
      <c r="D875" s="10" t="s">
        <v>80</v>
      </c>
      <c r="E875" s="10">
        <f>VLOOKUP(A875,import!A:J,5,0)</f>
        <v>206</v>
      </c>
      <c r="F875" s="10">
        <f>VLOOKUP(A875,import!A:J,6,0)</f>
        <v>16</v>
      </c>
      <c r="G875" s="10">
        <f>VLOOKUP(A875,import!A:J,7,0)</f>
        <v>0</v>
      </c>
      <c r="H875" s="10">
        <f>VLOOKUP(A875,import!A:J,8,0)</f>
        <v>10</v>
      </c>
      <c r="I875" s="10">
        <f>VLOOKUP(A875,import!A:J,9,0)</f>
        <v>10</v>
      </c>
      <c r="J875" s="11">
        <f>VLOOKUP(A875,import!A:J,10,0)</f>
        <v>0</v>
      </c>
      <c r="K875" s="10" t="s">
        <v>4179</v>
      </c>
      <c r="L875" s="10">
        <v>3.245033363E9</v>
      </c>
      <c r="M875" s="10" t="s">
        <v>47</v>
      </c>
      <c r="N875" s="10" t="s">
        <v>48</v>
      </c>
      <c r="O875" s="10" t="s">
        <v>4180</v>
      </c>
      <c r="P875" s="10" t="str">
        <f>VLOOKUP(A875,import!A:P,16,0)</f>
        <v>Geleneksel</v>
      </c>
      <c r="Q875" s="12"/>
      <c r="R875" s="12" t="b">
        <v>0</v>
      </c>
      <c r="S875" s="12" t="b">
        <v>0</v>
      </c>
      <c r="T875" s="13" t="s">
        <v>485</v>
      </c>
      <c r="U875" s="13"/>
      <c r="V875" s="19"/>
      <c r="W875" s="13"/>
      <c r="X875" s="15"/>
      <c r="Y875" s="15"/>
      <c r="Z875" s="16"/>
      <c r="AA875" s="16"/>
      <c r="AB875" s="16"/>
      <c r="AC875" s="16"/>
      <c r="AD875" s="16"/>
      <c r="AE875" s="17"/>
      <c r="AF875" s="16"/>
      <c r="AG875" s="17"/>
      <c r="AH875" s="16"/>
      <c r="AI875" s="16"/>
      <c r="AJ875" s="16"/>
      <c r="AK875" s="16"/>
      <c r="AL875" s="16"/>
      <c r="AM875" s="16"/>
      <c r="AN875" s="16"/>
      <c r="AO875" s="16"/>
      <c r="AP875" s="18"/>
      <c r="AQ875" s="16"/>
    </row>
    <row r="876" ht="15.75" hidden="1" customHeight="1">
      <c r="A876" s="10" t="s">
        <v>4181</v>
      </c>
      <c r="B876" s="10" t="s">
        <v>4182</v>
      </c>
      <c r="C876" s="10" t="str">
        <f>VLOOKUP(A876,import!A:C,3,0)</f>
        <v>DOĞRU</v>
      </c>
      <c r="D876" s="10" t="s">
        <v>80</v>
      </c>
      <c r="E876" s="10">
        <f>VLOOKUP(A876,import!A:J,5,0)</f>
        <v>206</v>
      </c>
      <c r="F876" s="10">
        <f>VLOOKUP(A876,import!A:J,6,0)</f>
        <v>58</v>
      </c>
      <c r="G876" s="10">
        <f>VLOOKUP(A876,import!A:J,7,0)</f>
        <v>0</v>
      </c>
      <c r="H876" s="10">
        <f>VLOOKUP(A876,import!A:J,8,0)</f>
        <v>15</v>
      </c>
      <c r="I876" s="10">
        <f>VLOOKUP(A876,import!A:J,9,0)</f>
        <v>15</v>
      </c>
      <c r="J876" s="11">
        <f>VLOOKUP(A876,import!A:J,10,0)</f>
        <v>0</v>
      </c>
      <c r="K876" s="10" t="s">
        <v>4183</v>
      </c>
      <c r="L876" s="10">
        <v>3.248165599E9</v>
      </c>
      <c r="M876" s="10" t="s">
        <v>902</v>
      </c>
      <c r="N876" s="10" t="s">
        <v>1483</v>
      </c>
      <c r="O876" s="10" t="s">
        <v>4184</v>
      </c>
      <c r="P876" s="10" t="str">
        <f>VLOOKUP(A876,import!A:P,16,0)</f>
        <v>Geleneksel</v>
      </c>
      <c r="Q876" s="12"/>
      <c r="R876" s="12" t="b">
        <v>0</v>
      </c>
      <c r="S876" s="12" t="b">
        <v>0</v>
      </c>
      <c r="T876" s="13"/>
      <c r="U876" s="13"/>
      <c r="V876" s="13"/>
      <c r="W876" s="13"/>
      <c r="X876" s="15"/>
      <c r="Y876" s="15"/>
      <c r="Z876" s="16"/>
      <c r="AA876" s="17"/>
      <c r="AB876" s="16"/>
      <c r="AC876" s="16"/>
      <c r="AD876" s="16"/>
      <c r="AE876" s="17"/>
      <c r="AF876" s="16"/>
      <c r="AG876" s="17"/>
      <c r="AH876" s="16"/>
      <c r="AI876" s="16"/>
      <c r="AJ876" s="16"/>
      <c r="AK876" s="17"/>
      <c r="AL876" s="16"/>
      <c r="AM876" s="16"/>
      <c r="AN876" s="16"/>
      <c r="AO876" s="16"/>
      <c r="AP876" s="18"/>
      <c r="AQ876" s="16"/>
    </row>
    <row r="877" ht="15.75" hidden="1" customHeight="1">
      <c r="A877" s="18" t="s">
        <v>4185</v>
      </c>
      <c r="B877" s="18" t="s">
        <v>4186</v>
      </c>
      <c r="C877" s="10" t="str">
        <f>VLOOKUP(A877,import!A:C,3,0)</f>
        <v>DOĞRU</v>
      </c>
      <c r="D877" s="18" t="s">
        <v>118</v>
      </c>
      <c r="E877" s="10">
        <f>VLOOKUP(A877,import!A:J,5,0)</f>
        <v>86</v>
      </c>
      <c r="F877" s="10">
        <f>VLOOKUP(A877,import!A:J,6,0)</f>
        <v>86</v>
      </c>
      <c r="G877" s="10">
        <f>VLOOKUP(A877,import!A:J,7,0)</f>
        <v>0</v>
      </c>
      <c r="H877" s="10">
        <f>VLOOKUP(A877,import!A:J,8,0)</f>
        <v>12</v>
      </c>
      <c r="I877" s="10">
        <f>VLOOKUP(A877,import!A:J,9,0)</f>
        <v>12</v>
      </c>
      <c r="J877" s="11">
        <f>VLOOKUP(A877,import!A:J,10,0)</f>
        <v>0</v>
      </c>
      <c r="K877" s="18" t="s">
        <v>3683</v>
      </c>
      <c r="L877" s="18">
        <v>5.357188147E9</v>
      </c>
      <c r="M877" s="18" t="s">
        <v>187</v>
      </c>
      <c r="N877" s="18" t="s">
        <v>150</v>
      </c>
      <c r="O877" s="18" t="s">
        <v>4187</v>
      </c>
      <c r="P877" s="10" t="str">
        <f>VLOOKUP(A877,import!A:P,16,0)</f>
        <v>Geleneksel</v>
      </c>
      <c r="Q877" s="12"/>
      <c r="R877" s="12" t="b">
        <v>0</v>
      </c>
      <c r="S877" s="12" t="b">
        <v>0</v>
      </c>
      <c r="T877" s="13"/>
      <c r="U877" s="13"/>
      <c r="V877" s="13"/>
      <c r="W877" s="13"/>
      <c r="X877" s="15"/>
      <c r="Y877" s="15"/>
      <c r="Z877" s="16"/>
      <c r="AA877" s="17"/>
      <c r="AB877" s="16"/>
      <c r="AC877" s="16"/>
      <c r="AD877" s="16"/>
      <c r="AE877" s="17"/>
      <c r="AF877" s="16"/>
      <c r="AG877" s="17"/>
      <c r="AH877" s="16"/>
      <c r="AI877" s="16"/>
      <c r="AJ877" s="16"/>
      <c r="AK877" s="17"/>
      <c r="AL877" s="16"/>
      <c r="AM877" s="16"/>
      <c r="AN877" s="16"/>
      <c r="AO877" s="16"/>
      <c r="AP877" s="18"/>
      <c r="AQ877" s="16"/>
    </row>
    <row r="878" ht="15.75" hidden="1" customHeight="1">
      <c r="A878" s="10" t="s">
        <v>4188</v>
      </c>
      <c r="B878" s="10" t="s">
        <v>4189</v>
      </c>
      <c r="C878" s="10" t="str">
        <f>VLOOKUP(A878,import!A:C,3,0)</f>
        <v>YANLIŞ</v>
      </c>
      <c r="D878" s="10" t="s">
        <v>118</v>
      </c>
      <c r="E878" s="10">
        <f>VLOOKUP(A878,import!A:J,5,0)</f>
        <v>345</v>
      </c>
      <c r="F878" s="10" t="str">
        <f>VLOOKUP(A878,import!A:J,6,0)</f>
        <v/>
      </c>
      <c r="G878" s="10">
        <f>VLOOKUP(A878,import!A:J,7,0)</f>
        <v>9</v>
      </c>
      <c r="H878" s="10">
        <f>VLOOKUP(A878,import!A:J,8,0)</f>
        <v>2</v>
      </c>
      <c r="I878" s="10">
        <f>VLOOKUP(A878,import!A:J,9,0)</f>
        <v>11</v>
      </c>
      <c r="J878" s="11">
        <f>VLOOKUP(A878,import!A:J,10,0)</f>
        <v>0.82</v>
      </c>
      <c r="K878" s="10" t="s">
        <v>4190</v>
      </c>
      <c r="L878" s="10">
        <v>3.243262631E9</v>
      </c>
      <c r="M878" s="10" t="s">
        <v>72</v>
      </c>
      <c r="N878" s="10" t="s">
        <v>333</v>
      </c>
      <c r="O878" s="10" t="s">
        <v>4191</v>
      </c>
      <c r="P878" s="10" t="str">
        <f>VLOOKUP(A878,import!A:P,16,0)</f>
        <v>Geleneksel</v>
      </c>
      <c r="Q878" s="12"/>
      <c r="R878" s="12" t="b">
        <v>1</v>
      </c>
      <c r="S878" s="12" t="b">
        <v>0</v>
      </c>
      <c r="T878" s="13" t="s">
        <v>51</v>
      </c>
      <c r="U878" s="13" t="s">
        <v>52</v>
      </c>
      <c r="V878" s="13" t="s">
        <v>66</v>
      </c>
      <c r="W878" s="13" t="s">
        <v>4192</v>
      </c>
      <c r="X878" s="15">
        <v>44327.0</v>
      </c>
      <c r="Y878" s="15">
        <v>44333.0</v>
      </c>
      <c r="Z878" s="16"/>
      <c r="AA878" s="17" t="s">
        <v>56</v>
      </c>
      <c r="AB878" s="16">
        <v>44581.0</v>
      </c>
      <c r="AC878" s="16"/>
      <c r="AD878" s="16"/>
      <c r="AE878" s="17"/>
      <c r="AF878" s="16"/>
      <c r="AG878" s="17"/>
      <c r="AH878" s="16"/>
      <c r="AI878" s="16"/>
      <c r="AJ878" s="16"/>
      <c r="AK878" s="17" t="s">
        <v>89</v>
      </c>
      <c r="AL878" s="16"/>
      <c r="AM878" s="16"/>
      <c r="AN878" s="16"/>
      <c r="AO878" s="16"/>
      <c r="AP878" s="18" t="s">
        <v>58</v>
      </c>
      <c r="AQ878" s="16"/>
    </row>
    <row r="879" ht="15.75" customHeight="1">
      <c r="A879" s="10" t="s">
        <v>4193</v>
      </c>
      <c r="B879" s="10" t="s">
        <v>4194</v>
      </c>
      <c r="C879" s="10" t="str">
        <f>VLOOKUP(A879,import!A:C,3,0)</f>
        <v>DOĞRU</v>
      </c>
      <c r="D879" s="10" t="s">
        <v>118</v>
      </c>
      <c r="E879" s="10">
        <f>VLOOKUP(A879,import!A:J,5,0)</f>
        <v>1516</v>
      </c>
      <c r="F879" s="10">
        <f>VLOOKUP(A879,import!A:J,6,0)</f>
        <v>95</v>
      </c>
      <c r="G879" s="10">
        <f>VLOOKUP(A879,import!A:J,7,0)</f>
        <v>0</v>
      </c>
      <c r="H879" s="10">
        <f>VLOOKUP(A879,import!A:J,8,0)</f>
        <v>20</v>
      </c>
      <c r="I879" s="10">
        <f>VLOOKUP(A879,import!A:J,9,0)</f>
        <v>20</v>
      </c>
      <c r="J879" s="11">
        <f>VLOOKUP(A879,import!A:J,10,0)</f>
        <v>0</v>
      </c>
      <c r="K879" s="10" t="s">
        <v>4195</v>
      </c>
      <c r="L879" s="10">
        <v>5.396465833E9</v>
      </c>
      <c r="M879" s="10" t="s">
        <v>63</v>
      </c>
      <c r="N879" s="10" t="s">
        <v>100</v>
      </c>
      <c r="O879" s="10" t="s">
        <v>4196</v>
      </c>
      <c r="P879" s="10" t="str">
        <f>VLOOKUP(A879,import!A:P,16,0)</f>
        <v>Geleneksel</v>
      </c>
      <c r="Q879" s="12" t="s">
        <v>146</v>
      </c>
      <c r="R879" s="12" t="b">
        <v>1</v>
      </c>
      <c r="S879" s="12" t="b">
        <v>0</v>
      </c>
      <c r="T879" s="13" t="s">
        <v>199</v>
      </c>
      <c r="U879" s="13"/>
      <c r="V879" s="13"/>
      <c r="W879" s="13" t="s">
        <v>4197</v>
      </c>
      <c r="X879" s="15"/>
      <c r="Y879" s="15"/>
      <c r="Z879" s="16"/>
      <c r="AA879" s="17" t="s">
        <v>86</v>
      </c>
      <c r="AB879" s="16">
        <v>44418.0</v>
      </c>
      <c r="AC879" s="17" t="s">
        <v>86</v>
      </c>
      <c r="AD879" s="16">
        <v>44450.0</v>
      </c>
      <c r="AE879" s="17" t="s">
        <v>56</v>
      </c>
      <c r="AF879" s="16">
        <v>44495.0</v>
      </c>
      <c r="AG879" s="17"/>
      <c r="AH879" s="16"/>
      <c r="AI879" s="16"/>
      <c r="AJ879" s="16"/>
      <c r="AK879" s="17" t="s">
        <v>95</v>
      </c>
      <c r="AL879" s="17" t="s">
        <v>108</v>
      </c>
      <c r="AM879" s="17" t="s">
        <v>89</v>
      </c>
      <c r="AN879" s="16"/>
      <c r="AO879" s="16"/>
      <c r="AP879" s="18" t="s">
        <v>58</v>
      </c>
      <c r="AQ879" s="16"/>
    </row>
    <row r="880" ht="15.75" hidden="1" customHeight="1">
      <c r="A880" s="10" t="s">
        <v>4198</v>
      </c>
      <c r="B880" s="10" t="s">
        <v>4199</v>
      </c>
      <c r="C880" s="10" t="str">
        <f>VLOOKUP(A880,import!A:C,3,0)</f>
        <v>DOĞRU</v>
      </c>
      <c r="D880" s="10" t="s">
        <v>363</v>
      </c>
      <c r="E880" s="10">
        <f>VLOOKUP(A880,import!A:J,5,0)</f>
        <v>228</v>
      </c>
      <c r="F880" s="10">
        <f>VLOOKUP(A880,import!A:J,6,0)</f>
        <v>29</v>
      </c>
      <c r="G880" s="10">
        <f>VLOOKUP(A880,import!A:J,7,0)</f>
        <v>0</v>
      </c>
      <c r="H880" s="10">
        <f>VLOOKUP(A880,import!A:J,8,0)</f>
        <v>18</v>
      </c>
      <c r="I880" s="10">
        <f>VLOOKUP(A880,import!A:J,9,0)</f>
        <v>18</v>
      </c>
      <c r="J880" s="11">
        <f>VLOOKUP(A880,import!A:J,10,0)</f>
        <v>0</v>
      </c>
      <c r="K880" s="10" t="s">
        <v>4200</v>
      </c>
      <c r="L880" s="10">
        <v>5.013592003E9</v>
      </c>
      <c r="M880" s="10" t="s">
        <v>156</v>
      </c>
      <c r="N880" s="10" t="s">
        <v>4201</v>
      </c>
      <c r="O880" s="10" t="s">
        <v>4202</v>
      </c>
      <c r="P880" s="10" t="str">
        <f>VLOOKUP(A880,import!A:P,16,0)</f>
        <v>Geleneksel</v>
      </c>
      <c r="Q880" s="12"/>
      <c r="R880" s="12" t="b">
        <v>0</v>
      </c>
      <c r="S880" s="12" t="b">
        <v>0</v>
      </c>
      <c r="T880" s="13"/>
      <c r="U880" s="13"/>
      <c r="V880" s="13"/>
      <c r="W880" s="13"/>
      <c r="X880" s="15"/>
      <c r="Y880" s="15"/>
      <c r="Z880" s="16"/>
      <c r="AA880" s="17"/>
      <c r="AB880" s="16"/>
      <c r="AC880" s="16"/>
      <c r="AD880" s="16"/>
      <c r="AE880" s="17"/>
      <c r="AF880" s="16"/>
      <c r="AG880" s="17"/>
      <c r="AH880" s="16"/>
      <c r="AI880" s="16"/>
      <c r="AJ880" s="16"/>
      <c r="AK880" s="17"/>
      <c r="AL880" s="16"/>
      <c r="AM880" s="16"/>
      <c r="AN880" s="16"/>
      <c r="AO880" s="16"/>
      <c r="AP880" s="18"/>
      <c r="AQ880" s="16"/>
    </row>
    <row r="881" ht="15.75" customHeight="1">
      <c r="A881" s="10" t="s">
        <v>4203</v>
      </c>
      <c r="B881" s="10" t="s">
        <v>4204</v>
      </c>
      <c r="C881" s="10" t="str">
        <f>VLOOKUP(A881,import!A:C,3,0)</f>
        <v>DOĞRU</v>
      </c>
      <c r="D881" s="10" t="s">
        <v>118</v>
      </c>
      <c r="E881" s="10">
        <f>VLOOKUP(A881,import!A:J,5,0)</f>
        <v>44</v>
      </c>
      <c r="F881" s="10">
        <f>VLOOKUP(A881,import!A:J,6,0)</f>
        <v>2</v>
      </c>
      <c r="G881" s="10">
        <f>VLOOKUP(A881,import!A:J,7,0)</f>
        <v>9</v>
      </c>
      <c r="H881" s="10">
        <f>VLOOKUP(A881,import!A:J,8,0)</f>
        <v>10</v>
      </c>
      <c r="I881" s="10">
        <f>VLOOKUP(A881,import!A:J,9,0)</f>
        <v>19</v>
      </c>
      <c r="J881" s="11">
        <f>VLOOKUP(A881,import!A:J,10,0)</f>
        <v>0.47</v>
      </c>
      <c r="K881" s="10" t="s">
        <v>4205</v>
      </c>
      <c r="L881" s="10">
        <v>5.308670338E9</v>
      </c>
      <c r="M881" s="10" t="s">
        <v>137</v>
      </c>
      <c r="N881" s="10" t="s">
        <v>526</v>
      </c>
      <c r="O881" s="10" t="s">
        <v>4206</v>
      </c>
      <c r="P881" s="10" t="str">
        <f>VLOOKUP(A881,import!A:P,16,0)</f>
        <v>Geleneksel</v>
      </c>
      <c r="Q881" s="12"/>
      <c r="R881" s="12" t="b">
        <v>1</v>
      </c>
      <c r="S881" s="12" t="b">
        <v>0</v>
      </c>
      <c r="T881" s="13" t="s">
        <v>51</v>
      </c>
      <c r="U881" s="13" t="s">
        <v>89</v>
      </c>
      <c r="V881" s="13" t="s">
        <v>53</v>
      </c>
      <c r="W881" s="13" t="s">
        <v>4207</v>
      </c>
      <c r="X881" s="15">
        <v>44550.0</v>
      </c>
      <c r="Y881" s="15">
        <v>44552.0</v>
      </c>
      <c r="Z881" s="16"/>
      <c r="AA881" s="17" t="s">
        <v>55</v>
      </c>
      <c r="AB881" s="16">
        <v>44411.0</v>
      </c>
      <c r="AC881" s="17" t="s">
        <v>56</v>
      </c>
      <c r="AD881" s="16">
        <v>44489.0</v>
      </c>
      <c r="AE881" s="17" t="s">
        <v>86</v>
      </c>
      <c r="AF881" s="16">
        <v>44495.0</v>
      </c>
      <c r="AG881" s="17" t="s">
        <v>55</v>
      </c>
      <c r="AH881" s="16">
        <v>44502.0</v>
      </c>
      <c r="AI881" s="17" t="s">
        <v>55</v>
      </c>
      <c r="AJ881" s="16">
        <v>44557.0</v>
      </c>
      <c r="AK881" s="17" t="s">
        <v>171</v>
      </c>
      <c r="AL881" s="17" t="s">
        <v>103</v>
      </c>
      <c r="AM881" s="17" t="s">
        <v>87</v>
      </c>
      <c r="AN881" s="17" t="s">
        <v>89</v>
      </c>
      <c r="AO881" s="17" t="s">
        <v>321</v>
      </c>
      <c r="AP881" s="18" t="s">
        <v>58</v>
      </c>
      <c r="AQ881" s="17"/>
    </row>
    <row r="882" ht="15.75" hidden="1" customHeight="1">
      <c r="A882" s="10" t="s">
        <v>4208</v>
      </c>
      <c r="B882" s="10" t="s">
        <v>4209</v>
      </c>
      <c r="C882" s="10" t="str">
        <f>VLOOKUP(A882,import!A:C,3,0)</f>
        <v>DOĞRU</v>
      </c>
      <c r="D882" s="10" t="s">
        <v>70</v>
      </c>
      <c r="E882" s="10">
        <f>VLOOKUP(A882,import!A:J,5,0)</f>
        <v>586</v>
      </c>
      <c r="F882" s="10">
        <f>VLOOKUP(A882,import!A:J,6,0)</f>
        <v>36</v>
      </c>
      <c r="G882" s="10">
        <f>VLOOKUP(A882,import!A:J,7,0)</f>
        <v>7</v>
      </c>
      <c r="H882" s="10">
        <f>VLOOKUP(A882,import!A:J,8,0)</f>
        <v>1</v>
      </c>
      <c r="I882" s="10">
        <f>VLOOKUP(A882,import!A:J,9,0)</f>
        <v>8</v>
      </c>
      <c r="J882" s="11">
        <f>VLOOKUP(A882,import!A:J,10,0)</f>
        <v>0.88</v>
      </c>
      <c r="K882" s="10" t="s">
        <v>4210</v>
      </c>
      <c r="L882" s="10">
        <v>3.243270102E9</v>
      </c>
      <c r="M882" s="10" t="s">
        <v>72</v>
      </c>
      <c r="N882" s="10" t="s">
        <v>73</v>
      </c>
      <c r="O882" s="10" t="s">
        <v>4211</v>
      </c>
      <c r="P882" s="10" t="str">
        <f>VLOOKUP(A882,import!A:P,16,0)</f>
        <v>Geleneksel</v>
      </c>
      <c r="Q882" s="12" t="s">
        <v>50</v>
      </c>
      <c r="R882" s="12" t="b">
        <v>1</v>
      </c>
      <c r="S882" s="12" t="b">
        <v>0</v>
      </c>
      <c r="T882" s="13" t="s">
        <v>51</v>
      </c>
      <c r="U882" s="13" t="s">
        <v>52</v>
      </c>
      <c r="V882" s="13" t="s">
        <v>66</v>
      </c>
      <c r="W882" s="13"/>
      <c r="X882" s="15">
        <v>44492.0</v>
      </c>
      <c r="Y882" s="15">
        <v>44494.0</v>
      </c>
      <c r="Z882" s="16"/>
      <c r="AA882" s="17" t="s">
        <v>56</v>
      </c>
      <c r="AB882" s="16">
        <v>44431.0</v>
      </c>
      <c r="AC882" s="17" t="s">
        <v>56</v>
      </c>
      <c r="AD882" s="16">
        <v>44492.0</v>
      </c>
      <c r="AE882" s="17"/>
      <c r="AF882" s="16"/>
      <c r="AG882" s="17"/>
      <c r="AH882" s="16"/>
      <c r="AI882" s="16"/>
      <c r="AJ882" s="16"/>
      <c r="AK882" s="17" t="s">
        <v>926</v>
      </c>
      <c r="AL882" s="17" t="s">
        <v>52</v>
      </c>
      <c r="AM882" s="16"/>
      <c r="AN882" s="16"/>
      <c r="AO882" s="16"/>
      <c r="AP882" s="18" t="s">
        <v>58</v>
      </c>
      <c r="AQ882" s="16"/>
    </row>
    <row r="883" ht="15.75" hidden="1" customHeight="1">
      <c r="A883" s="10" t="s">
        <v>4212</v>
      </c>
      <c r="B883" s="10" t="s">
        <v>4213</v>
      </c>
      <c r="C883" s="10" t="str">
        <f>VLOOKUP(A883,import!A:C,3,0)</f>
        <v>DOĞRU</v>
      </c>
      <c r="D883" s="10" t="s">
        <v>363</v>
      </c>
      <c r="E883" s="10">
        <f>VLOOKUP(A883,import!A:J,5,0)</f>
        <v>1385</v>
      </c>
      <c r="F883" s="10">
        <f>VLOOKUP(A883,import!A:J,6,0)</f>
        <v>60</v>
      </c>
      <c r="G883" s="10">
        <f>VLOOKUP(A883,import!A:J,7,0)</f>
        <v>7</v>
      </c>
      <c r="H883" s="10">
        <f>VLOOKUP(A883,import!A:J,8,0)</f>
        <v>81</v>
      </c>
      <c r="I883" s="10">
        <f>VLOOKUP(A883,import!A:J,9,0)</f>
        <v>88</v>
      </c>
      <c r="J883" s="11">
        <f>VLOOKUP(A883,import!A:J,10,0)</f>
        <v>0.08</v>
      </c>
      <c r="K883" s="10" t="s">
        <v>4214</v>
      </c>
      <c r="L883" s="10">
        <v>5.326913314E9</v>
      </c>
      <c r="M883" s="10" t="s">
        <v>47</v>
      </c>
      <c r="N883" s="10" t="s">
        <v>479</v>
      </c>
      <c r="O883" s="10" t="s">
        <v>4215</v>
      </c>
      <c r="P883" s="10" t="str">
        <f>VLOOKUP(A883,import!A:P,16,0)</f>
        <v>Geleneksel</v>
      </c>
      <c r="Q883" s="12" t="s">
        <v>84</v>
      </c>
      <c r="R883" s="12" t="b">
        <v>1</v>
      </c>
      <c r="S883" s="12" t="b">
        <v>0</v>
      </c>
      <c r="T883" s="13" t="s">
        <v>51</v>
      </c>
      <c r="U883" s="13" t="s">
        <v>108</v>
      </c>
      <c r="V883" s="13" t="s">
        <v>53</v>
      </c>
      <c r="W883" s="13" t="s">
        <v>4216</v>
      </c>
      <c r="X883" s="15">
        <v>44504.0</v>
      </c>
      <c r="Y883" s="15">
        <v>44508.0</v>
      </c>
      <c r="Z883" s="16"/>
      <c r="AA883" s="17" t="s">
        <v>56</v>
      </c>
      <c r="AB883" s="16">
        <v>44504.0</v>
      </c>
      <c r="AC883" s="17" t="s">
        <v>56</v>
      </c>
      <c r="AD883" s="16">
        <v>44552.0</v>
      </c>
      <c r="AE883" s="17"/>
      <c r="AF883" s="16"/>
      <c r="AG883" s="17"/>
      <c r="AH883" s="16"/>
      <c r="AI883" s="16"/>
      <c r="AJ883" s="16"/>
      <c r="AK883" s="17" t="s">
        <v>108</v>
      </c>
      <c r="AL883" s="17" t="s">
        <v>89</v>
      </c>
      <c r="AM883" s="16"/>
      <c r="AN883" s="16"/>
      <c r="AO883" s="16"/>
      <c r="AP883" s="18" t="s">
        <v>58</v>
      </c>
      <c r="AQ883" s="16"/>
    </row>
    <row r="884" ht="15.75" hidden="1" customHeight="1">
      <c r="A884" s="10" t="s">
        <v>4217</v>
      </c>
      <c r="B884" s="10" t="s">
        <v>4218</v>
      </c>
      <c r="C884" s="10" t="str">
        <f>VLOOKUP(A884,import!A:C,3,0)</f>
        <v>DOĞRU</v>
      </c>
      <c r="D884" s="10" t="s">
        <v>363</v>
      </c>
      <c r="E884" s="10">
        <f>VLOOKUP(A884,import!A:J,5,0)</f>
        <v>809</v>
      </c>
      <c r="F884" s="10">
        <f>VLOOKUP(A884,import!A:J,6,0)</f>
        <v>89</v>
      </c>
      <c r="G884" s="10">
        <f>VLOOKUP(A884,import!A:J,7,0)</f>
        <v>0</v>
      </c>
      <c r="H884" s="10">
        <f>VLOOKUP(A884,import!A:J,8,0)</f>
        <v>57</v>
      </c>
      <c r="I884" s="10">
        <f>VLOOKUP(A884,import!A:J,9,0)</f>
        <v>57</v>
      </c>
      <c r="J884" s="11">
        <f>VLOOKUP(A884,import!A:J,10,0)</f>
        <v>0</v>
      </c>
      <c r="K884" s="10" t="s">
        <v>4219</v>
      </c>
      <c r="L884" s="10">
        <v>5.333802733E9</v>
      </c>
      <c r="M884" s="10" t="s">
        <v>72</v>
      </c>
      <c r="N884" s="10" t="s">
        <v>538</v>
      </c>
      <c r="O884" s="10" t="s">
        <v>4220</v>
      </c>
      <c r="P884" s="10" t="str">
        <f>VLOOKUP(A884,import!A:P,16,0)</f>
        <v>Geleneksel</v>
      </c>
      <c r="Q884" s="12"/>
      <c r="R884" s="12" t="b">
        <v>1</v>
      </c>
      <c r="S884" s="12" t="b">
        <v>1</v>
      </c>
      <c r="T884" s="13"/>
      <c r="U884" s="13"/>
      <c r="V884" s="13"/>
      <c r="W884" s="36" t="s">
        <v>4221</v>
      </c>
      <c r="X884" s="15"/>
      <c r="Y884" s="15"/>
      <c r="Z884" s="16"/>
      <c r="AA884" s="17" t="s">
        <v>56</v>
      </c>
      <c r="AB884" s="16">
        <v>44544.0</v>
      </c>
      <c r="AC884" s="17" t="s">
        <v>56</v>
      </c>
      <c r="AD884" s="16">
        <v>44560.0</v>
      </c>
      <c r="AE884" s="17"/>
      <c r="AF884" s="16"/>
      <c r="AG884" s="17"/>
      <c r="AH884" s="16"/>
      <c r="AI884" s="16"/>
      <c r="AJ884" s="16"/>
      <c r="AK884" s="17" t="s">
        <v>108</v>
      </c>
      <c r="AL884" s="17" t="s">
        <v>89</v>
      </c>
      <c r="AM884" s="16"/>
      <c r="AN884" s="16"/>
      <c r="AO884" s="16"/>
      <c r="AP884" s="18" t="s">
        <v>58</v>
      </c>
      <c r="AQ884" s="16"/>
    </row>
    <row r="885" ht="15.75" customHeight="1">
      <c r="A885" s="18" t="s">
        <v>4222</v>
      </c>
      <c r="B885" s="18" t="s">
        <v>4223</v>
      </c>
      <c r="C885" s="10" t="str">
        <f>VLOOKUP(A885,import!A:C,3,0)</f>
        <v>DOĞRU</v>
      </c>
      <c r="D885" s="18" t="s">
        <v>356</v>
      </c>
      <c r="E885" s="10">
        <f>VLOOKUP(A885,import!A:J,5,0)</f>
        <v>7</v>
      </c>
      <c r="F885" s="10">
        <f>VLOOKUP(A885,import!A:J,6,0)</f>
        <v>7</v>
      </c>
      <c r="G885" s="10">
        <f>VLOOKUP(A885,import!A:J,7,0)</f>
        <v>0</v>
      </c>
      <c r="H885" s="10">
        <f>VLOOKUP(A885,import!A:J,8,0)</f>
        <v>9</v>
      </c>
      <c r="I885" s="10">
        <f>VLOOKUP(A885,import!A:J,9,0)</f>
        <v>9</v>
      </c>
      <c r="J885" s="11">
        <f>VLOOKUP(A885,import!A:J,10,0)</f>
        <v>0</v>
      </c>
      <c r="K885" s="18" t="s">
        <v>4224</v>
      </c>
      <c r="L885" s="18">
        <v>5.394666421E9</v>
      </c>
      <c r="M885" s="18" t="s">
        <v>63</v>
      </c>
      <c r="N885" s="18" t="s">
        <v>100</v>
      </c>
      <c r="O885" s="18" t="s">
        <v>4225</v>
      </c>
      <c r="P885" s="10" t="str">
        <f>VLOOKUP(A885,import!A:P,16,0)</f>
        <v>Geleneksel</v>
      </c>
      <c r="Q885" s="12"/>
      <c r="R885" s="12" t="b">
        <v>0</v>
      </c>
      <c r="S885" s="12" t="b">
        <v>0</v>
      </c>
      <c r="T885" s="13"/>
      <c r="U885" s="13"/>
      <c r="V885" s="13"/>
      <c r="W885" s="13"/>
      <c r="X885" s="15"/>
      <c r="Y885" s="15"/>
      <c r="Z885" s="16"/>
      <c r="AA885" s="17"/>
      <c r="AB885" s="16"/>
      <c r="AC885" s="16"/>
      <c r="AD885" s="16"/>
      <c r="AE885" s="17"/>
      <c r="AF885" s="16"/>
      <c r="AG885" s="17"/>
      <c r="AH885" s="16"/>
      <c r="AI885" s="16"/>
      <c r="AJ885" s="16"/>
      <c r="AK885" s="17"/>
      <c r="AL885" s="16"/>
      <c r="AM885" s="16"/>
      <c r="AN885" s="16"/>
      <c r="AO885" s="16"/>
      <c r="AP885" s="18"/>
      <c r="AQ885" s="16"/>
    </row>
    <row r="886" ht="15.75" customHeight="1">
      <c r="A886" s="10" t="s">
        <v>4226</v>
      </c>
      <c r="B886" s="10" t="s">
        <v>4227</v>
      </c>
      <c r="C886" s="10" t="str">
        <f>VLOOKUP(A886,import!A:C,3,0)</f>
        <v>DOĞRU</v>
      </c>
      <c r="D886" s="10" t="s">
        <v>118</v>
      </c>
      <c r="E886" s="10">
        <f>VLOOKUP(A886,import!A:J,5,0)</f>
        <v>637</v>
      </c>
      <c r="F886" s="10">
        <f>VLOOKUP(A886,import!A:J,6,0)</f>
        <v>23</v>
      </c>
      <c r="G886" s="10">
        <f>VLOOKUP(A886,import!A:J,7,0)</f>
        <v>8</v>
      </c>
      <c r="H886" s="10">
        <f>VLOOKUP(A886,import!A:J,8,0)</f>
        <v>22</v>
      </c>
      <c r="I886" s="10">
        <f>VLOOKUP(A886,import!A:J,9,0)</f>
        <v>30</v>
      </c>
      <c r="J886" s="11">
        <f>VLOOKUP(A886,import!A:J,10,0)</f>
        <v>0.27</v>
      </c>
      <c r="K886" s="10" t="s">
        <v>4228</v>
      </c>
      <c r="L886" s="10">
        <v>5.376203327E9</v>
      </c>
      <c r="M886" s="10" t="s">
        <v>137</v>
      </c>
      <c r="N886" s="10" t="s">
        <v>1283</v>
      </c>
      <c r="O886" s="10" t="s">
        <v>4229</v>
      </c>
      <c r="P886" s="10" t="str">
        <f>VLOOKUP(A886,import!A:P,16,0)</f>
        <v>Geleneksel</v>
      </c>
      <c r="Q886" s="12" t="s">
        <v>75</v>
      </c>
      <c r="R886" s="12" t="b">
        <v>1</v>
      </c>
      <c r="S886" s="12" t="b">
        <v>0</v>
      </c>
      <c r="T886" s="13" t="s">
        <v>51</v>
      </c>
      <c r="U886" s="13" t="s">
        <v>1043</v>
      </c>
      <c r="V886" s="13" t="s">
        <v>53</v>
      </c>
      <c r="W886" s="13" t="s">
        <v>4230</v>
      </c>
      <c r="X886" s="15">
        <v>44271.0</v>
      </c>
      <c r="Y886" s="15">
        <v>44274.0</v>
      </c>
      <c r="Z886" s="16"/>
      <c r="AA886" s="17" t="s">
        <v>56</v>
      </c>
      <c r="AB886" s="16">
        <v>44349.0</v>
      </c>
      <c r="AC886" s="16"/>
      <c r="AD886" s="16"/>
      <c r="AE886" s="17"/>
      <c r="AF886" s="16"/>
      <c r="AG886" s="17"/>
      <c r="AH886" s="16"/>
      <c r="AI886" s="16"/>
      <c r="AJ886" s="16"/>
      <c r="AK886" s="17" t="s">
        <v>124</v>
      </c>
      <c r="AL886" s="16"/>
      <c r="AM886" s="16"/>
      <c r="AN886" s="16"/>
      <c r="AO886" s="16"/>
      <c r="AP886" s="18" t="s">
        <v>58</v>
      </c>
      <c r="AQ886" s="16"/>
    </row>
    <row r="887" ht="15.75" hidden="1" customHeight="1">
      <c r="A887" s="10" t="s">
        <v>4231</v>
      </c>
      <c r="B887" s="10" t="s">
        <v>4232</v>
      </c>
      <c r="C887" s="10" t="str">
        <f>VLOOKUP(A887,import!A:C,3,0)</f>
        <v>DOĞRU</v>
      </c>
      <c r="D887" s="10" t="s">
        <v>106</v>
      </c>
      <c r="E887" s="10">
        <f>VLOOKUP(A887,import!A:J,5,0)</f>
        <v>162</v>
      </c>
      <c r="F887" s="10">
        <f>VLOOKUP(A887,import!A:J,6,0)</f>
        <v>8</v>
      </c>
      <c r="G887" s="10">
        <f>VLOOKUP(A887,import!A:J,7,0)</f>
        <v>0</v>
      </c>
      <c r="H887" s="10">
        <f>VLOOKUP(A887,import!A:J,8,0)</f>
        <v>22</v>
      </c>
      <c r="I887" s="10">
        <f>VLOOKUP(A887,import!A:J,9,0)</f>
        <v>22</v>
      </c>
      <c r="J887" s="11">
        <f>VLOOKUP(A887,import!A:J,10,0)</f>
        <v>0</v>
      </c>
      <c r="K887" s="10" t="s">
        <v>4233</v>
      </c>
      <c r="L887" s="10">
        <v>5.417257356E9</v>
      </c>
      <c r="M887" s="10" t="s">
        <v>215</v>
      </c>
      <c r="N887" s="10" t="s">
        <v>442</v>
      </c>
      <c r="O887" s="10" t="s">
        <v>4234</v>
      </c>
      <c r="P887" s="10" t="str">
        <f>VLOOKUP(A887,import!A:P,16,0)</f>
        <v>Geleneksel</v>
      </c>
      <c r="Q887" s="12"/>
      <c r="R887" s="12" t="b">
        <v>1</v>
      </c>
      <c r="S887" s="12" t="b">
        <v>0</v>
      </c>
      <c r="T887" s="13" t="s">
        <v>199</v>
      </c>
      <c r="U887" s="13"/>
      <c r="V887" s="13"/>
      <c r="W887" s="13" t="s">
        <v>4235</v>
      </c>
      <c r="X887" s="15"/>
      <c r="Y887" s="15"/>
      <c r="Z887" s="16"/>
      <c r="AA887" s="17" t="s">
        <v>56</v>
      </c>
      <c r="AB887" s="16">
        <v>44540.0</v>
      </c>
      <c r="AC887" s="17" t="s">
        <v>55</v>
      </c>
      <c r="AD887" s="16">
        <v>44552.0</v>
      </c>
      <c r="AE887" s="17"/>
      <c r="AF887" s="16"/>
      <c r="AG887" s="17"/>
      <c r="AH887" s="16"/>
      <c r="AI887" s="16"/>
      <c r="AJ887" s="16"/>
      <c r="AK887" s="17" t="s">
        <v>89</v>
      </c>
      <c r="AL887" s="17" t="s">
        <v>314</v>
      </c>
      <c r="AM887" s="16"/>
      <c r="AN887" s="16"/>
      <c r="AO887" s="16"/>
      <c r="AP887" s="18" t="s">
        <v>58</v>
      </c>
      <c r="AQ887" s="16"/>
    </row>
    <row r="888" ht="15.75" hidden="1" customHeight="1">
      <c r="A888" s="10" t="s">
        <v>4236</v>
      </c>
      <c r="B888" s="10" t="s">
        <v>4237</v>
      </c>
      <c r="C888" s="10" t="str">
        <f>VLOOKUP(A888,import!A:C,3,0)</f>
        <v>DOĞRU</v>
      </c>
      <c r="D888" s="10" t="s">
        <v>363</v>
      </c>
      <c r="E888" s="10">
        <f>VLOOKUP(A888,import!A:J,5,0)</f>
        <v>1381</v>
      </c>
      <c r="F888" s="10">
        <f>VLOOKUP(A888,import!A:J,6,0)</f>
        <v>104</v>
      </c>
      <c r="G888" s="10">
        <f>VLOOKUP(A888,import!A:J,7,0)</f>
        <v>10</v>
      </c>
      <c r="H888" s="10">
        <f>VLOOKUP(A888,import!A:J,8,0)</f>
        <v>19</v>
      </c>
      <c r="I888" s="10">
        <f>VLOOKUP(A888,import!A:J,9,0)</f>
        <v>29</v>
      </c>
      <c r="J888" s="11">
        <f>VLOOKUP(A888,import!A:J,10,0)</f>
        <v>0.34</v>
      </c>
      <c r="K888" s="10" t="s">
        <v>4238</v>
      </c>
      <c r="L888" s="10">
        <v>3.245039851E9</v>
      </c>
      <c r="M888" s="10" t="s">
        <v>72</v>
      </c>
      <c r="N888" s="10" t="s">
        <v>548</v>
      </c>
      <c r="O888" s="10" t="s">
        <v>4239</v>
      </c>
      <c r="P888" s="10" t="str">
        <f>VLOOKUP(A888,import!A:P,16,0)</f>
        <v>Geleneksel</v>
      </c>
      <c r="Q888" s="12"/>
      <c r="R888" s="12" t="b">
        <v>1</v>
      </c>
      <c r="S888" s="12" t="b">
        <v>0</v>
      </c>
      <c r="T888" s="13" t="s">
        <v>51</v>
      </c>
      <c r="U888" s="13" t="s">
        <v>89</v>
      </c>
      <c r="V888" s="13" t="s">
        <v>66</v>
      </c>
      <c r="W888" s="32" t="s">
        <v>4119</v>
      </c>
      <c r="X888" s="15">
        <v>44503.0</v>
      </c>
      <c r="Y888" s="15">
        <v>44504.0</v>
      </c>
      <c r="Z888" s="16"/>
      <c r="AA888" s="17" t="s">
        <v>56</v>
      </c>
      <c r="AB888" s="16">
        <v>44494.0</v>
      </c>
      <c r="AC888" s="17" t="s">
        <v>56</v>
      </c>
      <c r="AD888" s="16">
        <v>44503.0</v>
      </c>
      <c r="AE888" s="17" t="s">
        <v>56</v>
      </c>
      <c r="AF888" s="16">
        <v>44552.0</v>
      </c>
      <c r="AG888" s="17"/>
      <c r="AH888" s="16"/>
      <c r="AI888" s="16"/>
      <c r="AJ888" s="16"/>
      <c r="AK888" s="17" t="s">
        <v>52</v>
      </c>
      <c r="AL888" s="17" t="s">
        <v>89</v>
      </c>
      <c r="AM888" s="17" t="s">
        <v>89</v>
      </c>
      <c r="AN888" s="16"/>
      <c r="AO888" s="16"/>
      <c r="AP888" s="18" t="s">
        <v>58</v>
      </c>
      <c r="AQ888" s="16"/>
    </row>
    <row r="889" ht="15.75" hidden="1" customHeight="1">
      <c r="A889" s="10" t="s">
        <v>4240</v>
      </c>
      <c r="B889" s="10" t="s">
        <v>4241</v>
      </c>
      <c r="C889" s="10" t="str">
        <f>VLOOKUP(A889,import!A:C,3,0)</f>
        <v>DOĞRU</v>
      </c>
      <c r="D889" s="10" t="s">
        <v>80</v>
      </c>
      <c r="E889" s="10">
        <f>VLOOKUP(A889,import!A:J,5,0)</f>
        <v>61</v>
      </c>
      <c r="F889" s="10">
        <f>VLOOKUP(A889,import!A:J,6,0)</f>
        <v>12</v>
      </c>
      <c r="G889" s="10">
        <f>VLOOKUP(A889,import!A:J,7,0)</f>
        <v>11</v>
      </c>
      <c r="H889" s="10">
        <f>VLOOKUP(A889,import!A:J,8,0)</f>
        <v>1</v>
      </c>
      <c r="I889" s="10">
        <f>VLOOKUP(A889,import!A:J,9,0)</f>
        <v>12</v>
      </c>
      <c r="J889" s="11">
        <f>VLOOKUP(A889,import!A:J,10,0)</f>
        <v>0.92</v>
      </c>
      <c r="K889" s="10" t="s">
        <v>4242</v>
      </c>
      <c r="L889" s="10">
        <v>3.243225133E9</v>
      </c>
      <c r="M889" s="10" t="s">
        <v>215</v>
      </c>
      <c r="N889" s="10" t="s">
        <v>789</v>
      </c>
      <c r="O889" s="10" t="s">
        <v>4243</v>
      </c>
      <c r="P889" s="10" t="str">
        <f>VLOOKUP(A889,import!A:P,16,0)</f>
        <v>Geleneksel</v>
      </c>
      <c r="Q889" s="12"/>
      <c r="R889" s="12" t="b">
        <v>1</v>
      </c>
      <c r="S889" s="12" t="b">
        <v>0</v>
      </c>
      <c r="T889" s="13" t="s">
        <v>51</v>
      </c>
      <c r="U889" s="13" t="s">
        <v>89</v>
      </c>
      <c r="V889" s="17" t="s">
        <v>131</v>
      </c>
      <c r="W889" s="13"/>
      <c r="X889" s="15">
        <v>44634.0</v>
      </c>
      <c r="Y889" s="15">
        <v>44635.0</v>
      </c>
      <c r="Z889" s="16"/>
      <c r="AA889" s="17" t="s">
        <v>56</v>
      </c>
      <c r="AB889" s="16">
        <v>44634.0</v>
      </c>
      <c r="AC889" s="16"/>
      <c r="AD889" s="16"/>
      <c r="AE889" s="17"/>
      <c r="AF889" s="16"/>
      <c r="AG889" s="17"/>
      <c r="AH889" s="16"/>
      <c r="AI889" s="16"/>
      <c r="AJ889" s="16"/>
      <c r="AK889" s="17" t="s">
        <v>89</v>
      </c>
      <c r="AL889" s="16"/>
      <c r="AM889" s="16"/>
      <c r="AN889" s="16"/>
      <c r="AO889" s="16"/>
      <c r="AP889" s="18"/>
      <c r="AQ889" s="16"/>
    </row>
    <row r="890" ht="15.75" customHeight="1">
      <c r="A890" s="10" t="s">
        <v>4244</v>
      </c>
      <c r="B890" s="10" t="s">
        <v>4245</v>
      </c>
      <c r="C890" s="10" t="str">
        <f>VLOOKUP(A890,import!A:C,3,0)</f>
        <v>DOĞRU</v>
      </c>
      <c r="D890" s="10" t="s">
        <v>80</v>
      </c>
      <c r="E890" s="10">
        <f>VLOOKUP(A890,import!A:J,5,0)</f>
        <v>343</v>
      </c>
      <c r="F890" s="10">
        <f>VLOOKUP(A890,import!A:J,6,0)</f>
        <v>6</v>
      </c>
      <c r="G890" s="10">
        <f>VLOOKUP(A890,import!A:J,7,0)</f>
        <v>6</v>
      </c>
      <c r="H890" s="10">
        <f>VLOOKUP(A890,import!A:J,8,0)</f>
        <v>2</v>
      </c>
      <c r="I890" s="10">
        <f>VLOOKUP(A890,import!A:J,9,0)</f>
        <v>8</v>
      </c>
      <c r="J890" s="11">
        <f>VLOOKUP(A890,import!A:J,10,0)</f>
        <v>0.75</v>
      </c>
      <c r="K890" s="10" t="s">
        <v>4246</v>
      </c>
      <c r="L890" s="10">
        <v>5.399220403E9</v>
      </c>
      <c r="M890" s="10" t="s">
        <v>63</v>
      </c>
      <c r="N890" s="10" t="s">
        <v>566</v>
      </c>
      <c r="O890" s="10" t="s">
        <v>4247</v>
      </c>
      <c r="P890" s="10" t="str">
        <f>VLOOKUP(A890,import!A:P,16,0)</f>
        <v>Geleneksel</v>
      </c>
      <c r="Q890" s="12"/>
      <c r="R890" s="12" t="b">
        <v>1</v>
      </c>
      <c r="S890" s="12" t="b">
        <v>0</v>
      </c>
      <c r="T890" s="13" t="s">
        <v>51</v>
      </c>
      <c r="U890" s="13" t="s">
        <v>87</v>
      </c>
      <c r="V890" s="13" t="s">
        <v>66</v>
      </c>
      <c r="W890" s="13"/>
      <c r="X890" s="15">
        <v>44481.0</v>
      </c>
      <c r="Y890" s="15">
        <v>44482.0</v>
      </c>
      <c r="Z890" s="16"/>
      <c r="AA890" s="17" t="s">
        <v>56</v>
      </c>
      <c r="AB890" s="16">
        <v>44481.0</v>
      </c>
      <c r="AC890" s="16"/>
      <c r="AD890" s="16"/>
      <c r="AE890" s="17"/>
      <c r="AF890" s="16"/>
      <c r="AG890" s="17"/>
      <c r="AH890" s="16"/>
      <c r="AI890" s="16"/>
      <c r="AJ890" s="16"/>
      <c r="AK890" s="17" t="s">
        <v>87</v>
      </c>
      <c r="AL890" s="16"/>
      <c r="AM890" s="16"/>
      <c r="AN890" s="16"/>
      <c r="AO890" s="16"/>
      <c r="AP890" s="18" t="s">
        <v>58</v>
      </c>
      <c r="AQ890" s="16"/>
    </row>
    <row r="891" ht="15.75" customHeight="1">
      <c r="A891" s="10" t="s">
        <v>4248</v>
      </c>
      <c r="B891" s="10" t="s">
        <v>4249</v>
      </c>
      <c r="C891" s="10" t="str">
        <f>VLOOKUP(A891,import!A:C,3,0)</f>
        <v>DOĞRU</v>
      </c>
      <c r="D891" s="10" t="s">
        <v>80</v>
      </c>
      <c r="E891" s="10">
        <f>VLOOKUP(A891,import!A:J,5,0)</f>
        <v>1530</v>
      </c>
      <c r="F891" s="10">
        <f>VLOOKUP(A891,import!A:J,6,0)</f>
        <v>113</v>
      </c>
      <c r="G891" s="10">
        <f>VLOOKUP(A891,import!A:J,7,0)</f>
        <v>0</v>
      </c>
      <c r="H891" s="10">
        <f>VLOOKUP(A891,import!A:J,8,0)</f>
        <v>16</v>
      </c>
      <c r="I891" s="10">
        <f>VLOOKUP(A891,import!A:J,9,0)</f>
        <v>16</v>
      </c>
      <c r="J891" s="11">
        <f>VLOOKUP(A891,import!A:J,10,0)</f>
        <v>0</v>
      </c>
      <c r="K891" s="10" t="s">
        <v>4250</v>
      </c>
      <c r="L891" s="10">
        <v>5.306473221E9</v>
      </c>
      <c r="M891" s="10" t="s">
        <v>63</v>
      </c>
      <c r="N891" s="10" t="s">
        <v>93</v>
      </c>
      <c r="O891" s="10" t="s">
        <v>4251</v>
      </c>
      <c r="P891" s="10" t="str">
        <f>VLOOKUP(A891,import!A:P,16,0)</f>
        <v>Geleneksel</v>
      </c>
      <c r="Q891" s="12"/>
      <c r="R891" s="12" t="b">
        <v>1</v>
      </c>
      <c r="S891" s="12" t="b">
        <v>0</v>
      </c>
      <c r="T891" s="13" t="s">
        <v>199</v>
      </c>
      <c r="U891" s="13"/>
      <c r="V891" s="19"/>
      <c r="W891" s="13" t="s">
        <v>4252</v>
      </c>
      <c r="X891" s="15"/>
      <c r="Y891" s="15"/>
      <c r="Z891" s="16"/>
      <c r="AA891" s="17" t="s">
        <v>86</v>
      </c>
      <c r="AB891" s="16">
        <v>44417.0</v>
      </c>
      <c r="AC891" s="17" t="s">
        <v>55</v>
      </c>
      <c r="AD891" s="16">
        <v>44418.0</v>
      </c>
      <c r="AE891" s="17" t="s">
        <v>55</v>
      </c>
      <c r="AF891" s="16">
        <v>44450.0</v>
      </c>
      <c r="AG891" s="17" t="s">
        <v>56</v>
      </c>
      <c r="AH891" s="16">
        <v>44461.0</v>
      </c>
      <c r="AI891" s="17" t="s">
        <v>56</v>
      </c>
      <c r="AJ891" s="16">
        <v>44571.0</v>
      </c>
      <c r="AK891" s="17" t="s">
        <v>57</v>
      </c>
      <c r="AL891" s="17" t="s">
        <v>95</v>
      </c>
      <c r="AM891" s="17" t="s">
        <v>108</v>
      </c>
      <c r="AN891" s="17" t="s">
        <v>367</v>
      </c>
      <c r="AO891" s="17" t="s">
        <v>89</v>
      </c>
      <c r="AP891" s="18" t="s">
        <v>58</v>
      </c>
      <c r="AQ891" s="17"/>
    </row>
    <row r="892" ht="15.75" customHeight="1">
      <c r="A892" s="10" t="s">
        <v>4253</v>
      </c>
      <c r="B892" s="10" t="s">
        <v>4254</v>
      </c>
      <c r="C892" s="10" t="str">
        <f>VLOOKUP(A892,import!A:C,3,0)</f>
        <v>DOĞRU</v>
      </c>
      <c r="D892" s="10" t="s">
        <v>80</v>
      </c>
      <c r="E892" s="10">
        <f>VLOOKUP(A892,import!A:J,5,0)</f>
        <v>87</v>
      </c>
      <c r="F892" s="10" t="str">
        <f>VLOOKUP(A892,import!A:J,6,0)</f>
        <v/>
      </c>
      <c r="G892" s="10">
        <f>VLOOKUP(A892,import!A:J,7,0)</f>
        <v>0</v>
      </c>
      <c r="H892" s="10">
        <f>VLOOKUP(A892,import!A:J,8,0)</f>
        <v>9</v>
      </c>
      <c r="I892" s="10">
        <f>VLOOKUP(A892,import!A:J,9,0)</f>
        <v>9</v>
      </c>
      <c r="J892" s="11">
        <f>VLOOKUP(A892,import!A:J,10,0)</f>
        <v>0</v>
      </c>
      <c r="K892" s="10" t="s">
        <v>4255</v>
      </c>
      <c r="L892" s="10">
        <v>5.411341234E9</v>
      </c>
      <c r="M892" s="10" t="s">
        <v>137</v>
      </c>
      <c r="N892" s="10" t="s">
        <v>4023</v>
      </c>
      <c r="O892" s="10" t="s">
        <v>4256</v>
      </c>
      <c r="P892" s="10" t="str">
        <f>VLOOKUP(A892,import!A:P,16,0)</f>
        <v>Geleneksel</v>
      </c>
      <c r="Q892" s="12"/>
      <c r="R892" s="12" t="b">
        <v>1</v>
      </c>
      <c r="S892" s="12" t="b">
        <v>0</v>
      </c>
      <c r="T892" s="13"/>
      <c r="U892" s="13"/>
      <c r="V892" s="13"/>
      <c r="W892" s="13">
        <v>5.35404695E9</v>
      </c>
      <c r="X892" s="15"/>
      <c r="Y892" s="15"/>
      <c r="Z892" s="16"/>
      <c r="AA892" s="17" t="s">
        <v>230</v>
      </c>
      <c r="AB892" s="16">
        <v>44643.0</v>
      </c>
      <c r="AC892" s="16"/>
      <c r="AD892" s="16"/>
      <c r="AE892" s="17"/>
      <c r="AF892" s="16"/>
      <c r="AG892" s="17"/>
      <c r="AH892" s="16"/>
      <c r="AI892" s="16"/>
      <c r="AJ892" s="16"/>
      <c r="AK892" s="17" t="s">
        <v>267</v>
      </c>
      <c r="AL892" s="16"/>
      <c r="AM892" s="16"/>
      <c r="AN892" s="16"/>
      <c r="AO892" s="16"/>
      <c r="AP892" s="18"/>
      <c r="AQ892" s="16"/>
    </row>
    <row r="893" ht="15.75" customHeight="1">
      <c r="A893" s="10" t="s">
        <v>4257</v>
      </c>
      <c r="B893" s="10" t="s">
        <v>4258</v>
      </c>
      <c r="C893" s="10" t="str">
        <f>VLOOKUP(A893,import!A:C,3,0)</f>
        <v>DOĞRU</v>
      </c>
      <c r="D893" s="10" t="s">
        <v>70</v>
      </c>
      <c r="E893" s="10">
        <f>VLOOKUP(A893,import!A:J,5,0)</f>
        <v>710</v>
      </c>
      <c r="F893" s="10">
        <f>VLOOKUP(A893,import!A:J,6,0)</f>
        <v>57</v>
      </c>
      <c r="G893" s="10">
        <f>VLOOKUP(A893,import!A:J,7,0)</f>
        <v>8</v>
      </c>
      <c r="H893" s="10">
        <f>VLOOKUP(A893,import!A:J,8,0)</f>
        <v>2</v>
      </c>
      <c r="I893" s="10">
        <f>VLOOKUP(A893,import!A:J,9,0)</f>
        <v>10</v>
      </c>
      <c r="J893" s="11">
        <f>VLOOKUP(A893,import!A:J,10,0)</f>
        <v>0.8</v>
      </c>
      <c r="K893" s="10" t="s">
        <v>2150</v>
      </c>
      <c r="L893" s="10">
        <v>3.243570747E9</v>
      </c>
      <c r="M893" s="10" t="s">
        <v>63</v>
      </c>
      <c r="N893" s="10" t="s">
        <v>93</v>
      </c>
      <c r="O893" s="10" t="s">
        <v>4259</v>
      </c>
      <c r="P893" s="10" t="str">
        <f>VLOOKUP(A893,import!A:P,16,0)</f>
        <v>Geleneksel</v>
      </c>
      <c r="Q893" s="12"/>
      <c r="R893" s="12" t="b">
        <v>1</v>
      </c>
      <c r="S893" s="12" t="b">
        <v>0</v>
      </c>
      <c r="T893" s="13" t="s">
        <v>51</v>
      </c>
      <c r="U893" s="13" t="s">
        <v>133</v>
      </c>
      <c r="V893" s="13" t="s">
        <v>66</v>
      </c>
      <c r="W893" s="13" t="s">
        <v>4260</v>
      </c>
      <c r="X893" s="15">
        <v>44590.0</v>
      </c>
      <c r="Y893" s="15">
        <v>44563.0</v>
      </c>
      <c r="Z893" s="16"/>
      <c r="AA893" s="17" t="s">
        <v>55</v>
      </c>
      <c r="AB893" s="16">
        <v>44585.0</v>
      </c>
      <c r="AC893" s="17" t="s">
        <v>56</v>
      </c>
      <c r="AD893" s="16">
        <v>44590.0</v>
      </c>
      <c r="AE893" s="17"/>
      <c r="AF893" s="16"/>
      <c r="AG893" s="17"/>
      <c r="AH893" s="16"/>
      <c r="AI893" s="16"/>
      <c r="AJ893" s="16"/>
      <c r="AK893" s="17" t="s">
        <v>52</v>
      </c>
      <c r="AL893" s="17" t="s">
        <v>133</v>
      </c>
      <c r="AM893" s="16"/>
      <c r="AN893" s="16"/>
      <c r="AO893" s="16"/>
      <c r="AP893" s="18"/>
      <c r="AQ893" s="16"/>
    </row>
    <row r="894" ht="15.75" hidden="1" customHeight="1">
      <c r="A894" s="10" t="s">
        <v>4261</v>
      </c>
      <c r="B894" s="10" t="s">
        <v>4262</v>
      </c>
      <c r="C894" s="10" t="str">
        <f>VLOOKUP(A894,import!A:C,3,0)</f>
        <v>DOĞRU</v>
      </c>
      <c r="D894" s="10" t="s">
        <v>80</v>
      </c>
      <c r="E894" s="10">
        <f>VLOOKUP(A894,import!A:J,5,0)</f>
        <v>3366</v>
      </c>
      <c r="F894" s="10">
        <f>VLOOKUP(A894,import!A:J,6,0)</f>
        <v>126</v>
      </c>
      <c r="G894" s="10">
        <f>VLOOKUP(A894,import!A:J,7,0)</f>
        <v>11</v>
      </c>
      <c r="H894" s="10">
        <f>VLOOKUP(A894,import!A:J,8,0)</f>
        <v>5</v>
      </c>
      <c r="I894" s="10">
        <f>VLOOKUP(A894,import!A:J,9,0)</f>
        <v>16</v>
      </c>
      <c r="J894" s="11">
        <f>VLOOKUP(A894,import!A:J,10,0)</f>
        <v>0.69</v>
      </c>
      <c r="K894" s="10" t="s">
        <v>4263</v>
      </c>
      <c r="L894" s="10">
        <v>3.24239014E9</v>
      </c>
      <c r="M894" s="10" t="s">
        <v>72</v>
      </c>
      <c r="N894" s="10" t="s">
        <v>113</v>
      </c>
      <c r="O894" s="10" t="s">
        <v>1006</v>
      </c>
      <c r="P894" s="10" t="str">
        <f>VLOOKUP(A894,import!A:P,16,0)</f>
        <v>Geleneksel</v>
      </c>
      <c r="Q894" s="12" t="s">
        <v>146</v>
      </c>
      <c r="R894" s="12" t="b">
        <v>1</v>
      </c>
      <c r="S894" s="12" t="b">
        <v>0</v>
      </c>
      <c r="T894" s="13" t="s">
        <v>51</v>
      </c>
      <c r="U894" s="13" t="s">
        <v>133</v>
      </c>
      <c r="V894" s="13" t="s">
        <v>278</v>
      </c>
      <c r="W894" s="13" t="s">
        <v>4264</v>
      </c>
      <c r="X894" s="15">
        <v>44278.0</v>
      </c>
      <c r="Y894" s="15">
        <v>44279.0</v>
      </c>
      <c r="Z894" s="16"/>
      <c r="AA894" s="17" t="s">
        <v>56</v>
      </c>
      <c r="AB894" s="16">
        <v>44510.0</v>
      </c>
      <c r="AC894" s="16"/>
      <c r="AD894" s="16"/>
      <c r="AE894" s="17"/>
      <c r="AF894" s="16"/>
      <c r="AG894" s="17"/>
      <c r="AH894" s="16"/>
      <c r="AI894" s="16"/>
      <c r="AJ894" s="16"/>
      <c r="AK894" s="17" t="s">
        <v>133</v>
      </c>
      <c r="AL894" s="16"/>
      <c r="AM894" s="16"/>
      <c r="AN894" s="16"/>
      <c r="AO894" s="16"/>
      <c r="AP894" s="18" t="s">
        <v>58</v>
      </c>
      <c r="AQ894" s="16"/>
    </row>
    <row r="895" ht="15.75" customHeight="1">
      <c r="A895" s="10" t="s">
        <v>4265</v>
      </c>
      <c r="B895" s="10" t="s">
        <v>4266</v>
      </c>
      <c r="C895" s="10" t="str">
        <f>VLOOKUP(A895,import!A:C,3,0)</f>
        <v>DOĞRU</v>
      </c>
      <c r="D895" s="10" t="s">
        <v>80</v>
      </c>
      <c r="E895" s="10">
        <f>VLOOKUP(A895,import!A:J,5,0)</f>
        <v>758</v>
      </c>
      <c r="F895" s="10">
        <f>VLOOKUP(A895,import!A:J,6,0)</f>
        <v>17</v>
      </c>
      <c r="G895" s="10">
        <f>VLOOKUP(A895,import!A:J,7,0)</f>
        <v>9</v>
      </c>
      <c r="H895" s="10">
        <f>VLOOKUP(A895,import!A:J,8,0)</f>
        <v>20</v>
      </c>
      <c r="I895" s="10">
        <f>VLOOKUP(A895,import!A:J,9,0)</f>
        <v>29</v>
      </c>
      <c r="J895" s="11">
        <f>VLOOKUP(A895,import!A:J,10,0)</f>
        <v>0.31</v>
      </c>
      <c r="K895" s="10" t="s">
        <v>4267</v>
      </c>
      <c r="L895" s="10">
        <v>3.242383552E9</v>
      </c>
      <c r="M895" s="10" t="s">
        <v>137</v>
      </c>
      <c r="N895" s="10" t="s">
        <v>138</v>
      </c>
      <c r="O895" s="10" t="s">
        <v>4268</v>
      </c>
      <c r="P895" s="10" t="str">
        <f>VLOOKUP(A895,import!A:P,16,0)</f>
        <v>Geleneksel</v>
      </c>
      <c r="Q895" s="12"/>
      <c r="R895" s="12" t="b">
        <v>1</v>
      </c>
      <c r="S895" s="12" t="b">
        <v>0</v>
      </c>
      <c r="T895" s="13" t="s">
        <v>130</v>
      </c>
      <c r="U895" s="13" t="s">
        <v>89</v>
      </c>
      <c r="V895" s="19" t="s">
        <v>66</v>
      </c>
      <c r="W895" s="19" t="s">
        <v>273</v>
      </c>
      <c r="X895" s="15">
        <v>44565.0</v>
      </c>
      <c r="Y895" s="15">
        <v>44568.0</v>
      </c>
      <c r="Z895" s="16"/>
      <c r="AA895" s="17" t="s">
        <v>56</v>
      </c>
      <c r="AB895" s="16">
        <v>44348.0</v>
      </c>
      <c r="AC895" s="17" t="s">
        <v>56</v>
      </c>
      <c r="AD895" s="16">
        <v>44356.0</v>
      </c>
      <c r="AE895" s="17" t="s">
        <v>56</v>
      </c>
      <c r="AF895" s="16">
        <v>44356.0</v>
      </c>
      <c r="AG895" s="17" t="s">
        <v>56</v>
      </c>
      <c r="AH895" s="16">
        <v>44406.0</v>
      </c>
      <c r="AI895" s="17" t="s">
        <v>56</v>
      </c>
      <c r="AJ895" s="16">
        <v>44565.0</v>
      </c>
      <c r="AK895" s="16"/>
      <c r="AL895" s="17" t="s">
        <v>52</v>
      </c>
      <c r="AM895" s="17" t="s">
        <v>124</v>
      </c>
      <c r="AN895" s="17" t="s">
        <v>1013</v>
      </c>
      <c r="AO895" s="17" t="s">
        <v>89</v>
      </c>
      <c r="AP895" s="18" t="s">
        <v>58</v>
      </c>
      <c r="AQ895" s="17"/>
    </row>
    <row r="896" ht="15.75" hidden="1" customHeight="1">
      <c r="A896" s="10" t="s">
        <v>4269</v>
      </c>
      <c r="B896" s="10" t="s">
        <v>4270</v>
      </c>
      <c r="C896" s="10" t="str">
        <f>VLOOKUP(A896,import!A:C,3,0)</f>
        <v>DOĞRU</v>
      </c>
      <c r="D896" s="10" t="s">
        <v>80</v>
      </c>
      <c r="E896" s="10">
        <f>VLOOKUP(A896,import!A:J,5,0)</f>
        <v>315</v>
      </c>
      <c r="F896" s="10">
        <f>VLOOKUP(A896,import!A:J,6,0)</f>
        <v>74</v>
      </c>
      <c r="G896" s="10">
        <f>VLOOKUP(A896,import!A:J,7,0)</f>
        <v>0</v>
      </c>
      <c r="H896" s="10">
        <f>VLOOKUP(A896,import!A:J,8,0)</f>
        <v>4</v>
      </c>
      <c r="I896" s="10">
        <f>VLOOKUP(A896,import!A:J,9,0)</f>
        <v>4</v>
      </c>
      <c r="J896" s="11">
        <f>VLOOKUP(A896,import!A:J,10,0)</f>
        <v>0</v>
      </c>
      <c r="K896" s="10" t="s">
        <v>4271</v>
      </c>
      <c r="L896" s="10">
        <v>5.382797267E9</v>
      </c>
      <c r="M896" s="10" t="s">
        <v>215</v>
      </c>
      <c r="N896" s="10" t="s">
        <v>1053</v>
      </c>
      <c r="O896" s="10" t="s">
        <v>4272</v>
      </c>
      <c r="P896" s="10" t="str">
        <f>VLOOKUP(A896,import!A:P,16,0)</f>
        <v>Geleneksel</v>
      </c>
      <c r="Q896" s="12"/>
      <c r="R896" s="12" t="b">
        <v>1</v>
      </c>
      <c r="S896" s="12" t="b">
        <v>0</v>
      </c>
      <c r="T896" s="13" t="s">
        <v>130</v>
      </c>
      <c r="U896" s="13" t="s">
        <v>103</v>
      </c>
      <c r="V896" s="17" t="s">
        <v>131</v>
      </c>
      <c r="W896" s="13"/>
      <c r="X896" s="15">
        <v>44656.0</v>
      </c>
      <c r="Y896" s="15">
        <v>44658.0</v>
      </c>
      <c r="Z896" s="16"/>
      <c r="AA896" s="17" t="s">
        <v>55</v>
      </c>
      <c r="AB896" s="16">
        <v>44656.0</v>
      </c>
      <c r="AC896" s="17" t="s">
        <v>56</v>
      </c>
      <c r="AD896" s="16">
        <v>44656.0</v>
      </c>
      <c r="AE896" s="17"/>
      <c r="AF896" s="16"/>
      <c r="AG896" s="17"/>
      <c r="AH896" s="16"/>
      <c r="AI896" s="16"/>
      <c r="AJ896" s="16"/>
      <c r="AK896" s="17" t="s">
        <v>103</v>
      </c>
      <c r="AL896" s="17" t="s">
        <v>103</v>
      </c>
      <c r="AM896" s="16"/>
      <c r="AN896" s="16"/>
      <c r="AO896" s="16"/>
      <c r="AP896" s="18"/>
      <c r="AQ896" s="16"/>
    </row>
    <row r="897" ht="15.75" hidden="1" customHeight="1">
      <c r="A897" s="10" t="s">
        <v>4273</v>
      </c>
      <c r="B897" s="10" t="s">
        <v>4274</v>
      </c>
      <c r="C897" s="10" t="str">
        <f>VLOOKUP(A897,import!A:C,3,0)</f>
        <v>DOĞRU</v>
      </c>
      <c r="D897" s="10" t="s">
        <v>451</v>
      </c>
      <c r="E897" s="10">
        <f>VLOOKUP(A897,import!A:J,5,0)</f>
        <v>3549</v>
      </c>
      <c r="F897" s="10">
        <f>VLOOKUP(A897,import!A:J,6,0)</f>
        <v>179</v>
      </c>
      <c r="G897" s="10">
        <f>VLOOKUP(A897,import!A:J,7,0)</f>
        <v>0</v>
      </c>
      <c r="H897" s="10">
        <f>VLOOKUP(A897,import!A:J,8,0)</f>
        <v>52</v>
      </c>
      <c r="I897" s="10">
        <f>VLOOKUP(A897,import!A:J,9,0)</f>
        <v>52</v>
      </c>
      <c r="J897" s="11">
        <f>VLOOKUP(A897,import!A:J,10,0)</f>
        <v>0</v>
      </c>
      <c r="K897" s="10" t="s">
        <v>4275</v>
      </c>
      <c r="L897" s="10">
        <v>5.330377997E9</v>
      </c>
      <c r="M897" s="10" t="s">
        <v>902</v>
      </c>
      <c r="N897" s="10" t="s">
        <v>4276</v>
      </c>
      <c r="O897" s="10" t="s">
        <v>4277</v>
      </c>
      <c r="P897" s="10" t="str">
        <f>VLOOKUP(A897,import!A:P,16,0)</f>
        <v>Geleneksel</v>
      </c>
      <c r="Q897" s="12"/>
      <c r="R897" s="12" t="b">
        <v>0</v>
      </c>
      <c r="S897" s="12" t="b">
        <v>0</v>
      </c>
      <c r="T897" s="13" t="s">
        <v>485</v>
      </c>
      <c r="U897" s="13"/>
      <c r="V897" s="13"/>
      <c r="W897" s="13"/>
      <c r="X897" s="15"/>
      <c r="Y897" s="15"/>
      <c r="Z897" s="16"/>
      <c r="AA897" s="16"/>
      <c r="AB897" s="16"/>
      <c r="AC897" s="16"/>
      <c r="AD897" s="16"/>
      <c r="AE897" s="17"/>
      <c r="AF897" s="16"/>
      <c r="AG897" s="17"/>
      <c r="AH897" s="16"/>
      <c r="AI897" s="16"/>
      <c r="AJ897" s="16"/>
      <c r="AK897" s="16"/>
      <c r="AL897" s="16"/>
      <c r="AM897" s="16"/>
      <c r="AN897" s="16"/>
      <c r="AO897" s="16"/>
      <c r="AP897" s="18" t="s">
        <v>58</v>
      </c>
      <c r="AQ897" s="16"/>
    </row>
    <row r="898" ht="15.75" customHeight="1">
      <c r="A898" s="10" t="s">
        <v>4278</v>
      </c>
      <c r="B898" s="10" t="s">
        <v>4279</v>
      </c>
      <c r="C898" s="10" t="str">
        <f>VLOOKUP(A898,import!A:C,3,0)</f>
        <v>DOĞRU</v>
      </c>
      <c r="D898" s="10" t="s">
        <v>70</v>
      </c>
      <c r="E898" s="10">
        <f>VLOOKUP(A898,import!A:J,5,0)</f>
        <v>2378</v>
      </c>
      <c r="F898" s="10">
        <f>VLOOKUP(A898,import!A:J,6,0)</f>
        <v>43</v>
      </c>
      <c r="G898" s="10">
        <f>VLOOKUP(A898,import!A:J,7,0)</f>
        <v>12</v>
      </c>
      <c r="H898" s="10">
        <f>VLOOKUP(A898,import!A:J,8,0)</f>
        <v>1</v>
      </c>
      <c r="I898" s="10">
        <f>VLOOKUP(A898,import!A:J,9,0)</f>
        <v>13</v>
      </c>
      <c r="J898" s="11">
        <f>VLOOKUP(A898,import!A:J,10,0)</f>
        <v>0.92</v>
      </c>
      <c r="K898" s="10" t="s">
        <v>4280</v>
      </c>
      <c r="L898" s="10">
        <v>3.2450242E9</v>
      </c>
      <c r="M898" s="10" t="s">
        <v>63</v>
      </c>
      <c r="N898" s="10" t="s">
        <v>93</v>
      </c>
      <c r="O898" s="10" t="s">
        <v>4281</v>
      </c>
      <c r="P898" s="10" t="str">
        <f>VLOOKUP(A898,import!A:P,16,0)</f>
        <v>Geleneksel</v>
      </c>
      <c r="Q898" s="12" t="s">
        <v>50</v>
      </c>
      <c r="R898" s="12" t="b">
        <v>1</v>
      </c>
      <c r="S898" s="12" t="b">
        <v>0</v>
      </c>
      <c r="T898" s="14" t="s">
        <v>51</v>
      </c>
      <c r="U898" s="14" t="s">
        <v>1043</v>
      </c>
      <c r="V898" s="14" t="s">
        <v>66</v>
      </c>
      <c r="W898" s="14" t="s">
        <v>3192</v>
      </c>
      <c r="X898" s="29">
        <v>44271.0</v>
      </c>
      <c r="Y898" s="29">
        <v>44274.0</v>
      </c>
      <c r="Z898" s="16"/>
      <c r="AA898" s="17" t="s">
        <v>56</v>
      </c>
      <c r="AB898" s="16">
        <v>44552.0</v>
      </c>
      <c r="AC898" s="16"/>
      <c r="AD898" s="16"/>
      <c r="AE898" s="17"/>
      <c r="AF898" s="16"/>
      <c r="AG898" s="17"/>
      <c r="AH898" s="16"/>
      <c r="AI898" s="16"/>
      <c r="AJ898" s="16"/>
      <c r="AK898" s="17" t="s">
        <v>89</v>
      </c>
      <c r="AL898" s="16"/>
      <c r="AM898" s="16"/>
      <c r="AN898" s="16"/>
      <c r="AO898" s="16"/>
      <c r="AP898" s="18" t="s">
        <v>58</v>
      </c>
      <c r="AQ898" s="16"/>
    </row>
    <row r="899" ht="15.75" customHeight="1">
      <c r="A899" s="10" t="s">
        <v>4282</v>
      </c>
      <c r="B899" s="10" t="s">
        <v>4283</v>
      </c>
      <c r="C899" s="10" t="str">
        <f>VLOOKUP(A899,import!A:C,3,0)</f>
        <v>DOĞRU</v>
      </c>
      <c r="D899" s="10" t="s">
        <v>70</v>
      </c>
      <c r="E899" s="10">
        <f>VLOOKUP(A899,import!A:J,5,0)</f>
        <v>1709</v>
      </c>
      <c r="F899" s="10">
        <f>VLOOKUP(A899,import!A:J,6,0)</f>
        <v>24</v>
      </c>
      <c r="G899" s="10">
        <f>VLOOKUP(A899,import!A:J,7,0)</f>
        <v>15</v>
      </c>
      <c r="H899" s="10">
        <f>VLOOKUP(A899,import!A:J,8,0)</f>
        <v>1</v>
      </c>
      <c r="I899" s="10">
        <f>VLOOKUP(A899,import!A:J,9,0)</f>
        <v>16</v>
      </c>
      <c r="J899" s="11">
        <f>VLOOKUP(A899,import!A:J,10,0)</f>
        <v>0.94</v>
      </c>
      <c r="K899" s="10" t="s">
        <v>4284</v>
      </c>
      <c r="L899" s="10">
        <v>3.2435978E9</v>
      </c>
      <c r="M899" s="10" t="s">
        <v>63</v>
      </c>
      <c r="N899" s="10" t="s">
        <v>318</v>
      </c>
      <c r="O899" s="10" t="s">
        <v>4285</v>
      </c>
      <c r="P899" s="10" t="str">
        <f>VLOOKUP(A899,import!A:P,16,0)</f>
        <v>Geleneksel</v>
      </c>
      <c r="Q899" s="12" t="s">
        <v>50</v>
      </c>
      <c r="R899" s="12" t="b">
        <v>1</v>
      </c>
      <c r="S899" s="12" t="b">
        <v>0</v>
      </c>
      <c r="T899" s="13" t="s">
        <v>51</v>
      </c>
      <c r="U899" s="13" t="s">
        <v>654</v>
      </c>
      <c r="V899" s="13" t="s">
        <v>66</v>
      </c>
      <c r="W899" s="13" t="s">
        <v>4286</v>
      </c>
      <c r="X899" s="15">
        <v>44274.0</v>
      </c>
      <c r="Y899" s="15">
        <v>44277.0</v>
      </c>
      <c r="Z899" s="16"/>
      <c r="AA899" s="16"/>
      <c r="AB899" s="16"/>
      <c r="AC899" s="16"/>
      <c r="AD899" s="16"/>
      <c r="AE899" s="17"/>
      <c r="AF899" s="16"/>
      <c r="AG899" s="17"/>
      <c r="AH899" s="16"/>
      <c r="AI899" s="16"/>
      <c r="AJ899" s="16"/>
      <c r="AK899" s="16"/>
      <c r="AL899" s="16"/>
      <c r="AM899" s="16"/>
      <c r="AN899" s="16"/>
      <c r="AO899" s="16"/>
      <c r="AP899" s="18" t="s">
        <v>58</v>
      </c>
      <c r="AQ899" s="16"/>
    </row>
    <row r="900" ht="15.75" hidden="1" customHeight="1">
      <c r="A900" s="10" t="s">
        <v>4287</v>
      </c>
      <c r="B900" s="10" t="s">
        <v>4288</v>
      </c>
      <c r="C900" s="10" t="str">
        <f>VLOOKUP(A900,import!A:C,3,0)</f>
        <v>DOĞRU</v>
      </c>
      <c r="D900" s="10" t="s">
        <v>80</v>
      </c>
      <c r="E900" s="10">
        <f>VLOOKUP(A900,import!A:J,5,0)</f>
        <v>4</v>
      </c>
      <c r="F900" s="10" t="str">
        <f>VLOOKUP(A900,import!A:J,6,0)</f>
        <v/>
      </c>
      <c r="G900" s="10">
        <f>VLOOKUP(A900,import!A:J,7,0)</f>
        <v>0</v>
      </c>
      <c r="H900" s="10">
        <f>VLOOKUP(A900,import!A:J,8,0)</f>
        <v>10</v>
      </c>
      <c r="I900" s="10">
        <f>VLOOKUP(A900,import!A:J,9,0)</f>
        <v>10</v>
      </c>
      <c r="J900" s="11">
        <f>VLOOKUP(A900,import!A:J,10,0)</f>
        <v>0</v>
      </c>
      <c r="K900" s="10" t="s">
        <v>4289</v>
      </c>
      <c r="L900" s="10">
        <v>5.433818363E9</v>
      </c>
      <c r="M900" s="10" t="s">
        <v>156</v>
      </c>
      <c r="N900" s="10" t="s">
        <v>252</v>
      </c>
      <c r="O900" s="10" t="s">
        <v>4290</v>
      </c>
      <c r="P900" s="10" t="str">
        <f>VLOOKUP(A900,import!A:P,16,0)</f>
        <v>Geleneksel</v>
      </c>
      <c r="Q900" s="12"/>
      <c r="R900" s="12" t="b">
        <v>0</v>
      </c>
      <c r="S900" s="12" t="b">
        <v>0</v>
      </c>
      <c r="T900" s="13"/>
      <c r="U900" s="13"/>
      <c r="V900" s="13"/>
      <c r="W900" s="13"/>
      <c r="X900" s="15"/>
      <c r="Y900" s="15"/>
      <c r="Z900" s="16"/>
      <c r="AA900" s="16"/>
      <c r="AB900" s="16"/>
      <c r="AC900" s="16"/>
      <c r="AD900" s="16"/>
      <c r="AE900" s="17"/>
      <c r="AF900" s="16"/>
      <c r="AG900" s="17"/>
      <c r="AH900" s="16"/>
      <c r="AI900" s="16"/>
      <c r="AJ900" s="16"/>
      <c r="AK900" s="16"/>
      <c r="AL900" s="16"/>
      <c r="AM900" s="16"/>
      <c r="AN900" s="16"/>
      <c r="AO900" s="16"/>
      <c r="AP900" s="18" t="s">
        <v>58</v>
      </c>
      <c r="AQ900" s="16"/>
    </row>
    <row r="901" ht="15.75" customHeight="1">
      <c r="A901" s="10" t="s">
        <v>4291</v>
      </c>
      <c r="B901" s="10" t="s">
        <v>4292</v>
      </c>
      <c r="C901" s="10" t="str">
        <f>VLOOKUP(A901,import!A:C,3,0)</f>
        <v>DOĞRU</v>
      </c>
      <c r="D901" s="10" t="s">
        <v>45</v>
      </c>
      <c r="E901" s="10">
        <f>VLOOKUP(A901,import!A:J,5,0)</f>
        <v>17</v>
      </c>
      <c r="F901" s="10">
        <f>VLOOKUP(A901,import!A:J,6,0)</f>
        <v>1</v>
      </c>
      <c r="G901" s="10">
        <f>VLOOKUP(A901,import!A:J,7,0)</f>
        <v>3</v>
      </c>
      <c r="H901" s="10">
        <f>VLOOKUP(A901,import!A:J,8,0)</f>
        <v>0</v>
      </c>
      <c r="I901" s="10">
        <f>VLOOKUP(A901,import!A:J,9,0)</f>
        <v>3</v>
      </c>
      <c r="J901" s="11">
        <f>VLOOKUP(A901,import!A:J,10,0)</f>
        <v>1</v>
      </c>
      <c r="K901" s="10" t="s">
        <v>2317</v>
      </c>
      <c r="L901" s="10">
        <v>5.31578637E9</v>
      </c>
      <c r="M901" s="10" t="s">
        <v>137</v>
      </c>
      <c r="N901" s="10" t="s">
        <v>374</v>
      </c>
      <c r="O901" s="10" t="s">
        <v>2318</v>
      </c>
      <c r="P901" s="10" t="str">
        <f>VLOOKUP(A901,import!A:P,16,0)</f>
        <v>Geleneksel</v>
      </c>
      <c r="Q901" s="12"/>
      <c r="R901" s="12" t="b">
        <v>1</v>
      </c>
      <c r="S901" s="12" t="b">
        <v>0</v>
      </c>
      <c r="T901" s="13" t="s">
        <v>51</v>
      </c>
      <c r="U901" s="13" t="s">
        <v>89</v>
      </c>
      <c r="V901" s="17" t="s">
        <v>66</v>
      </c>
      <c r="W901" s="13"/>
      <c r="X901" s="15">
        <v>44649.0</v>
      </c>
      <c r="Y901" s="15">
        <v>44651.0</v>
      </c>
      <c r="Z901" s="16"/>
      <c r="AA901" s="17" t="s">
        <v>56</v>
      </c>
      <c r="AB901" s="16">
        <v>44649.0</v>
      </c>
      <c r="AC901" s="16"/>
      <c r="AD901" s="16"/>
      <c r="AE901" s="17"/>
      <c r="AF901" s="16"/>
      <c r="AG901" s="17"/>
      <c r="AH901" s="16"/>
      <c r="AI901" s="16"/>
      <c r="AJ901" s="16"/>
      <c r="AK901" s="17" t="s">
        <v>89</v>
      </c>
      <c r="AL901" s="16"/>
      <c r="AM901" s="16"/>
      <c r="AN901" s="16"/>
      <c r="AO901" s="16"/>
      <c r="AP901" s="18"/>
      <c r="AQ901" s="16"/>
    </row>
    <row r="902" ht="15.75" customHeight="1">
      <c r="A902" s="10" t="s">
        <v>4293</v>
      </c>
      <c r="B902" s="10" t="s">
        <v>4294</v>
      </c>
      <c r="C902" s="10" t="str">
        <f>VLOOKUP(A902,import!A:C,3,0)</f>
        <v>DOĞRU</v>
      </c>
      <c r="D902" s="10" t="s">
        <v>948</v>
      </c>
      <c r="E902" s="10">
        <f>VLOOKUP(A902,import!A:J,5,0)</f>
        <v>31</v>
      </c>
      <c r="F902" s="10">
        <f>VLOOKUP(A902,import!A:J,6,0)</f>
        <v>6</v>
      </c>
      <c r="G902" s="10">
        <f>VLOOKUP(A902,import!A:J,7,0)</f>
        <v>3</v>
      </c>
      <c r="H902" s="10">
        <f>VLOOKUP(A902,import!A:J,8,0)</f>
        <v>5</v>
      </c>
      <c r="I902" s="10">
        <f>VLOOKUP(A902,import!A:J,9,0)</f>
        <v>8</v>
      </c>
      <c r="J902" s="11">
        <f>VLOOKUP(A902,import!A:J,10,0)</f>
        <v>0.38</v>
      </c>
      <c r="K902" s="10" t="s">
        <v>4295</v>
      </c>
      <c r="L902" s="10">
        <v>5.354602338E9</v>
      </c>
      <c r="M902" s="10" t="s">
        <v>137</v>
      </c>
      <c r="N902" s="10" t="s">
        <v>138</v>
      </c>
      <c r="O902" s="10" t="s">
        <v>4296</v>
      </c>
      <c r="P902" s="10" t="str">
        <f>VLOOKUP(A902,import!A:P,16,0)</f>
        <v>Geleneksel</v>
      </c>
      <c r="Q902" s="12"/>
      <c r="R902" s="12" t="b">
        <v>1</v>
      </c>
      <c r="S902" s="12" t="b">
        <v>0</v>
      </c>
      <c r="T902" s="13" t="s">
        <v>51</v>
      </c>
      <c r="U902" s="13" t="s">
        <v>108</v>
      </c>
      <c r="V902" s="13" t="s">
        <v>66</v>
      </c>
      <c r="W902" s="13" t="s">
        <v>4297</v>
      </c>
      <c r="X902" s="15">
        <v>44529.0</v>
      </c>
      <c r="Y902" s="15">
        <v>44530.0</v>
      </c>
      <c r="Z902" s="16"/>
      <c r="AA902" s="17" t="s">
        <v>56</v>
      </c>
      <c r="AB902" s="16">
        <v>44529.0</v>
      </c>
      <c r="AC902" s="17" t="s">
        <v>56</v>
      </c>
      <c r="AD902" s="16">
        <v>44533.0</v>
      </c>
      <c r="AE902" s="17"/>
      <c r="AF902" s="16"/>
      <c r="AG902" s="17"/>
      <c r="AH902" s="16"/>
      <c r="AI902" s="16"/>
      <c r="AJ902" s="16"/>
      <c r="AK902" s="17" t="s">
        <v>108</v>
      </c>
      <c r="AL902" s="17" t="s">
        <v>108</v>
      </c>
      <c r="AM902" s="16"/>
      <c r="AN902" s="16"/>
      <c r="AO902" s="16"/>
      <c r="AP902" s="18" t="s">
        <v>58</v>
      </c>
      <c r="AQ902" s="16"/>
    </row>
    <row r="903" ht="15.75" hidden="1" customHeight="1">
      <c r="A903" s="10" t="s">
        <v>4298</v>
      </c>
      <c r="B903" s="10" t="s">
        <v>4299</v>
      </c>
      <c r="C903" s="10" t="str">
        <f>VLOOKUP(A903,import!A:C,3,0)</f>
        <v>DOĞRU</v>
      </c>
      <c r="D903" s="10" t="s">
        <v>80</v>
      </c>
      <c r="E903" s="10">
        <f>VLOOKUP(A903,import!A:J,5,0)</f>
        <v>863</v>
      </c>
      <c r="F903" s="10">
        <f>VLOOKUP(A903,import!A:J,6,0)</f>
        <v>25</v>
      </c>
      <c r="G903" s="10">
        <f>VLOOKUP(A903,import!A:J,7,0)</f>
        <v>4</v>
      </c>
      <c r="H903" s="10">
        <f>VLOOKUP(A903,import!A:J,8,0)</f>
        <v>7</v>
      </c>
      <c r="I903" s="10">
        <f>VLOOKUP(A903,import!A:J,9,0)</f>
        <v>11</v>
      </c>
      <c r="J903" s="11">
        <f>VLOOKUP(A903,import!A:J,10,0)</f>
        <v>0.36</v>
      </c>
      <c r="K903" s="10" t="s">
        <v>4300</v>
      </c>
      <c r="L903" s="10">
        <v>5.054733349E9</v>
      </c>
      <c r="M903" s="10" t="s">
        <v>215</v>
      </c>
      <c r="N903" s="10" t="s">
        <v>1613</v>
      </c>
      <c r="O903" s="10" t="s">
        <v>4301</v>
      </c>
      <c r="P903" s="10" t="str">
        <f>VLOOKUP(A903,import!A:P,16,0)</f>
        <v>Geleneksel</v>
      </c>
      <c r="Q903" s="12"/>
      <c r="R903" s="12" t="b">
        <v>1</v>
      </c>
      <c r="S903" s="12" t="b">
        <v>0</v>
      </c>
      <c r="T903" s="13" t="s">
        <v>51</v>
      </c>
      <c r="U903" s="13" t="s">
        <v>89</v>
      </c>
      <c r="V903" s="13" t="s">
        <v>53</v>
      </c>
      <c r="W903" s="13" t="s">
        <v>211</v>
      </c>
      <c r="X903" s="15">
        <v>44515.0</v>
      </c>
      <c r="Y903" s="15">
        <v>44516.0</v>
      </c>
      <c r="Z903" s="16"/>
      <c r="AA903" s="17" t="s">
        <v>56</v>
      </c>
      <c r="AB903" s="16">
        <v>44515.0</v>
      </c>
      <c r="AC903" s="17" t="s">
        <v>56</v>
      </c>
      <c r="AD903" s="16">
        <v>44533.0</v>
      </c>
      <c r="AE903" s="17"/>
      <c r="AF903" s="16"/>
      <c r="AG903" s="17"/>
      <c r="AH903" s="16"/>
      <c r="AI903" s="16"/>
      <c r="AJ903" s="16"/>
      <c r="AK903" s="17" t="s">
        <v>89</v>
      </c>
      <c r="AL903" s="17" t="s">
        <v>108</v>
      </c>
      <c r="AM903" s="16"/>
      <c r="AN903" s="16"/>
      <c r="AO903" s="16"/>
      <c r="AP903" s="18" t="s">
        <v>58</v>
      </c>
      <c r="AQ903" s="16"/>
    </row>
    <row r="904" ht="15.75" customHeight="1">
      <c r="A904" s="10" t="s">
        <v>4302</v>
      </c>
      <c r="B904" s="10" t="s">
        <v>4303</v>
      </c>
      <c r="C904" s="10" t="str">
        <f>VLOOKUP(A904,import!A:C,3,0)</f>
        <v>DOĞRU</v>
      </c>
      <c r="D904" s="10" t="s">
        <v>167</v>
      </c>
      <c r="E904" s="10">
        <f>VLOOKUP(A904,import!A:J,5,0)</f>
        <v>628</v>
      </c>
      <c r="F904" s="10">
        <f>VLOOKUP(A904,import!A:J,6,0)</f>
        <v>31</v>
      </c>
      <c r="G904" s="10">
        <f>VLOOKUP(A904,import!A:J,7,0)</f>
        <v>11</v>
      </c>
      <c r="H904" s="10">
        <f>VLOOKUP(A904,import!A:J,8,0)</f>
        <v>44</v>
      </c>
      <c r="I904" s="10">
        <f>VLOOKUP(A904,import!A:J,9,0)</f>
        <v>55</v>
      </c>
      <c r="J904" s="11">
        <f>VLOOKUP(A904,import!A:J,10,0)</f>
        <v>0.2</v>
      </c>
      <c r="K904" s="10" t="s">
        <v>4304</v>
      </c>
      <c r="L904" s="10">
        <v>5.551035125E9</v>
      </c>
      <c r="M904" s="10" t="s">
        <v>63</v>
      </c>
      <c r="N904" s="10" t="s">
        <v>137</v>
      </c>
      <c r="O904" s="10" t="s">
        <v>4305</v>
      </c>
      <c r="P904" s="10" t="str">
        <f>VLOOKUP(A904,import!A:P,16,0)</f>
        <v>Geleneksel</v>
      </c>
      <c r="Q904" s="12" t="s">
        <v>75</v>
      </c>
      <c r="R904" s="12" t="b">
        <v>1</v>
      </c>
      <c r="S904" s="12" t="b">
        <v>0</v>
      </c>
      <c r="T904" s="13" t="s">
        <v>248</v>
      </c>
      <c r="U904" s="13"/>
      <c r="V904" s="13"/>
      <c r="W904" s="13" t="s">
        <v>4306</v>
      </c>
      <c r="X904" s="15"/>
      <c r="Y904" s="15"/>
      <c r="Z904" s="16"/>
      <c r="AA904" s="17" t="s">
        <v>55</v>
      </c>
      <c r="AB904" s="16">
        <v>44498.0</v>
      </c>
      <c r="AC904" s="16"/>
      <c r="AD904" s="16"/>
      <c r="AE904" s="17"/>
      <c r="AF904" s="16"/>
      <c r="AG904" s="17"/>
      <c r="AH904" s="16"/>
      <c r="AI904" s="16"/>
      <c r="AJ904" s="16"/>
      <c r="AK904" s="17" t="s">
        <v>52</v>
      </c>
      <c r="AL904" s="16"/>
      <c r="AM904" s="16"/>
      <c r="AN904" s="16"/>
      <c r="AO904" s="16"/>
      <c r="AP904" s="18" t="s">
        <v>58</v>
      </c>
      <c r="AQ904" s="16"/>
    </row>
    <row r="905" ht="15.75" hidden="1" customHeight="1">
      <c r="A905" s="10" t="s">
        <v>4307</v>
      </c>
      <c r="B905" s="10" t="s">
        <v>4308</v>
      </c>
      <c r="C905" s="10" t="str">
        <f>VLOOKUP(A905,import!A:C,3,0)</f>
        <v>YANLIŞ</v>
      </c>
      <c r="D905" s="10" t="s">
        <v>167</v>
      </c>
      <c r="E905" s="10">
        <f>VLOOKUP(A905,import!A:J,5,0)</f>
        <v>6</v>
      </c>
      <c r="F905" s="10" t="str">
        <f>VLOOKUP(A905,import!A:J,6,0)</f>
        <v/>
      </c>
      <c r="G905" s="10">
        <f>VLOOKUP(A905,import!A:J,7,0)</f>
        <v>4</v>
      </c>
      <c r="H905" s="10">
        <f>VLOOKUP(A905,import!A:J,8,0)</f>
        <v>16</v>
      </c>
      <c r="I905" s="10">
        <f>VLOOKUP(A905,import!A:J,9,0)</f>
        <v>20</v>
      </c>
      <c r="J905" s="11">
        <f>VLOOKUP(A905,import!A:J,10,0)</f>
        <v>0.2</v>
      </c>
      <c r="K905" s="10" t="s">
        <v>4309</v>
      </c>
      <c r="L905" s="10">
        <v>5.333196308E9</v>
      </c>
      <c r="M905" s="10" t="s">
        <v>156</v>
      </c>
      <c r="N905" s="10" t="s">
        <v>4310</v>
      </c>
      <c r="O905" s="10" t="s">
        <v>4311</v>
      </c>
      <c r="P905" s="10" t="str">
        <f>VLOOKUP(A905,import!A:P,16,0)</f>
        <v>Geleneksel</v>
      </c>
      <c r="Q905" s="12"/>
      <c r="R905" s="12" t="b">
        <v>1</v>
      </c>
      <c r="S905" s="12" t="b">
        <v>0</v>
      </c>
      <c r="T905" s="13" t="s">
        <v>51</v>
      </c>
      <c r="U905" s="13" t="s">
        <v>52</v>
      </c>
      <c r="V905" s="13" t="s">
        <v>66</v>
      </c>
      <c r="W905" s="13"/>
      <c r="X905" s="15">
        <v>44540.0</v>
      </c>
      <c r="Y905" s="15">
        <v>44543.0</v>
      </c>
      <c r="Z905" s="16"/>
      <c r="AA905" s="17" t="s">
        <v>56</v>
      </c>
      <c r="AB905" s="16">
        <v>44540.0</v>
      </c>
      <c r="AC905" s="16"/>
      <c r="AD905" s="16"/>
      <c r="AE905" s="17"/>
      <c r="AF905" s="16"/>
      <c r="AG905" s="17"/>
      <c r="AH905" s="16"/>
      <c r="AI905" s="16"/>
      <c r="AJ905" s="16"/>
      <c r="AK905" s="17" t="s">
        <v>52</v>
      </c>
      <c r="AL905" s="16"/>
      <c r="AM905" s="16"/>
      <c r="AN905" s="16"/>
      <c r="AO905" s="16"/>
      <c r="AP905" s="18" t="s">
        <v>58</v>
      </c>
      <c r="AQ905" s="16"/>
    </row>
    <row r="906" ht="15.75" hidden="1" customHeight="1">
      <c r="A906" s="10" t="s">
        <v>4312</v>
      </c>
      <c r="B906" s="10" t="s">
        <v>4313</v>
      </c>
      <c r="C906" s="10" t="str">
        <f>VLOOKUP(A906,import!A:C,3,0)</f>
        <v>DOĞRU</v>
      </c>
      <c r="D906" s="10" t="s">
        <v>167</v>
      </c>
      <c r="E906" s="10">
        <f>VLOOKUP(A906,import!A:J,5,0)</f>
        <v>856</v>
      </c>
      <c r="F906" s="10">
        <f>VLOOKUP(A906,import!A:J,6,0)</f>
        <v>52</v>
      </c>
      <c r="G906" s="10">
        <f>VLOOKUP(A906,import!A:J,7,0)</f>
        <v>10</v>
      </c>
      <c r="H906" s="10">
        <f>VLOOKUP(A906,import!A:J,8,0)</f>
        <v>18</v>
      </c>
      <c r="I906" s="10">
        <f>VLOOKUP(A906,import!A:J,9,0)</f>
        <v>28</v>
      </c>
      <c r="J906" s="11">
        <f>VLOOKUP(A906,import!A:J,10,0)</f>
        <v>0.36</v>
      </c>
      <c r="K906" s="10" t="s">
        <v>4314</v>
      </c>
      <c r="L906" s="10">
        <v>5.314082804E9</v>
      </c>
      <c r="M906" s="10" t="s">
        <v>72</v>
      </c>
      <c r="N906" s="10" t="s">
        <v>333</v>
      </c>
      <c r="O906" s="10" t="s">
        <v>4315</v>
      </c>
      <c r="P906" s="10" t="str">
        <f>VLOOKUP(A906,import!A:P,16,0)</f>
        <v>Geleneksel</v>
      </c>
      <c r="Q906" s="12" t="s">
        <v>146</v>
      </c>
      <c r="R906" s="12" t="b">
        <v>1</v>
      </c>
      <c r="S906" s="12" t="b">
        <v>0</v>
      </c>
      <c r="T906" s="13" t="s">
        <v>51</v>
      </c>
      <c r="U906" s="13" t="s">
        <v>376</v>
      </c>
      <c r="V906" s="13" t="s">
        <v>278</v>
      </c>
      <c r="W906" s="13" t="s">
        <v>4316</v>
      </c>
      <c r="X906" s="15">
        <v>44301.0</v>
      </c>
      <c r="Y906" s="15">
        <v>44302.0</v>
      </c>
      <c r="Z906" s="16"/>
      <c r="AA906" s="17" t="s">
        <v>56</v>
      </c>
      <c r="AB906" s="16">
        <v>44552.0</v>
      </c>
      <c r="AC906" s="16"/>
      <c r="AD906" s="16"/>
      <c r="AE906" s="17"/>
      <c r="AF906" s="16"/>
      <c r="AG906" s="17"/>
      <c r="AH906" s="16"/>
      <c r="AI906" s="16"/>
      <c r="AJ906" s="16"/>
      <c r="AK906" s="17" t="s">
        <v>89</v>
      </c>
      <c r="AL906" s="16"/>
      <c r="AM906" s="16"/>
      <c r="AN906" s="16"/>
      <c r="AO906" s="16"/>
      <c r="AP906" s="18" t="s">
        <v>58</v>
      </c>
      <c r="AQ906" s="16"/>
    </row>
    <row r="907" ht="15.75" hidden="1" customHeight="1">
      <c r="A907" s="10" t="s">
        <v>4317</v>
      </c>
      <c r="B907" s="10" t="s">
        <v>4318</v>
      </c>
      <c r="C907" s="10" t="str">
        <f>VLOOKUP(A907,import!A:C,3,0)</f>
        <v>DOĞRU</v>
      </c>
      <c r="D907" s="10" t="s">
        <v>167</v>
      </c>
      <c r="E907" s="10">
        <f>VLOOKUP(A907,import!A:J,5,0)</f>
        <v>704</v>
      </c>
      <c r="F907" s="10">
        <f>VLOOKUP(A907,import!A:J,6,0)</f>
        <v>80</v>
      </c>
      <c r="G907" s="10">
        <f>VLOOKUP(A907,import!A:J,7,0)</f>
        <v>8</v>
      </c>
      <c r="H907" s="10">
        <f>VLOOKUP(A907,import!A:J,8,0)</f>
        <v>21</v>
      </c>
      <c r="I907" s="10">
        <f>VLOOKUP(A907,import!A:J,9,0)</f>
        <v>29</v>
      </c>
      <c r="J907" s="11">
        <f>VLOOKUP(A907,import!A:J,10,0)</f>
        <v>0.28</v>
      </c>
      <c r="K907" s="10" t="s">
        <v>4319</v>
      </c>
      <c r="L907" s="10">
        <v>5.30380399E9</v>
      </c>
      <c r="M907" s="10" t="s">
        <v>47</v>
      </c>
      <c r="N907" s="10" t="s">
        <v>756</v>
      </c>
      <c r="O907" s="10" t="s">
        <v>4320</v>
      </c>
      <c r="P907" s="10" t="str">
        <f>VLOOKUP(A907,import!A:P,16,0)</f>
        <v>Geleneksel</v>
      </c>
      <c r="Q907" s="12" t="s">
        <v>50</v>
      </c>
      <c r="R907" s="12" t="b">
        <v>0</v>
      </c>
      <c r="S907" s="12" t="b">
        <v>0</v>
      </c>
      <c r="T907" s="13" t="s">
        <v>248</v>
      </c>
      <c r="U907" s="13"/>
      <c r="V907" s="13"/>
      <c r="W907" s="13"/>
      <c r="X907" s="15"/>
      <c r="Y907" s="15"/>
      <c r="Z907" s="16"/>
      <c r="AA907" s="16"/>
      <c r="AB907" s="16"/>
      <c r="AC907" s="16"/>
      <c r="AD907" s="16"/>
      <c r="AE907" s="17"/>
      <c r="AF907" s="16"/>
      <c r="AG907" s="17"/>
      <c r="AH907" s="16"/>
      <c r="AI907" s="16"/>
      <c r="AJ907" s="16"/>
      <c r="AK907" s="16"/>
      <c r="AL907" s="16"/>
      <c r="AM907" s="16"/>
      <c r="AN907" s="16"/>
      <c r="AO907" s="16"/>
      <c r="AP907" s="18" t="s">
        <v>58</v>
      </c>
      <c r="AQ907" s="16"/>
    </row>
    <row r="908" ht="15.75" hidden="1" customHeight="1">
      <c r="A908" s="10" t="s">
        <v>4321</v>
      </c>
      <c r="B908" s="10" t="s">
        <v>4322</v>
      </c>
      <c r="C908" s="10" t="str">
        <f>VLOOKUP(A908,import!A:C,3,0)</f>
        <v>DOĞRU</v>
      </c>
      <c r="D908" s="10" t="s">
        <v>167</v>
      </c>
      <c r="E908" s="10">
        <f>VLOOKUP(A908,import!A:J,5,0)</f>
        <v>68</v>
      </c>
      <c r="F908" s="10" t="str">
        <f>VLOOKUP(A908,import!A:J,6,0)</f>
        <v/>
      </c>
      <c r="G908" s="10">
        <f>VLOOKUP(A908,import!A:J,7,0)</f>
        <v>7</v>
      </c>
      <c r="H908" s="10">
        <f>VLOOKUP(A908,import!A:J,8,0)</f>
        <v>23</v>
      </c>
      <c r="I908" s="10">
        <f>VLOOKUP(A908,import!A:J,9,0)</f>
        <v>30</v>
      </c>
      <c r="J908" s="11">
        <f>VLOOKUP(A908,import!A:J,10,0)</f>
        <v>0.23</v>
      </c>
      <c r="K908" s="10" t="s">
        <v>4323</v>
      </c>
      <c r="L908" s="10">
        <v>5.303803911E9</v>
      </c>
      <c r="M908" s="10" t="s">
        <v>187</v>
      </c>
      <c r="N908" s="10" t="s">
        <v>1667</v>
      </c>
      <c r="O908" s="10" t="s">
        <v>4324</v>
      </c>
      <c r="P908" s="10" t="str">
        <f>VLOOKUP(A908,import!A:P,16,0)</f>
        <v>Geleneksel</v>
      </c>
      <c r="Q908" s="12" t="s">
        <v>146</v>
      </c>
      <c r="R908" s="12" t="b">
        <v>0</v>
      </c>
      <c r="S908" s="12" t="b">
        <v>0</v>
      </c>
      <c r="T908" s="14" t="s">
        <v>248</v>
      </c>
      <c r="U908" s="14"/>
      <c r="V908" s="14"/>
      <c r="W908" s="14"/>
      <c r="X908" s="29"/>
      <c r="Y908" s="29"/>
      <c r="Z908" s="16"/>
      <c r="AA908" s="16"/>
      <c r="AB908" s="16"/>
      <c r="AC908" s="16"/>
      <c r="AD908" s="16"/>
      <c r="AE908" s="17"/>
      <c r="AF908" s="16"/>
      <c r="AG908" s="17"/>
      <c r="AH908" s="16"/>
      <c r="AI908" s="16"/>
      <c r="AJ908" s="16"/>
      <c r="AK908" s="16"/>
      <c r="AL908" s="16"/>
      <c r="AM908" s="16"/>
      <c r="AN908" s="16"/>
      <c r="AO908" s="16"/>
      <c r="AP908" s="18" t="s">
        <v>58</v>
      </c>
      <c r="AQ908" s="16"/>
    </row>
    <row r="909" ht="15.75" hidden="1" customHeight="1">
      <c r="A909" s="10" t="s">
        <v>4325</v>
      </c>
      <c r="B909" s="10" t="s">
        <v>4326</v>
      </c>
      <c r="C909" s="10" t="str">
        <f>VLOOKUP(A909,import!A:C,3,0)</f>
        <v>DOĞRU</v>
      </c>
      <c r="D909" s="10" t="s">
        <v>167</v>
      </c>
      <c r="E909" s="10">
        <f>VLOOKUP(A909,import!A:J,5,0)</f>
        <v>4561</v>
      </c>
      <c r="F909" s="10">
        <f>VLOOKUP(A909,import!A:J,6,0)</f>
        <v>119</v>
      </c>
      <c r="G909" s="10">
        <f>VLOOKUP(A909,import!A:J,7,0)</f>
        <v>9</v>
      </c>
      <c r="H909" s="10">
        <f>VLOOKUP(A909,import!A:J,8,0)</f>
        <v>9</v>
      </c>
      <c r="I909" s="10">
        <f>VLOOKUP(A909,import!A:J,9,0)</f>
        <v>18</v>
      </c>
      <c r="J909" s="11">
        <f>VLOOKUP(A909,import!A:J,10,0)</f>
        <v>0.5</v>
      </c>
      <c r="K909" s="10" t="s">
        <v>4327</v>
      </c>
      <c r="L909" s="10">
        <v>5.315177033E9</v>
      </c>
      <c r="M909" s="10" t="s">
        <v>72</v>
      </c>
      <c r="N909" s="10" t="s">
        <v>1298</v>
      </c>
      <c r="O909" s="10" t="s">
        <v>4328</v>
      </c>
      <c r="P909" s="10" t="str">
        <f>VLOOKUP(A909,import!A:P,16,0)</f>
        <v>Geleneksel</v>
      </c>
      <c r="Q909" s="12" t="s">
        <v>75</v>
      </c>
      <c r="R909" s="12" t="b">
        <v>1</v>
      </c>
      <c r="S909" s="12" t="b">
        <v>0</v>
      </c>
      <c r="T909" s="13" t="s">
        <v>51</v>
      </c>
      <c r="U909" s="13" t="s">
        <v>52</v>
      </c>
      <c r="V909" s="13" t="s">
        <v>53</v>
      </c>
      <c r="W909" s="13" t="s">
        <v>4329</v>
      </c>
      <c r="X909" s="15">
        <v>44557.0</v>
      </c>
      <c r="Y909" s="15">
        <v>44560.0</v>
      </c>
      <c r="Z909" s="16"/>
      <c r="AA909" s="17" t="s">
        <v>56</v>
      </c>
      <c r="AB909" s="16">
        <v>44552.0</v>
      </c>
      <c r="AC909" s="17" t="s">
        <v>56</v>
      </c>
      <c r="AD909" s="16">
        <v>44557.0</v>
      </c>
      <c r="AE909" s="17"/>
      <c r="AF909" s="16"/>
      <c r="AG909" s="17"/>
      <c r="AH909" s="16"/>
      <c r="AI909" s="16"/>
      <c r="AJ909" s="16"/>
      <c r="AK909" s="17" t="s">
        <v>89</v>
      </c>
      <c r="AL909" s="17" t="s">
        <v>52</v>
      </c>
      <c r="AM909" s="16"/>
      <c r="AN909" s="16"/>
      <c r="AO909" s="16"/>
      <c r="AP909" s="18" t="s">
        <v>58</v>
      </c>
      <c r="AQ909" s="16"/>
    </row>
    <row r="910" ht="15.75" customHeight="1">
      <c r="A910" s="10" t="s">
        <v>4330</v>
      </c>
      <c r="B910" s="10" t="s">
        <v>4331</v>
      </c>
      <c r="C910" s="10" t="str">
        <f>VLOOKUP(A910,import!A:C,3,0)</f>
        <v>YANLIŞ</v>
      </c>
      <c r="D910" s="10" t="s">
        <v>61</v>
      </c>
      <c r="E910" s="10">
        <f>VLOOKUP(A910,import!A:J,5,0)</f>
        <v>257</v>
      </c>
      <c r="F910" s="10" t="str">
        <f>VLOOKUP(A910,import!A:J,6,0)</f>
        <v/>
      </c>
      <c r="G910" s="10">
        <f>VLOOKUP(A910,import!A:J,7,0)</f>
        <v>0</v>
      </c>
      <c r="H910" s="10">
        <f>VLOOKUP(A910,import!A:J,8,0)</f>
        <v>4</v>
      </c>
      <c r="I910" s="10">
        <f>VLOOKUP(A910,import!A:J,9,0)</f>
        <v>4</v>
      </c>
      <c r="J910" s="11">
        <f>VLOOKUP(A910,import!A:J,10,0)</f>
        <v>0</v>
      </c>
      <c r="K910" s="10" t="s">
        <v>4332</v>
      </c>
      <c r="L910" s="10">
        <v>5.39633124E9</v>
      </c>
      <c r="M910" s="10" t="s">
        <v>63</v>
      </c>
      <c r="N910" s="10" t="s">
        <v>100</v>
      </c>
      <c r="O910" s="10" t="s">
        <v>4333</v>
      </c>
      <c r="P910" s="10" t="str">
        <f>VLOOKUP(A910,import!A:P,16,0)</f>
        <v>Geleneksel</v>
      </c>
      <c r="Q910" s="12"/>
      <c r="R910" s="12" t="b">
        <v>1</v>
      </c>
      <c r="S910" s="12" t="b">
        <v>0</v>
      </c>
      <c r="T910" s="13" t="s">
        <v>199</v>
      </c>
      <c r="U910" s="13"/>
      <c r="V910" s="23"/>
      <c r="W910" s="13" t="s">
        <v>4334</v>
      </c>
      <c r="X910" s="15"/>
      <c r="Y910" s="15"/>
      <c r="Z910" s="16"/>
      <c r="AA910" s="17" t="s">
        <v>56</v>
      </c>
      <c r="AB910" s="16">
        <v>44446.0</v>
      </c>
      <c r="AC910" s="17" t="s">
        <v>56</v>
      </c>
      <c r="AD910" s="16">
        <v>44462.0</v>
      </c>
      <c r="AE910" s="17" t="s">
        <v>56</v>
      </c>
      <c r="AF910" s="16">
        <v>44482.0</v>
      </c>
      <c r="AG910" s="17" t="s">
        <v>56</v>
      </c>
      <c r="AH910" s="16">
        <v>44489.0</v>
      </c>
      <c r="AI910" s="17" t="s">
        <v>56</v>
      </c>
      <c r="AJ910" s="16">
        <v>44505.0</v>
      </c>
      <c r="AK910" s="17" t="s">
        <v>367</v>
      </c>
      <c r="AL910" s="17" t="s">
        <v>367</v>
      </c>
      <c r="AM910" s="17" t="s">
        <v>171</v>
      </c>
      <c r="AN910" s="17" t="s">
        <v>367</v>
      </c>
      <c r="AO910" s="17" t="s">
        <v>103</v>
      </c>
      <c r="AP910" s="18" t="s">
        <v>58</v>
      </c>
      <c r="AQ910" s="17"/>
    </row>
    <row r="911" ht="15.75" hidden="1" customHeight="1">
      <c r="A911" s="10" t="s">
        <v>4335</v>
      </c>
      <c r="B911" s="10" t="s">
        <v>4336</v>
      </c>
      <c r="C911" s="10" t="str">
        <f>VLOOKUP(A911,import!A:C,3,0)</f>
        <v>DOĞRU</v>
      </c>
      <c r="D911" s="10" t="s">
        <v>70</v>
      </c>
      <c r="E911" s="10">
        <f>VLOOKUP(A911,import!A:J,5,0)</f>
        <v>1598</v>
      </c>
      <c r="F911" s="10">
        <f>VLOOKUP(A911,import!A:J,6,0)</f>
        <v>79</v>
      </c>
      <c r="G911" s="10">
        <f>VLOOKUP(A911,import!A:J,7,0)</f>
        <v>0</v>
      </c>
      <c r="H911" s="10">
        <f>VLOOKUP(A911,import!A:J,8,0)</f>
        <v>39</v>
      </c>
      <c r="I911" s="10">
        <f>VLOOKUP(A911,import!A:J,9,0)</f>
        <v>39</v>
      </c>
      <c r="J911" s="11">
        <f>VLOOKUP(A911,import!A:J,10,0)</f>
        <v>0</v>
      </c>
      <c r="K911" s="10" t="s">
        <v>4337</v>
      </c>
      <c r="L911" s="10">
        <v>3.24622003E9</v>
      </c>
      <c r="M911" s="10" t="s">
        <v>156</v>
      </c>
      <c r="N911" s="10" t="s">
        <v>596</v>
      </c>
      <c r="O911" s="10" t="s">
        <v>4338</v>
      </c>
      <c r="P911" s="10" t="str">
        <f>VLOOKUP(A911,import!A:P,16,0)</f>
        <v>Geleneksel</v>
      </c>
      <c r="Q911" s="12"/>
      <c r="R911" s="12" t="b">
        <v>0</v>
      </c>
      <c r="S911" s="12" t="b">
        <v>0</v>
      </c>
      <c r="T911" s="13"/>
      <c r="U911" s="13"/>
      <c r="V911" s="13"/>
      <c r="W911" s="13"/>
      <c r="X911" s="15"/>
      <c r="Y911" s="15"/>
      <c r="Z911" s="16"/>
      <c r="AA911" s="16"/>
      <c r="AB911" s="16"/>
      <c r="AC911" s="16"/>
      <c r="AD911" s="16"/>
      <c r="AE911" s="17"/>
      <c r="AF911" s="16"/>
      <c r="AG911" s="17"/>
      <c r="AH911" s="16"/>
      <c r="AI911" s="16"/>
      <c r="AJ911" s="16"/>
      <c r="AK911" s="16"/>
      <c r="AL911" s="16"/>
      <c r="AM911" s="16"/>
      <c r="AN911" s="16"/>
      <c r="AO911" s="16"/>
      <c r="AP911" s="18" t="s">
        <v>58</v>
      </c>
      <c r="AQ911" s="16"/>
    </row>
    <row r="912" ht="15.75" customHeight="1">
      <c r="A912" s="10" t="s">
        <v>4339</v>
      </c>
      <c r="B912" s="10" t="s">
        <v>4340</v>
      </c>
      <c r="C912" s="10" t="str">
        <f>VLOOKUP(A912,import!A:C,3,0)</f>
        <v>DOĞRU</v>
      </c>
      <c r="D912" s="10" t="s">
        <v>676</v>
      </c>
      <c r="E912" s="10">
        <f>VLOOKUP(A912,import!A:J,5,0)</f>
        <v>505</v>
      </c>
      <c r="F912" s="10">
        <f>VLOOKUP(A912,import!A:J,6,0)</f>
        <v>11</v>
      </c>
      <c r="G912" s="10">
        <f>VLOOKUP(A912,import!A:J,7,0)</f>
        <v>14</v>
      </c>
      <c r="H912" s="10">
        <f>VLOOKUP(A912,import!A:J,8,0)</f>
        <v>26</v>
      </c>
      <c r="I912" s="10">
        <f>VLOOKUP(A912,import!A:J,9,0)</f>
        <v>40</v>
      </c>
      <c r="J912" s="11">
        <f>VLOOKUP(A912,import!A:J,10,0)</f>
        <v>0.35</v>
      </c>
      <c r="K912" s="10" t="s">
        <v>4341</v>
      </c>
      <c r="L912" s="10">
        <v>5.380539654E9</v>
      </c>
      <c r="M912" s="10" t="s">
        <v>137</v>
      </c>
      <c r="N912" s="10" t="s">
        <v>845</v>
      </c>
      <c r="O912" s="10" t="s">
        <v>4342</v>
      </c>
      <c r="P912" s="10" t="str">
        <f>VLOOKUP(A912,import!A:P,16,0)</f>
        <v>Geleneksel</v>
      </c>
      <c r="Q912" s="12" t="s">
        <v>84</v>
      </c>
      <c r="R912" s="12" t="b">
        <v>1</v>
      </c>
      <c r="S912" s="12" t="b">
        <v>0</v>
      </c>
      <c r="T912" s="13" t="s">
        <v>51</v>
      </c>
      <c r="U912" s="13" t="s">
        <v>258</v>
      </c>
      <c r="V912" s="13" t="s">
        <v>278</v>
      </c>
      <c r="W912" s="13" t="s">
        <v>4343</v>
      </c>
      <c r="X912" s="15">
        <v>44294.0</v>
      </c>
      <c r="Y912" s="15">
        <v>44295.0</v>
      </c>
      <c r="Z912" s="16"/>
      <c r="AA912" s="17" t="s">
        <v>56</v>
      </c>
      <c r="AB912" s="16">
        <v>44552.0</v>
      </c>
      <c r="AC912" s="16"/>
      <c r="AD912" s="16"/>
      <c r="AE912" s="17"/>
      <c r="AF912" s="16"/>
      <c r="AG912" s="17"/>
      <c r="AH912" s="16"/>
      <c r="AI912" s="16"/>
      <c r="AJ912" s="16"/>
      <c r="AK912" s="17" t="s">
        <v>89</v>
      </c>
      <c r="AL912" s="16"/>
      <c r="AM912" s="16"/>
      <c r="AN912" s="16"/>
      <c r="AO912" s="16"/>
      <c r="AP912" s="18" t="s">
        <v>58</v>
      </c>
      <c r="AQ912" s="16"/>
    </row>
    <row r="913" ht="15.75" hidden="1" customHeight="1">
      <c r="A913" s="10" t="s">
        <v>4344</v>
      </c>
      <c r="B913" s="10" t="s">
        <v>4345</v>
      </c>
      <c r="C913" s="10" t="str">
        <f>VLOOKUP(A913,import!A:C,3,0)</f>
        <v>DOĞRU</v>
      </c>
      <c r="D913" s="10" t="s">
        <v>564</v>
      </c>
      <c r="E913" s="10">
        <f>VLOOKUP(A913,import!A:J,5,0)</f>
        <v>1711</v>
      </c>
      <c r="F913" s="10" t="str">
        <f>VLOOKUP(A913,import!A:J,6,0)</f>
        <v/>
      </c>
      <c r="G913" s="10">
        <f>VLOOKUP(A913,import!A:J,7,0)</f>
        <v>0</v>
      </c>
      <c r="H913" s="10">
        <f>VLOOKUP(A913,import!A:J,8,0)</f>
        <v>63</v>
      </c>
      <c r="I913" s="10">
        <f>VLOOKUP(A913,import!A:J,9,0)</f>
        <v>63</v>
      </c>
      <c r="J913" s="11">
        <f>VLOOKUP(A913,import!A:J,10,0)</f>
        <v>0</v>
      </c>
      <c r="K913" s="10" t="s">
        <v>4346</v>
      </c>
      <c r="L913" s="10">
        <v>5.050213333E9</v>
      </c>
      <c r="M913" s="10" t="s">
        <v>72</v>
      </c>
      <c r="N913" s="10" t="s">
        <v>128</v>
      </c>
      <c r="O913" s="10" t="s">
        <v>4347</v>
      </c>
      <c r="P913" s="10" t="str">
        <f>VLOOKUP(A913,import!A:P,16,0)</f>
        <v>Geleneksel</v>
      </c>
      <c r="Q913" s="12"/>
      <c r="R913" s="12" t="b">
        <v>1</v>
      </c>
      <c r="S913" s="12" t="b">
        <v>1</v>
      </c>
      <c r="T913" s="13" t="s">
        <v>265</v>
      </c>
      <c r="U913" s="13"/>
      <c r="V913" s="13"/>
      <c r="W913" s="13" t="s">
        <v>4348</v>
      </c>
      <c r="X913" s="15"/>
      <c r="Y913" s="15"/>
      <c r="Z913" s="16"/>
      <c r="AA913" s="17" t="s">
        <v>56</v>
      </c>
      <c r="AB913" s="16">
        <v>44476.0</v>
      </c>
      <c r="AC913" s="17" t="s">
        <v>230</v>
      </c>
      <c r="AD913" s="16">
        <v>44551.0</v>
      </c>
      <c r="AE913" s="17" t="s">
        <v>56</v>
      </c>
      <c r="AF913" s="16">
        <v>44551.0</v>
      </c>
      <c r="AG913" s="17" t="s">
        <v>86</v>
      </c>
      <c r="AH913" s="16">
        <v>44578.0</v>
      </c>
      <c r="AI913" s="16"/>
      <c r="AJ913" s="16"/>
      <c r="AK913" s="17" t="s">
        <v>171</v>
      </c>
      <c r="AL913" s="17" t="s">
        <v>314</v>
      </c>
      <c r="AM913" s="17" t="s">
        <v>314</v>
      </c>
      <c r="AN913" s="17" t="s">
        <v>89</v>
      </c>
      <c r="AO913" s="16"/>
      <c r="AP913" s="18" t="s">
        <v>58</v>
      </c>
      <c r="AQ913" s="16"/>
    </row>
    <row r="914" ht="15.75" hidden="1" customHeight="1">
      <c r="A914" s="10" t="s">
        <v>4349</v>
      </c>
      <c r="B914" s="10" t="s">
        <v>4350</v>
      </c>
      <c r="C914" s="10" t="str">
        <f>VLOOKUP(A914,import!A:C,3,0)</f>
        <v>DOĞRU</v>
      </c>
      <c r="D914" s="10" t="s">
        <v>356</v>
      </c>
      <c r="E914" s="10">
        <f>VLOOKUP(A914,import!A:J,5,0)</f>
        <v>128</v>
      </c>
      <c r="F914" s="10">
        <f>VLOOKUP(A914,import!A:J,6,0)</f>
        <v>9</v>
      </c>
      <c r="G914" s="10">
        <f>VLOOKUP(A914,import!A:J,7,0)</f>
        <v>0</v>
      </c>
      <c r="H914" s="10">
        <f>VLOOKUP(A914,import!A:J,8,0)</f>
        <v>13</v>
      </c>
      <c r="I914" s="10">
        <f>VLOOKUP(A914,import!A:J,9,0)</f>
        <v>13</v>
      </c>
      <c r="J914" s="11">
        <f>VLOOKUP(A914,import!A:J,10,0)</f>
        <v>0</v>
      </c>
      <c r="K914" s="10" t="s">
        <v>4351</v>
      </c>
      <c r="L914" s="10">
        <v>5.316863189E9</v>
      </c>
      <c r="M914" s="10" t="s">
        <v>47</v>
      </c>
      <c r="N914" s="10" t="s">
        <v>608</v>
      </c>
      <c r="O914" s="10" t="s">
        <v>4352</v>
      </c>
      <c r="P914" s="10" t="str">
        <f>VLOOKUP(A914,import!A:P,16,0)</f>
        <v>Geleneksel</v>
      </c>
      <c r="Q914" s="12"/>
      <c r="R914" s="12" t="b">
        <v>1</v>
      </c>
      <c r="S914" s="12" t="b">
        <v>0</v>
      </c>
      <c r="T914" s="13"/>
      <c r="U914" s="13"/>
      <c r="V914" s="13"/>
      <c r="W914" s="13" t="s">
        <v>4353</v>
      </c>
      <c r="X914" s="15"/>
      <c r="Y914" s="15"/>
      <c r="Z914" s="16"/>
      <c r="AA914" s="17" t="s">
        <v>56</v>
      </c>
      <c r="AB914" s="16">
        <v>44508.0</v>
      </c>
      <c r="AC914" s="16"/>
      <c r="AD914" s="16"/>
      <c r="AE914" s="17"/>
      <c r="AF914" s="16"/>
      <c r="AG914" s="17"/>
      <c r="AH914" s="16"/>
      <c r="AI914" s="16"/>
      <c r="AJ914" s="16"/>
      <c r="AK914" s="17" t="s">
        <v>133</v>
      </c>
      <c r="AL914" s="16"/>
      <c r="AM914" s="16"/>
      <c r="AN914" s="16"/>
      <c r="AO914" s="16"/>
      <c r="AP914" s="18" t="s">
        <v>58</v>
      </c>
      <c r="AQ914" s="16"/>
    </row>
    <row r="915" ht="15.75" hidden="1" customHeight="1">
      <c r="A915" s="10" t="s">
        <v>4354</v>
      </c>
      <c r="B915" s="10" t="s">
        <v>4355</v>
      </c>
      <c r="C915" s="10" t="str">
        <f>VLOOKUP(A915,import!A:C,3,0)</f>
        <v>DOĞRU</v>
      </c>
      <c r="D915" s="10" t="s">
        <v>80</v>
      </c>
      <c r="E915" s="10">
        <f>VLOOKUP(A915,import!A:J,5,0)</f>
        <v>90</v>
      </c>
      <c r="F915" s="10">
        <f>VLOOKUP(A915,import!A:J,6,0)</f>
        <v>16</v>
      </c>
      <c r="G915" s="10">
        <f>VLOOKUP(A915,import!A:J,7,0)</f>
        <v>10</v>
      </c>
      <c r="H915" s="10">
        <f>VLOOKUP(A915,import!A:J,8,0)</f>
        <v>0</v>
      </c>
      <c r="I915" s="10">
        <f>VLOOKUP(A915,import!A:J,9,0)</f>
        <v>10</v>
      </c>
      <c r="J915" s="11">
        <f>VLOOKUP(A915,import!A:J,10,0)</f>
        <v>1</v>
      </c>
      <c r="K915" s="10" t="s">
        <v>4356</v>
      </c>
      <c r="L915" s="10">
        <v>5.395275987E9</v>
      </c>
      <c r="M915" s="10" t="s">
        <v>215</v>
      </c>
      <c r="N915" s="10" t="s">
        <v>560</v>
      </c>
      <c r="O915" s="10" t="s">
        <v>4357</v>
      </c>
      <c r="P915" s="10" t="str">
        <f>VLOOKUP(A915,import!A:P,16,0)</f>
        <v>Geleneksel</v>
      </c>
      <c r="Q915" s="12"/>
      <c r="R915" s="12" t="b">
        <v>1</v>
      </c>
      <c r="S915" s="12" t="b">
        <v>0</v>
      </c>
      <c r="T915" s="13" t="s">
        <v>51</v>
      </c>
      <c r="U915" s="13" t="s">
        <v>89</v>
      </c>
      <c r="V915" s="17" t="s">
        <v>131</v>
      </c>
      <c r="W915" s="13"/>
      <c r="X915" s="15">
        <v>44634.0</v>
      </c>
      <c r="Y915" s="15">
        <v>44635.0</v>
      </c>
      <c r="Z915" s="16"/>
      <c r="AA915" s="17" t="s">
        <v>56</v>
      </c>
      <c r="AB915" s="16">
        <v>44634.0</v>
      </c>
      <c r="AC915" s="16"/>
      <c r="AD915" s="16"/>
      <c r="AE915" s="17"/>
      <c r="AF915" s="16"/>
      <c r="AG915" s="17"/>
      <c r="AH915" s="16"/>
      <c r="AI915" s="16"/>
      <c r="AJ915" s="16"/>
      <c r="AK915" s="17" t="s">
        <v>89</v>
      </c>
      <c r="AL915" s="16"/>
      <c r="AM915" s="16"/>
      <c r="AN915" s="16"/>
      <c r="AO915" s="16"/>
      <c r="AP915" s="18"/>
      <c r="AQ915" s="16"/>
    </row>
    <row r="916" ht="15.75" customHeight="1">
      <c r="A916" s="10" t="s">
        <v>4358</v>
      </c>
      <c r="B916" s="10" t="s">
        <v>4359</v>
      </c>
      <c r="C916" s="10" t="str">
        <f>VLOOKUP(A916,import!A:C,3,0)</f>
        <v>DOĞRU</v>
      </c>
      <c r="D916" s="10" t="s">
        <v>70</v>
      </c>
      <c r="E916" s="10">
        <f>VLOOKUP(A916,import!A:J,5,0)</f>
        <v>679</v>
      </c>
      <c r="F916" s="10">
        <f>VLOOKUP(A916,import!A:J,6,0)</f>
        <v>58</v>
      </c>
      <c r="G916" s="10">
        <f>VLOOKUP(A916,import!A:J,7,0)</f>
        <v>0</v>
      </c>
      <c r="H916" s="10">
        <f>VLOOKUP(A916,import!A:J,8,0)</f>
        <v>14</v>
      </c>
      <c r="I916" s="10">
        <f>VLOOKUP(A916,import!A:J,9,0)</f>
        <v>14</v>
      </c>
      <c r="J916" s="11">
        <f>VLOOKUP(A916,import!A:J,10,0)</f>
        <v>0</v>
      </c>
      <c r="K916" s="10" t="s">
        <v>4360</v>
      </c>
      <c r="L916" s="10">
        <v>5.492183355E9</v>
      </c>
      <c r="M916" s="10" t="s">
        <v>63</v>
      </c>
      <c r="N916" s="10" t="s">
        <v>4361</v>
      </c>
      <c r="O916" s="10" t="s">
        <v>4362</v>
      </c>
      <c r="P916" s="10" t="str">
        <f>VLOOKUP(A916,import!A:P,16,0)</f>
        <v>Geleneksel</v>
      </c>
      <c r="Q916" s="12"/>
      <c r="R916" s="12" t="b">
        <v>1</v>
      </c>
      <c r="S916" s="12" t="b">
        <v>0</v>
      </c>
      <c r="T916" s="13" t="s">
        <v>140</v>
      </c>
      <c r="U916" s="13"/>
      <c r="V916" s="13"/>
      <c r="W916" s="13" t="s">
        <v>4363</v>
      </c>
      <c r="X916" s="15"/>
      <c r="Y916" s="15"/>
      <c r="Z916" s="16"/>
      <c r="AA916" s="17" t="s">
        <v>56</v>
      </c>
      <c r="AB916" s="16">
        <v>44557.0</v>
      </c>
      <c r="AC916" s="16"/>
      <c r="AD916" s="16"/>
      <c r="AE916" s="17"/>
      <c r="AF916" s="16"/>
      <c r="AG916" s="17"/>
      <c r="AH916" s="16"/>
      <c r="AI916" s="16"/>
      <c r="AJ916" s="16"/>
      <c r="AK916" s="17" t="s">
        <v>52</v>
      </c>
      <c r="AL916" s="16"/>
      <c r="AM916" s="16"/>
      <c r="AN916" s="16"/>
      <c r="AO916" s="16"/>
      <c r="AP916" s="18"/>
      <c r="AQ916" s="16"/>
    </row>
    <row r="917" ht="15.75" customHeight="1">
      <c r="A917" s="10" t="s">
        <v>4364</v>
      </c>
      <c r="B917" s="10" t="s">
        <v>4365</v>
      </c>
      <c r="C917" s="10" t="str">
        <f>VLOOKUP(A917,import!A:C,3,0)</f>
        <v>DOĞRU</v>
      </c>
      <c r="D917" s="10" t="s">
        <v>70</v>
      </c>
      <c r="E917" s="10">
        <f>VLOOKUP(A917,import!A:J,5,0)</f>
        <v>1557</v>
      </c>
      <c r="F917" s="10">
        <f>VLOOKUP(A917,import!A:J,6,0)</f>
        <v>42</v>
      </c>
      <c r="G917" s="10">
        <f>VLOOKUP(A917,import!A:J,7,0)</f>
        <v>12</v>
      </c>
      <c r="H917" s="10">
        <f>VLOOKUP(A917,import!A:J,8,0)</f>
        <v>9</v>
      </c>
      <c r="I917" s="10">
        <f>VLOOKUP(A917,import!A:J,9,0)</f>
        <v>21</v>
      </c>
      <c r="J917" s="11">
        <f>VLOOKUP(A917,import!A:J,10,0)</f>
        <v>0.57</v>
      </c>
      <c r="K917" s="10" t="s">
        <v>4366</v>
      </c>
      <c r="L917" s="10">
        <v>5.436603419E9</v>
      </c>
      <c r="M917" s="10" t="s">
        <v>63</v>
      </c>
      <c r="N917" s="10" t="s">
        <v>93</v>
      </c>
      <c r="O917" s="10" t="s">
        <v>4367</v>
      </c>
      <c r="P917" s="10" t="str">
        <f>VLOOKUP(A917,import!A:P,16,0)</f>
        <v>Geleneksel</v>
      </c>
      <c r="Q917" s="12" t="s">
        <v>146</v>
      </c>
      <c r="R917" s="12" t="b">
        <v>1</v>
      </c>
      <c r="S917" s="12" t="b">
        <v>0</v>
      </c>
      <c r="T917" s="13" t="s">
        <v>51</v>
      </c>
      <c r="U917" s="13" t="s">
        <v>1043</v>
      </c>
      <c r="V917" s="13" t="s">
        <v>66</v>
      </c>
      <c r="W917" s="13" t="s">
        <v>4368</v>
      </c>
      <c r="X917" s="15">
        <v>44271.0</v>
      </c>
      <c r="Y917" s="15">
        <v>44274.0</v>
      </c>
      <c r="Z917" s="16"/>
      <c r="AA917" s="17" t="s">
        <v>56</v>
      </c>
      <c r="AB917" s="16">
        <v>44581.0</v>
      </c>
      <c r="AC917" s="16"/>
      <c r="AD917" s="16"/>
      <c r="AE917" s="17"/>
      <c r="AF917" s="16"/>
      <c r="AG917" s="17"/>
      <c r="AH917" s="16"/>
      <c r="AI917" s="16"/>
      <c r="AJ917" s="16"/>
      <c r="AK917" s="17" t="s">
        <v>89</v>
      </c>
      <c r="AL917" s="16"/>
      <c r="AM917" s="16"/>
      <c r="AN917" s="16"/>
      <c r="AO917" s="16"/>
      <c r="AP917" s="18" t="s">
        <v>58</v>
      </c>
      <c r="AQ917" s="16"/>
    </row>
    <row r="918" ht="15.75" hidden="1" customHeight="1">
      <c r="A918" s="10" t="s">
        <v>4369</v>
      </c>
      <c r="B918" s="10" t="s">
        <v>4370</v>
      </c>
      <c r="C918" s="10" t="str">
        <f>VLOOKUP(A918,import!A:C,3,0)</f>
        <v>DOĞRU</v>
      </c>
      <c r="D918" s="10" t="s">
        <v>80</v>
      </c>
      <c r="E918" s="10">
        <f>VLOOKUP(A918,import!A:J,5,0)</f>
        <v>58</v>
      </c>
      <c r="F918" s="10" t="str">
        <f>VLOOKUP(A918,import!A:J,6,0)</f>
        <v/>
      </c>
      <c r="G918" s="10">
        <f>VLOOKUP(A918,import!A:J,7,0)</f>
        <v>0</v>
      </c>
      <c r="H918" s="10">
        <f>VLOOKUP(A918,import!A:J,8,0)</f>
        <v>20</v>
      </c>
      <c r="I918" s="10">
        <f>VLOOKUP(A918,import!A:J,9,0)</f>
        <v>20</v>
      </c>
      <c r="J918" s="11">
        <f>VLOOKUP(A918,import!A:J,10,0)</f>
        <v>0</v>
      </c>
      <c r="K918" s="10" t="s">
        <v>4371</v>
      </c>
      <c r="L918" s="10">
        <v>5.411203358E9</v>
      </c>
      <c r="M918" s="10" t="s">
        <v>72</v>
      </c>
      <c r="N918" s="10" t="s">
        <v>73</v>
      </c>
      <c r="O918" s="10" t="s">
        <v>4372</v>
      </c>
      <c r="P918" s="10" t="str">
        <f>VLOOKUP(A918,import!A:P,16,0)</f>
        <v>Geleneksel</v>
      </c>
      <c r="Q918" s="12"/>
      <c r="R918" s="12" t="b">
        <v>1</v>
      </c>
      <c r="S918" s="12" t="b">
        <v>0</v>
      </c>
      <c r="T918" s="13" t="s">
        <v>130</v>
      </c>
      <c r="U918" s="13" t="s">
        <v>89</v>
      </c>
      <c r="V918" s="13" t="s">
        <v>66</v>
      </c>
      <c r="W918" s="13" t="s">
        <v>4373</v>
      </c>
      <c r="X918" s="15">
        <v>44515.0</v>
      </c>
      <c r="Y918" s="15">
        <v>44516.0</v>
      </c>
      <c r="Z918" s="16"/>
      <c r="AA918" s="17" t="s">
        <v>56</v>
      </c>
      <c r="AB918" s="16">
        <v>44515.0</v>
      </c>
      <c r="AC918" s="17" t="s">
        <v>56</v>
      </c>
      <c r="AD918" s="16">
        <v>44517.0</v>
      </c>
      <c r="AE918" s="17" t="s">
        <v>56</v>
      </c>
      <c r="AF918" s="16">
        <v>44520.0</v>
      </c>
      <c r="AG918" s="17" t="s">
        <v>265</v>
      </c>
      <c r="AH918" s="16">
        <v>44565.0</v>
      </c>
      <c r="AI918" s="17" t="s">
        <v>56</v>
      </c>
      <c r="AJ918" s="16">
        <v>44660.0</v>
      </c>
      <c r="AK918" s="17" t="s">
        <v>89</v>
      </c>
      <c r="AL918" s="17" t="s">
        <v>314</v>
      </c>
      <c r="AM918" s="17" t="s">
        <v>89</v>
      </c>
      <c r="AN918" s="17" t="s">
        <v>89</v>
      </c>
      <c r="AO918" s="17" t="s">
        <v>89</v>
      </c>
      <c r="AP918" s="18" t="s">
        <v>58</v>
      </c>
      <c r="AQ918" s="16"/>
    </row>
    <row r="919" ht="15.75" hidden="1" customHeight="1">
      <c r="A919" s="18" t="s">
        <v>4374</v>
      </c>
      <c r="B919" s="18" t="s">
        <v>4375</v>
      </c>
      <c r="C919" s="10" t="str">
        <f>VLOOKUP(A919,import!A:C,3,0)</f>
        <v>DOĞRU</v>
      </c>
      <c r="D919" s="18" t="s">
        <v>363</v>
      </c>
      <c r="E919" s="10">
        <f>VLOOKUP(A919,import!A:J,5,0)</f>
        <v>51</v>
      </c>
      <c r="F919" s="10">
        <f>VLOOKUP(A919,import!A:J,6,0)</f>
        <v>51</v>
      </c>
      <c r="G919" s="10">
        <f>VLOOKUP(A919,import!A:J,7,0)</f>
        <v>0</v>
      </c>
      <c r="H919" s="10">
        <f>VLOOKUP(A919,import!A:J,8,0)</f>
        <v>19</v>
      </c>
      <c r="I919" s="10">
        <f>VLOOKUP(A919,import!A:J,9,0)</f>
        <v>19</v>
      </c>
      <c r="J919" s="11">
        <f>VLOOKUP(A919,import!A:J,10,0)</f>
        <v>0</v>
      </c>
      <c r="K919" s="18" t="s">
        <v>4376</v>
      </c>
      <c r="L919" s="18">
        <v>5.074536299E9</v>
      </c>
      <c r="M919" s="18" t="s">
        <v>72</v>
      </c>
      <c r="N919" s="18" t="s">
        <v>716</v>
      </c>
      <c r="O919" s="18" t="s">
        <v>4377</v>
      </c>
      <c r="P919" s="10" t="str">
        <f>VLOOKUP(A919,import!A:P,16,0)</f>
        <v>Geleneksel</v>
      </c>
      <c r="Q919" s="12"/>
      <c r="R919" s="12" t="b">
        <v>0</v>
      </c>
      <c r="S919" s="12" t="b">
        <v>0</v>
      </c>
      <c r="T919" s="13"/>
      <c r="U919" s="13"/>
      <c r="V919" s="13"/>
      <c r="W919" s="13"/>
      <c r="X919" s="15"/>
      <c r="Y919" s="15"/>
      <c r="Z919" s="16"/>
      <c r="AA919" s="17"/>
      <c r="AB919" s="16"/>
      <c r="AC919" s="16"/>
      <c r="AD919" s="16"/>
      <c r="AE919" s="17"/>
      <c r="AF919" s="16"/>
      <c r="AG919" s="17"/>
      <c r="AH919" s="16"/>
      <c r="AI919" s="16"/>
      <c r="AJ919" s="16"/>
      <c r="AK919" s="17"/>
      <c r="AL919" s="16"/>
      <c r="AM919" s="16"/>
      <c r="AN919" s="16"/>
      <c r="AO919" s="16"/>
      <c r="AP919" s="18"/>
      <c r="AQ919" s="16"/>
    </row>
    <row r="920" ht="15.75" hidden="1" customHeight="1">
      <c r="A920" s="10" t="s">
        <v>4378</v>
      </c>
      <c r="B920" s="10" t="s">
        <v>4379</v>
      </c>
      <c r="C920" s="10" t="str">
        <f>VLOOKUP(A920,import!A:C,3,0)</f>
        <v>DOĞRU</v>
      </c>
      <c r="D920" s="10" t="s">
        <v>363</v>
      </c>
      <c r="E920" s="10">
        <f>VLOOKUP(A920,import!A:J,5,0)</f>
        <v>580</v>
      </c>
      <c r="F920" s="10">
        <f>VLOOKUP(A920,import!A:J,6,0)</f>
        <v>104</v>
      </c>
      <c r="G920" s="10">
        <f>VLOOKUP(A920,import!A:J,7,0)</f>
        <v>12</v>
      </c>
      <c r="H920" s="10">
        <f>VLOOKUP(A920,import!A:J,8,0)</f>
        <v>12</v>
      </c>
      <c r="I920" s="10">
        <f>VLOOKUP(A920,import!A:J,9,0)</f>
        <v>24</v>
      </c>
      <c r="J920" s="11">
        <f>VLOOKUP(A920,import!A:J,10,0)</f>
        <v>0.5</v>
      </c>
      <c r="K920" s="10" t="s">
        <v>4380</v>
      </c>
      <c r="L920" s="10">
        <v>3.243291966E9</v>
      </c>
      <c r="M920" s="10" t="s">
        <v>72</v>
      </c>
      <c r="N920" s="10" t="s">
        <v>181</v>
      </c>
      <c r="O920" s="10" t="s">
        <v>4381</v>
      </c>
      <c r="P920" s="10" t="str">
        <f>VLOOKUP(A920,import!A:P,16,0)</f>
        <v>Geleneksel</v>
      </c>
      <c r="Q920" s="12"/>
      <c r="R920" s="12" t="b">
        <v>1</v>
      </c>
      <c r="S920" s="12" t="b">
        <v>0</v>
      </c>
      <c r="T920" s="13" t="s">
        <v>51</v>
      </c>
      <c r="U920" s="13" t="s">
        <v>89</v>
      </c>
      <c r="V920" s="13" t="s">
        <v>66</v>
      </c>
      <c r="W920" s="13"/>
      <c r="X920" s="15">
        <v>44578.0</v>
      </c>
      <c r="Y920" s="15">
        <v>44579.0</v>
      </c>
      <c r="Z920" s="16"/>
      <c r="AA920" s="17" t="s">
        <v>56</v>
      </c>
      <c r="AB920" s="16">
        <v>44568.0</v>
      </c>
      <c r="AC920" s="16"/>
      <c r="AD920" s="16"/>
      <c r="AE920" s="17"/>
      <c r="AF920" s="16"/>
      <c r="AG920" s="17"/>
      <c r="AH920" s="16"/>
      <c r="AI920" s="16"/>
      <c r="AJ920" s="16"/>
      <c r="AK920" s="17" t="s">
        <v>89</v>
      </c>
      <c r="AL920" s="16"/>
      <c r="AM920" s="16"/>
      <c r="AN920" s="16"/>
      <c r="AO920" s="16"/>
      <c r="AP920" s="18"/>
      <c r="AQ920" s="16"/>
    </row>
    <row r="921" ht="15.75" hidden="1" customHeight="1">
      <c r="A921" s="10" t="s">
        <v>4382</v>
      </c>
      <c r="B921" s="10" t="s">
        <v>4383</v>
      </c>
      <c r="C921" s="10" t="str">
        <f>VLOOKUP(A921,import!A:C,3,0)</f>
        <v>DOĞRU</v>
      </c>
      <c r="D921" s="10" t="s">
        <v>363</v>
      </c>
      <c r="E921" s="10">
        <f>VLOOKUP(A921,import!A:J,5,0)</f>
        <v>73</v>
      </c>
      <c r="F921" s="10">
        <f>VLOOKUP(A921,import!A:J,6,0)</f>
        <v>34</v>
      </c>
      <c r="G921" s="10">
        <f>VLOOKUP(A921,import!A:J,7,0)</f>
        <v>32</v>
      </c>
      <c r="H921" s="10">
        <f>VLOOKUP(A921,import!A:J,8,0)</f>
        <v>27</v>
      </c>
      <c r="I921" s="10">
        <f>VLOOKUP(A921,import!A:J,9,0)</f>
        <v>59</v>
      </c>
      <c r="J921" s="11">
        <f>VLOOKUP(A921,import!A:J,10,0)</f>
        <v>0.54</v>
      </c>
      <c r="K921" s="10" t="s">
        <v>4384</v>
      </c>
      <c r="L921" s="10">
        <v>5.070255432E9</v>
      </c>
      <c r="M921" s="10" t="s">
        <v>72</v>
      </c>
      <c r="N921" s="10" t="s">
        <v>150</v>
      </c>
      <c r="O921" s="10" t="s">
        <v>4385</v>
      </c>
      <c r="P921" s="10" t="str">
        <f>VLOOKUP(A921,import!A:P,16,0)</f>
        <v>Geleneksel</v>
      </c>
      <c r="Q921" s="12"/>
      <c r="R921" s="12" t="b">
        <v>1</v>
      </c>
      <c r="S921" s="12" t="b">
        <v>0</v>
      </c>
      <c r="T921" s="13" t="s">
        <v>51</v>
      </c>
      <c r="U921" s="13" t="s">
        <v>52</v>
      </c>
      <c r="V921" s="17" t="s">
        <v>131</v>
      </c>
      <c r="W921" s="13" t="s">
        <v>4386</v>
      </c>
      <c r="X921" s="15">
        <v>44628.0</v>
      </c>
      <c r="Y921" s="15">
        <v>44630.0</v>
      </c>
      <c r="Z921" s="16"/>
      <c r="AA921" s="17" t="s">
        <v>56</v>
      </c>
      <c r="AB921" s="16">
        <v>44627.0</v>
      </c>
      <c r="AC921" s="17" t="s">
        <v>56</v>
      </c>
      <c r="AD921" s="16">
        <v>44628.0</v>
      </c>
      <c r="AE921" s="17"/>
      <c r="AF921" s="16"/>
      <c r="AG921" s="17"/>
      <c r="AH921" s="16"/>
      <c r="AI921" s="16"/>
      <c r="AJ921" s="16"/>
      <c r="AK921" s="17" t="s">
        <v>52</v>
      </c>
      <c r="AL921" s="17" t="s">
        <v>52</v>
      </c>
      <c r="AM921" s="16"/>
      <c r="AN921" s="16"/>
      <c r="AO921" s="16"/>
      <c r="AP921" s="18"/>
      <c r="AQ921" s="16"/>
    </row>
    <row r="922" ht="15.75" hidden="1" customHeight="1">
      <c r="A922" s="10" t="s">
        <v>4387</v>
      </c>
      <c r="B922" s="10" t="s">
        <v>4388</v>
      </c>
      <c r="C922" s="10" t="str">
        <f>VLOOKUP(A922,import!A:C,3,0)</f>
        <v>DOĞRU</v>
      </c>
      <c r="D922" s="10" t="s">
        <v>363</v>
      </c>
      <c r="E922" s="10">
        <f>VLOOKUP(A922,import!A:J,5,0)</f>
        <v>264</v>
      </c>
      <c r="F922" s="10">
        <f>VLOOKUP(A922,import!A:J,6,0)</f>
        <v>32</v>
      </c>
      <c r="G922" s="10">
        <f>VLOOKUP(A922,import!A:J,7,0)</f>
        <v>11</v>
      </c>
      <c r="H922" s="10">
        <f>VLOOKUP(A922,import!A:J,8,0)</f>
        <v>7</v>
      </c>
      <c r="I922" s="10">
        <f>VLOOKUP(A922,import!A:J,9,0)</f>
        <v>18</v>
      </c>
      <c r="J922" s="11">
        <f>VLOOKUP(A922,import!A:J,10,0)</f>
        <v>0.61</v>
      </c>
      <c r="K922" s="10" t="s">
        <v>4389</v>
      </c>
      <c r="L922" s="10">
        <v>5.062758166E9</v>
      </c>
      <c r="M922" s="10" t="s">
        <v>156</v>
      </c>
      <c r="N922" s="10" t="s">
        <v>1000</v>
      </c>
      <c r="O922" s="10" t="s">
        <v>4390</v>
      </c>
      <c r="P922" s="10" t="str">
        <f>VLOOKUP(A922,import!A:P,16,0)</f>
        <v>Geleneksel</v>
      </c>
      <c r="Q922" s="12"/>
      <c r="R922" s="12" t="b">
        <v>1</v>
      </c>
      <c r="S922" s="12" t="b">
        <v>0</v>
      </c>
      <c r="T922" s="13" t="s">
        <v>51</v>
      </c>
      <c r="U922" s="13" t="s">
        <v>52</v>
      </c>
      <c r="V922" s="13" t="s">
        <v>66</v>
      </c>
      <c r="W922" s="13"/>
      <c r="X922" s="15">
        <v>44540.0</v>
      </c>
      <c r="Y922" s="15">
        <v>44543.0</v>
      </c>
      <c r="Z922" s="16"/>
      <c r="AA922" s="17" t="s">
        <v>56</v>
      </c>
      <c r="AB922" s="16">
        <v>44540.0</v>
      </c>
      <c r="AC922" s="16"/>
      <c r="AD922" s="16"/>
      <c r="AE922" s="17"/>
      <c r="AF922" s="16"/>
      <c r="AG922" s="17"/>
      <c r="AH922" s="16"/>
      <c r="AI922" s="16"/>
      <c r="AJ922" s="16"/>
      <c r="AK922" s="17" t="s">
        <v>52</v>
      </c>
      <c r="AL922" s="16"/>
      <c r="AM922" s="16"/>
      <c r="AN922" s="16"/>
      <c r="AO922" s="16"/>
      <c r="AP922" s="18" t="s">
        <v>58</v>
      </c>
      <c r="AQ922" s="16"/>
    </row>
    <row r="923" ht="15.75" hidden="1" customHeight="1">
      <c r="A923" s="10" t="s">
        <v>4391</v>
      </c>
      <c r="B923" s="10" t="s">
        <v>4392</v>
      </c>
      <c r="C923" s="10" t="str">
        <f>VLOOKUP(A923,import!A:C,3,0)</f>
        <v>DOĞRU</v>
      </c>
      <c r="D923" s="10" t="s">
        <v>167</v>
      </c>
      <c r="E923" s="10">
        <f>VLOOKUP(A923,import!A:J,5,0)</f>
        <v>109</v>
      </c>
      <c r="F923" s="10">
        <f>VLOOKUP(A923,import!A:J,6,0)</f>
        <v>4</v>
      </c>
      <c r="G923" s="10">
        <f>VLOOKUP(A923,import!A:J,7,0)</f>
        <v>9</v>
      </c>
      <c r="H923" s="10">
        <f>VLOOKUP(A923,import!A:J,8,0)</f>
        <v>5</v>
      </c>
      <c r="I923" s="10">
        <f>VLOOKUP(A923,import!A:J,9,0)</f>
        <v>14</v>
      </c>
      <c r="J923" s="11">
        <f>VLOOKUP(A923,import!A:J,10,0)</f>
        <v>0.64</v>
      </c>
      <c r="K923" s="10" t="s">
        <v>4393</v>
      </c>
      <c r="L923" s="10">
        <v>5.441343563E9</v>
      </c>
      <c r="M923" s="10" t="s">
        <v>47</v>
      </c>
      <c r="N923" s="10" t="s">
        <v>48</v>
      </c>
      <c r="O923" s="10" t="s">
        <v>4394</v>
      </c>
      <c r="P923" s="10" t="str">
        <f>VLOOKUP(A923,import!A:P,16,0)</f>
        <v>Geleneksel</v>
      </c>
      <c r="Q923" s="12"/>
      <c r="R923" s="12" t="b">
        <v>0</v>
      </c>
      <c r="S923" s="12" t="b">
        <v>0</v>
      </c>
      <c r="T923" s="13" t="s">
        <v>248</v>
      </c>
      <c r="U923" s="13"/>
      <c r="V923" s="13"/>
      <c r="W923" s="13"/>
      <c r="X923" s="15"/>
      <c r="Y923" s="15"/>
      <c r="Z923" s="16"/>
      <c r="AA923" s="17"/>
      <c r="AB923" s="16"/>
      <c r="AC923" s="16"/>
      <c r="AD923" s="16"/>
      <c r="AE923" s="17"/>
      <c r="AF923" s="16"/>
      <c r="AG923" s="17"/>
      <c r="AH923" s="16"/>
      <c r="AI923" s="16"/>
      <c r="AJ923" s="16"/>
      <c r="AK923" s="17"/>
      <c r="AL923" s="16"/>
      <c r="AM923" s="16"/>
      <c r="AN923" s="16"/>
      <c r="AO923" s="16"/>
      <c r="AP923" s="18"/>
      <c r="AQ923" s="16"/>
    </row>
    <row r="924" ht="15.75" hidden="1" customHeight="1">
      <c r="A924" s="10" t="s">
        <v>4395</v>
      </c>
      <c r="B924" s="10" t="s">
        <v>4396</v>
      </c>
      <c r="C924" s="10" t="str">
        <f>VLOOKUP(A924,import!A:C,3,0)</f>
        <v>DOĞRU</v>
      </c>
      <c r="D924" s="10" t="s">
        <v>1992</v>
      </c>
      <c r="E924" s="10">
        <f>VLOOKUP(A924,import!A:J,5,0)</f>
        <v>875</v>
      </c>
      <c r="F924" s="10">
        <f>VLOOKUP(A924,import!A:J,6,0)</f>
        <v>123</v>
      </c>
      <c r="G924" s="10">
        <f>VLOOKUP(A924,import!A:J,7,0)</f>
        <v>0</v>
      </c>
      <c r="H924" s="10">
        <f>VLOOKUP(A924,import!A:J,8,0)</f>
        <v>33</v>
      </c>
      <c r="I924" s="10">
        <f>VLOOKUP(A924,import!A:J,9,0)</f>
        <v>33</v>
      </c>
      <c r="J924" s="11">
        <f>VLOOKUP(A924,import!A:J,10,0)</f>
        <v>0</v>
      </c>
      <c r="K924" s="10" t="s">
        <v>4397</v>
      </c>
      <c r="L924" s="10">
        <v>3.247145367E9</v>
      </c>
      <c r="M924" s="10" t="s">
        <v>187</v>
      </c>
      <c r="N924" s="10" t="s">
        <v>188</v>
      </c>
      <c r="O924" s="10" t="s">
        <v>4398</v>
      </c>
      <c r="P924" s="10" t="str">
        <f>VLOOKUP(A924,import!A:P,16,0)</f>
        <v>Geleneksel</v>
      </c>
      <c r="Q924" s="12"/>
      <c r="R924" s="12" t="b">
        <v>0</v>
      </c>
      <c r="S924" s="12" t="b">
        <v>0</v>
      </c>
      <c r="T924" s="13"/>
      <c r="U924" s="13"/>
      <c r="V924" s="13"/>
      <c r="W924" s="13"/>
      <c r="X924" s="15"/>
      <c r="Y924" s="15"/>
      <c r="Z924" s="16"/>
      <c r="AA924" s="17"/>
      <c r="AB924" s="16"/>
      <c r="AC924" s="16"/>
      <c r="AD924" s="16"/>
      <c r="AE924" s="17"/>
      <c r="AF924" s="16"/>
      <c r="AG924" s="17"/>
      <c r="AH924" s="16"/>
      <c r="AI924" s="16"/>
      <c r="AJ924" s="16"/>
      <c r="AK924" s="17"/>
      <c r="AL924" s="16"/>
      <c r="AM924" s="16"/>
      <c r="AN924" s="16"/>
      <c r="AO924" s="16"/>
      <c r="AP924" s="18"/>
      <c r="AQ924" s="16"/>
    </row>
    <row r="925" ht="15.75" hidden="1" customHeight="1">
      <c r="A925" s="10" t="s">
        <v>4399</v>
      </c>
      <c r="B925" s="10" t="s">
        <v>4400</v>
      </c>
      <c r="C925" s="10" t="str">
        <f>VLOOKUP(A925,import!A:C,3,0)</f>
        <v>DOĞRU</v>
      </c>
      <c r="D925" s="10" t="s">
        <v>45</v>
      </c>
      <c r="E925" s="33">
        <f>VLOOKUP(A925,import!A:J,5,0)</f>
        <v>1070</v>
      </c>
      <c r="F925" s="10">
        <f>VLOOKUP(A925,import!A:J,6,0)</f>
        <v>40</v>
      </c>
      <c r="G925" s="10">
        <f>VLOOKUP(A925,import!A:J,7,0)</f>
        <v>7</v>
      </c>
      <c r="H925" s="10">
        <f>VLOOKUP(A925,import!A:J,8,0)</f>
        <v>41</v>
      </c>
      <c r="I925" s="10">
        <f>VLOOKUP(A925,import!A:J,9,0)</f>
        <v>48</v>
      </c>
      <c r="J925" s="11">
        <f>VLOOKUP(A925,import!A:J,10,0)</f>
        <v>0.15</v>
      </c>
      <c r="K925" s="10" t="s">
        <v>46</v>
      </c>
      <c r="L925" s="10">
        <v>5.333472405E9</v>
      </c>
      <c r="M925" s="10" t="s">
        <v>47</v>
      </c>
      <c r="N925" s="10" t="s">
        <v>48</v>
      </c>
      <c r="O925" s="10" t="s">
        <v>49</v>
      </c>
      <c r="P925" s="10" t="str">
        <f>VLOOKUP(A925,import!A:P,16,0)</f>
        <v>Geleneksel</v>
      </c>
      <c r="Q925" s="12" t="s">
        <v>84</v>
      </c>
      <c r="R925" s="12" t="b">
        <v>1</v>
      </c>
      <c r="S925" s="12" t="b">
        <v>0</v>
      </c>
      <c r="T925" s="14" t="s">
        <v>130</v>
      </c>
      <c r="U925" s="14" t="s">
        <v>52</v>
      </c>
      <c r="V925" s="14" t="s">
        <v>53</v>
      </c>
      <c r="W925" s="14" t="s">
        <v>54</v>
      </c>
      <c r="X925" s="29">
        <v>44503.0</v>
      </c>
      <c r="Y925" s="29">
        <v>44504.0</v>
      </c>
      <c r="Z925" s="16"/>
      <c r="AA925" s="17" t="s">
        <v>55</v>
      </c>
      <c r="AB925" s="16">
        <v>44503.0</v>
      </c>
      <c r="AC925" s="17" t="s">
        <v>56</v>
      </c>
      <c r="AD925" s="16">
        <v>44503.0</v>
      </c>
      <c r="AE925" s="17"/>
      <c r="AF925" s="16"/>
      <c r="AG925" s="17"/>
      <c r="AH925" s="16"/>
      <c r="AI925" s="16"/>
      <c r="AJ925" s="16"/>
      <c r="AK925" s="17" t="s">
        <v>52</v>
      </c>
      <c r="AL925" s="17" t="s">
        <v>52</v>
      </c>
      <c r="AM925" s="16"/>
      <c r="AN925" s="16"/>
      <c r="AO925" s="16"/>
      <c r="AP925" s="18" t="s">
        <v>58</v>
      </c>
      <c r="AQ925" s="16"/>
    </row>
    <row r="926" ht="15.75" hidden="1" customHeight="1">
      <c r="A926" s="10" t="s">
        <v>4401</v>
      </c>
      <c r="B926" s="10" t="s">
        <v>4402</v>
      </c>
      <c r="C926" s="10" t="str">
        <f>VLOOKUP(A926,import!A:C,3,0)</f>
        <v>DOĞRU</v>
      </c>
      <c r="D926" s="10" t="s">
        <v>363</v>
      </c>
      <c r="E926" s="10">
        <f>VLOOKUP(A926,import!A:J,5,0)</f>
        <v>1131</v>
      </c>
      <c r="F926" s="10">
        <f>VLOOKUP(A926,import!A:J,6,0)</f>
        <v>154</v>
      </c>
      <c r="G926" s="10">
        <f>VLOOKUP(A926,import!A:J,7,0)</f>
        <v>0</v>
      </c>
      <c r="H926" s="10">
        <f>VLOOKUP(A926,import!A:J,8,0)</f>
        <v>37</v>
      </c>
      <c r="I926" s="10">
        <f>VLOOKUP(A926,import!A:J,9,0)</f>
        <v>37</v>
      </c>
      <c r="J926" s="11">
        <f>VLOOKUP(A926,import!A:J,10,0)</f>
        <v>0</v>
      </c>
      <c r="K926" s="10" t="s">
        <v>4403</v>
      </c>
      <c r="L926" s="10">
        <v>3.246226244E9</v>
      </c>
      <c r="M926" s="10" t="s">
        <v>156</v>
      </c>
      <c r="N926" s="10" t="s">
        <v>222</v>
      </c>
      <c r="O926" s="10" t="s">
        <v>4404</v>
      </c>
      <c r="P926" s="10" t="str">
        <f>VLOOKUP(A926,import!A:P,16,0)</f>
        <v>Geleneksel</v>
      </c>
      <c r="Q926" s="12"/>
      <c r="R926" s="12" t="b">
        <v>0</v>
      </c>
      <c r="S926" s="12" t="b">
        <v>0</v>
      </c>
      <c r="T926" s="13"/>
      <c r="U926" s="13"/>
      <c r="V926" s="13"/>
      <c r="W926" s="13"/>
      <c r="X926" s="15"/>
      <c r="Y926" s="15"/>
      <c r="Z926" s="16"/>
      <c r="AA926" s="16"/>
      <c r="AB926" s="16"/>
      <c r="AC926" s="16"/>
      <c r="AD926" s="16"/>
      <c r="AE926" s="17"/>
      <c r="AF926" s="16"/>
      <c r="AG926" s="17"/>
      <c r="AH926" s="16"/>
      <c r="AI926" s="16"/>
      <c r="AJ926" s="16"/>
      <c r="AK926" s="16"/>
      <c r="AL926" s="16"/>
      <c r="AM926" s="16"/>
      <c r="AN926" s="16"/>
      <c r="AO926" s="16"/>
      <c r="AP926" s="18" t="s">
        <v>58</v>
      </c>
      <c r="AQ926" s="16"/>
    </row>
    <row r="927" ht="15.75" hidden="1" customHeight="1">
      <c r="A927" s="10" t="s">
        <v>4405</v>
      </c>
      <c r="B927" s="10" t="s">
        <v>4406</v>
      </c>
      <c r="C927" s="10" t="str">
        <f>VLOOKUP(A927,import!A:C,3,0)</f>
        <v>DOĞRU</v>
      </c>
      <c r="D927" s="10" t="s">
        <v>106</v>
      </c>
      <c r="E927" s="10">
        <f>VLOOKUP(A927,import!A:J,5,0)</f>
        <v>1272</v>
      </c>
      <c r="F927" s="10">
        <f>VLOOKUP(A927,import!A:J,6,0)</f>
        <v>51</v>
      </c>
      <c r="G927" s="10">
        <f>VLOOKUP(A927,import!A:J,7,0)</f>
        <v>0</v>
      </c>
      <c r="H927" s="10">
        <f>VLOOKUP(A927,import!A:J,8,0)</f>
        <v>10</v>
      </c>
      <c r="I927" s="10">
        <f>VLOOKUP(A927,import!A:J,9,0)</f>
        <v>10</v>
      </c>
      <c r="J927" s="11">
        <f>VLOOKUP(A927,import!A:J,10,0)</f>
        <v>0</v>
      </c>
      <c r="K927" s="10" t="s">
        <v>4407</v>
      </c>
      <c r="L927" s="10">
        <v>5.076806969E9</v>
      </c>
      <c r="M927" s="10" t="s">
        <v>215</v>
      </c>
      <c r="N927" s="10" t="s">
        <v>1190</v>
      </c>
      <c r="O927" s="10" t="s">
        <v>4408</v>
      </c>
      <c r="P927" s="10" t="str">
        <f>VLOOKUP(A927,import!A:P,16,0)</f>
        <v>Geleneksel</v>
      </c>
      <c r="Q927" s="12" t="s">
        <v>50</v>
      </c>
      <c r="R927" s="12" t="b">
        <v>1</v>
      </c>
      <c r="S927" s="12" t="b">
        <v>0</v>
      </c>
      <c r="T927" s="13" t="s">
        <v>485</v>
      </c>
      <c r="U927" s="13" t="s">
        <v>89</v>
      </c>
      <c r="V927" s="13" t="s">
        <v>53</v>
      </c>
      <c r="W927" s="41" t="s">
        <v>4409</v>
      </c>
      <c r="X927" s="15">
        <v>44512.0</v>
      </c>
      <c r="Y927" s="15">
        <v>44516.0</v>
      </c>
      <c r="Z927" s="16"/>
      <c r="AA927" s="17" t="s">
        <v>55</v>
      </c>
      <c r="AB927" s="16">
        <v>44348.0</v>
      </c>
      <c r="AC927" s="17" t="s">
        <v>55</v>
      </c>
      <c r="AD927" s="16">
        <v>44348.0</v>
      </c>
      <c r="AE927" s="17" t="s">
        <v>55</v>
      </c>
      <c r="AF927" s="16">
        <v>44363.0</v>
      </c>
      <c r="AG927" s="17" t="s">
        <v>55</v>
      </c>
      <c r="AH927" s="16">
        <v>44363.0</v>
      </c>
      <c r="AI927" s="17" t="s">
        <v>55</v>
      </c>
      <c r="AJ927" s="16">
        <v>44552.0</v>
      </c>
      <c r="AK927" s="16"/>
      <c r="AL927" s="17" t="s">
        <v>1465</v>
      </c>
      <c r="AM927" s="17" t="s">
        <v>360</v>
      </c>
      <c r="AN927" s="17" t="s">
        <v>124</v>
      </c>
      <c r="AO927" s="17" t="s">
        <v>314</v>
      </c>
      <c r="AP927" s="18" t="s">
        <v>58</v>
      </c>
      <c r="AQ927" s="17"/>
    </row>
    <row r="928" ht="15.75" customHeight="1">
      <c r="A928" s="18" t="s">
        <v>4410</v>
      </c>
      <c r="B928" s="18" t="s">
        <v>4411</v>
      </c>
      <c r="C928" s="10" t="str">
        <f>VLOOKUP(A928,import!A:C,3,0)</f>
        <v>DOĞRU</v>
      </c>
      <c r="D928" s="18" t="s">
        <v>118</v>
      </c>
      <c r="E928" s="10">
        <f>VLOOKUP(A928,import!A:J,5,0)</f>
        <v>3</v>
      </c>
      <c r="F928" s="10">
        <f>VLOOKUP(A928,import!A:J,6,0)</f>
        <v>2</v>
      </c>
      <c r="G928" s="10">
        <f>VLOOKUP(A928,import!A:J,7,0)</f>
        <v>0</v>
      </c>
      <c r="H928" s="10">
        <f>VLOOKUP(A928,import!A:J,8,0)</f>
        <v>15</v>
      </c>
      <c r="I928" s="10">
        <f>VLOOKUP(A928,import!A:J,9,0)</f>
        <v>15</v>
      </c>
      <c r="J928" s="11">
        <f>VLOOKUP(A928,import!A:J,10,0)</f>
        <v>0</v>
      </c>
      <c r="K928" s="18" t="s">
        <v>4412</v>
      </c>
      <c r="L928" s="18">
        <v>3.243363342E9</v>
      </c>
      <c r="M928" s="18" t="s">
        <v>137</v>
      </c>
      <c r="N928" s="18" t="s">
        <v>426</v>
      </c>
      <c r="O928" s="18" t="s">
        <v>4413</v>
      </c>
      <c r="P928" s="10" t="str">
        <f>VLOOKUP(A928,import!A:P,16,0)</f>
        <v>Geleneksel</v>
      </c>
      <c r="Q928" s="12"/>
      <c r="R928" s="12" t="b">
        <v>0</v>
      </c>
      <c r="S928" s="12" t="b">
        <v>0</v>
      </c>
      <c r="T928" s="13"/>
      <c r="U928" s="13"/>
      <c r="V928" s="13"/>
      <c r="W928" s="13"/>
      <c r="X928" s="15"/>
      <c r="Y928" s="15"/>
      <c r="Z928" s="16"/>
      <c r="AA928" s="17"/>
      <c r="AB928" s="16"/>
      <c r="AC928" s="16"/>
      <c r="AD928" s="16"/>
      <c r="AE928" s="17"/>
      <c r="AF928" s="16"/>
      <c r="AG928" s="17"/>
      <c r="AH928" s="16"/>
      <c r="AI928" s="16"/>
      <c r="AJ928" s="16"/>
      <c r="AK928" s="17"/>
      <c r="AL928" s="16"/>
      <c r="AM928" s="16"/>
      <c r="AN928" s="16"/>
      <c r="AO928" s="16"/>
      <c r="AP928" s="18"/>
      <c r="AQ928" s="16"/>
    </row>
    <row r="929" ht="15.75" hidden="1" customHeight="1">
      <c r="A929" s="10" t="s">
        <v>4414</v>
      </c>
      <c r="B929" s="10" t="s">
        <v>4415</v>
      </c>
      <c r="C929" s="10" t="str">
        <f>VLOOKUP(A929,import!A:C,3,0)</f>
        <v>DOĞRU</v>
      </c>
      <c r="D929" s="10" t="s">
        <v>118</v>
      </c>
      <c r="E929" s="10">
        <f>VLOOKUP(A929,import!A:J,5,0)</f>
        <v>520</v>
      </c>
      <c r="F929" s="10">
        <f>VLOOKUP(A929,import!A:J,6,0)</f>
        <v>20</v>
      </c>
      <c r="G929" s="10">
        <f>VLOOKUP(A929,import!A:J,7,0)</f>
        <v>0</v>
      </c>
      <c r="H929" s="10">
        <f>VLOOKUP(A929,import!A:J,8,0)</f>
        <v>40</v>
      </c>
      <c r="I929" s="10">
        <f>VLOOKUP(A929,import!A:J,9,0)</f>
        <v>40</v>
      </c>
      <c r="J929" s="11">
        <f>VLOOKUP(A929,import!A:J,10,0)</f>
        <v>0</v>
      </c>
      <c r="K929" s="10" t="s">
        <v>4416</v>
      </c>
      <c r="L929" s="10">
        <v>3.243361925E9</v>
      </c>
      <c r="M929" s="10" t="s">
        <v>72</v>
      </c>
      <c r="N929" s="10" t="s">
        <v>82</v>
      </c>
      <c r="O929" s="10" t="s">
        <v>4417</v>
      </c>
      <c r="P929" s="10" t="str">
        <f>VLOOKUP(A929,import!A:P,16,0)</f>
        <v>Geleneksel</v>
      </c>
      <c r="Q929" s="12" t="s">
        <v>75</v>
      </c>
      <c r="R929" s="12" t="b">
        <v>1</v>
      </c>
      <c r="S929" s="12" t="b">
        <v>0</v>
      </c>
      <c r="T929" s="13" t="s">
        <v>55</v>
      </c>
      <c r="U929" s="13" t="s">
        <v>52</v>
      </c>
      <c r="V929" s="13" t="s">
        <v>66</v>
      </c>
      <c r="W929" s="13" t="s">
        <v>4418</v>
      </c>
      <c r="X929" s="15">
        <v>44304.0</v>
      </c>
      <c r="Y929" s="15">
        <v>44522.0</v>
      </c>
      <c r="Z929" s="16"/>
      <c r="AA929" s="17" t="s">
        <v>56</v>
      </c>
      <c r="AB929" s="16">
        <v>44404.0</v>
      </c>
      <c r="AC929" s="17" t="s">
        <v>230</v>
      </c>
      <c r="AD929" s="16">
        <v>44538.0</v>
      </c>
      <c r="AE929" s="17" t="s">
        <v>230</v>
      </c>
      <c r="AF929" s="16">
        <v>44350.0</v>
      </c>
      <c r="AG929" s="17" t="s">
        <v>230</v>
      </c>
      <c r="AH929" s="16">
        <v>44351.0</v>
      </c>
      <c r="AI929" s="17" t="s">
        <v>230</v>
      </c>
      <c r="AJ929" s="16">
        <v>44641.0</v>
      </c>
      <c r="AK929" s="17" t="s">
        <v>52</v>
      </c>
      <c r="AL929" s="17" t="s">
        <v>87</v>
      </c>
      <c r="AM929" s="17" t="s">
        <v>88</v>
      </c>
      <c r="AN929" s="17" t="s">
        <v>360</v>
      </c>
      <c r="AO929" s="17" t="s">
        <v>89</v>
      </c>
      <c r="AP929" s="18" t="s">
        <v>58</v>
      </c>
      <c r="AQ929" s="17"/>
    </row>
    <row r="930" ht="15.75" hidden="1" customHeight="1">
      <c r="A930" s="10" t="s">
        <v>4419</v>
      </c>
      <c r="B930" s="10" t="s">
        <v>4420</v>
      </c>
      <c r="C930" s="10" t="str">
        <f>VLOOKUP(A930,import!A:C,3,0)</f>
        <v>DOĞRU</v>
      </c>
      <c r="D930" s="10" t="s">
        <v>356</v>
      </c>
      <c r="E930" s="10">
        <f>VLOOKUP(A930,import!A:J,5,0)</f>
        <v>193</v>
      </c>
      <c r="F930" s="10">
        <f>VLOOKUP(A930,import!A:J,6,0)</f>
        <v>36</v>
      </c>
      <c r="G930" s="10">
        <f>VLOOKUP(A930,import!A:J,7,0)</f>
        <v>6</v>
      </c>
      <c r="H930" s="10">
        <f>VLOOKUP(A930,import!A:J,8,0)</f>
        <v>13</v>
      </c>
      <c r="I930" s="10">
        <f>VLOOKUP(A930,import!A:J,9,0)</f>
        <v>19</v>
      </c>
      <c r="J930" s="11">
        <f>VLOOKUP(A930,import!A:J,10,0)</f>
        <v>0.32</v>
      </c>
      <c r="K930" s="10" t="s">
        <v>4421</v>
      </c>
      <c r="L930" s="10">
        <v>5.424600151E9</v>
      </c>
      <c r="M930" s="10" t="s">
        <v>72</v>
      </c>
      <c r="N930" s="10" t="s">
        <v>128</v>
      </c>
      <c r="O930" s="10" t="s">
        <v>4422</v>
      </c>
      <c r="P930" s="10" t="str">
        <f>VLOOKUP(A930,import!A:P,16,0)</f>
        <v>Geleneksel</v>
      </c>
      <c r="Q930" s="12"/>
      <c r="R930" s="12" t="b">
        <v>1</v>
      </c>
      <c r="S930" s="12" t="b">
        <v>0</v>
      </c>
      <c r="T930" s="13" t="s">
        <v>51</v>
      </c>
      <c r="U930" s="13" t="s">
        <v>89</v>
      </c>
      <c r="V930" s="13" t="s">
        <v>66</v>
      </c>
      <c r="W930" s="13" t="s">
        <v>1144</v>
      </c>
      <c r="X930" s="15">
        <v>44561.0</v>
      </c>
      <c r="Y930" s="15">
        <v>44566.0</v>
      </c>
      <c r="Z930" s="16"/>
      <c r="AA930" s="17" t="s">
        <v>55</v>
      </c>
      <c r="AB930" s="16">
        <v>44554.0</v>
      </c>
      <c r="AC930" s="17" t="s">
        <v>56</v>
      </c>
      <c r="AD930" s="16">
        <v>44558.0</v>
      </c>
      <c r="AE930" s="17" t="s">
        <v>56</v>
      </c>
      <c r="AF930" s="16">
        <v>44561.0</v>
      </c>
      <c r="AG930" s="17"/>
      <c r="AH930" s="16"/>
      <c r="AI930" s="16"/>
      <c r="AJ930" s="16"/>
      <c r="AK930" s="17" t="s">
        <v>314</v>
      </c>
      <c r="AL930" s="17" t="s">
        <v>87</v>
      </c>
      <c r="AM930" s="17" t="s">
        <v>89</v>
      </c>
      <c r="AN930" s="16"/>
      <c r="AO930" s="16"/>
      <c r="AP930" s="18"/>
      <c r="AQ930" s="16"/>
    </row>
    <row r="931" ht="15.75" customHeight="1">
      <c r="A931" s="10" t="s">
        <v>4423</v>
      </c>
      <c r="B931" s="10" t="s">
        <v>4424</v>
      </c>
      <c r="C931" s="10" t="str">
        <f>VLOOKUP(A931,import!A:C,3,0)</f>
        <v>YANLIŞ</v>
      </c>
      <c r="D931" s="10" t="s">
        <v>363</v>
      </c>
      <c r="E931" s="10">
        <f>VLOOKUP(A931,import!A:J,5,0)</f>
        <v>59</v>
      </c>
      <c r="F931" s="10" t="str">
        <f>VLOOKUP(A931,import!A:J,6,0)</f>
        <v/>
      </c>
      <c r="G931" s="10">
        <f>VLOOKUP(A931,import!A:J,7,0)</f>
        <v>10</v>
      </c>
      <c r="H931" s="10">
        <f>VLOOKUP(A931,import!A:J,8,0)</f>
        <v>20</v>
      </c>
      <c r="I931" s="10">
        <f>VLOOKUP(A931,import!A:J,9,0)</f>
        <v>30</v>
      </c>
      <c r="J931" s="11">
        <f>VLOOKUP(A931,import!A:J,10,0)</f>
        <v>0.33</v>
      </c>
      <c r="K931" s="10" t="s">
        <v>4425</v>
      </c>
      <c r="L931" s="10">
        <v>5.306601033E9</v>
      </c>
      <c r="M931" s="10" t="s">
        <v>63</v>
      </c>
      <c r="N931" s="10" t="s">
        <v>1447</v>
      </c>
      <c r="O931" s="10" t="s">
        <v>4426</v>
      </c>
      <c r="P931" s="10" t="str">
        <f>VLOOKUP(A931,import!A:P,16,0)</f>
        <v>Geleneksel</v>
      </c>
      <c r="Q931" s="12"/>
      <c r="R931" s="12" t="b">
        <v>1</v>
      </c>
      <c r="S931" s="12" t="b">
        <v>0</v>
      </c>
      <c r="T931" s="13" t="s">
        <v>51</v>
      </c>
      <c r="U931" s="13" t="s">
        <v>171</v>
      </c>
      <c r="V931" s="13" t="s">
        <v>53</v>
      </c>
      <c r="W931" s="13"/>
      <c r="X931" s="15">
        <v>44456.0</v>
      </c>
      <c r="Y931" s="15">
        <v>44460.0</v>
      </c>
      <c r="Z931" s="16"/>
      <c r="AA931" s="17" t="s">
        <v>55</v>
      </c>
      <c r="AB931" s="16">
        <v>44446.0</v>
      </c>
      <c r="AC931" s="17" t="s">
        <v>56</v>
      </c>
      <c r="AD931" s="16">
        <v>44456.0</v>
      </c>
      <c r="AE931" s="17" t="s">
        <v>56</v>
      </c>
      <c r="AF931" s="16">
        <v>44459.0</v>
      </c>
      <c r="AG931" s="17" t="s">
        <v>55</v>
      </c>
      <c r="AH931" s="16">
        <v>44552.0</v>
      </c>
      <c r="AI931" s="16"/>
      <c r="AJ931" s="16"/>
      <c r="AK931" s="17" t="s">
        <v>367</v>
      </c>
      <c r="AL931" s="17" t="s">
        <v>171</v>
      </c>
      <c r="AM931" s="17" t="s">
        <v>52</v>
      </c>
      <c r="AN931" s="17" t="s">
        <v>321</v>
      </c>
      <c r="AO931" s="16"/>
      <c r="AP931" s="18" t="s">
        <v>58</v>
      </c>
      <c r="AQ931" s="16"/>
    </row>
    <row r="932" ht="15.75" hidden="1" customHeight="1">
      <c r="A932" s="10" t="s">
        <v>4427</v>
      </c>
      <c r="B932" s="10" t="s">
        <v>4428</v>
      </c>
      <c r="C932" s="10" t="str">
        <f>VLOOKUP(A932,import!A:C,3,0)</f>
        <v>DOĞRU</v>
      </c>
      <c r="D932" s="10" t="s">
        <v>80</v>
      </c>
      <c r="E932" s="10">
        <f>VLOOKUP(A932,import!A:J,5,0)</f>
        <v>305</v>
      </c>
      <c r="F932" s="10">
        <f>VLOOKUP(A932,import!A:J,6,0)</f>
        <v>20</v>
      </c>
      <c r="G932" s="10">
        <f>VLOOKUP(A932,import!A:J,7,0)</f>
        <v>4</v>
      </c>
      <c r="H932" s="10">
        <f>VLOOKUP(A932,import!A:J,8,0)</f>
        <v>3</v>
      </c>
      <c r="I932" s="10">
        <f>VLOOKUP(A932,import!A:J,9,0)</f>
        <v>7</v>
      </c>
      <c r="J932" s="11">
        <f>VLOOKUP(A932,import!A:J,10,0)</f>
        <v>0.57</v>
      </c>
      <c r="K932" s="10" t="s">
        <v>4429</v>
      </c>
      <c r="L932" s="10">
        <v>3.243274142E9</v>
      </c>
      <c r="M932" s="10" t="s">
        <v>72</v>
      </c>
      <c r="N932" s="10" t="s">
        <v>113</v>
      </c>
      <c r="O932" s="10" t="s">
        <v>4430</v>
      </c>
      <c r="P932" s="10" t="str">
        <f>VLOOKUP(A932,import!A:P,16,0)</f>
        <v>Geleneksel</v>
      </c>
      <c r="Q932" s="12"/>
      <c r="R932" s="12" t="b">
        <v>1</v>
      </c>
      <c r="S932" s="12" t="b">
        <v>0</v>
      </c>
      <c r="T932" s="13" t="s">
        <v>51</v>
      </c>
      <c r="U932" s="13" t="s">
        <v>52</v>
      </c>
      <c r="V932" s="13" t="s">
        <v>66</v>
      </c>
      <c r="W932" s="13" t="s">
        <v>3192</v>
      </c>
      <c r="X932" s="15">
        <v>44491.0</v>
      </c>
      <c r="Y932" s="15">
        <v>44494.0</v>
      </c>
      <c r="Z932" s="16"/>
      <c r="AA932" s="17" t="s">
        <v>86</v>
      </c>
      <c r="AB932" s="16">
        <v>44372.0</v>
      </c>
      <c r="AC932" s="17" t="s">
        <v>230</v>
      </c>
      <c r="AD932" s="16">
        <v>44428.0</v>
      </c>
      <c r="AE932" s="17" t="s">
        <v>230</v>
      </c>
      <c r="AF932" s="16">
        <v>44475.0</v>
      </c>
      <c r="AG932" s="17" t="s">
        <v>230</v>
      </c>
      <c r="AH932" s="16">
        <v>44491.0</v>
      </c>
      <c r="AI932" s="17" t="s">
        <v>56</v>
      </c>
      <c r="AJ932" s="16">
        <v>44552.0</v>
      </c>
      <c r="AK932" s="17" t="s">
        <v>4113</v>
      </c>
      <c r="AL932" s="17" t="s">
        <v>95</v>
      </c>
      <c r="AM932" s="17" t="s">
        <v>171</v>
      </c>
      <c r="AN932" s="17" t="s">
        <v>171</v>
      </c>
      <c r="AO932" s="17" t="s">
        <v>89</v>
      </c>
      <c r="AP932" s="18" t="s">
        <v>58</v>
      </c>
      <c r="AQ932" s="17"/>
    </row>
    <row r="933" ht="15.75" hidden="1" customHeight="1">
      <c r="A933" s="10" t="s">
        <v>4431</v>
      </c>
      <c r="B933" s="10" t="s">
        <v>4432</v>
      </c>
      <c r="C933" s="10" t="str">
        <f>VLOOKUP(A933,import!A:C,3,0)</f>
        <v>DOĞRU</v>
      </c>
      <c r="D933" s="10" t="s">
        <v>363</v>
      </c>
      <c r="E933" s="10">
        <f>VLOOKUP(A933,import!A:J,5,0)</f>
        <v>3627</v>
      </c>
      <c r="F933" s="10">
        <f>VLOOKUP(A933,import!A:J,6,0)</f>
        <v>112</v>
      </c>
      <c r="G933" s="10">
        <f>VLOOKUP(A933,import!A:J,7,0)</f>
        <v>0</v>
      </c>
      <c r="H933" s="10">
        <f>VLOOKUP(A933,import!A:J,8,0)</f>
        <v>13</v>
      </c>
      <c r="I933" s="10">
        <f>VLOOKUP(A933,import!A:J,9,0)</f>
        <v>13</v>
      </c>
      <c r="J933" s="11">
        <f>VLOOKUP(A933,import!A:J,10,0)</f>
        <v>0</v>
      </c>
      <c r="K933" s="10" t="s">
        <v>4433</v>
      </c>
      <c r="L933" s="10">
        <v>5.380941922E9</v>
      </c>
      <c r="M933" s="10" t="s">
        <v>72</v>
      </c>
      <c r="N933" s="10" t="s">
        <v>120</v>
      </c>
      <c r="O933" s="10" t="s">
        <v>4434</v>
      </c>
      <c r="P933" s="10" t="str">
        <f>VLOOKUP(A933,import!A:P,16,0)</f>
        <v>Geleneksel</v>
      </c>
      <c r="Q933" s="12" t="s">
        <v>84</v>
      </c>
      <c r="R933" s="12" t="b">
        <v>1</v>
      </c>
      <c r="S933" s="12" t="b">
        <v>0</v>
      </c>
      <c r="T933" s="13" t="s">
        <v>199</v>
      </c>
      <c r="U933" s="13"/>
      <c r="V933" s="13"/>
      <c r="W933" s="13" t="s">
        <v>4435</v>
      </c>
      <c r="X933" s="15"/>
      <c r="Y933" s="15"/>
      <c r="Z933" s="16"/>
      <c r="AA933" s="17" t="s">
        <v>56</v>
      </c>
      <c r="AB933" s="16">
        <v>44358.0</v>
      </c>
      <c r="AC933" s="17" t="s">
        <v>55</v>
      </c>
      <c r="AD933" s="16">
        <v>44372.0</v>
      </c>
      <c r="AE933" s="17"/>
      <c r="AF933" s="16"/>
      <c r="AG933" s="17"/>
      <c r="AH933" s="16"/>
      <c r="AI933" s="16"/>
      <c r="AJ933" s="16"/>
      <c r="AK933" s="17" t="s">
        <v>163</v>
      </c>
      <c r="AL933" s="17" t="s">
        <v>4113</v>
      </c>
      <c r="AM933" s="16"/>
      <c r="AN933" s="16"/>
      <c r="AO933" s="16"/>
      <c r="AP933" s="18" t="s">
        <v>58</v>
      </c>
      <c r="AQ933" s="16"/>
    </row>
    <row r="934" ht="15.75" hidden="1" customHeight="1">
      <c r="A934" s="10" t="s">
        <v>4436</v>
      </c>
      <c r="B934" s="10" t="s">
        <v>4437</v>
      </c>
      <c r="C934" s="10" t="str">
        <f>VLOOKUP(A934,import!A:C,3,0)</f>
        <v>DOĞRU</v>
      </c>
      <c r="D934" s="10" t="s">
        <v>118</v>
      </c>
      <c r="E934" s="10">
        <f>VLOOKUP(A934,import!A:J,5,0)</f>
        <v>5177</v>
      </c>
      <c r="F934" s="10">
        <f>VLOOKUP(A934,import!A:J,6,0)</f>
        <v>177</v>
      </c>
      <c r="G934" s="10">
        <f>VLOOKUP(A934,import!A:J,7,0)</f>
        <v>0</v>
      </c>
      <c r="H934" s="10">
        <f>VLOOKUP(A934,import!A:J,8,0)</f>
        <v>48</v>
      </c>
      <c r="I934" s="10">
        <f>VLOOKUP(A934,import!A:J,9,0)</f>
        <v>48</v>
      </c>
      <c r="J934" s="11">
        <f>VLOOKUP(A934,import!A:J,10,0)</f>
        <v>0</v>
      </c>
      <c r="K934" s="10" t="s">
        <v>4438</v>
      </c>
      <c r="L934" s="10">
        <v>5.319718822E9</v>
      </c>
      <c r="M934" s="10" t="s">
        <v>187</v>
      </c>
      <c r="N934" s="10" t="s">
        <v>188</v>
      </c>
      <c r="O934" s="10" t="s">
        <v>4439</v>
      </c>
      <c r="P934" s="10" t="str">
        <f>VLOOKUP(A934,import!A:P,16,0)</f>
        <v>Geleneksel</v>
      </c>
      <c r="Q934" s="12" t="s">
        <v>84</v>
      </c>
      <c r="R934" s="12" t="b">
        <v>0</v>
      </c>
      <c r="S934" s="12" t="b">
        <v>0</v>
      </c>
      <c r="T934" s="13" t="s">
        <v>485</v>
      </c>
      <c r="U934" s="13"/>
      <c r="V934" s="13"/>
      <c r="W934" s="13"/>
      <c r="X934" s="15"/>
      <c r="Y934" s="15"/>
      <c r="Z934" s="16"/>
      <c r="AA934" s="16"/>
      <c r="AB934" s="16"/>
      <c r="AC934" s="16"/>
      <c r="AD934" s="16"/>
      <c r="AE934" s="17"/>
      <c r="AF934" s="16"/>
      <c r="AG934" s="17"/>
      <c r="AH934" s="16"/>
      <c r="AI934" s="16"/>
      <c r="AJ934" s="16"/>
      <c r="AK934" s="16"/>
      <c r="AL934" s="16"/>
      <c r="AM934" s="16"/>
      <c r="AN934" s="16"/>
      <c r="AO934" s="16"/>
      <c r="AP934" s="18" t="s">
        <v>58</v>
      </c>
      <c r="AQ934" s="16"/>
    </row>
    <row r="935" ht="15.75" hidden="1" customHeight="1">
      <c r="A935" s="10" t="s">
        <v>4440</v>
      </c>
      <c r="B935" s="10" t="s">
        <v>4441</v>
      </c>
      <c r="C935" s="10" t="str">
        <f>VLOOKUP(A935,import!A:C,3,0)</f>
        <v>DOĞRU</v>
      </c>
      <c r="D935" s="10" t="s">
        <v>118</v>
      </c>
      <c r="E935" s="10">
        <f>VLOOKUP(A935,import!A:J,5,0)</f>
        <v>20338</v>
      </c>
      <c r="F935" s="10">
        <f>VLOOKUP(A935,import!A:J,6,0)</f>
        <v>1093</v>
      </c>
      <c r="G935" s="10">
        <f>VLOOKUP(A935,import!A:J,7,0)</f>
        <v>0</v>
      </c>
      <c r="H935" s="10">
        <f>VLOOKUP(A935,import!A:J,8,0)</f>
        <v>27</v>
      </c>
      <c r="I935" s="10">
        <f>VLOOKUP(A935,import!A:J,9,0)</f>
        <v>27</v>
      </c>
      <c r="J935" s="11">
        <f>VLOOKUP(A935,import!A:J,10,0)</f>
        <v>0</v>
      </c>
      <c r="K935" s="10" t="s">
        <v>4442</v>
      </c>
      <c r="L935" s="10">
        <v>3.24714337E9</v>
      </c>
      <c r="M935" s="10" t="s">
        <v>187</v>
      </c>
      <c r="N935" s="10" t="s">
        <v>188</v>
      </c>
      <c r="O935" s="10" t="s">
        <v>4443</v>
      </c>
      <c r="P935" s="10" t="str">
        <f>VLOOKUP(A935,import!A:P,16,0)</f>
        <v>Geleneksel</v>
      </c>
      <c r="Q935" s="12" t="s">
        <v>146</v>
      </c>
      <c r="R935" s="12" t="b">
        <v>0</v>
      </c>
      <c r="S935" s="12" t="b">
        <v>0</v>
      </c>
      <c r="T935" s="13" t="s">
        <v>485</v>
      </c>
      <c r="U935" s="13"/>
      <c r="V935" s="13"/>
      <c r="W935" s="13"/>
      <c r="X935" s="15"/>
      <c r="Y935" s="15"/>
      <c r="Z935" s="16"/>
      <c r="AA935" s="16"/>
      <c r="AB935" s="16"/>
      <c r="AC935" s="16"/>
      <c r="AD935" s="16"/>
      <c r="AE935" s="17"/>
      <c r="AF935" s="16"/>
      <c r="AG935" s="17"/>
      <c r="AH935" s="16"/>
      <c r="AI935" s="16"/>
      <c r="AJ935" s="16"/>
      <c r="AK935" s="16"/>
      <c r="AL935" s="16"/>
      <c r="AM935" s="16"/>
      <c r="AN935" s="16"/>
      <c r="AO935" s="16"/>
      <c r="AP935" s="18" t="s">
        <v>58</v>
      </c>
      <c r="AQ935" s="16"/>
    </row>
    <row r="936" ht="15.75" customHeight="1">
      <c r="A936" s="18" t="s">
        <v>4444</v>
      </c>
      <c r="B936" s="18" t="s">
        <v>4445</v>
      </c>
      <c r="C936" s="10" t="str">
        <f>VLOOKUP(A936,import!A:C,3,0)</f>
        <v>DOĞRU</v>
      </c>
      <c r="D936" s="18" t="s">
        <v>363</v>
      </c>
      <c r="E936" s="10">
        <f>VLOOKUP(A936,import!A:J,5,0)</f>
        <v>4</v>
      </c>
      <c r="F936" s="10">
        <f>VLOOKUP(A936,import!A:J,6,0)</f>
        <v>4</v>
      </c>
      <c r="G936" s="10">
        <f>VLOOKUP(A936,import!A:J,7,0)</f>
        <v>0</v>
      </c>
      <c r="H936" s="10">
        <f>VLOOKUP(A936,import!A:J,8,0)</f>
        <v>69</v>
      </c>
      <c r="I936" s="10">
        <f>VLOOKUP(A936,import!A:J,9,0)</f>
        <v>69</v>
      </c>
      <c r="J936" s="11">
        <f>VLOOKUP(A936,import!A:J,10,0)</f>
        <v>0</v>
      </c>
      <c r="K936" s="18" t="s">
        <v>4446</v>
      </c>
      <c r="L936" s="18">
        <v>5.336825983E9</v>
      </c>
      <c r="M936" s="18" t="s">
        <v>63</v>
      </c>
      <c r="N936" s="18" t="s">
        <v>137</v>
      </c>
      <c r="O936" s="18" t="s">
        <v>4447</v>
      </c>
      <c r="P936" s="10" t="str">
        <f>VLOOKUP(A936,import!A:P,16,0)</f>
        <v>Geleneksel</v>
      </c>
      <c r="Q936" s="12"/>
      <c r="R936" s="12" t="b">
        <v>0</v>
      </c>
      <c r="S936" s="12" t="b">
        <v>0</v>
      </c>
      <c r="T936" s="13"/>
      <c r="U936" s="13"/>
      <c r="V936" s="13"/>
      <c r="W936" s="13"/>
      <c r="X936" s="15"/>
      <c r="Y936" s="15"/>
      <c r="Z936" s="16"/>
      <c r="AA936" s="17"/>
      <c r="AB936" s="16"/>
      <c r="AC936" s="16"/>
      <c r="AD936" s="16"/>
      <c r="AE936" s="17"/>
      <c r="AF936" s="16"/>
      <c r="AG936" s="17"/>
      <c r="AH936" s="16"/>
      <c r="AI936" s="16"/>
      <c r="AJ936" s="16"/>
      <c r="AK936" s="17"/>
      <c r="AL936" s="16"/>
      <c r="AM936" s="16"/>
      <c r="AN936" s="16"/>
      <c r="AO936" s="16"/>
      <c r="AP936" s="18"/>
      <c r="AQ936" s="16"/>
    </row>
    <row r="937" ht="15.75" hidden="1" customHeight="1">
      <c r="A937" s="10" t="s">
        <v>4448</v>
      </c>
      <c r="B937" s="10" t="s">
        <v>4449</v>
      </c>
      <c r="C937" s="10" t="str">
        <f>VLOOKUP(A937,import!A:C,3,0)</f>
        <v>DOĞRU</v>
      </c>
      <c r="D937" s="10" t="s">
        <v>363</v>
      </c>
      <c r="E937" s="10">
        <f>VLOOKUP(A937,import!A:J,5,0)</f>
        <v>492</v>
      </c>
      <c r="F937" s="10">
        <f>VLOOKUP(A937,import!A:J,6,0)</f>
        <v>49</v>
      </c>
      <c r="G937" s="10">
        <f>VLOOKUP(A937,import!A:J,7,0)</f>
        <v>0</v>
      </c>
      <c r="H937" s="10">
        <f>VLOOKUP(A937,import!A:J,8,0)</f>
        <v>55</v>
      </c>
      <c r="I937" s="10">
        <f>VLOOKUP(A937,import!A:J,9,0)</f>
        <v>55</v>
      </c>
      <c r="J937" s="11">
        <f>VLOOKUP(A937,import!A:J,10,0)</f>
        <v>0</v>
      </c>
      <c r="K937" s="10" t="s">
        <v>4450</v>
      </c>
      <c r="L937" s="10">
        <v>3.243291133E9</v>
      </c>
      <c r="M937" s="10" t="s">
        <v>72</v>
      </c>
      <c r="N937" s="10" t="s">
        <v>810</v>
      </c>
      <c r="O937" s="10" t="s">
        <v>162</v>
      </c>
      <c r="P937" s="10" t="str">
        <f>VLOOKUP(A937,import!A:P,16,0)</f>
        <v>Geleneksel</v>
      </c>
      <c r="Q937" s="12"/>
      <c r="R937" s="12" t="b">
        <v>1</v>
      </c>
      <c r="S937" s="12" t="b">
        <v>1</v>
      </c>
      <c r="T937" s="13"/>
      <c r="U937" s="13"/>
      <c r="V937" s="13"/>
      <c r="W937" s="13" t="s">
        <v>4451</v>
      </c>
      <c r="X937" s="15"/>
      <c r="Y937" s="15"/>
      <c r="Z937" s="16"/>
      <c r="AA937" s="17" t="s">
        <v>56</v>
      </c>
      <c r="AB937" s="16">
        <v>44565.0</v>
      </c>
      <c r="AC937" s="16"/>
      <c r="AD937" s="16"/>
      <c r="AE937" s="17"/>
      <c r="AF937" s="16"/>
      <c r="AG937" s="17"/>
      <c r="AH937" s="16"/>
      <c r="AI937" s="16"/>
      <c r="AJ937" s="16"/>
      <c r="AK937" s="17" t="s">
        <v>89</v>
      </c>
      <c r="AL937" s="16"/>
      <c r="AM937" s="16"/>
      <c r="AN937" s="16"/>
      <c r="AO937" s="16"/>
      <c r="AP937" s="18"/>
      <c r="AQ937" s="16"/>
    </row>
    <row r="938" ht="15.75" hidden="1" customHeight="1">
      <c r="A938" s="10" t="s">
        <v>4452</v>
      </c>
      <c r="B938" s="10" t="s">
        <v>4453</v>
      </c>
      <c r="C938" s="10" t="str">
        <f>VLOOKUP(A938,import!A:C,3,0)</f>
        <v>DOĞRU</v>
      </c>
      <c r="D938" s="10" t="s">
        <v>118</v>
      </c>
      <c r="E938" s="10">
        <f>VLOOKUP(A938,import!A:J,5,0)</f>
        <v>377</v>
      </c>
      <c r="F938" s="10">
        <f>VLOOKUP(A938,import!A:J,6,0)</f>
        <v>40</v>
      </c>
      <c r="G938" s="10">
        <f>VLOOKUP(A938,import!A:J,7,0)</f>
        <v>0</v>
      </c>
      <c r="H938" s="10">
        <f>VLOOKUP(A938,import!A:J,8,0)</f>
        <v>26</v>
      </c>
      <c r="I938" s="10">
        <f>VLOOKUP(A938,import!A:J,9,0)</f>
        <v>26</v>
      </c>
      <c r="J938" s="11">
        <f>VLOOKUP(A938,import!A:J,10,0)</f>
        <v>0</v>
      </c>
      <c r="K938" s="10" t="s">
        <v>4454</v>
      </c>
      <c r="L938" s="10">
        <v>5.072477211E9</v>
      </c>
      <c r="M938" s="10" t="s">
        <v>156</v>
      </c>
      <c r="N938" s="10" t="s">
        <v>204</v>
      </c>
      <c r="O938" s="10" t="s">
        <v>4455</v>
      </c>
      <c r="P938" s="10" t="str">
        <f>VLOOKUP(A938,import!A:P,16,0)</f>
        <v>Geleneksel</v>
      </c>
      <c r="Q938" s="12"/>
      <c r="R938" s="12" t="b">
        <v>0</v>
      </c>
      <c r="S938" s="12" t="b">
        <v>0</v>
      </c>
      <c r="T938" s="13"/>
      <c r="U938" s="13"/>
      <c r="V938" s="13"/>
      <c r="W938" s="13"/>
      <c r="X938" s="15"/>
      <c r="Y938" s="15"/>
      <c r="Z938" s="16"/>
      <c r="AA938" s="17"/>
      <c r="AB938" s="16"/>
      <c r="AC938" s="16"/>
      <c r="AD938" s="16"/>
      <c r="AE938" s="17"/>
      <c r="AF938" s="16"/>
      <c r="AG938" s="17"/>
      <c r="AH938" s="16"/>
      <c r="AI938" s="16"/>
      <c r="AJ938" s="16"/>
      <c r="AK938" s="17"/>
      <c r="AL938" s="16"/>
      <c r="AM938" s="16"/>
      <c r="AN938" s="16"/>
      <c r="AO938" s="16"/>
      <c r="AP938" s="18"/>
      <c r="AQ938" s="16"/>
    </row>
    <row r="939" ht="15.75" hidden="1" customHeight="1">
      <c r="A939" s="10" t="s">
        <v>4456</v>
      </c>
      <c r="B939" s="10" t="s">
        <v>4457</v>
      </c>
      <c r="C939" s="10" t="str">
        <f>VLOOKUP(A939,import!A:C,3,0)</f>
        <v>DOĞRU</v>
      </c>
      <c r="D939" s="10" t="s">
        <v>106</v>
      </c>
      <c r="E939" s="10">
        <f>VLOOKUP(A939,import!A:J,5,0)</f>
        <v>2442</v>
      </c>
      <c r="F939" s="10">
        <f>VLOOKUP(A939,import!A:J,6,0)</f>
        <v>659</v>
      </c>
      <c r="G939" s="10">
        <f>VLOOKUP(A939,import!A:J,7,0)</f>
        <v>0</v>
      </c>
      <c r="H939" s="10">
        <f>VLOOKUP(A939,import!A:J,8,0)</f>
        <v>51</v>
      </c>
      <c r="I939" s="10">
        <f>VLOOKUP(A939,import!A:J,9,0)</f>
        <v>51</v>
      </c>
      <c r="J939" s="11">
        <f>VLOOKUP(A939,import!A:J,10,0)</f>
        <v>0</v>
      </c>
      <c r="K939" s="10" t="s">
        <v>4458</v>
      </c>
      <c r="L939" s="10">
        <v>3.243256565E9</v>
      </c>
      <c r="M939" s="10" t="s">
        <v>72</v>
      </c>
      <c r="N939" s="10" t="s">
        <v>73</v>
      </c>
      <c r="O939" s="10" t="s">
        <v>4459</v>
      </c>
      <c r="P939" s="10" t="str">
        <f>VLOOKUP(A939,import!A:P,16,0)</f>
        <v>Geleneksel</v>
      </c>
      <c r="Q939" s="12"/>
      <c r="R939" s="12" t="b">
        <v>1</v>
      </c>
      <c r="S939" s="12" t="b">
        <v>0</v>
      </c>
      <c r="T939" s="13" t="s">
        <v>199</v>
      </c>
      <c r="U939" s="13"/>
      <c r="V939" s="13"/>
      <c r="W939" s="13" t="s">
        <v>4460</v>
      </c>
      <c r="X939" s="15"/>
      <c r="Y939" s="15"/>
      <c r="Z939" s="16"/>
      <c r="AA939" s="17" t="s">
        <v>56</v>
      </c>
      <c r="AB939" s="16">
        <v>44629.0</v>
      </c>
      <c r="AC939" s="16"/>
      <c r="AD939" s="16"/>
      <c r="AE939" s="17"/>
      <c r="AF939" s="16"/>
      <c r="AG939" s="17"/>
      <c r="AH939" s="16"/>
      <c r="AI939" s="16"/>
      <c r="AJ939" s="16"/>
      <c r="AK939" s="17" t="s">
        <v>133</v>
      </c>
      <c r="AL939" s="16"/>
      <c r="AM939" s="16"/>
      <c r="AN939" s="16"/>
      <c r="AO939" s="16"/>
      <c r="AP939" s="18"/>
      <c r="AQ939" s="16"/>
    </row>
    <row r="940" ht="15.75" hidden="1" customHeight="1">
      <c r="A940" s="10" t="s">
        <v>4461</v>
      </c>
      <c r="B940" s="10" t="s">
        <v>4462</v>
      </c>
      <c r="C940" s="10" t="str">
        <f>VLOOKUP(A940,import!A:C,3,0)</f>
        <v>DOĞRU</v>
      </c>
      <c r="D940" s="10" t="s">
        <v>558</v>
      </c>
      <c r="E940" s="10">
        <f>VLOOKUP(A940,import!A:J,5,0)</f>
        <v>172</v>
      </c>
      <c r="F940" s="10">
        <f>VLOOKUP(A940,import!A:J,6,0)</f>
        <v>27</v>
      </c>
      <c r="G940" s="10">
        <f>VLOOKUP(A940,import!A:J,7,0)</f>
        <v>43</v>
      </c>
      <c r="H940" s="10">
        <f>VLOOKUP(A940,import!A:J,8,0)</f>
        <v>95</v>
      </c>
      <c r="I940" s="10">
        <f>VLOOKUP(A940,import!A:J,9,0)</f>
        <v>138</v>
      </c>
      <c r="J940" s="11">
        <f>VLOOKUP(A940,import!A:J,10,0)</f>
        <v>0.31</v>
      </c>
      <c r="K940" s="10" t="s">
        <v>4463</v>
      </c>
      <c r="L940" s="10">
        <v>5.336400633E9</v>
      </c>
      <c r="M940" s="10" t="s">
        <v>72</v>
      </c>
      <c r="N940" s="10" t="s">
        <v>113</v>
      </c>
      <c r="O940" s="10" t="s">
        <v>4464</v>
      </c>
      <c r="P940" s="10" t="str">
        <f>VLOOKUP(A940,import!A:P,16,0)</f>
        <v>Geleneksel</v>
      </c>
      <c r="Q940" s="12"/>
      <c r="R940" s="12" t="b">
        <v>1</v>
      </c>
      <c r="S940" s="12" t="b">
        <v>0</v>
      </c>
      <c r="T940" s="13" t="s">
        <v>51</v>
      </c>
      <c r="U940" s="13" t="s">
        <v>108</v>
      </c>
      <c r="V940" s="13" t="s">
        <v>66</v>
      </c>
      <c r="W940" s="13" t="s">
        <v>4465</v>
      </c>
      <c r="X940" s="15">
        <v>44544.0</v>
      </c>
      <c r="Y940" s="15">
        <v>44546.0</v>
      </c>
      <c r="Z940" s="16"/>
      <c r="AA940" s="17" t="s">
        <v>56</v>
      </c>
      <c r="AB940" s="16">
        <v>44544.0</v>
      </c>
      <c r="AC940" s="17" t="s">
        <v>56</v>
      </c>
      <c r="AD940" s="16">
        <v>44572.0</v>
      </c>
      <c r="AE940" s="17"/>
      <c r="AF940" s="16"/>
      <c r="AG940" s="17"/>
      <c r="AH940" s="16"/>
      <c r="AI940" s="16"/>
      <c r="AJ940" s="16"/>
      <c r="AK940" s="17" t="s">
        <v>108</v>
      </c>
      <c r="AL940" s="16"/>
      <c r="AM940" s="16"/>
      <c r="AN940" s="16"/>
      <c r="AO940" s="16"/>
      <c r="AP940" s="18" t="s">
        <v>58</v>
      </c>
      <c r="AQ940" s="16"/>
    </row>
    <row r="941" ht="15.75" hidden="1" customHeight="1">
      <c r="A941" s="18" t="s">
        <v>4466</v>
      </c>
      <c r="B941" s="18" t="s">
        <v>4467</v>
      </c>
      <c r="C941" s="10" t="str">
        <f>VLOOKUP(A941,import!A:C,3,0)</f>
        <v>DOĞRU</v>
      </c>
      <c r="D941" s="18" t="s">
        <v>1992</v>
      </c>
      <c r="E941" s="10" t="str">
        <f>VLOOKUP(A941,import!A:J,5,0)</f>
        <v/>
      </c>
      <c r="F941" s="10" t="str">
        <f>VLOOKUP(A941,import!A:J,6,0)</f>
        <v/>
      </c>
      <c r="G941" s="10">
        <f>VLOOKUP(A941,import!A:J,7,0)</f>
        <v>0</v>
      </c>
      <c r="H941" s="10">
        <f>VLOOKUP(A941,import!A:J,8,0)</f>
        <v>9</v>
      </c>
      <c r="I941" s="10">
        <f>VLOOKUP(A941,import!A:J,9,0)</f>
        <v>9</v>
      </c>
      <c r="J941" s="11">
        <f>VLOOKUP(A941,import!A:J,10,0)</f>
        <v>0</v>
      </c>
      <c r="K941" s="18" t="s">
        <v>4468</v>
      </c>
      <c r="L941" s="18">
        <v>5.383797536E9</v>
      </c>
      <c r="M941" s="18" t="s">
        <v>72</v>
      </c>
      <c r="N941" s="18" t="s">
        <v>915</v>
      </c>
      <c r="O941" s="18" t="s">
        <v>4469</v>
      </c>
      <c r="P941" s="10" t="str">
        <f>VLOOKUP(A941,import!A:P,16,0)</f>
        <v>Geleneksel</v>
      </c>
      <c r="Q941" s="12"/>
      <c r="R941" s="12" t="b">
        <v>0</v>
      </c>
      <c r="S941" s="12" t="b">
        <v>0</v>
      </c>
      <c r="T941" s="13"/>
      <c r="U941" s="13"/>
      <c r="V941" s="13"/>
      <c r="W941" s="13"/>
      <c r="X941" s="15"/>
      <c r="Y941" s="15"/>
      <c r="Z941" s="16"/>
      <c r="AA941" s="17"/>
      <c r="AB941" s="16"/>
      <c r="AC941" s="16"/>
      <c r="AD941" s="16"/>
      <c r="AE941" s="17"/>
      <c r="AF941" s="16"/>
      <c r="AG941" s="17"/>
      <c r="AH941" s="16"/>
      <c r="AI941" s="16"/>
      <c r="AJ941" s="16"/>
      <c r="AK941" s="17"/>
      <c r="AL941" s="16"/>
      <c r="AM941" s="16"/>
      <c r="AN941" s="16"/>
      <c r="AO941" s="16"/>
      <c r="AP941" s="18"/>
      <c r="AQ941" s="16"/>
    </row>
    <row r="942" ht="15.75" hidden="1" customHeight="1">
      <c r="A942" s="10" t="s">
        <v>4470</v>
      </c>
      <c r="B942" s="10" t="s">
        <v>4471</v>
      </c>
      <c r="C942" s="10" t="str">
        <f>VLOOKUP(A942,import!A:C,3,0)</f>
        <v>DOĞRU</v>
      </c>
      <c r="D942" s="10" t="s">
        <v>4472</v>
      </c>
      <c r="E942" s="10">
        <f>VLOOKUP(A942,import!A:J,5,0)</f>
        <v>9020</v>
      </c>
      <c r="F942" s="10">
        <f>VLOOKUP(A942,import!A:J,6,0)</f>
        <v>434</v>
      </c>
      <c r="G942" s="10">
        <f>VLOOKUP(A942,import!A:J,7,0)</f>
        <v>94</v>
      </c>
      <c r="H942" s="10">
        <f>VLOOKUP(A942,import!A:J,8,0)</f>
        <v>99</v>
      </c>
      <c r="I942" s="10">
        <f>VLOOKUP(A942,import!A:J,9,0)</f>
        <v>193</v>
      </c>
      <c r="J942" s="11">
        <f>VLOOKUP(A942,import!A:J,10,0)</f>
        <v>0.49</v>
      </c>
      <c r="K942" s="10" t="s">
        <v>4473</v>
      </c>
      <c r="L942" s="10">
        <v>5.050025452E9</v>
      </c>
      <c r="M942" s="10" t="s">
        <v>72</v>
      </c>
      <c r="N942" s="10" t="s">
        <v>915</v>
      </c>
      <c r="O942" s="10" t="s">
        <v>4474</v>
      </c>
      <c r="P942" s="10" t="str">
        <f>VLOOKUP(A942,import!A:P,16,0)</f>
        <v>Geleneksel</v>
      </c>
      <c r="Q942" s="12" t="s">
        <v>84</v>
      </c>
      <c r="R942" s="12" t="b">
        <v>1</v>
      </c>
      <c r="S942" s="12" t="b">
        <v>1</v>
      </c>
      <c r="T942" s="13"/>
      <c r="U942" s="13"/>
      <c r="V942" s="13"/>
      <c r="W942" s="13" t="s">
        <v>4475</v>
      </c>
      <c r="X942" s="15"/>
      <c r="Y942" s="15"/>
      <c r="Z942" s="16"/>
      <c r="AA942" s="17" t="s">
        <v>56</v>
      </c>
      <c r="AB942" s="16">
        <v>44358.0</v>
      </c>
      <c r="AC942" s="17" t="s">
        <v>86</v>
      </c>
      <c r="AD942" s="16">
        <v>44544.0</v>
      </c>
      <c r="AE942" s="17"/>
      <c r="AF942" s="16"/>
      <c r="AG942" s="17"/>
      <c r="AH942" s="16"/>
      <c r="AI942" s="16"/>
      <c r="AJ942" s="16"/>
      <c r="AK942" s="17" t="s">
        <v>163</v>
      </c>
      <c r="AL942" s="17" t="s">
        <v>108</v>
      </c>
      <c r="AM942" s="16"/>
      <c r="AN942" s="16"/>
      <c r="AO942" s="16"/>
      <c r="AP942" s="18" t="s">
        <v>58</v>
      </c>
      <c r="AQ942" s="16"/>
    </row>
    <row r="943" ht="15.75" hidden="1" customHeight="1">
      <c r="A943" s="10" t="s">
        <v>4476</v>
      </c>
      <c r="B943" s="10" t="s">
        <v>4477</v>
      </c>
      <c r="C943" s="10" t="str">
        <f>VLOOKUP(A943,import!A:C,3,0)</f>
        <v>DOĞRU</v>
      </c>
      <c r="D943" s="10" t="s">
        <v>45</v>
      </c>
      <c r="E943" s="10">
        <f>VLOOKUP(A943,import!A:J,5,0)</f>
        <v>454</v>
      </c>
      <c r="F943" s="10">
        <f>VLOOKUP(A943,import!A:J,6,0)</f>
        <v>35</v>
      </c>
      <c r="G943" s="10">
        <f>VLOOKUP(A943,import!A:J,7,0)</f>
        <v>26</v>
      </c>
      <c r="H943" s="10">
        <f>VLOOKUP(A943,import!A:J,8,0)</f>
        <v>1</v>
      </c>
      <c r="I943" s="10">
        <f>VLOOKUP(A943,import!A:J,9,0)</f>
        <v>27</v>
      </c>
      <c r="J943" s="11">
        <f>VLOOKUP(A943,import!A:J,10,0)</f>
        <v>0.96</v>
      </c>
      <c r="K943" s="10" t="s">
        <v>4478</v>
      </c>
      <c r="L943" s="10">
        <v>5.36765856E9</v>
      </c>
      <c r="M943" s="10" t="s">
        <v>72</v>
      </c>
      <c r="N943" s="10" t="s">
        <v>128</v>
      </c>
      <c r="O943" s="10" t="s">
        <v>4479</v>
      </c>
      <c r="P943" s="10" t="str">
        <f>VLOOKUP(A943,import!A:P,16,0)</f>
        <v>Geleneksel</v>
      </c>
      <c r="Q943" s="12"/>
      <c r="R943" s="12" t="b">
        <v>1</v>
      </c>
      <c r="S943" s="12" t="b">
        <v>1</v>
      </c>
      <c r="T943" s="13"/>
      <c r="U943" s="13"/>
      <c r="V943" s="13"/>
      <c r="W943" s="13" t="s">
        <v>4480</v>
      </c>
      <c r="X943" s="15"/>
      <c r="Y943" s="15"/>
      <c r="Z943" s="16"/>
      <c r="AA943" s="17" t="s">
        <v>56</v>
      </c>
      <c r="AB943" s="16">
        <v>44481.0</v>
      </c>
      <c r="AC943" s="16"/>
      <c r="AD943" s="16"/>
      <c r="AE943" s="17"/>
      <c r="AF943" s="16"/>
      <c r="AG943" s="17"/>
      <c r="AH943" s="16"/>
      <c r="AI943" s="16"/>
      <c r="AJ943" s="16"/>
      <c r="AK943" s="17" t="s">
        <v>87</v>
      </c>
      <c r="AL943" s="16"/>
      <c r="AM943" s="16"/>
      <c r="AN943" s="16"/>
      <c r="AO943" s="16"/>
      <c r="AP943" s="18" t="s">
        <v>58</v>
      </c>
      <c r="AQ943" s="16"/>
    </row>
    <row r="944" ht="15.75" hidden="1" customHeight="1">
      <c r="A944" s="10" t="s">
        <v>4481</v>
      </c>
      <c r="B944" s="10" t="s">
        <v>4482</v>
      </c>
      <c r="C944" s="10" t="str">
        <f>VLOOKUP(A944,import!A:C,3,0)</f>
        <v>DOĞRU</v>
      </c>
      <c r="D944" s="10" t="s">
        <v>45</v>
      </c>
      <c r="E944" s="10">
        <f>VLOOKUP(A944,import!A:J,5,0)</f>
        <v>263</v>
      </c>
      <c r="F944" s="10">
        <f>VLOOKUP(A944,import!A:J,6,0)</f>
        <v>24</v>
      </c>
      <c r="G944" s="10">
        <f>VLOOKUP(A944,import!A:J,7,0)</f>
        <v>0</v>
      </c>
      <c r="H944" s="10">
        <f>VLOOKUP(A944,import!A:J,8,0)</f>
        <v>22</v>
      </c>
      <c r="I944" s="10">
        <f>VLOOKUP(A944,import!A:J,9,0)</f>
        <v>22</v>
      </c>
      <c r="J944" s="11">
        <f>VLOOKUP(A944,import!A:J,10,0)</f>
        <v>0</v>
      </c>
      <c r="K944" s="10" t="s">
        <v>4483</v>
      </c>
      <c r="L944" s="10">
        <v>3.243290929E9</v>
      </c>
      <c r="M944" s="10" t="s">
        <v>72</v>
      </c>
      <c r="N944" s="10" t="s">
        <v>333</v>
      </c>
      <c r="O944" s="10" t="s">
        <v>4484</v>
      </c>
      <c r="P944" s="10" t="str">
        <f>VLOOKUP(A944,import!A:P,16,0)</f>
        <v>Geleneksel</v>
      </c>
      <c r="Q944" s="12" t="s">
        <v>146</v>
      </c>
      <c r="R944" s="12" t="b">
        <v>1</v>
      </c>
      <c r="S944" s="12" t="b">
        <v>0</v>
      </c>
      <c r="T944" s="13" t="s">
        <v>199</v>
      </c>
      <c r="U944" s="13"/>
      <c r="V944" s="13"/>
      <c r="W944" s="13" t="s">
        <v>4485</v>
      </c>
      <c r="X944" s="15"/>
      <c r="Y944" s="15"/>
      <c r="Z944" s="16"/>
      <c r="AA944" s="17" t="s">
        <v>230</v>
      </c>
      <c r="AB944" s="16">
        <v>44372.0</v>
      </c>
      <c r="AC944" s="17" t="s">
        <v>56</v>
      </c>
      <c r="AD944" s="16">
        <v>44426.0</v>
      </c>
      <c r="AE944" s="17" t="s">
        <v>55</v>
      </c>
      <c r="AF944" s="16">
        <v>44431.0</v>
      </c>
      <c r="AG944" s="17" t="s">
        <v>56</v>
      </c>
      <c r="AH944" s="16">
        <v>44475.0</v>
      </c>
      <c r="AI944" s="17" t="s">
        <v>56</v>
      </c>
      <c r="AJ944" s="16">
        <v>44540.0</v>
      </c>
      <c r="AK944" s="17" t="s">
        <v>4113</v>
      </c>
      <c r="AL944" s="17" t="s">
        <v>57</v>
      </c>
      <c r="AM944" s="17" t="s">
        <v>367</v>
      </c>
      <c r="AN944" s="17" t="s">
        <v>171</v>
      </c>
      <c r="AO944" s="17" t="s">
        <v>314</v>
      </c>
      <c r="AP944" s="18" t="s">
        <v>58</v>
      </c>
      <c r="AQ944" s="17"/>
    </row>
    <row r="945" ht="15.75" hidden="1" customHeight="1">
      <c r="A945" s="10" t="s">
        <v>4486</v>
      </c>
      <c r="B945" s="10" t="s">
        <v>4487</v>
      </c>
      <c r="C945" s="10" t="str">
        <f>VLOOKUP(A945,import!A:C,3,0)</f>
        <v>DOĞRU</v>
      </c>
      <c r="D945" s="10" t="s">
        <v>118</v>
      </c>
      <c r="E945" s="10">
        <f>VLOOKUP(A945,import!A:J,5,0)</f>
        <v>213</v>
      </c>
      <c r="F945" s="10">
        <f>VLOOKUP(A945,import!A:J,6,0)</f>
        <v>48</v>
      </c>
      <c r="G945" s="10">
        <f>VLOOKUP(A945,import!A:J,7,0)</f>
        <v>0</v>
      </c>
      <c r="H945" s="10">
        <f>VLOOKUP(A945,import!A:J,8,0)</f>
        <v>23</v>
      </c>
      <c r="I945" s="10">
        <f>VLOOKUP(A945,import!A:J,9,0)</f>
        <v>23</v>
      </c>
      <c r="J945" s="11">
        <f>VLOOKUP(A945,import!A:J,10,0)</f>
        <v>0</v>
      </c>
      <c r="K945" s="10" t="s">
        <v>4488</v>
      </c>
      <c r="L945" s="10">
        <v>5.362217978E9</v>
      </c>
      <c r="M945" s="10" t="s">
        <v>47</v>
      </c>
      <c r="N945" s="10" t="s">
        <v>608</v>
      </c>
      <c r="O945" s="10" t="s">
        <v>4489</v>
      </c>
      <c r="P945" s="10" t="str">
        <f>VLOOKUP(A945,import!A:P,16,0)</f>
        <v>Geleneksel</v>
      </c>
      <c r="Q945" s="12"/>
      <c r="R945" s="12" t="b">
        <v>0</v>
      </c>
      <c r="S945" s="12" t="b">
        <v>0</v>
      </c>
      <c r="T945" s="13"/>
      <c r="U945" s="13"/>
      <c r="V945" s="13"/>
      <c r="W945" s="13"/>
      <c r="X945" s="15"/>
      <c r="Y945" s="15"/>
      <c r="Z945" s="16"/>
      <c r="AA945" s="17"/>
      <c r="AB945" s="16"/>
      <c r="AC945" s="16"/>
      <c r="AD945" s="16"/>
      <c r="AE945" s="17"/>
      <c r="AF945" s="16"/>
      <c r="AG945" s="17"/>
      <c r="AH945" s="16"/>
      <c r="AI945" s="16"/>
      <c r="AJ945" s="16"/>
      <c r="AK945" s="17"/>
      <c r="AL945" s="16"/>
      <c r="AM945" s="16"/>
      <c r="AN945" s="16"/>
      <c r="AO945" s="16"/>
      <c r="AP945" s="18"/>
      <c r="AQ945" s="16"/>
    </row>
    <row r="946" ht="15.75" hidden="1" customHeight="1">
      <c r="A946" s="10" t="s">
        <v>4490</v>
      </c>
      <c r="B946" s="10" t="s">
        <v>4491</v>
      </c>
      <c r="C946" s="10" t="str">
        <f>VLOOKUP(A946,import!A:C,3,0)</f>
        <v>DOĞRU</v>
      </c>
      <c r="D946" s="10" t="s">
        <v>106</v>
      </c>
      <c r="E946" s="10">
        <f>VLOOKUP(A946,import!A:J,5,0)</f>
        <v>975</v>
      </c>
      <c r="F946" s="10">
        <f>VLOOKUP(A946,import!A:J,6,0)</f>
        <v>95</v>
      </c>
      <c r="G946" s="10">
        <f>VLOOKUP(A946,import!A:J,7,0)</f>
        <v>17</v>
      </c>
      <c r="H946" s="10">
        <f>VLOOKUP(A946,import!A:J,8,0)</f>
        <v>3</v>
      </c>
      <c r="I946" s="10">
        <f>VLOOKUP(A946,import!A:J,9,0)</f>
        <v>20</v>
      </c>
      <c r="J946" s="11">
        <f>VLOOKUP(A946,import!A:J,10,0)</f>
        <v>0.85</v>
      </c>
      <c r="K946" s="10" t="s">
        <v>4492</v>
      </c>
      <c r="L946" s="10">
        <v>3.243220024E9</v>
      </c>
      <c r="M946" s="10" t="s">
        <v>215</v>
      </c>
      <c r="N946" s="10" t="s">
        <v>2416</v>
      </c>
      <c r="O946" s="10" t="s">
        <v>4493</v>
      </c>
      <c r="P946" s="10" t="str">
        <f>VLOOKUP(A946,import!A:P,16,0)</f>
        <v>Geleneksel</v>
      </c>
      <c r="Q946" s="12"/>
      <c r="R946" s="12" t="b">
        <v>1</v>
      </c>
      <c r="S946" s="12" t="b">
        <v>0</v>
      </c>
      <c r="T946" s="13" t="s">
        <v>51</v>
      </c>
      <c r="U946" s="13" t="s">
        <v>367</v>
      </c>
      <c r="V946" s="17" t="s">
        <v>131</v>
      </c>
      <c r="W946" s="13"/>
      <c r="X946" s="15">
        <v>44643.0</v>
      </c>
      <c r="Y946" s="15">
        <v>44645.0</v>
      </c>
      <c r="Z946" s="16"/>
      <c r="AA946" s="17" t="s">
        <v>56</v>
      </c>
      <c r="AB946" s="16">
        <v>44634.0</v>
      </c>
      <c r="AC946" s="17" t="s">
        <v>56</v>
      </c>
      <c r="AD946" s="15">
        <v>44643.0</v>
      </c>
      <c r="AE946" s="17"/>
      <c r="AF946" s="16"/>
      <c r="AG946" s="17"/>
      <c r="AH946" s="16"/>
      <c r="AI946" s="16"/>
      <c r="AJ946" s="16"/>
      <c r="AK946" s="17" t="s">
        <v>89</v>
      </c>
      <c r="AL946" s="17" t="s">
        <v>367</v>
      </c>
      <c r="AM946" s="16"/>
      <c r="AN946" s="16"/>
      <c r="AO946" s="16"/>
      <c r="AP946" s="18"/>
      <c r="AQ946" s="16"/>
    </row>
    <row r="947" ht="15.75" hidden="1" customHeight="1">
      <c r="A947" s="10" t="s">
        <v>4494</v>
      </c>
      <c r="B947" s="10" t="s">
        <v>4495</v>
      </c>
      <c r="C947" s="10" t="str">
        <f>VLOOKUP(A947,import!A:C,3,0)</f>
        <v>DOĞRU</v>
      </c>
      <c r="D947" s="10" t="s">
        <v>80</v>
      </c>
      <c r="E947" s="10">
        <f>VLOOKUP(A947,import!A:J,5,0)</f>
        <v>60</v>
      </c>
      <c r="F947" s="10">
        <f>VLOOKUP(A947,import!A:J,6,0)</f>
        <v>15</v>
      </c>
      <c r="G947" s="10">
        <f>VLOOKUP(A947,import!A:J,7,0)</f>
        <v>0</v>
      </c>
      <c r="H947" s="10">
        <f>VLOOKUP(A947,import!A:J,8,0)</f>
        <v>6</v>
      </c>
      <c r="I947" s="10">
        <f>VLOOKUP(A947,import!A:J,9,0)</f>
        <v>6</v>
      </c>
      <c r="J947" s="11">
        <f>VLOOKUP(A947,import!A:J,10,0)</f>
        <v>0</v>
      </c>
      <c r="K947" s="10" t="s">
        <v>4496</v>
      </c>
      <c r="L947" s="10">
        <v>3.246144917E9</v>
      </c>
      <c r="M947" s="10" t="s">
        <v>156</v>
      </c>
      <c r="N947" s="10" t="s">
        <v>1483</v>
      </c>
      <c r="O947" s="10" t="s">
        <v>4497</v>
      </c>
      <c r="P947" s="10" t="str">
        <f>VLOOKUP(A947,import!A:P,16,0)</f>
        <v>Geleneksel</v>
      </c>
      <c r="Q947" s="12"/>
      <c r="R947" s="12" t="b">
        <v>0</v>
      </c>
      <c r="S947" s="12" t="b">
        <v>0</v>
      </c>
      <c r="T947" s="13"/>
      <c r="U947" s="13"/>
      <c r="V947" s="13"/>
      <c r="W947" s="13"/>
      <c r="X947" s="15"/>
      <c r="Y947" s="15"/>
      <c r="Z947" s="16"/>
      <c r="AA947" s="17"/>
      <c r="AB947" s="16"/>
      <c r="AC947" s="16"/>
      <c r="AD947" s="16"/>
      <c r="AE947" s="17"/>
      <c r="AF947" s="16"/>
      <c r="AG947" s="17"/>
      <c r="AH947" s="16"/>
      <c r="AI947" s="16"/>
      <c r="AJ947" s="16"/>
      <c r="AK947" s="17"/>
      <c r="AL947" s="16"/>
      <c r="AM947" s="16"/>
      <c r="AN947" s="16"/>
      <c r="AO947" s="16"/>
      <c r="AP947" s="18"/>
      <c r="AQ947" s="16"/>
    </row>
    <row r="948" ht="15.75" hidden="1" customHeight="1">
      <c r="A948" s="10" t="s">
        <v>4498</v>
      </c>
      <c r="B948" s="10" t="s">
        <v>4499</v>
      </c>
      <c r="C948" s="10" t="str">
        <f>VLOOKUP(A948,import!A:C,3,0)</f>
        <v>DOĞRU</v>
      </c>
      <c r="D948" s="10" t="s">
        <v>363</v>
      </c>
      <c r="E948" s="10">
        <f>VLOOKUP(A948,import!A:J,5,0)</f>
        <v>95</v>
      </c>
      <c r="F948" s="10" t="str">
        <f>VLOOKUP(A948,import!A:J,6,0)</f>
        <v/>
      </c>
      <c r="G948" s="10">
        <f>VLOOKUP(A948,import!A:J,7,0)</f>
        <v>7</v>
      </c>
      <c r="H948" s="10">
        <f>VLOOKUP(A948,import!A:J,8,0)</f>
        <v>72</v>
      </c>
      <c r="I948" s="10">
        <f>VLOOKUP(A948,import!A:J,9,0)</f>
        <v>79</v>
      </c>
      <c r="J948" s="11">
        <f>VLOOKUP(A948,import!A:J,10,0)</f>
        <v>0.09</v>
      </c>
      <c r="K948" s="10" t="s">
        <v>4500</v>
      </c>
      <c r="L948" s="10">
        <v>5.304145535E9</v>
      </c>
      <c r="M948" s="10" t="s">
        <v>72</v>
      </c>
      <c r="N948" s="10" t="s">
        <v>113</v>
      </c>
      <c r="O948" s="10" t="s">
        <v>4501</v>
      </c>
      <c r="P948" s="10" t="str">
        <f>VLOOKUP(A948,import!A:P,16,0)</f>
        <v>Geleneksel</v>
      </c>
      <c r="Q948" s="12"/>
      <c r="R948" s="12" t="b">
        <v>1</v>
      </c>
      <c r="S948" s="12" t="b">
        <v>1</v>
      </c>
      <c r="T948" s="13" t="s">
        <v>51</v>
      </c>
      <c r="U948" s="13" t="s">
        <v>87</v>
      </c>
      <c r="V948" s="13" t="s">
        <v>53</v>
      </c>
      <c r="W948" s="13" t="s">
        <v>4502</v>
      </c>
      <c r="X948" s="15">
        <v>44496.0</v>
      </c>
      <c r="Y948" s="15">
        <v>44497.0</v>
      </c>
      <c r="Z948" s="16"/>
      <c r="AA948" s="17" t="s">
        <v>56</v>
      </c>
      <c r="AB948" s="16">
        <v>44358.0</v>
      </c>
      <c r="AC948" s="17" t="s">
        <v>56</v>
      </c>
      <c r="AD948" s="16">
        <v>44372.0</v>
      </c>
      <c r="AE948" s="17" t="s">
        <v>56</v>
      </c>
      <c r="AF948" s="16">
        <v>44496.0</v>
      </c>
      <c r="AG948" s="17" t="s">
        <v>55</v>
      </c>
      <c r="AH948" s="16">
        <v>44524.0</v>
      </c>
      <c r="AI948" s="17" t="s">
        <v>56</v>
      </c>
      <c r="AJ948" s="16">
        <v>44641.0</v>
      </c>
      <c r="AK948" s="17" t="s">
        <v>163</v>
      </c>
      <c r="AL948" s="17" t="s">
        <v>4113</v>
      </c>
      <c r="AM948" s="17" t="s">
        <v>87</v>
      </c>
      <c r="AN948" s="17" t="s">
        <v>103</v>
      </c>
      <c r="AO948" s="17" t="s">
        <v>89</v>
      </c>
      <c r="AP948" s="18" t="s">
        <v>58</v>
      </c>
      <c r="AQ948" s="16"/>
    </row>
    <row r="949" ht="15.75" hidden="1" customHeight="1">
      <c r="A949" s="10" t="s">
        <v>4503</v>
      </c>
      <c r="B949" s="10" t="s">
        <v>4504</v>
      </c>
      <c r="C949" s="10" t="str">
        <f>VLOOKUP(A949,import!A:C,3,0)</f>
        <v>DOĞRU</v>
      </c>
      <c r="D949" s="10" t="s">
        <v>564</v>
      </c>
      <c r="E949" s="10">
        <f>VLOOKUP(A949,import!A:J,5,0)</f>
        <v>935</v>
      </c>
      <c r="F949" s="10">
        <f>VLOOKUP(A949,import!A:J,6,0)</f>
        <v>69</v>
      </c>
      <c r="G949" s="10">
        <f>VLOOKUP(A949,import!A:J,7,0)</f>
        <v>0</v>
      </c>
      <c r="H949" s="10">
        <f>VLOOKUP(A949,import!A:J,8,0)</f>
        <v>34</v>
      </c>
      <c r="I949" s="10">
        <f>VLOOKUP(A949,import!A:J,9,0)</f>
        <v>34</v>
      </c>
      <c r="J949" s="11">
        <f>VLOOKUP(A949,import!A:J,10,0)</f>
        <v>0</v>
      </c>
      <c r="K949" s="10" t="s">
        <v>4505</v>
      </c>
      <c r="L949" s="10">
        <v>5.383498842E9</v>
      </c>
      <c r="M949" s="10" t="s">
        <v>72</v>
      </c>
      <c r="N949" s="10" t="s">
        <v>82</v>
      </c>
      <c r="O949" s="10" t="s">
        <v>4506</v>
      </c>
      <c r="P949" s="10" t="str">
        <f>VLOOKUP(A949,import!A:P,16,0)</f>
        <v>Geleneksel</v>
      </c>
      <c r="Q949" s="12"/>
      <c r="R949" s="12" t="b">
        <v>1</v>
      </c>
      <c r="S949" s="12" t="b">
        <v>0</v>
      </c>
      <c r="T949" s="13" t="s">
        <v>199</v>
      </c>
      <c r="U949" s="13"/>
      <c r="V949" s="13"/>
      <c r="W949" s="13" t="s">
        <v>4507</v>
      </c>
      <c r="X949" s="15"/>
      <c r="Y949" s="15"/>
      <c r="Z949" s="16"/>
      <c r="AA949" s="17" t="s">
        <v>56</v>
      </c>
      <c r="AB949" s="16">
        <v>44476.0</v>
      </c>
      <c r="AC949" s="17" t="s">
        <v>56</v>
      </c>
      <c r="AD949" s="16">
        <v>44578.0</v>
      </c>
      <c r="AE949" s="17"/>
      <c r="AF949" s="16"/>
      <c r="AG949" s="17"/>
      <c r="AH949" s="16"/>
      <c r="AI949" s="16"/>
      <c r="AJ949" s="16"/>
      <c r="AK949" s="17" t="s">
        <v>171</v>
      </c>
      <c r="AL949" s="17" t="s">
        <v>89</v>
      </c>
      <c r="AM949" s="16"/>
      <c r="AN949" s="16"/>
      <c r="AO949" s="16"/>
      <c r="AP949" s="18" t="s">
        <v>58</v>
      </c>
      <c r="AQ949" s="16"/>
    </row>
    <row r="950" ht="15.75" hidden="1" customHeight="1">
      <c r="A950" s="10" t="s">
        <v>4508</v>
      </c>
      <c r="B950" s="10" t="s">
        <v>4509</v>
      </c>
      <c r="C950" s="10" t="str">
        <f>VLOOKUP(A950,import!A:C,3,0)</f>
        <v>DOĞRU</v>
      </c>
      <c r="D950" s="10" t="s">
        <v>948</v>
      </c>
      <c r="E950" s="10">
        <f>VLOOKUP(A950,import!A:J,5,0)</f>
        <v>342</v>
      </c>
      <c r="F950" s="10" t="str">
        <f>VLOOKUP(A950,import!A:J,6,0)</f>
        <v/>
      </c>
      <c r="G950" s="10">
        <f>VLOOKUP(A950,import!A:J,7,0)</f>
        <v>22</v>
      </c>
      <c r="H950" s="10">
        <f>VLOOKUP(A950,import!A:J,8,0)</f>
        <v>6</v>
      </c>
      <c r="I950" s="10">
        <f>VLOOKUP(A950,import!A:J,9,0)</f>
        <v>28</v>
      </c>
      <c r="J950" s="11">
        <f>VLOOKUP(A950,import!A:J,10,0)</f>
        <v>0.79</v>
      </c>
      <c r="K950" s="10" t="s">
        <v>4510</v>
      </c>
      <c r="L950" s="10">
        <v>5.322421375E9</v>
      </c>
      <c r="M950" s="10" t="s">
        <v>72</v>
      </c>
      <c r="N950" s="10" t="s">
        <v>113</v>
      </c>
      <c r="O950" s="10" t="s">
        <v>4511</v>
      </c>
      <c r="P950" s="10" t="str">
        <f>VLOOKUP(A950,import!A:P,16,0)</f>
        <v>Geleneksel</v>
      </c>
      <c r="Q950" s="12" t="s">
        <v>75</v>
      </c>
      <c r="R950" s="12" t="b">
        <v>1</v>
      </c>
      <c r="S950" s="12" t="b">
        <v>0</v>
      </c>
      <c r="T950" s="13" t="s">
        <v>51</v>
      </c>
      <c r="U950" s="13" t="s">
        <v>52</v>
      </c>
      <c r="V950" s="13" t="s">
        <v>66</v>
      </c>
      <c r="W950" s="13"/>
      <c r="X950" s="15">
        <v>44491.0</v>
      </c>
      <c r="Y950" s="15">
        <v>44494.0</v>
      </c>
      <c r="Z950" s="16"/>
      <c r="AA950" s="17" t="s">
        <v>55</v>
      </c>
      <c r="AB950" s="16">
        <v>44361.0</v>
      </c>
      <c r="AC950" s="17" t="s">
        <v>55</v>
      </c>
      <c r="AD950" s="16"/>
      <c r="AE950" s="17" t="s">
        <v>55</v>
      </c>
      <c r="AF950" s="16">
        <v>44350.0</v>
      </c>
      <c r="AG950" s="17" t="s">
        <v>56</v>
      </c>
      <c r="AH950" s="16">
        <v>44491.0</v>
      </c>
      <c r="AI950" s="17"/>
      <c r="AJ950" s="16"/>
      <c r="AK950" s="16"/>
      <c r="AL950" s="16"/>
      <c r="AM950" s="17" t="s">
        <v>88</v>
      </c>
      <c r="AN950" s="17" t="s">
        <v>52</v>
      </c>
      <c r="AO950" s="17"/>
      <c r="AP950" s="18" t="s">
        <v>58</v>
      </c>
      <c r="AQ950" s="17"/>
    </row>
    <row r="951" ht="15.75" customHeight="1">
      <c r="A951" s="10" t="s">
        <v>4512</v>
      </c>
      <c r="B951" s="10" t="s">
        <v>4513</v>
      </c>
      <c r="C951" s="10" t="str">
        <f>VLOOKUP(A951,import!A:C,3,0)</f>
        <v>DOĞRU</v>
      </c>
      <c r="D951" s="10" t="s">
        <v>45</v>
      </c>
      <c r="E951" s="10">
        <f>VLOOKUP(A951,import!A:J,5,0)</f>
        <v>741</v>
      </c>
      <c r="F951" s="10">
        <f>VLOOKUP(A951,import!A:J,6,0)</f>
        <v>59</v>
      </c>
      <c r="G951" s="10">
        <f>VLOOKUP(A951,import!A:J,7,0)</f>
        <v>0</v>
      </c>
      <c r="H951" s="10">
        <f>VLOOKUP(A951,import!A:J,8,0)</f>
        <v>25</v>
      </c>
      <c r="I951" s="10">
        <f>VLOOKUP(A951,import!A:J,9,0)</f>
        <v>25</v>
      </c>
      <c r="J951" s="11">
        <f>VLOOKUP(A951,import!A:J,10,0)</f>
        <v>0</v>
      </c>
      <c r="K951" s="10" t="s">
        <v>4514</v>
      </c>
      <c r="L951" s="10">
        <v>3.245032218E9</v>
      </c>
      <c r="M951" s="10" t="s">
        <v>63</v>
      </c>
      <c r="N951" s="10" t="s">
        <v>64</v>
      </c>
      <c r="O951" s="10" t="s">
        <v>1681</v>
      </c>
      <c r="P951" s="10" t="str">
        <f>VLOOKUP(A951,import!A:P,16,0)</f>
        <v>Geleneksel</v>
      </c>
      <c r="Q951" s="12"/>
      <c r="R951" s="12" t="b">
        <v>1</v>
      </c>
      <c r="S951" s="12" t="b">
        <v>0</v>
      </c>
      <c r="T951" s="13" t="s">
        <v>199</v>
      </c>
      <c r="U951" s="13"/>
      <c r="V951" s="13"/>
      <c r="W951" s="13" t="s">
        <v>4515</v>
      </c>
      <c r="X951" s="15"/>
      <c r="Y951" s="15"/>
      <c r="Z951" s="16"/>
      <c r="AA951" s="17" t="s">
        <v>56</v>
      </c>
      <c r="AB951" s="16">
        <v>44482.0</v>
      </c>
      <c r="AC951" s="17" t="s">
        <v>56</v>
      </c>
      <c r="AD951" s="16">
        <v>44494.0</v>
      </c>
      <c r="AE951" s="17"/>
      <c r="AF951" s="16"/>
      <c r="AG951" s="17"/>
      <c r="AH951" s="16"/>
      <c r="AI951" s="16"/>
      <c r="AJ951" s="16"/>
      <c r="AK951" s="17" t="s">
        <v>171</v>
      </c>
      <c r="AL951" s="17" t="s">
        <v>52</v>
      </c>
      <c r="AM951" s="16"/>
      <c r="AN951" s="16"/>
      <c r="AO951" s="16"/>
      <c r="AP951" s="18" t="s">
        <v>58</v>
      </c>
      <c r="AQ951" s="16"/>
    </row>
    <row r="952" ht="15.75" hidden="1" customHeight="1">
      <c r="A952" s="10" t="s">
        <v>4516</v>
      </c>
      <c r="B952" s="10" t="s">
        <v>4517</v>
      </c>
      <c r="C952" s="10" t="str">
        <f>VLOOKUP(A952,import!A:C,3,0)</f>
        <v>DOĞRU</v>
      </c>
      <c r="D952" s="10" t="s">
        <v>913</v>
      </c>
      <c r="E952" s="10">
        <f>VLOOKUP(A952,import!A:J,5,0)</f>
        <v>720</v>
      </c>
      <c r="F952" s="10">
        <f>VLOOKUP(A952,import!A:J,6,0)</f>
        <v>12</v>
      </c>
      <c r="G952" s="10">
        <f>VLOOKUP(A952,import!A:J,7,0)</f>
        <v>8</v>
      </c>
      <c r="H952" s="10">
        <f>VLOOKUP(A952,import!A:J,8,0)</f>
        <v>13</v>
      </c>
      <c r="I952" s="10">
        <f>VLOOKUP(A952,import!A:J,9,0)</f>
        <v>21</v>
      </c>
      <c r="J952" s="11">
        <f>VLOOKUP(A952,import!A:J,10,0)</f>
        <v>0.38</v>
      </c>
      <c r="K952" s="10" t="s">
        <v>4518</v>
      </c>
      <c r="L952" s="10">
        <v>5.362955137E9</v>
      </c>
      <c r="M952" s="10" t="s">
        <v>72</v>
      </c>
      <c r="N952" s="10" t="s">
        <v>73</v>
      </c>
      <c r="O952" s="10" t="s">
        <v>4519</v>
      </c>
      <c r="P952" s="10" t="str">
        <f>VLOOKUP(A952,import!A:P,16,0)</f>
        <v>Geleneksel</v>
      </c>
      <c r="Q952" s="12" t="s">
        <v>146</v>
      </c>
      <c r="R952" s="12" t="b">
        <v>1</v>
      </c>
      <c r="S952" s="12" t="b">
        <v>0</v>
      </c>
      <c r="T952" s="14" t="s">
        <v>51</v>
      </c>
      <c r="U952" s="14" t="s">
        <v>89</v>
      </c>
      <c r="V952" s="14" t="s">
        <v>66</v>
      </c>
      <c r="W952" s="14" t="s">
        <v>4520</v>
      </c>
      <c r="X952" s="29">
        <v>44552.0</v>
      </c>
      <c r="Y952" s="29">
        <v>44557.0</v>
      </c>
      <c r="Z952" s="16"/>
      <c r="AA952" s="17" t="s">
        <v>56</v>
      </c>
      <c r="AB952" s="16">
        <v>44552.0</v>
      </c>
      <c r="AC952" s="16"/>
      <c r="AD952" s="16"/>
      <c r="AE952" s="17"/>
      <c r="AF952" s="16"/>
      <c r="AG952" s="17"/>
      <c r="AH952" s="16"/>
      <c r="AI952" s="16"/>
      <c r="AJ952" s="16"/>
      <c r="AK952" s="17" t="s">
        <v>89</v>
      </c>
      <c r="AL952" s="16"/>
      <c r="AM952" s="16"/>
      <c r="AN952" s="16"/>
      <c r="AO952" s="16"/>
      <c r="AP952" s="18" t="s">
        <v>58</v>
      </c>
      <c r="AQ952" s="16"/>
    </row>
    <row r="953" ht="15.75" hidden="1" customHeight="1">
      <c r="A953" s="10" t="s">
        <v>4521</v>
      </c>
      <c r="B953" s="10" t="s">
        <v>4522</v>
      </c>
      <c r="C953" s="10" t="str">
        <f>VLOOKUP(A953,import!A:C,3,0)</f>
        <v>DOĞRU</v>
      </c>
      <c r="D953" s="10" t="s">
        <v>564</v>
      </c>
      <c r="E953" s="10">
        <f>VLOOKUP(A953,import!A:J,5,0)</f>
        <v>4063</v>
      </c>
      <c r="F953" s="10">
        <f>VLOOKUP(A953,import!A:J,6,0)</f>
        <v>327</v>
      </c>
      <c r="G953" s="10">
        <f>VLOOKUP(A953,import!A:J,7,0)</f>
        <v>0</v>
      </c>
      <c r="H953" s="10">
        <f>VLOOKUP(A953,import!A:J,8,0)</f>
        <v>54</v>
      </c>
      <c r="I953" s="10">
        <f>VLOOKUP(A953,import!A:J,9,0)</f>
        <v>54</v>
      </c>
      <c r="J953" s="11">
        <f>VLOOKUP(A953,import!A:J,10,0)</f>
        <v>0</v>
      </c>
      <c r="K953" s="10" t="s">
        <v>4523</v>
      </c>
      <c r="L953" s="10">
        <v>5.073518508E9</v>
      </c>
      <c r="M953" s="10" t="s">
        <v>187</v>
      </c>
      <c r="N953" s="10" t="s">
        <v>188</v>
      </c>
      <c r="O953" s="10" t="s">
        <v>4524</v>
      </c>
      <c r="P953" s="10" t="str">
        <f>VLOOKUP(A953,import!A:P,16,0)</f>
        <v>Geleneksel</v>
      </c>
      <c r="Q953" s="12"/>
      <c r="R953" s="12" t="b">
        <v>0</v>
      </c>
      <c r="S953" s="12" t="b">
        <v>0</v>
      </c>
      <c r="T953" s="13" t="s">
        <v>485</v>
      </c>
      <c r="U953" s="13"/>
      <c r="V953" s="13"/>
      <c r="W953" s="13"/>
      <c r="X953" s="15"/>
      <c r="Y953" s="15"/>
      <c r="Z953" s="16"/>
      <c r="AA953" s="16"/>
      <c r="AB953" s="16"/>
      <c r="AC953" s="16"/>
      <c r="AD953" s="16"/>
      <c r="AE953" s="17"/>
      <c r="AF953" s="16"/>
      <c r="AG953" s="17"/>
      <c r="AH953" s="16"/>
      <c r="AI953" s="16"/>
      <c r="AJ953" s="16"/>
      <c r="AK953" s="16"/>
      <c r="AL953" s="16"/>
      <c r="AM953" s="16"/>
      <c r="AN953" s="16"/>
      <c r="AO953" s="16"/>
      <c r="AP953" s="18" t="s">
        <v>58</v>
      </c>
      <c r="AQ953" s="16"/>
    </row>
    <row r="954" ht="15.75" hidden="1" customHeight="1">
      <c r="A954" s="10" t="s">
        <v>4525</v>
      </c>
      <c r="B954" s="10" t="s">
        <v>4526</v>
      </c>
      <c r="C954" s="10" t="str">
        <f>VLOOKUP(A954,import!A:C,3,0)</f>
        <v>DOĞRU</v>
      </c>
      <c r="D954" s="10" t="s">
        <v>80</v>
      </c>
      <c r="E954" s="10">
        <f>VLOOKUP(A954,import!A:J,5,0)</f>
        <v>1279</v>
      </c>
      <c r="F954" s="10">
        <f>VLOOKUP(A954,import!A:J,6,0)</f>
        <v>55</v>
      </c>
      <c r="G954" s="10">
        <f>VLOOKUP(A954,import!A:J,7,0)</f>
        <v>7</v>
      </c>
      <c r="H954" s="10">
        <f>VLOOKUP(A954,import!A:J,8,0)</f>
        <v>25</v>
      </c>
      <c r="I954" s="10">
        <f>VLOOKUP(A954,import!A:J,9,0)</f>
        <v>32</v>
      </c>
      <c r="J954" s="11">
        <f>VLOOKUP(A954,import!A:J,10,0)</f>
        <v>0.22</v>
      </c>
      <c r="K954" s="10" t="s">
        <v>4527</v>
      </c>
      <c r="L954" s="10">
        <v>3.243270028E9</v>
      </c>
      <c r="M954" s="10" t="s">
        <v>72</v>
      </c>
      <c r="N954" s="10" t="s">
        <v>1277</v>
      </c>
      <c r="O954" s="10" t="s">
        <v>4528</v>
      </c>
      <c r="P954" s="10" t="str">
        <f>VLOOKUP(A954,import!A:P,16,0)</f>
        <v>Geleneksel</v>
      </c>
      <c r="Q954" s="12" t="s">
        <v>50</v>
      </c>
      <c r="R954" s="12" t="b">
        <v>1</v>
      </c>
      <c r="S954" s="12" t="b">
        <v>0</v>
      </c>
      <c r="T954" s="13" t="s">
        <v>51</v>
      </c>
      <c r="U954" s="13" t="s">
        <v>52</v>
      </c>
      <c r="V954" s="13" t="s">
        <v>278</v>
      </c>
      <c r="W954" s="13" t="s">
        <v>4529</v>
      </c>
      <c r="X954" s="15">
        <v>44267.0</v>
      </c>
      <c r="Y954" s="15">
        <v>44271.0</v>
      </c>
      <c r="Z954" s="16"/>
      <c r="AA954" s="17" t="s">
        <v>230</v>
      </c>
      <c r="AB954" s="16">
        <v>44551.0</v>
      </c>
      <c r="AC954" s="17" t="s">
        <v>230</v>
      </c>
      <c r="AD954" s="16">
        <v>44560.0</v>
      </c>
      <c r="AE954" s="17"/>
      <c r="AF954" s="16"/>
      <c r="AG954" s="17"/>
      <c r="AH954" s="16"/>
      <c r="AI954" s="16"/>
      <c r="AJ954" s="16"/>
      <c r="AK954" s="17" t="s">
        <v>87</v>
      </c>
      <c r="AL954" s="17" t="s">
        <v>87</v>
      </c>
      <c r="AM954" s="16"/>
      <c r="AN954" s="16"/>
      <c r="AO954" s="16"/>
      <c r="AP954" s="18" t="s">
        <v>58</v>
      </c>
      <c r="AQ954" s="16"/>
    </row>
    <row r="955" ht="15.75" customHeight="1">
      <c r="A955" s="10" t="s">
        <v>4530</v>
      </c>
      <c r="B955" s="10" t="s">
        <v>4531</v>
      </c>
      <c r="C955" s="10" t="str">
        <f>VLOOKUP(A955,import!A:C,3,0)</f>
        <v>DOĞRU</v>
      </c>
      <c r="D955" s="10" t="s">
        <v>70</v>
      </c>
      <c r="E955" s="10">
        <f>VLOOKUP(A955,import!A:J,5,0)</f>
        <v>11</v>
      </c>
      <c r="F955" s="10">
        <f>VLOOKUP(A955,import!A:J,6,0)</f>
        <v>8</v>
      </c>
      <c r="G955" s="10">
        <f>VLOOKUP(A955,import!A:J,7,0)</f>
        <v>16</v>
      </c>
      <c r="H955" s="10">
        <f>VLOOKUP(A955,import!A:J,8,0)</f>
        <v>7</v>
      </c>
      <c r="I955" s="10">
        <f>VLOOKUP(A955,import!A:J,9,0)</f>
        <v>23</v>
      </c>
      <c r="J955" s="11">
        <f>VLOOKUP(A955,import!A:J,10,0)</f>
        <v>0.7</v>
      </c>
      <c r="K955" s="10" t="s">
        <v>4532</v>
      </c>
      <c r="L955" s="10">
        <v>5.375795565E9</v>
      </c>
      <c r="M955" s="10" t="s">
        <v>137</v>
      </c>
      <c r="N955" s="10" t="s">
        <v>374</v>
      </c>
      <c r="O955" s="10" t="s">
        <v>4533</v>
      </c>
      <c r="P955" s="10" t="str">
        <f>VLOOKUP(A955,import!A:P,16,0)</f>
        <v>Geleneksel</v>
      </c>
      <c r="Q955" s="12"/>
      <c r="R955" s="12" t="b">
        <v>1</v>
      </c>
      <c r="S955" s="12" t="b">
        <v>0</v>
      </c>
      <c r="T955" s="13" t="s">
        <v>51</v>
      </c>
      <c r="U955" s="13" t="s">
        <v>133</v>
      </c>
      <c r="V955" s="17" t="s">
        <v>131</v>
      </c>
      <c r="W955" s="13"/>
      <c r="X955" s="15">
        <v>44645.0</v>
      </c>
      <c r="Y955" s="15">
        <v>44649.0</v>
      </c>
      <c r="Z955" s="16"/>
      <c r="AA955" s="17" t="s">
        <v>56</v>
      </c>
      <c r="AB955" s="16">
        <v>44645.0</v>
      </c>
      <c r="AC955" s="16"/>
      <c r="AD955" s="16"/>
      <c r="AE955" s="17"/>
      <c r="AF955" s="16"/>
      <c r="AG955" s="17"/>
      <c r="AH955" s="16"/>
      <c r="AI955" s="16"/>
      <c r="AJ955" s="16"/>
      <c r="AK955" s="17" t="s">
        <v>133</v>
      </c>
      <c r="AL955" s="16"/>
      <c r="AM955" s="16"/>
      <c r="AN955" s="16"/>
      <c r="AO955" s="16"/>
      <c r="AP955" s="18"/>
      <c r="AQ955" s="16"/>
    </row>
    <row r="956" ht="15.75" customHeight="1">
      <c r="A956" s="10" t="s">
        <v>4534</v>
      </c>
      <c r="B956" s="10" t="s">
        <v>4535</v>
      </c>
      <c r="C956" s="10" t="str">
        <f>VLOOKUP(A956,import!A:C,3,0)</f>
        <v>DOĞRU</v>
      </c>
      <c r="D956" s="10" t="s">
        <v>118</v>
      </c>
      <c r="E956" s="10">
        <f>VLOOKUP(A956,import!A:J,5,0)</f>
        <v>248</v>
      </c>
      <c r="F956" s="10">
        <f>VLOOKUP(A956,import!A:J,6,0)</f>
        <v>79</v>
      </c>
      <c r="G956" s="10">
        <f>VLOOKUP(A956,import!A:J,7,0)</f>
        <v>0</v>
      </c>
      <c r="H956" s="10">
        <f>VLOOKUP(A956,import!A:J,8,0)</f>
        <v>27</v>
      </c>
      <c r="I956" s="10">
        <f>VLOOKUP(A956,import!A:J,9,0)</f>
        <v>27</v>
      </c>
      <c r="J956" s="11">
        <f>VLOOKUP(A956,import!A:J,10,0)</f>
        <v>0</v>
      </c>
      <c r="K956" s="10" t="s">
        <v>4536</v>
      </c>
      <c r="L956" s="10">
        <v>5.335935402E9</v>
      </c>
      <c r="M956" s="10" t="s">
        <v>63</v>
      </c>
      <c r="N956" s="10" t="s">
        <v>1148</v>
      </c>
      <c r="O956" s="10" t="s">
        <v>4537</v>
      </c>
      <c r="P956" s="10" t="str">
        <f>VLOOKUP(A956,import!A:P,16,0)</f>
        <v>Geleneksel</v>
      </c>
      <c r="Q956" s="12"/>
      <c r="R956" s="12" t="b">
        <v>1</v>
      </c>
      <c r="S956" s="12" t="b">
        <v>0</v>
      </c>
      <c r="T956" s="13" t="s">
        <v>199</v>
      </c>
      <c r="U956" s="13"/>
      <c r="V956" s="13"/>
      <c r="W956" s="13" t="s">
        <v>4538</v>
      </c>
      <c r="X956" s="15"/>
      <c r="Y956" s="15"/>
      <c r="Z956" s="16"/>
      <c r="AA956" s="17" t="s">
        <v>56</v>
      </c>
      <c r="AB956" s="16">
        <v>44585.0</v>
      </c>
      <c r="AC956" s="16"/>
      <c r="AD956" s="16"/>
      <c r="AE956" s="17"/>
      <c r="AF956" s="16"/>
      <c r="AG956" s="17"/>
      <c r="AH956" s="16"/>
      <c r="AI956" s="16"/>
      <c r="AJ956" s="16"/>
      <c r="AK956" s="17" t="s">
        <v>52</v>
      </c>
      <c r="AL956" s="16"/>
      <c r="AM956" s="16"/>
      <c r="AN956" s="16"/>
      <c r="AO956" s="16"/>
      <c r="AP956" s="18"/>
      <c r="AQ956" s="16"/>
    </row>
    <row r="957" ht="15.75" hidden="1" customHeight="1">
      <c r="A957" s="10" t="s">
        <v>4539</v>
      </c>
      <c r="B957" s="10" t="s">
        <v>4540</v>
      </c>
      <c r="C957" s="10" t="str">
        <f>VLOOKUP(A957,import!A:C,3,0)</f>
        <v>DOĞRU</v>
      </c>
      <c r="D957" s="10" t="s">
        <v>80</v>
      </c>
      <c r="E957" s="10">
        <f>VLOOKUP(A957,import!A:J,5,0)</f>
        <v>44</v>
      </c>
      <c r="F957" s="10">
        <f>VLOOKUP(A957,import!A:J,6,0)</f>
        <v>11</v>
      </c>
      <c r="G957" s="10">
        <f>VLOOKUP(A957,import!A:J,7,0)</f>
        <v>0</v>
      </c>
      <c r="H957" s="10">
        <f>VLOOKUP(A957,import!A:J,8,0)</f>
        <v>14</v>
      </c>
      <c r="I957" s="10">
        <f>VLOOKUP(A957,import!A:J,9,0)</f>
        <v>14</v>
      </c>
      <c r="J957" s="11">
        <f>VLOOKUP(A957,import!A:J,10,0)</f>
        <v>0</v>
      </c>
      <c r="K957" s="10" t="s">
        <v>4541</v>
      </c>
      <c r="L957" s="10">
        <v>3.245153912E9</v>
      </c>
      <c r="M957" s="10" t="s">
        <v>47</v>
      </c>
      <c r="N957" s="10" t="s">
        <v>479</v>
      </c>
      <c r="O957" s="10" t="s">
        <v>4542</v>
      </c>
      <c r="P957" s="10" t="str">
        <f>VLOOKUP(A957,import!A:P,16,0)</f>
        <v>Geleneksel</v>
      </c>
      <c r="Q957" s="12"/>
      <c r="R957" s="12" t="b">
        <v>1</v>
      </c>
      <c r="S957" s="12" t="b">
        <v>0</v>
      </c>
      <c r="T957" s="13" t="s">
        <v>51</v>
      </c>
      <c r="U957" s="13" t="s">
        <v>89</v>
      </c>
      <c r="V957" s="34" t="s">
        <v>368</v>
      </c>
      <c r="W957" s="13"/>
      <c r="X957" s="15">
        <v>44694.0</v>
      </c>
      <c r="Y957" s="15">
        <v>44695.0</v>
      </c>
      <c r="Z957" s="16"/>
      <c r="AA957" s="17" t="s">
        <v>56</v>
      </c>
      <c r="AB957" s="16">
        <v>44694.0</v>
      </c>
      <c r="AC957" s="16"/>
      <c r="AD957" s="16"/>
      <c r="AE957" s="17"/>
      <c r="AF957" s="16"/>
      <c r="AG957" s="17"/>
      <c r="AH957" s="16"/>
      <c r="AI957" s="16"/>
      <c r="AJ957" s="16"/>
      <c r="AK957" s="17" t="s">
        <v>89</v>
      </c>
      <c r="AL957" s="16"/>
      <c r="AM957" s="16"/>
      <c r="AN957" s="16"/>
      <c r="AO957" s="16"/>
      <c r="AP957" s="18"/>
      <c r="AQ957" s="16"/>
    </row>
    <row r="958" ht="15.75" hidden="1" customHeight="1">
      <c r="A958" s="10" t="s">
        <v>4543</v>
      </c>
      <c r="B958" s="10" t="s">
        <v>4544</v>
      </c>
      <c r="C958" s="10" t="str">
        <f>VLOOKUP(A958,import!A:C,3,0)</f>
        <v>DOĞRU</v>
      </c>
      <c r="D958" s="10" t="s">
        <v>118</v>
      </c>
      <c r="E958" s="10">
        <f>VLOOKUP(A958,import!A:J,5,0)</f>
        <v>523</v>
      </c>
      <c r="F958" s="10" t="str">
        <f>VLOOKUP(A958,import!A:J,6,0)</f>
        <v/>
      </c>
      <c r="G958" s="10">
        <f>VLOOKUP(A958,import!A:J,7,0)</f>
        <v>5</v>
      </c>
      <c r="H958" s="10">
        <f>VLOOKUP(A958,import!A:J,8,0)</f>
        <v>51</v>
      </c>
      <c r="I958" s="10">
        <f>VLOOKUP(A958,import!A:J,9,0)</f>
        <v>56</v>
      </c>
      <c r="J958" s="11">
        <f>VLOOKUP(A958,import!A:J,10,0)</f>
        <v>0.09</v>
      </c>
      <c r="K958" s="10" t="s">
        <v>4545</v>
      </c>
      <c r="L958" s="10">
        <v>5.528678688E9</v>
      </c>
      <c r="M958" s="10" t="s">
        <v>72</v>
      </c>
      <c r="N958" s="10" t="s">
        <v>716</v>
      </c>
      <c r="O958" s="10" t="s">
        <v>4546</v>
      </c>
      <c r="P958" s="10" t="str">
        <f>VLOOKUP(A958,import!A:P,16,0)</f>
        <v>Geleneksel</v>
      </c>
      <c r="Q958" s="12"/>
      <c r="R958" s="12" t="b">
        <v>1</v>
      </c>
      <c r="S958" s="12" t="b">
        <v>0</v>
      </c>
      <c r="T958" s="13" t="s">
        <v>272</v>
      </c>
      <c r="U958" s="13" t="s">
        <v>89</v>
      </c>
      <c r="V958" s="13" t="s">
        <v>66</v>
      </c>
      <c r="W958" s="13" t="s">
        <v>4547</v>
      </c>
      <c r="X958" s="15">
        <v>44578.0</v>
      </c>
      <c r="Y958" s="15">
        <v>44579.0</v>
      </c>
      <c r="Z958" s="16"/>
      <c r="AA958" s="17" t="s">
        <v>56</v>
      </c>
      <c r="AB958" s="16">
        <v>44557.0</v>
      </c>
      <c r="AC958" s="17" t="s">
        <v>56</v>
      </c>
      <c r="AD958" s="16">
        <v>44578.0</v>
      </c>
      <c r="AE958" s="17"/>
      <c r="AF958" s="16"/>
      <c r="AG958" s="17"/>
      <c r="AH958" s="16"/>
      <c r="AI958" s="16"/>
      <c r="AJ958" s="16"/>
      <c r="AK958" s="17" t="s">
        <v>52</v>
      </c>
      <c r="AL958" s="17" t="s">
        <v>89</v>
      </c>
      <c r="AM958" s="16"/>
      <c r="AN958" s="16"/>
      <c r="AO958" s="16"/>
      <c r="AP958" s="18"/>
      <c r="AQ958" s="16"/>
    </row>
    <row r="959" ht="15.75" hidden="1" customHeight="1">
      <c r="A959" s="10" t="s">
        <v>4548</v>
      </c>
      <c r="B959" s="10" t="s">
        <v>4549</v>
      </c>
      <c r="C959" s="10" t="str">
        <f>VLOOKUP(A959,import!A:C,3,0)</f>
        <v>DOĞRU</v>
      </c>
      <c r="D959" s="10" t="s">
        <v>106</v>
      </c>
      <c r="E959" s="10">
        <f>VLOOKUP(A959,import!A:J,5,0)</f>
        <v>2011</v>
      </c>
      <c r="F959" s="10">
        <f>VLOOKUP(A959,import!A:J,6,0)</f>
        <v>82</v>
      </c>
      <c r="G959" s="10">
        <f>VLOOKUP(A959,import!A:J,7,0)</f>
        <v>0</v>
      </c>
      <c r="H959" s="10">
        <f>VLOOKUP(A959,import!A:J,8,0)</f>
        <v>25</v>
      </c>
      <c r="I959" s="10">
        <f>VLOOKUP(A959,import!A:J,9,0)</f>
        <v>25</v>
      </c>
      <c r="J959" s="11">
        <f>VLOOKUP(A959,import!A:J,10,0)</f>
        <v>0</v>
      </c>
      <c r="K959" s="10" t="s">
        <v>1497</v>
      </c>
      <c r="L959" s="10">
        <v>5.315541881E9</v>
      </c>
      <c r="M959" s="10" t="s">
        <v>72</v>
      </c>
      <c r="N959" s="10" t="s">
        <v>82</v>
      </c>
      <c r="O959" s="10" t="s">
        <v>1442</v>
      </c>
      <c r="P959" s="10" t="str">
        <f>VLOOKUP(A959,import!A:P,16,0)</f>
        <v>Geleneksel</v>
      </c>
      <c r="Q959" s="12"/>
      <c r="R959" s="12" t="b">
        <v>1</v>
      </c>
      <c r="S959" s="12" t="b">
        <v>0</v>
      </c>
      <c r="T959" s="13" t="s">
        <v>199</v>
      </c>
      <c r="U959" s="13" t="s">
        <v>367</v>
      </c>
      <c r="V959" s="13" t="s">
        <v>53</v>
      </c>
      <c r="W959" s="13" t="s">
        <v>4550</v>
      </c>
      <c r="X959" s="15">
        <v>44433.0</v>
      </c>
      <c r="Y959" s="15">
        <v>44435.0</v>
      </c>
      <c r="Z959" s="16"/>
      <c r="AA959" s="17" t="s">
        <v>55</v>
      </c>
      <c r="AB959" s="16">
        <v>44426.0</v>
      </c>
      <c r="AC959" s="17" t="s">
        <v>55</v>
      </c>
      <c r="AD959" s="16">
        <v>44436.0</v>
      </c>
      <c r="AE959" s="17" t="s">
        <v>265</v>
      </c>
      <c r="AF959" s="16">
        <v>44491.0</v>
      </c>
      <c r="AG959" s="17" t="s">
        <v>265</v>
      </c>
      <c r="AH959" s="16">
        <v>44503.0</v>
      </c>
      <c r="AI959" s="17" t="s">
        <v>56</v>
      </c>
      <c r="AJ959" s="16">
        <v>44578.0</v>
      </c>
      <c r="AK959" s="17" t="s">
        <v>57</v>
      </c>
      <c r="AL959" s="17" t="s">
        <v>926</v>
      </c>
      <c r="AM959" s="17" t="s">
        <v>52</v>
      </c>
      <c r="AN959" s="17" t="s">
        <v>89</v>
      </c>
      <c r="AO959" s="17" t="s">
        <v>89</v>
      </c>
      <c r="AP959" s="18" t="s">
        <v>58</v>
      </c>
      <c r="AQ959" s="17"/>
    </row>
    <row r="960" ht="15.75" hidden="1" customHeight="1">
      <c r="A960" s="10" t="s">
        <v>4551</v>
      </c>
      <c r="B960" s="10" t="s">
        <v>4552</v>
      </c>
      <c r="C960" s="10" t="str">
        <f>VLOOKUP(A960,import!A:C,3,0)</f>
        <v>DOĞRU</v>
      </c>
      <c r="D960" s="10" t="s">
        <v>356</v>
      </c>
      <c r="E960" s="10">
        <f>VLOOKUP(A960,import!A:J,5,0)</f>
        <v>1694</v>
      </c>
      <c r="F960" s="10">
        <f>VLOOKUP(A960,import!A:J,6,0)</f>
        <v>47</v>
      </c>
      <c r="G960" s="10">
        <f>VLOOKUP(A960,import!A:J,7,0)</f>
        <v>0</v>
      </c>
      <c r="H960" s="10">
        <f>VLOOKUP(A960,import!A:J,8,0)</f>
        <v>64</v>
      </c>
      <c r="I960" s="10">
        <f>VLOOKUP(A960,import!A:J,9,0)</f>
        <v>64</v>
      </c>
      <c r="J960" s="11">
        <f>VLOOKUP(A960,import!A:J,10,0)</f>
        <v>0</v>
      </c>
      <c r="K960" s="10" t="s">
        <v>468</v>
      </c>
      <c r="L960" s="10">
        <v>5.525296565E9</v>
      </c>
      <c r="M960" s="10" t="s">
        <v>72</v>
      </c>
      <c r="N960" s="10" t="s">
        <v>73</v>
      </c>
      <c r="O960" s="10" t="s">
        <v>469</v>
      </c>
      <c r="P960" s="10" t="str">
        <f>VLOOKUP(A960,import!A:P,16,0)</f>
        <v>Geleneksel</v>
      </c>
      <c r="Q960" s="12" t="s">
        <v>84</v>
      </c>
      <c r="R960" s="12" t="b">
        <v>1</v>
      </c>
      <c r="S960" s="12" t="b">
        <v>1</v>
      </c>
      <c r="T960" s="13"/>
      <c r="U960" s="13"/>
      <c r="V960" s="13"/>
      <c r="W960" s="13" t="s">
        <v>470</v>
      </c>
      <c r="X960" s="15"/>
      <c r="Y960" s="15"/>
      <c r="Z960" s="16"/>
      <c r="AA960" s="17" t="s">
        <v>56</v>
      </c>
      <c r="AB960" s="16">
        <v>44496.0</v>
      </c>
      <c r="AC960" s="17" t="s">
        <v>56</v>
      </c>
      <c r="AD960" s="16">
        <v>44629.0</v>
      </c>
      <c r="AE960" s="17" t="s">
        <v>230</v>
      </c>
      <c r="AF960" s="16">
        <v>44350.0</v>
      </c>
      <c r="AG960" s="17" t="s">
        <v>230</v>
      </c>
      <c r="AH960" s="16">
        <v>44426.0</v>
      </c>
      <c r="AI960" s="17" t="s">
        <v>56</v>
      </c>
      <c r="AJ960" s="16">
        <v>44544.0</v>
      </c>
      <c r="AK960" s="17" t="s">
        <v>87</v>
      </c>
      <c r="AL960" s="17" t="s">
        <v>133</v>
      </c>
      <c r="AM960" s="17" t="s">
        <v>88</v>
      </c>
      <c r="AN960" s="17" t="s">
        <v>57</v>
      </c>
      <c r="AO960" s="17" t="s">
        <v>314</v>
      </c>
      <c r="AP960" s="18" t="s">
        <v>58</v>
      </c>
      <c r="AQ960" s="17"/>
    </row>
    <row r="961" ht="15.75" hidden="1" customHeight="1">
      <c r="A961" s="18" t="s">
        <v>4553</v>
      </c>
      <c r="B961" s="18" t="s">
        <v>4554</v>
      </c>
      <c r="C961" s="10" t="str">
        <f>VLOOKUP(A961,import!A:C,3,0)</f>
        <v>DOĞRU</v>
      </c>
      <c r="D961" s="18" t="s">
        <v>356</v>
      </c>
      <c r="E961" s="10">
        <f>VLOOKUP(A961,import!A:J,5,0)</f>
        <v>14</v>
      </c>
      <c r="F961" s="10">
        <f>VLOOKUP(A961,import!A:J,6,0)</f>
        <v>14</v>
      </c>
      <c r="G961" s="10">
        <f>VLOOKUP(A961,import!A:J,7,0)</f>
        <v>0</v>
      </c>
      <c r="H961" s="10">
        <f>VLOOKUP(A961,import!A:J,8,0)</f>
        <v>53</v>
      </c>
      <c r="I961" s="10">
        <f>VLOOKUP(A961,import!A:J,9,0)</f>
        <v>53</v>
      </c>
      <c r="J961" s="11">
        <f>VLOOKUP(A961,import!A:J,10,0)</f>
        <v>0</v>
      </c>
      <c r="K961" s="18" t="s">
        <v>4555</v>
      </c>
      <c r="L961" s="18">
        <v>5.333131856E9</v>
      </c>
      <c r="M961" s="18" t="s">
        <v>72</v>
      </c>
      <c r="N961" s="18" t="s">
        <v>983</v>
      </c>
      <c r="O961" s="18" t="s">
        <v>4556</v>
      </c>
      <c r="P961" s="10" t="str">
        <f>VLOOKUP(A961,import!A:P,16,0)</f>
        <v>Geleneksel</v>
      </c>
      <c r="Q961" s="12"/>
      <c r="R961" s="12" t="b">
        <v>0</v>
      </c>
      <c r="S961" s="12" t="b">
        <v>0</v>
      </c>
      <c r="T961" s="13"/>
      <c r="U961" s="13"/>
      <c r="V961" s="13"/>
      <c r="W961" s="13"/>
      <c r="X961" s="15"/>
      <c r="Y961" s="15"/>
      <c r="Z961" s="16"/>
      <c r="AA961" s="17"/>
      <c r="AB961" s="16"/>
      <c r="AC961" s="16"/>
      <c r="AD961" s="16"/>
      <c r="AE961" s="17"/>
      <c r="AF961" s="16"/>
      <c r="AG961" s="17"/>
      <c r="AH961" s="16"/>
      <c r="AI961" s="16"/>
      <c r="AJ961" s="16"/>
      <c r="AK961" s="17"/>
      <c r="AL961" s="16"/>
      <c r="AM961" s="16"/>
      <c r="AN961" s="16"/>
      <c r="AO961" s="16"/>
      <c r="AP961" s="18"/>
      <c r="AQ961" s="16"/>
    </row>
    <row r="962" ht="15.75" hidden="1" customHeight="1">
      <c r="A962" s="10" t="s">
        <v>4557</v>
      </c>
      <c r="B962" s="10" t="s">
        <v>4558</v>
      </c>
      <c r="C962" s="10" t="str">
        <f>VLOOKUP(A962,import!A:C,3,0)</f>
        <v>DOĞRU</v>
      </c>
      <c r="D962" s="10" t="s">
        <v>363</v>
      </c>
      <c r="E962" s="10">
        <f>VLOOKUP(A962,import!A:J,5,0)</f>
        <v>2076</v>
      </c>
      <c r="F962" s="10">
        <f>VLOOKUP(A962,import!A:J,6,0)</f>
        <v>71</v>
      </c>
      <c r="G962" s="10">
        <f>VLOOKUP(A962,import!A:J,7,0)</f>
        <v>40</v>
      </c>
      <c r="H962" s="10">
        <f>VLOOKUP(A962,import!A:J,8,0)</f>
        <v>26</v>
      </c>
      <c r="I962" s="10">
        <f>VLOOKUP(A962,import!A:J,9,0)</f>
        <v>66</v>
      </c>
      <c r="J962" s="11">
        <f>VLOOKUP(A962,import!A:J,10,0)</f>
        <v>0.61</v>
      </c>
      <c r="K962" s="10" t="s">
        <v>4559</v>
      </c>
      <c r="L962" s="10">
        <v>3.243266599E9</v>
      </c>
      <c r="M962" s="10" t="s">
        <v>72</v>
      </c>
      <c r="N962" s="10" t="s">
        <v>113</v>
      </c>
      <c r="O962" s="10" t="s">
        <v>4560</v>
      </c>
      <c r="P962" s="10" t="str">
        <f>VLOOKUP(A962,import!A:P,16,0)</f>
        <v>Geleneksel</v>
      </c>
      <c r="Q962" s="12" t="s">
        <v>84</v>
      </c>
      <c r="R962" s="12" t="b">
        <v>1</v>
      </c>
      <c r="S962" s="12" t="b">
        <v>0</v>
      </c>
      <c r="T962" s="14" t="s">
        <v>51</v>
      </c>
      <c r="U962" s="14" t="s">
        <v>1218</v>
      </c>
      <c r="V962" s="14" t="s">
        <v>66</v>
      </c>
      <c r="W962" s="14" t="s">
        <v>4561</v>
      </c>
      <c r="X962" s="29">
        <v>44287.0</v>
      </c>
      <c r="Y962" s="29">
        <v>44291.0</v>
      </c>
      <c r="Z962" s="16"/>
      <c r="AA962" s="17" t="s">
        <v>86</v>
      </c>
      <c r="AB962" s="16">
        <v>44431.0</v>
      </c>
      <c r="AC962" s="17" t="s">
        <v>86</v>
      </c>
      <c r="AD962" s="16">
        <v>44440.0</v>
      </c>
      <c r="AE962" s="17" t="s">
        <v>86</v>
      </c>
      <c r="AF962" s="16">
        <v>44498.0</v>
      </c>
      <c r="AG962" s="17" t="s">
        <v>86</v>
      </c>
      <c r="AH962" s="16">
        <v>44560.0</v>
      </c>
      <c r="AI962" s="16"/>
      <c r="AJ962" s="16"/>
      <c r="AK962" s="17" t="s">
        <v>926</v>
      </c>
      <c r="AL962" s="17" t="s">
        <v>52</v>
      </c>
      <c r="AM962" s="17" t="s">
        <v>367</v>
      </c>
      <c r="AN962" s="17" t="s">
        <v>87</v>
      </c>
      <c r="AO962" s="16"/>
      <c r="AP962" s="18" t="s">
        <v>58</v>
      </c>
      <c r="AQ962" s="16"/>
    </row>
    <row r="963" ht="15.75" customHeight="1">
      <c r="A963" s="10" t="s">
        <v>4562</v>
      </c>
      <c r="B963" s="10" t="s">
        <v>4563</v>
      </c>
      <c r="C963" s="10" t="str">
        <f>VLOOKUP(A963,import!A:C,3,0)</f>
        <v>DOĞRU</v>
      </c>
      <c r="D963" s="10" t="s">
        <v>451</v>
      </c>
      <c r="E963" s="10">
        <f>VLOOKUP(A963,import!A:J,5,0)</f>
        <v>69</v>
      </c>
      <c r="F963" s="10">
        <f>VLOOKUP(A963,import!A:J,6,0)</f>
        <v>16</v>
      </c>
      <c r="G963" s="10">
        <f>VLOOKUP(A963,import!A:J,7,0)</f>
        <v>0</v>
      </c>
      <c r="H963" s="10">
        <f>VLOOKUP(A963,import!A:J,8,0)</f>
        <v>20</v>
      </c>
      <c r="I963" s="10">
        <f>VLOOKUP(A963,import!A:J,9,0)</f>
        <v>20</v>
      </c>
      <c r="J963" s="11">
        <f>VLOOKUP(A963,import!A:J,10,0)</f>
        <v>0</v>
      </c>
      <c r="K963" s="10" t="s">
        <v>4564</v>
      </c>
      <c r="L963" s="10">
        <v>5.301643778E9</v>
      </c>
      <c r="M963" s="10" t="s">
        <v>63</v>
      </c>
      <c r="N963" s="10" t="s">
        <v>137</v>
      </c>
      <c r="O963" s="10" t="s">
        <v>4565</v>
      </c>
      <c r="P963" s="10" t="str">
        <f>VLOOKUP(A963,import!A:P,16,0)</f>
        <v>Geleneksel</v>
      </c>
      <c r="Q963" s="12"/>
      <c r="R963" s="12" t="b">
        <v>1</v>
      </c>
      <c r="S963" s="12" t="b">
        <v>0</v>
      </c>
      <c r="T963" s="13" t="s">
        <v>130</v>
      </c>
      <c r="U963" s="13"/>
      <c r="V963" s="13"/>
      <c r="W963" s="13" t="s">
        <v>4566</v>
      </c>
      <c r="X963" s="15"/>
      <c r="Y963" s="15"/>
      <c r="Z963" s="16"/>
      <c r="AA963" s="17" t="s">
        <v>56</v>
      </c>
      <c r="AB963" s="16">
        <v>44635.0</v>
      </c>
      <c r="AC963" s="17" t="s">
        <v>230</v>
      </c>
      <c r="AD963" s="16">
        <v>44660.0</v>
      </c>
      <c r="AE963" s="17"/>
      <c r="AF963" s="16"/>
      <c r="AG963" s="17"/>
      <c r="AH963" s="16"/>
      <c r="AI963" s="16"/>
      <c r="AJ963" s="16"/>
      <c r="AK963" s="17" t="s">
        <v>89</v>
      </c>
      <c r="AL963" s="17" t="s">
        <v>89</v>
      </c>
      <c r="AM963" s="16"/>
      <c r="AN963" s="16"/>
      <c r="AO963" s="16"/>
      <c r="AP963" s="18"/>
      <c r="AQ963" s="16"/>
    </row>
    <row r="964" ht="15.75" customHeight="1">
      <c r="A964" s="10" t="s">
        <v>4567</v>
      </c>
      <c r="B964" s="10" t="s">
        <v>4568</v>
      </c>
      <c r="C964" s="10" t="str">
        <f>VLOOKUP(A964,import!A:C,3,0)</f>
        <v>DOĞRU</v>
      </c>
      <c r="D964" s="10" t="s">
        <v>80</v>
      </c>
      <c r="E964" s="10">
        <f>VLOOKUP(A964,import!A:J,5,0)</f>
        <v>1422</v>
      </c>
      <c r="F964" s="10">
        <f>VLOOKUP(A964,import!A:J,6,0)</f>
        <v>83</v>
      </c>
      <c r="G964" s="10">
        <f>VLOOKUP(A964,import!A:J,7,0)</f>
        <v>6</v>
      </c>
      <c r="H964" s="10">
        <f>VLOOKUP(A964,import!A:J,8,0)</f>
        <v>9</v>
      </c>
      <c r="I964" s="10">
        <f>VLOOKUP(A964,import!A:J,9,0)</f>
        <v>15</v>
      </c>
      <c r="J964" s="11">
        <f>VLOOKUP(A964,import!A:J,10,0)</f>
        <v>0.4</v>
      </c>
      <c r="K964" s="10" t="s">
        <v>4569</v>
      </c>
      <c r="L964" s="10">
        <v>5.38393318E9</v>
      </c>
      <c r="M964" s="10" t="s">
        <v>137</v>
      </c>
      <c r="N964" s="10" t="s">
        <v>209</v>
      </c>
      <c r="O964" s="10" t="s">
        <v>4570</v>
      </c>
      <c r="P964" s="10" t="str">
        <f>VLOOKUP(A964,import!A:P,16,0)</f>
        <v>Geleneksel</v>
      </c>
      <c r="Q964" s="12"/>
      <c r="R964" s="12" t="b">
        <v>1</v>
      </c>
      <c r="S964" s="12" t="b">
        <v>0</v>
      </c>
      <c r="T964" s="13" t="s">
        <v>51</v>
      </c>
      <c r="U964" s="13" t="s">
        <v>87</v>
      </c>
      <c r="V964" s="13" t="s">
        <v>53</v>
      </c>
      <c r="W964" s="13" t="s">
        <v>1060</v>
      </c>
      <c r="X964" s="15">
        <v>44547.0</v>
      </c>
      <c r="Y964" s="15">
        <v>44550.0</v>
      </c>
      <c r="Z964" s="16"/>
      <c r="AA964" s="17" t="s">
        <v>56</v>
      </c>
      <c r="AB964" s="16">
        <v>44547.0</v>
      </c>
      <c r="AC964" s="17" t="s">
        <v>56</v>
      </c>
      <c r="AD964" s="16">
        <v>44552.0</v>
      </c>
      <c r="AE964" s="17"/>
      <c r="AF964" s="16"/>
      <c r="AG964" s="17"/>
      <c r="AH964" s="16"/>
      <c r="AI964" s="16"/>
      <c r="AJ964" s="16"/>
      <c r="AK964" s="17" t="s">
        <v>87</v>
      </c>
      <c r="AL964" s="17" t="s">
        <v>89</v>
      </c>
      <c r="AM964" s="16"/>
      <c r="AN964" s="16"/>
      <c r="AO964" s="16"/>
      <c r="AP964" s="18" t="s">
        <v>58</v>
      </c>
      <c r="AQ964" s="16"/>
    </row>
    <row r="965" ht="15.75" hidden="1" customHeight="1">
      <c r="A965" s="10" t="s">
        <v>4571</v>
      </c>
      <c r="B965" s="10" t="s">
        <v>4572</v>
      </c>
      <c r="C965" s="10" t="str">
        <f>VLOOKUP(A965,import!A:C,3,0)</f>
        <v>DOĞRU</v>
      </c>
      <c r="D965" s="10" t="s">
        <v>45</v>
      </c>
      <c r="E965" s="10">
        <f>VLOOKUP(A965,import!A:J,5,0)</f>
        <v>459</v>
      </c>
      <c r="F965" s="10">
        <f>VLOOKUP(A965,import!A:J,6,0)</f>
        <v>28</v>
      </c>
      <c r="G965" s="10">
        <f>VLOOKUP(A965,import!A:J,7,0)</f>
        <v>0</v>
      </c>
      <c r="H965" s="10">
        <f>VLOOKUP(A965,import!A:J,8,0)</f>
        <v>84</v>
      </c>
      <c r="I965" s="10">
        <f>VLOOKUP(A965,import!A:J,9,0)</f>
        <v>84</v>
      </c>
      <c r="J965" s="11">
        <f>VLOOKUP(A965,import!A:J,10,0)</f>
        <v>0</v>
      </c>
      <c r="K965" s="10" t="s">
        <v>4573</v>
      </c>
      <c r="L965" s="10">
        <v>3.246131131E9</v>
      </c>
      <c r="M965" s="10" t="s">
        <v>156</v>
      </c>
      <c r="N965" s="10" t="s">
        <v>338</v>
      </c>
      <c r="O965" s="10" t="s">
        <v>4574</v>
      </c>
      <c r="P965" s="10" t="str">
        <f>VLOOKUP(A965,import!A:P,16,0)</f>
        <v>Geleneksel</v>
      </c>
      <c r="Q965" s="12" t="s">
        <v>84</v>
      </c>
      <c r="R965" s="12" t="b">
        <v>1</v>
      </c>
      <c r="S965" s="12" t="b">
        <v>1</v>
      </c>
      <c r="T965" s="13"/>
      <c r="U965" s="13"/>
      <c r="V965" s="13"/>
      <c r="W965" s="13" t="s">
        <v>2713</v>
      </c>
      <c r="X965" s="15"/>
      <c r="Y965" s="15"/>
      <c r="Z965" s="17" t="s">
        <v>4575</v>
      </c>
      <c r="AA965" s="16"/>
      <c r="AB965" s="16"/>
      <c r="AC965" s="17" t="s">
        <v>56</v>
      </c>
      <c r="AD965" s="16">
        <v>44537.0</v>
      </c>
      <c r="AE965" s="17"/>
      <c r="AF965" s="16"/>
      <c r="AG965" s="17"/>
      <c r="AH965" s="16"/>
      <c r="AI965" s="16"/>
      <c r="AJ965" s="16"/>
      <c r="AK965" s="16"/>
      <c r="AL965" s="17" t="s">
        <v>329</v>
      </c>
      <c r="AM965" s="16"/>
      <c r="AN965" s="16"/>
      <c r="AO965" s="16"/>
      <c r="AP965" s="18" t="s">
        <v>58</v>
      </c>
      <c r="AQ965" s="16"/>
    </row>
    <row r="966" ht="15.75" hidden="1" customHeight="1">
      <c r="A966" s="10" t="s">
        <v>4576</v>
      </c>
      <c r="B966" s="10" t="s">
        <v>4577</v>
      </c>
      <c r="C966" s="10" t="str">
        <f>VLOOKUP(A966,import!A:C,3,0)</f>
        <v>DOĞRU</v>
      </c>
      <c r="D966" s="10" t="s">
        <v>564</v>
      </c>
      <c r="E966" s="10">
        <f>VLOOKUP(A966,import!A:J,5,0)</f>
        <v>1942</v>
      </c>
      <c r="F966" s="10">
        <f>VLOOKUP(A966,import!A:J,6,0)</f>
        <v>87</v>
      </c>
      <c r="G966" s="10">
        <f>VLOOKUP(A966,import!A:J,7,0)</f>
        <v>6</v>
      </c>
      <c r="H966" s="10">
        <f>VLOOKUP(A966,import!A:J,8,0)</f>
        <v>52</v>
      </c>
      <c r="I966" s="10">
        <f>VLOOKUP(A966,import!A:J,9,0)</f>
        <v>58</v>
      </c>
      <c r="J966" s="11">
        <f>VLOOKUP(A966,import!A:J,10,0)</f>
        <v>0.1</v>
      </c>
      <c r="K966" s="10" t="s">
        <v>4578</v>
      </c>
      <c r="L966" s="10">
        <v>5.308330083E9</v>
      </c>
      <c r="M966" s="10" t="s">
        <v>72</v>
      </c>
      <c r="N966" s="10" t="s">
        <v>82</v>
      </c>
      <c r="O966" s="10" t="s">
        <v>4579</v>
      </c>
      <c r="P966" s="10" t="str">
        <f>VLOOKUP(A966,import!A:P,16,0)</f>
        <v>Geleneksel</v>
      </c>
      <c r="Q966" s="12" t="s">
        <v>84</v>
      </c>
      <c r="R966" s="12" t="b">
        <v>1</v>
      </c>
      <c r="S966" s="12" t="b">
        <v>0</v>
      </c>
      <c r="T966" s="13" t="s">
        <v>51</v>
      </c>
      <c r="U966" s="13" t="s">
        <v>89</v>
      </c>
      <c r="V966" s="13" t="s">
        <v>53</v>
      </c>
      <c r="W966" s="13" t="s">
        <v>4580</v>
      </c>
      <c r="X966" s="15">
        <v>44518.0</v>
      </c>
      <c r="Y966" s="15">
        <v>44523.0</v>
      </c>
      <c r="Z966" s="16"/>
      <c r="AA966" s="17" t="s">
        <v>56</v>
      </c>
      <c r="AB966" s="16">
        <v>44518.0</v>
      </c>
      <c r="AC966" s="17" t="s">
        <v>56</v>
      </c>
      <c r="AD966" s="16">
        <v>44552.0</v>
      </c>
      <c r="AE966" s="17"/>
      <c r="AF966" s="16"/>
      <c r="AG966" s="17"/>
      <c r="AH966" s="16"/>
      <c r="AI966" s="16"/>
      <c r="AJ966" s="16"/>
      <c r="AK966" s="17" t="s">
        <v>89</v>
      </c>
      <c r="AL966" s="17" t="s">
        <v>89</v>
      </c>
      <c r="AM966" s="16"/>
      <c r="AN966" s="16"/>
      <c r="AO966" s="16"/>
      <c r="AP966" s="18" t="s">
        <v>58</v>
      </c>
      <c r="AQ966" s="16"/>
    </row>
    <row r="967" ht="15.75" hidden="1" customHeight="1">
      <c r="A967" s="10" t="s">
        <v>4581</v>
      </c>
      <c r="B967" s="10" t="s">
        <v>4582</v>
      </c>
      <c r="C967" s="10" t="str">
        <f>VLOOKUP(A967,import!A:C,3,0)</f>
        <v>DOĞRU</v>
      </c>
      <c r="D967" s="10" t="s">
        <v>45</v>
      </c>
      <c r="E967" s="10">
        <f>VLOOKUP(A967,import!A:J,5,0)</f>
        <v>113</v>
      </c>
      <c r="F967" s="10">
        <f>VLOOKUP(A967,import!A:J,6,0)</f>
        <v>25</v>
      </c>
      <c r="G967" s="10">
        <f>VLOOKUP(A967,import!A:J,7,0)</f>
        <v>0</v>
      </c>
      <c r="H967" s="10">
        <f>VLOOKUP(A967,import!A:J,8,0)</f>
        <v>25</v>
      </c>
      <c r="I967" s="10">
        <f>VLOOKUP(A967,import!A:J,9,0)</f>
        <v>25</v>
      </c>
      <c r="J967" s="11">
        <f>VLOOKUP(A967,import!A:J,10,0)</f>
        <v>0</v>
      </c>
      <c r="K967" s="10" t="s">
        <v>4583</v>
      </c>
      <c r="L967" s="10">
        <v>5.494323433E9</v>
      </c>
      <c r="M967" s="10" t="s">
        <v>187</v>
      </c>
      <c r="N967" s="10" t="s">
        <v>1533</v>
      </c>
      <c r="O967" s="10" t="s">
        <v>4584</v>
      </c>
      <c r="P967" s="10" t="str">
        <f>VLOOKUP(A967,import!A:P,16,0)</f>
        <v>Geleneksel</v>
      </c>
      <c r="Q967" s="12"/>
      <c r="R967" s="12" t="b">
        <v>0</v>
      </c>
      <c r="S967" s="12" t="b">
        <v>0</v>
      </c>
      <c r="T967" s="13"/>
      <c r="U967" s="13"/>
      <c r="V967" s="13"/>
      <c r="W967" s="13"/>
      <c r="X967" s="15"/>
      <c r="Y967" s="15"/>
      <c r="Z967" s="16"/>
      <c r="AA967" s="17"/>
      <c r="AB967" s="16"/>
      <c r="AC967" s="16"/>
      <c r="AD967" s="16"/>
      <c r="AE967" s="17"/>
      <c r="AF967" s="16"/>
      <c r="AG967" s="17"/>
      <c r="AH967" s="16"/>
      <c r="AI967" s="16"/>
      <c r="AJ967" s="16"/>
      <c r="AK967" s="17"/>
      <c r="AL967" s="16"/>
      <c r="AM967" s="16"/>
      <c r="AN967" s="16"/>
      <c r="AO967" s="16"/>
      <c r="AP967" s="18"/>
      <c r="AQ967" s="16"/>
    </row>
    <row r="968" ht="15.75" customHeight="1">
      <c r="A968" s="10" t="s">
        <v>4585</v>
      </c>
      <c r="B968" s="10" t="s">
        <v>4586</v>
      </c>
      <c r="C968" s="10" t="str">
        <f>VLOOKUP(A968,import!A:C,3,0)</f>
        <v>DOĞRU</v>
      </c>
      <c r="D968" s="10" t="s">
        <v>363</v>
      </c>
      <c r="E968" s="10">
        <f>VLOOKUP(A968,import!A:J,5,0)</f>
        <v>1746</v>
      </c>
      <c r="F968" s="10">
        <f>VLOOKUP(A968,import!A:J,6,0)</f>
        <v>154</v>
      </c>
      <c r="G968" s="10">
        <f>VLOOKUP(A968,import!A:J,7,0)</f>
        <v>24</v>
      </c>
      <c r="H968" s="10">
        <f>VLOOKUP(A968,import!A:J,8,0)</f>
        <v>31</v>
      </c>
      <c r="I968" s="10">
        <f>VLOOKUP(A968,import!A:J,9,0)</f>
        <v>55</v>
      </c>
      <c r="J968" s="11">
        <f>VLOOKUP(A968,import!A:J,10,0)</f>
        <v>0.44</v>
      </c>
      <c r="K968" s="10" t="s">
        <v>4587</v>
      </c>
      <c r="L968" s="10">
        <v>3.242371188E9</v>
      </c>
      <c r="M968" s="10" t="s">
        <v>137</v>
      </c>
      <c r="N968" s="10" t="s">
        <v>144</v>
      </c>
      <c r="O968" s="10" t="s">
        <v>4588</v>
      </c>
      <c r="P968" s="10" t="str">
        <f>VLOOKUP(A968,import!A:P,16,0)</f>
        <v>Geleneksel</v>
      </c>
      <c r="Q968" s="12" t="s">
        <v>75</v>
      </c>
      <c r="R968" s="12" t="b">
        <v>1</v>
      </c>
      <c r="S968" s="12" t="b">
        <v>0</v>
      </c>
      <c r="T968" s="13" t="s">
        <v>51</v>
      </c>
      <c r="U968" s="13" t="s">
        <v>171</v>
      </c>
      <c r="V968" s="13" t="s">
        <v>53</v>
      </c>
      <c r="W968" s="13" t="s">
        <v>4589</v>
      </c>
      <c r="X968" s="15">
        <v>44411.0</v>
      </c>
      <c r="Y968" s="15">
        <v>44413.0</v>
      </c>
      <c r="Z968" s="16"/>
      <c r="AA968" s="17" t="s">
        <v>56</v>
      </c>
      <c r="AB968" s="16">
        <v>44411.0</v>
      </c>
      <c r="AC968" s="16"/>
      <c r="AD968" s="16"/>
      <c r="AE968" s="17"/>
      <c r="AF968" s="16"/>
      <c r="AG968" s="17"/>
      <c r="AH968" s="16"/>
      <c r="AI968" s="16"/>
      <c r="AJ968" s="16"/>
      <c r="AK968" s="17" t="s">
        <v>171</v>
      </c>
      <c r="AL968" s="16"/>
      <c r="AM968" s="16"/>
      <c r="AN968" s="16"/>
      <c r="AO968" s="16"/>
      <c r="AP968" s="18" t="s">
        <v>58</v>
      </c>
      <c r="AQ968" s="16"/>
    </row>
    <row r="969" ht="15.75" hidden="1" customHeight="1">
      <c r="A969" s="10" t="s">
        <v>4590</v>
      </c>
      <c r="B969" s="10" t="s">
        <v>4591</v>
      </c>
      <c r="C969" s="10" t="str">
        <f>VLOOKUP(A969,import!A:C,3,0)</f>
        <v>YANLIŞ</v>
      </c>
      <c r="D969" s="10" t="s">
        <v>372</v>
      </c>
      <c r="E969" s="10">
        <f>VLOOKUP(A969,import!A:J,5,0)</f>
        <v>44</v>
      </c>
      <c r="F969" s="10" t="str">
        <f>VLOOKUP(A969,import!A:J,6,0)</f>
        <v/>
      </c>
      <c r="G969" s="10">
        <f>VLOOKUP(A969,import!A:J,7,0)</f>
        <v>0</v>
      </c>
      <c r="H969" s="10">
        <f>VLOOKUP(A969,import!A:J,8,0)</f>
        <v>199</v>
      </c>
      <c r="I969" s="10">
        <f>VLOOKUP(A969,import!A:J,9,0)</f>
        <v>199</v>
      </c>
      <c r="J969" s="11">
        <f>VLOOKUP(A969,import!A:J,10,0)</f>
        <v>0</v>
      </c>
      <c r="K969" s="10" t="s">
        <v>4592</v>
      </c>
      <c r="L969" s="10">
        <v>5.550222053E9</v>
      </c>
      <c r="M969" s="10" t="s">
        <v>72</v>
      </c>
      <c r="N969" s="10" t="s">
        <v>82</v>
      </c>
      <c r="O969" s="10" t="s">
        <v>4593</v>
      </c>
      <c r="P969" s="10" t="str">
        <f>VLOOKUP(A969,import!A:P,16,0)</f>
        <v>Geleneksel</v>
      </c>
      <c r="Q969" s="12"/>
      <c r="R969" s="12" t="b">
        <v>1</v>
      </c>
      <c r="S969" s="12" t="b">
        <v>0</v>
      </c>
      <c r="T969" s="13" t="s">
        <v>265</v>
      </c>
      <c r="U969" s="13"/>
      <c r="V969" s="13"/>
      <c r="W969" s="13" t="s">
        <v>4594</v>
      </c>
      <c r="X969" s="15"/>
      <c r="Y969" s="15"/>
      <c r="Z969" s="16"/>
      <c r="AA969" s="17" t="s">
        <v>56</v>
      </c>
      <c r="AB969" s="16">
        <v>44572.0</v>
      </c>
      <c r="AC969" s="17" t="s">
        <v>265</v>
      </c>
      <c r="AD969" s="16">
        <v>44578.0</v>
      </c>
      <c r="AE969" s="17"/>
      <c r="AF969" s="16"/>
      <c r="AG969" s="17"/>
      <c r="AH969" s="16"/>
      <c r="AI969" s="16"/>
      <c r="AJ969" s="16"/>
      <c r="AK969" s="17" t="s">
        <v>133</v>
      </c>
      <c r="AL969" s="17" t="s">
        <v>89</v>
      </c>
      <c r="AM969" s="16"/>
      <c r="AN969" s="16"/>
      <c r="AO969" s="16"/>
      <c r="AP969" s="18"/>
      <c r="AQ969" s="16"/>
    </row>
    <row r="970" ht="15.75" hidden="1" customHeight="1">
      <c r="A970" s="10" t="s">
        <v>4595</v>
      </c>
      <c r="B970" s="10" t="s">
        <v>4596</v>
      </c>
      <c r="C970" s="10" t="str">
        <f>VLOOKUP(A970,import!A:C,3,0)</f>
        <v>DOĞRU</v>
      </c>
      <c r="D970" s="10" t="s">
        <v>45</v>
      </c>
      <c r="E970" s="10">
        <f>VLOOKUP(A970,import!A:J,5,0)</f>
        <v>134</v>
      </c>
      <c r="F970" s="10">
        <f>VLOOKUP(A970,import!A:J,6,0)</f>
        <v>32</v>
      </c>
      <c r="G970" s="10">
        <f>VLOOKUP(A970,import!A:J,7,0)</f>
        <v>0</v>
      </c>
      <c r="H970" s="10">
        <f>VLOOKUP(A970,import!A:J,8,0)</f>
        <v>15</v>
      </c>
      <c r="I970" s="10">
        <f>VLOOKUP(A970,import!A:J,9,0)</f>
        <v>15</v>
      </c>
      <c r="J970" s="11">
        <f>VLOOKUP(A970,import!A:J,10,0)</f>
        <v>0</v>
      </c>
      <c r="K970" s="10" t="s">
        <v>4597</v>
      </c>
      <c r="L970" s="10">
        <v>5.303929621E9</v>
      </c>
      <c r="M970" s="10" t="s">
        <v>47</v>
      </c>
      <c r="N970" s="10" t="s">
        <v>489</v>
      </c>
      <c r="O970" s="10" t="s">
        <v>4598</v>
      </c>
      <c r="P970" s="10" t="str">
        <f>VLOOKUP(A970,import!A:P,16,0)</f>
        <v>Geleneksel</v>
      </c>
      <c r="Q970" s="12"/>
      <c r="R970" s="12" t="b">
        <v>1</v>
      </c>
      <c r="S970" s="12" t="b">
        <v>0</v>
      </c>
      <c r="T970" s="13" t="s">
        <v>51</v>
      </c>
      <c r="U970" s="13" t="s">
        <v>367</v>
      </c>
      <c r="V970" s="34" t="s">
        <v>368</v>
      </c>
      <c r="W970" s="13"/>
      <c r="X970" s="15">
        <v>44694.0</v>
      </c>
      <c r="Y970" s="15">
        <v>44695.0</v>
      </c>
      <c r="Z970" s="16"/>
      <c r="AA970" s="17" t="s">
        <v>56</v>
      </c>
      <c r="AB970" s="15">
        <v>44694.0</v>
      </c>
      <c r="AC970" s="16"/>
      <c r="AD970" s="16"/>
      <c r="AE970" s="17"/>
      <c r="AF970" s="16"/>
      <c r="AG970" s="17"/>
      <c r="AH970" s="16"/>
      <c r="AI970" s="16"/>
      <c r="AJ970" s="16"/>
      <c r="AK970" s="17" t="s">
        <v>367</v>
      </c>
      <c r="AL970" s="16"/>
      <c r="AM970" s="16"/>
      <c r="AN970" s="16"/>
      <c r="AO970" s="16"/>
      <c r="AP970" s="18"/>
      <c r="AQ970" s="16"/>
    </row>
    <row r="971" ht="15.75" hidden="1" customHeight="1">
      <c r="A971" s="10" t="s">
        <v>4599</v>
      </c>
      <c r="B971" s="10" t="s">
        <v>4600</v>
      </c>
      <c r="C971" s="10" t="str">
        <f>VLOOKUP(A971,import!A:C,3,0)</f>
        <v>YANLIŞ</v>
      </c>
      <c r="D971" s="10" t="s">
        <v>363</v>
      </c>
      <c r="E971" s="10">
        <f>VLOOKUP(A971,import!A:J,5,0)</f>
        <v>27</v>
      </c>
      <c r="F971" s="10" t="str">
        <f>VLOOKUP(A971,import!A:J,6,0)</f>
        <v/>
      </c>
      <c r="G971" s="10">
        <f>VLOOKUP(A971,import!A:J,7,0)</f>
        <v>0</v>
      </c>
      <c r="H971" s="10">
        <f>VLOOKUP(A971,import!A:J,8,0)</f>
        <v>4</v>
      </c>
      <c r="I971" s="10">
        <f>VLOOKUP(A971,import!A:J,9,0)</f>
        <v>4</v>
      </c>
      <c r="J971" s="11">
        <f>VLOOKUP(A971,import!A:J,10,0)</f>
        <v>0</v>
      </c>
      <c r="K971" s="10" t="s">
        <v>595</v>
      </c>
      <c r="L971" s="10">
        <v>5.304670333E9</v>
      </c>
      <c r="M971" s="10" t="s">
        <v>156</v>
      </c>
      <c r="N971" s="10" t="s">
        <v>596</v>
      </c>
      <c r="O971" s="10" t="s">
        <v>4601</v>
      </c>
      <c r="P971" s="10" t="str">
        <f>VLOOKUP(A971,import!A:P,16,0)</f>
        <v>Geleneksel</v>
      </c>
      <c r="Q971" s="12" t="s">
        <v>50</v>
      </c>
      <c r="R971" s="12" t="b">
        <v>1</v>
      </c>
      <c r="S971" s="12" t="b">
        <v>0</v>
      </c>
      <c r="T971" s="14" t="s">
        <v>51</v>
      </c>
      <c r="U971" s="14"/>
      <c r="V971" s="14"/>
      <c r="W971" s="14" t="s">
        <v>4602</v>
      </c>
      <c r="X971" s="29"/>
      <c r="Y971" s="29"/>
      <c r="Z971" s="16"/>
      <c r="AA971" s="16"/>
      <c r="AB971" s="16"/>
      <c r="AC971" s="16"/>
      <c r="AD971" s="16"/>
      <c r="AE971" s="17"/>
      <c r="AF971" s="16"/>
      <c r="AG971" s="17"/>
      <c r="AH971" s="16"/>
      <c r="AI971" s="16"/>
      <c r="AJ971" s="16"/>
      <c r="AK971" s="16"/>
      <c r="AL971" s="16"/>
      <c r="AM971" s="16"/>
      <c r="AN971" s="16"/>
      <c r="AO971" s="16"/>
      <c r="AP971" s="18" t="s">
        <v>58</v>
      </c>
      <c r="AQ971" s="16"/>
    </row>
    <row r="972" ht="15.75" hidden="1" customHeight="1">
      <c r="A972" s="10" t="s">
        <v>4603</v>
      </c>
      <c r="B972" s="10" t="s">
        <v>4604</v>
      </c>
      <c r="C972" s="10" t="str">
        <f>VLOOKUP(A972,import!A:C,3,0)</f>
        <v>DOĞRU</v>
      </c>
      <c r="D972" s="10" t="s">
        <v>363</v>
      </c>
      <c r="E972" s="10">
        <f>VLOOKUP(A972,import!A:J,5,0)</f>
        <v>100</v>
      </c>
      <c r="F972" s="10">
        <f>VLOOKUP(A972,import!A:J,6,0)</f>
        <v>32</v>
      </c>
      <c r="G972" s="10">
        <f>VLOOKUP(A972,import!A:J,7,0)</f>
        <v>4</v>
      </c>
      <c r="H972" s="10">
        <f>VLOOKUP(A972,import!A:J,8,0)</f>
        <v>6</v>
      </c>
      <c r="I972" s="10">
        <f>VLOOKUP(A972,import!A:J,9,0)</f>
        <v>10</v>
      </c>
      <c r="J972" s="11">
        <f>VLOOKUP(A972,import!A:J,10,0)</f>
        <v>0.4</v>
      </c>
      <c r="K972" s="10" t="s">
        <v>4605</v>
      </c>
      <c r="L972" s="10">
        <v>5.340789116E9</v>
      </c>
      <c r="M972" s="10" t="s">
        <v>156</v>
      </c>
      <c r="N972" s="10" t="s">
        <v>338</v>
      </c>
      <c r="O972" s="10" t="s">
        <v>4606</v>
      </c>
      <c r="P972" s="10" t="str">
        <f>VLOOKUP(A972,import!A:P,16,0)</f>
        <v>Geleneksel</v>
      </c>
      <c r="Q972" s="12"/>
      <c r="R972" s="12" t="b">
        <v>0</v>
      </c>
      <c r="S972" s="12" t="b">
        <v>0</v>
      </c>
      <c r="T972" s="13"/>
      <c r="U972" s="13"/>
      <c r="V972" s="13"/>
      <c r="W972" s="13"/>
      <c r="X972" s="15"/>
      <c r="Y972" s="15"/>
      <c r="Z972" s="16"/>
      <c r="AA972" s="17"/>
      <c r="AB972" s="16"/>
      <c r="AC972" s="16"/>
      <c r="AD972" s="16"/>
      <c r="AE972" s="17"/>
      <c r="AF972" s="16"/>
      <c r="AG972" s="17"/>
      <c r="AH972" s="16"/>
      <c r="AI972" s="16"/>
      <c r="AJ972" s="16"/>
      <c r="AK972" s="17"/>
      <c r="AL972" s="16"/>
      <c r="AM972" s="16"/>
      <c r="AN972" s="16"/>
      <c r="AO972" s="16"/>
      <c r="AP972" s="18"/>
      <c r="AQ972" s="16"/>
    </row>
    <row r="973" ht="15.75" customHeight="1">
      <c r="A973" s="10" t="s">
        <v>4607</v>
      </c>
      <c r="B973" s="10" t="s">
        <v>4608</v>
      </c>
      <c r="C973" s="10" t="str">
        <f>VLOOKUP(A973,import!A:C,3,0)</f>
        <v>DOĞRU</v>
      </c>
      <c r="D973" s="10" t="s">
        <v>363</v>
      </c>
      <c r="E973" s="10">
        <f>VLOOKUP(A973,import!A:J,5,0)</f>
        <v>35</v>
      </c>
      <c r="F973" s="10">
        <f>VLOOKUP(A973,import!A:J,6,0)</f>
        <v>13</v>
      </c>
      <c r="G973" s="10">
        <f>VLOOKUP(A973,import!A:J,7,0)</f>
        <v>4</v>
      </c>
      <c r="H973" s="10">
        <f>VLOOKUP(A973,import!A:J,8,0)</f>
        <v>0</v>
      </c>
      <c r="I973" s="10">
        <f>VLOOKUP(A973,import!A:J,9,0)</f>
        <v>4</v>
      </c>
      <c r="J973" s="11">
        <f>VLOOKUP(A973,import!A:J,10,0)</f>
        <v>1</v>
      </c>
      <c r="K973" s="10" t="s">
        <v>1317</v>
      </c>
      <c r="L973" s="10">
        <v>5.342261505E9</v>
      </c>
      <c r="M973" s="10" t="s">
        <v>63</v>
      </c>
      <c r="N973" s="10" t="s">
        <v>93</v>
      </c>
      <c r="O973" s="10" t="s">
        <v>4609</v>
      </c>
      <c r="P973" s="10" t="str">
        <f>VLOOKUP(A973,import!A:P,16,0)</f>
        <v>Geleneksel</v>
      </c>
      <c r="Q973" s="12"/>
      <c r="R973" s="12" t="b">
        <v>1</v>
      </c>
      <c r="S973" s="12" t="b">
        <v>0</v>
      </c>
      <c r="T973" s="13" t="s">
        <v>51</v>
      </c>
      <c r="U973" s="13" t="s">
        <v>89</v>
      </c>
      <c r="V973" s="17" t="s">
        <v>131</v>
      </c>
      <c r="W973" s="13"/>
      <c r="X973" s="15">
        <v>44649.0</v>
      </c>
      <c r="Y973" s="15">
        <v>44650.0</v>
      </c>
      <c r="Z973" s="16"/>
      <c r="AA973" s="17" t="s">
        <v>56</v>
      </c>
      <c r="AB973" s="16">
        <v>44649.0</v>
      </c>
      <c r="AC973" s="16"/>
      <c r="AD973" s="16"/>
      <c r="AE973" s="17"/>
      <c r="AF973" s="16"/>
      <c r="AG973" s="17"/>
      <c r="AH973" s="16"/>
      <c r="AI973" s="16"/>
      <c r="AJ973" s="16"/>
      <c r="AK973" s="17" t="s">
        <v>89</v>
      </c>
      <c r="AL973" s="16"/>
      <c r="AM973" s="16"/>
      <c r="AN973" s="16"/>
      <c r="AO973" s="16"/>
      <c r="AP973" s="18"/>
      <c r="AQ973" s="16"/>
    </row>
    <row r="974" ht="15.75" hidden="1" customHeight="1">
      <c r="A974" s="18" t="s">
        <v>4610</v>
      </c>
      <c r="B974" s="18" t="s">
        <v>4611</v>
      </c>
      <c r="C974" s="10" t="str">
        <f>VLOOKUP(A974,import!A:C,3,0)</f>
        <v>DOĞRU</v>
      </c>
      <c r="D974" s="18" t="s">
        <v>363</v>
      </c>
      <c r="E974" s="10">
        <f>VLOOKUP(A974,import!A:J,5,0)</f>
        <v>5</v>
      </c>
      <c r="F974" s="10">
        <f>VLOOKUP(A974,import!A:J,6,0)</f>
        <v>5</v>
      </c>
      <c r="G974" s="10">
        <f>VLOOKUP(A974,import!A:J,7,0)</f>
        <v>0</v>
      </c>
      <c r="H974" s="10">
        <f>VLOOKUP(A974,import!A:J,8,0)</f>
        <v>4</v>
      </c>
      <c r="I974" s="10">
        <f>VLOOKUP(A974,import!A:J,9,0)</f>
        <v>4</v>
      </c>
      <c r="J974" s="11">
        <f>VLOOKUP(A974,import!A:J,10,0)</f>
        <v>0</v>
      </c>
      <c r="K974" s="18" t="s">
        <v>1317</v>
      </c>
      <c r="L974" s="18">
        <v>3.243265737E9</v>
      </c>
      <c r="M974" s="18" t="s">
        <v>72</v>
      </c>
      <c r="N974" s="18" t="s">
        <v>73</v>
      </c>
      <c r="O974" s="18" t="s">
        <v>1322</v>
      </c>
      <c r="P974" s="10" t="str">
        <f>VLOOKUP(A974,import!A:P,16,0)</f>
        <v>Geleneksel</v>
      </c>
      <c r="Q974" s="12"/>
      <c r="R974" s="12" t="b">
        <v>0</v>
      </c>
      <c r="S974" s="12" t="b">
        <v>0</v>
      </c>
      <c r="T974" s="13"/>
      <c r="U974" s="13"/>
      <c r="V974" s="13"/>
      <c r="W974" s="13"/>
      <c r="X974" s="15"/>
      <c r="Y974" s="15"/>
      <c r="Z974" s="16"/>
      <c r="AA974" s="17"/>
      <c r="AB974" s="16"/>
      <c r="AC974" s="16"/>
      <c r="AD974" s="16"/>
      <c r="AE974" s="17"/>
      <c r="AF974" s="16"/>
      <c r="AG974" s="17"/>
      <c r="AH974" s="16"/>
      <c r="AI974" s="16"/>
      <c r="AJ974" s="16"/>
      <c r="AK974" s="17"/>
      <c r="AL974" s="16"/>
      <c r="AM974" s="16"/>
      <c r="AN974" s="16"/>
      <c r="AO974" s="16"/>
      <c r="AP974" s="18"/>
      <c r="AQ974" s="16"/>
    </row>
    <row r="975" ht="15.75" hidden="1" customHeight="1">
      <c r="A975" s="10" t="s">
        <v>4612</v>
      </c>
      <c r="B975" s="10" t="s">
        <v>4613</v>
      </c>
      <c r="C975" s="10" t="str">
        <f>VLOOKUP(A975,import!A:C,3,0)</f>
        <v>DOĞRU</v>
      </c>
      <c r="D975" s="10" t="s">
        <v>363</v>
      </c>
      <c r="E975" s="10">
        <f>VLOOKUP(A975,import!A:J,5,0)</f>
        <v>392</v>
      </c>
      <c r="F975" s="10">
        <f>VLOOKUP(A975,import!A:J,6,0)</f>
        <v>98</v>
      </c>
      <c r="G975" s="10">
        <f>VLOOKUP(A975,import!A:J,7,0)</f>
        <v>0</v>
      </c>
      <c r="H975" s="10">
        <f>VLOOKUP(A975,import!A:J,8,0)</f>
        <v>33</v>
      </c>
      <c r="I975" s="10">
        <f>VLOOKUP(A975,import!A:J,9,0)</f>
        <v>33</v>
      </c>
      <c r="J975" s="11">
        <f>VLOOKUP(A975,import!A:J,10,0)</f>
        <v>0</v>
      </c>
      <c r="K975" s="10" t="s">
        <v>4614</v>
      </c>
      <c r="L975" s="10">
        <v>5.413350807E9</v>
      </c>
      <c r="M975" s="10" t="s">
        <v>156</v>
      </c>
      <c r="N975" s="10" t="s">
        <v>596</v>
      </c>
      <c r="O975" s="10" t="s">
        <v>4615</v>
      </c>
      <c r="P975" s="10" t="str">
        <f>VLOOKUP(A975,import!A:P,16,0)</f>
        <v>Geleneksel</v>
      </c>
      <c r="Q975" s="12"/>
      <c r="R975" s="12" t="b">
        <v>0</v>
      </c>
      <c r="S975" s="12" t="b">
        <v>0</v>
      </c>
      <c r="T975" s="13"/>
      <c r="U975" s="13"/>
      <c r="V975" s="13"/>
      <c r="W975" s="13"/>
      <c r="X975" s="15"/>
      <c r="Y975" s="15"/>
      <c r="Z975" s="16"/>
      <c r="AA975" s="17"/>
      <c r="AB975" s="16"/>
      <c r="AC975" s="16"/>
      <c r="AD975" s="16"/>
      <c r="AE975" s="17"/>
      <c r="AF975" s="16"/>
      <c r="AG975" s="17"/>
      <c r="AH975" s="16"/>
      <c r="AI975" s="16"/>
      <c r="AJ975" s="16"/>
      <c r="AK975" s="17"/>
      <c r="AL975" s="16"/>
      <c r="AM975" s="16"/>
      <c r="AN975" s="16"/>
      <c r="AO975" s="16"/>
      <c r="AP975" s="18"/>
      <c r="AQ975" s="16"/>
    </row>
    <row r="976" ht="15.75" hidden="1" customHeight="1">
      <c r="A976" s="18" t="s">
        <v>4616</v>
      </c>
      <c r="B976" s="18" t="s">
        <v>4617</v>
      </c>
      <c r="C976" s="10" t="str">
        <f>VLOOKUP(A976,import!A:C,3,0)</f>
        <v>DOĞRU</v>
      </c>
      <c r="D976" s="18" t="s">
        <v>558</v>
      </c>
      <c r="E976" s="10">
        <f>VLOOKUP(A976,import!A:J,5,0)</f>
        <v>4</v>
      </c>
      <c r="F976" s="10">
        <f>VLOOKUP(A976,import!A:J,6,0)</f>
        <v>4</v>
      </c>
      <c r="G976" s="10">
        <f>VLOOKUP(A976,import!A:J,7,0)</f>
        <v>0</v>
      </c>
      <c r="H976" s="10">
        <f>VLOOKUP(A976,import!A:J,8,0)</f>
        <v>39</v>
      </c>
      <c r="I976" s="10">
        <f>VLOOKUP(A976,import!A:J,9,0)</f>
        <v>39</v>
      </c>
      <c r="J976" s="11">
        <f>VLOOKUP(A976,import!A:J,10,0)</f>
        <v>0</v>
      </c>
      <c r="K976" s="18" t="s">
        <v>4618</v>
      </c>
      <c r="L976" s="18">
        <v>5.524253585E9</v>
      </c>
      <c r="M976" s="18" t="s">
        <v>156</v>
      </c>
      <c r="N976" s="18" t="s">
        <v>338</v>
      </c>
      <c r="O976" s="18" t="s">
        <v>4619</v>
      </c>
      <c r="P976" s="10" t="str">
        <f>VLOOKUP(A976,import!A:P,16,0)</f>
        <v>Geleneksel</v>
      </c>
      <c r="Q976" s="12"/>
      <c r="R976" s="12" t="b">
        <v>0</v>
      </c>
      <c r="S976" s="12" t="b">
        <v>0</v>
      </c>
      <c r="T976" s="13"/>
      <c r="U976" s="13"/>
      <c r="V976" s="13"/>
      <c r="W976" s="13"/>
      <c r="X976" s="15"/>
      <c r="Y976" s="15"/>
      <c r="Z976" s="16"/>
      <c r="AA976" s="17"/>
      <c r="AB976" s="16"/>
      <c r="AC976" s="16"/>
      <c r="AD976" s="16"/>
      <c r="AE976" s="17"/>
      <c r="AF976" s="16"/>
      <c r="AG976" s="17"/>
      <c r="AH976" s="16"/>
      <c r="AI976" s="16"/>
      <c r="AJ976" s="16"/>
      <c r="AK976" s="17"/>
      <c r="AL976" s="16"/>
      <c r="AM976" s="16"/>
      <c r="AN976" s="16"/>
      <c r="AO976" s="16"/>
      <c r="AP976" s="18"/>
      <c r="AQ976" s="16"/>
    </row>
    <row r="977" ht="15.75" hidden="1" customHeight="1">
      <c r="A977" s="10" t="s">
        <v>4620</v>
      </c>
      <c r="B977" s="10" t="s">
        <v>4621</v>
      </c>
      <c r="C977" s="10" t="str">
        <f>VLOOKUP(A977,import!A:C,3,0)</f>
        <v>DOĞRU</v>
      </c>
      <c r="D977" s="10" t="s">
        <v>564</v>
      </c>
      <c r="E977" s="10">
        <f>VLOOKUP(A977,import!A:J,5,0)</f>
        <v>56</v>
      </c>
      <c r="F977" s="10">
        <f>VLOOKUP(A977,import!A:J,6,0)</f>
        <v>19</v>
      </c>
      <c r="G977" s="10">
        <f>VLOOKUP(A977,import!A:J,7,0)</f>
        <v>19</v>
      </c>
      <c r="H977" s="10">
        <f>VLOOKUP(A977,import!A:J,8,0)</f>
        <v>0</v>
      </c>
      <c r="I977" s="10">
        <f>VLOOKUP(A977,import!A:J,9,0)</f>
        <v>19</v>
      </c>
      <c r="J977" s="11">
        <f>VLOOKUP(A977,import!A:J,10,0)</f>
        <v>1</v>
      </c>
      <c r="K977" s="10" t="s">
        <v>4622</v>
      </c>
      <c r="L977" s="10">
        <v>5.337017327E9</v>
      </c>
      <c r="M977" s="10" t="s">
        <v>72</v>
      </c>
      <c r="N977" s="10" t="s">
        <v>73</v>
      </c>
      <c r="O977" s="10" t="s">
        <v>4623</v>
      </c>
      <c r="P977" s="10" t="str">
        <f>VLOOKUP(A977,import!A:P,16,0)</f>
        <v>Geleneksel</v>
      </c>
      <c r="Q977" s="12"/>
      <c r="R977" s="12" t="b">
        <v>1</v>
      </c>
      <c r="S977" s="12" t="b">
        <v>0</v>
      </c>
      <c r="T977" s="13" t="s">
        <v>51</v>
      </c>
      <c r="U977" s="13" t="s">
        <v>52</v>
      </c>
      <c r="V977" s="13" t="s">
        <v>66</v>
      </c>
      <c r="W977" s="13"/>
      <c r="X977" s="15">
        <v>44627.0</v>
      </c>
      <c r="Y977" s="15">
        <v>44628.0</v>
      </c>
      <c r="Z977" s="16"/>
      <c r="AA977" s="17" t="s">
        <v>56</v>
      </c>
      <c r="AB977" s="16">
        <v>44627.0</v>
      </c>
      <c r="AC977" s="16"/>
      <c r="AD977" s="16"/>
      <c r="AE977" s="17"/>
      <c r="AF977" s="16"/>
      <c r="AG977" s="17"/>
      <c r="AH977" s="16"/>
      <c r="AI977" s="16"/>
      <c r="AJ977" s="16"/>
      <c r="AK977" s="17" t="s">
        <v>52</v>
      </c>
      <c r="AL977" s="16"/>
      <c r="AM977" s="16"/>
      <c r="AN977" s="16"/>
      <c r="AO977" s="16"/>
      <c r="AP977" s="18"/>
      <c r="AQ977" s="16"/>
    </row>
    <row r="978" ht="15.75" hidden="1" customHeight="1">
      <c r="A978" s="10" t="s">
        <v>4624</v>
      </c>
      <c r="B978" s="10" t="s">
        <v>4625</v>
      </c>
      <c r="C978" s="10" t="str">
        <f>VLOOKUP(A978,import!A:C,3,0)</f>
        <v>DOĞRU</v>
      </c>
      <c r="D978" s="10" t="s">
        <v>4626</v>
      </c>
      <c r="E978" s="10">
        <f>VLOOKUP(A978,import!A:J,5,0)</f>
        <v>10</v>
      </c>
      <c r="F978" s="10" t="str">
        <f>VLOOKUP(A978,import!A:J,6,0)</f>
        <v/>
      </c>
      <c r="G978" s="10">
        <f>VLOOKUP(A978,import!A:J,7,0)</f>
        <v>0</v>
      </c>
      <c r="H978" s="10">
        <f>VLOOKUP(A978,import!A:J,8,0)</f>
        <v>8</v>
      </c>
      <c r="I978" s="10">
        <f>VLOOKUP(A978,import!A:J,9,0)</f>
        <v>8</v>
      </c>
      <c r="J978" s="11">
        <f>VLOOKUP(A978,import!A:J,10,0)</f>
        <v>0</v>
      </c>
      <c r="K978" s="10" t="s">
        <v>4627</v>
      </c>
      <c r="L978" s="10">
        <v>5.449014858E9</v>
      </c>
      <c r="M978" s="10" t="s">
        <v>72</v>
      </c>
      <c r="N978" s="10" t="s">
        <v>113</v>
      </c>
      <c r="O978" s="10" t="s">
        <v>4628</v>
      </c>
      <c r="P978" s="10" t="str">
        <f>VLOOKUP(A978,import!A:P,16,0)</f>
        <v>Geleneksel</v>
      </c>
      <c r="Q978" s="12"/>
      <c r="R978" s="12" t="b">
        <v>1</v>
      </c>
      <c r="S978" s="12" t="b">
        <v>0</v>
      </c>
      <c r="T978" s="13" t="s">
        <v>591</v>
      </c>
      <c r="U978" s="13"/>
      <c r="V978" s="13"/>
      <c r="W978" s="13" t="s">
        <v>4629</v>
      </c>
      <c r="X978" s="15"/>
      <c r="Y978" s="15"/>
      <c r="Z978" s="16"/>
      <c r="AA978" s="17" t="s">
        <v>56</v>
      </c>
      <c r="AB978" s="16">
        <v>44454.0</v>
      </c>
      <c r="AC978" s="17" t="s">
        <v>56</v>
      </c>
      <c r="AD978" s="16">
        <v>44475.0</v>
      </c>
      <c r="AE978" s="17"/>
      <c r="AF978" s="16"/>
      <c r="AG978" s="17"/>
      <c r="AH978" s="16"/>
      <c r="AI978" s="16"/>
      <c r="AJ978" s="16"/>
      <c r="AK978" s="17" t="s">
        <v>103</v>
      </c>
      <c r="AL978" s="17" t="s">
        <v>171</v>
      </c>
      <c r="AM978" s="16"/>
      <c r="AN978" s="16"/>
      <c r="AO978" s="16"/>
      <c r="AP978" s="18" t="s">
        <v>58</v>
      </c>
      <c r="AQ978" s="16"/>
    </row>
    <row r="979" ht="15.75" customHeight="1">
      <c r="A979" s="10" t="s">
        <v>4630</v>
      </c>
      <c r="B979" s="10" t="s">
        <v>4631</v>
      </c>
      <c r="C979" s="10" t="str">
        <f>VLOOKUP(A979,import!A:C,3,0)</f>
        <v>DOĞRU</v>
      </c>
      <c r="D979" s="10" t="s">
        <v>363</v>
      </c>
      <c r="E979" s="10">
        <f>VLOOKUP(A979,import!A:J,5,0)</f>
        <v>61</v>
      </c>
      <c r="F979" s="10" t="str">
        <f>VLOOKUP(A979,import!A:J,6,0)</f>
        <v/>
      </c>
      <c r="G979" s="10">
        <f>VLOOKUP(A979,import!A:J,7,0)</f>
        <v>16</v>
      </c>
      <c r="H979" s="10">
        <f>VLOOKUP(A979,import!A:J,8,0)</f>
        <v>13</v>
      </c>
      <c r="I979" s="10">
        <f>VLOOKUP(A979,import!A:J,9,0)</f>
        <v>29</v>
      </c>
      <c r="J979" s="11">
        <f>VLOOKUP(A979,import!A:J,10,0)</f>
        <v>0.55</v>
      </c>
      <c r="K979" s="10" t="s">
        <v>4632</v>
      </c>
      <c r="L979" s="10">
        <v>5.39641992E9</v>
      </c>
      <c r="M979" s="10" t="s">
        <v>137</v>
      </c>
      <c r="N979" s="10" t="s">
        <v>4633</v>
      </c>
      <c r="O979" s="10" t="s">
        <v>4634</v>
      </c>
      <c r="P979" s="10" t="str">
        <f>VLOOKUP(A979,import!A:P,16,0)</f>
        <v>Geleneksel</v>
      </c>
      <c r="Q979" s="12"/>
      <c r="R979" s="12" t="b">
        <v>1</v>
      </c>
      <c r="S979" s="12" t="b">
        <v>0</v>
      </c>
      <c r="T979" s="13" t="s">
        <v>51</v>
      </c>
      <c r="U979" s="13" t="s">
        <v>89</v>
      </c>
      <c r="V979" s="13" t="s">
        <v>53</v>
      </c>
      <c r="W979" s="13" t="s">
        <v>1144</v>
      </c>
      <c r="X979" s="15">
        <v>44552.0</v>
      </c>
      <c r="Y979" s="15">
        <v>44554.0</v>
      </c>
      <c r="Z979" s="16"/>
      <c r="AA979" s="17" t="s">
        <v>56</v>
      </c>
      <c r="AB979" s="16">
        <v>44356.0</v>
      </c>
      <c r="AC979" s="17" t="s">
        <v>56</v>
      </c>
      <c r="AD979" s="16">
        <v>44552.0</v>
      </c>
      <c r="AE979" s="17"/>
      <c r="AF979" s="16"/>
      <c r="AG979" s="17"/>
      <c r="AH979" s="16"/>
      <c r="AI979" s="16"/>
      <c r="AJ979" s="16"/>
      <c r="AK979" s="17" t="s">
        <v>52</v>
      </c>
      <c r="AL979" s="17" t="s">
        <v>89</v>
      </c>
      <c r="AM979" s="16"/>
      <c r="AN979" s="16"/>
      <c r="AO979" s="16"/>
      <c r="AP979" s="18" t="s">
        <v>58</v>
      </c>
      <c r="AQ979" s="16"/>
    </row>
    <row r="980" ht="15.75" hidden="1" customHeight="1">
      <c r="A980" s="10" t="s">
        <v>4635</v>
      </c>
      <c r="B980" s="10" t="s">
        <v>4636</v>
      </c>
      <c r="C980" s="10" t="str">
        <f>VLOOKUP(A980,import!A:C,3,0)</f>
        <v>DOĞRU</v>
      </c>
      <c r="D980" s="10" t="s">
        <v>363</v>
      </c>
      <c r="E980" s="10">
        <f>VLOOKUP(A980,import!A:J,5,0)</f>
        <v>1093</v>
      </c>
      <c r="F980" s="10">
        <f>VLOOKUP(A980,import!A:J,6,0)</f>
        <v>61</v>
      </c>
      <c r="G980" s="10">
        <f>VLOOKUP(A980,import!A:J,7,0)</f>
        <v>53</v>
      </c>
      <c r="H980" s="10">
        <f>VLOOKUP(A980,import!A:J,8,0)</f>
        <v>5</v>
      </c>
      <c r="I980" s="10">
        <f>VLOOKUP(A980,import!A:J,9,0)</f>
        <v>58</v>
      </c>
      <c r="J980" s="11">
        <f>VLOOKUP(A980,import!A:J,10,0)</f>
        <v>0.91</v>
      </c>
      <c r="K980" s="10" t="s">
        <v>4637</v>
      </c>
      <c r="L980" s="10">
        <v>5.516333001E9</v>
      </c>
      <c r="M980" s="10" t="s">
        <v>72</v>
      </c>
      <c r="N980" s="10" t="s">
        <v>1298</v>
      </c>
      <c r="O980" s="10" t="s">
        <v>4638</v>
      </c>
      <c r="P980" s="10" t="str">
        <f>VLOOKUP(A980,import!A:P,16,0)</f>
        <v>Geleneksel</v>
      </c>
      <c r="Q980" s="12"/>
      <c r="R980" s="12" t="b">
        <v>1</v>
      </c>
      <c r="S980" s="12" t="b">
        <v>0</v>
      </c>
      <c r="T980" s="13" t="s">
        <v>51</v>
      </c>
      <c r="U980" s="13" t="s">
        <v>57</v>
      </c>
      <c r="V980" s="13" t="s">
        <v>53</v>
      </c>
      <c r="W980" s="13" t="s">
        <v>4639</v>
      </c>
      <c r="X980" s="15">
        <v>44420.0</v>
      </c>
      <c r="Y980" s="15">
        <v>44427.0</v>
      </c>
      <c r="Z980" s="16"/>
      <c r="AA980" s="17" t="s">
        <v>56</v>
      </c>
      <c r="AB980" s="16">
        <v>44417.0</v>
      </c>
      <c r="AC980" s="17" t="s">
        <v>56</v>
      </c>
      <c r="AD980" s="16">
        <v>44418.0</v>
      </c>
      <c r="AE980" s="17" t="s">
        <v>56</v>
      </c>
      <c r="AF980" s="16">
        <v>44420.0</v>
      </c>
      <c r="AG980" s="17" t="s">
        <v>56</v>
      </c>
      <c r="AH980" s="16">
        <v>44496.0</v>
      </c>
      <c r="AI980" s="16"/>
      <c r="AJ980" s="16"/>
      <c r="AK980" s="17" t="s">
        <v>1252</v>
      </c>
      <c r="AL980" s="17" t="s">
        <v>52</v>
      </c>
      <c r="AM980" s="17" t="s">
        <v>57</v>
      </c>
      <c r="AN980" s="17" t="s">
        <v>87</v>
      </c>
      <c r="AO980" s="16"/>
      <c r="AP980" s="18" t="s">
        <v>58</v>
      </c>
      <c r="AQ980" s="16"/>
    </row>
    <row r="981" ht="15.75" customHeight="1">
      <c r="A981" s="10" t="s">
        <v>4640</v>
      </c>
      <c r="B981" s="10" t="s">
        <v>4641</v>
      </c>
      <c r="C981" s="10" t="str">
        <f>VLOOKUP(A981,import!A:C,3,0)</f>
        <v>DOĞRU</v>
      </c>
      <c r="D981" s="10" t="s">
        <v>167</v>
      </c>
      <c r="E981" s="10">
        <f>VLOOKUP(A981,import!A:J,5,0)</f>
        <v>237</v>
      </c>
      <c r="F981" s="10">
        <f>VLOOKUP(A981,import!A:J,6,0)</f>
        <v>19</v>
      </c>
      <c r="G981" s="10">
        <f>VLOOKUP(A981,import!A:J,7,0)</f>
        <v>0</v>
      </c>
      <c r="H981" s="10">
        <f>VLOOKUP(A981,import!A:J,8,0)</f>
        <v>13</v>
      </c>
      <c r="I981" s="10">
        <f>VLOOKUP(A981,import!A:J,9,0)</f>
        <v>13</v>
      </c>
      <c r="J981" s="11">
        <f>VLOOKUP(A981,import!A:J,10,0)</f>
        <v>0</v>
      </c>
      <c r="K981" s="10" t="s">
        <v>4642</v>
      </c>
      <c r="L981" s="10">
        <v>3.243595534E9</v>
      </c>
      <c r="M981" s="10" t="s">
        <v>63</v>
      </c>
      <c r="N981" s="10" t="s">
        <v>566</v>
      </c>
      <c r="O981" s="10" t="s">
        <v>4643</v>
      </c>
      <c r="P981" s="10" t="str">
        <f>VLOOKUP(A981,import!A:P,16,0)</f>
        <v>Geleneksel</v>
      </c>
      <c r="Q981" s="12" t="s">
        <v>50</v>
      </c>
      <c r="R981" s="12" t="b">
        <v>1</v>
      </c>
      <c r="S981" s="12" t="b">
        <v>0</v>
      </c>
      <c r="T981" s="13" t="s">
        <v>199</v>
      </c>
      <c r="U981" s="13" t="s">
        <v>103</v>
      </c>
      <c r="V981" s="13" t="s">
        <v>66</v>
      </c>
      <c r="W981" s="14" t="s">
        <v>4644</v>
      </c>
      <c r="X981" s="15">
        <v>44503.0</v>
      </c>
      <c r="Y981" s="15">
        <v>44505.0</v>
      </c>
      <c r="Z981" s="16"/>
      <c r="AA981" s="17" t="s">
        <v>56</v>
      </c>
      <c r="AB981" s="16">
        <v>44418.0</v>
      </c>
      <c r="AC981" s="17" t="s">
        <v>55</v>
      </c>
      <c r="AD981" s="16">
        <v>44495.0</v>
      </c>
      <c r="AE981" s="17" t="s">
        <v>56</v>
      </c>
      <c r="AF981" s="16">
        <v>44503.0</v>
      </c>
      <c r="AG981" s="17" t="s">
        <v>56</v>
      </c>
      <c r="AH981" s="16">
        <v>44558.0</v>
      </c>
      <c r="AI981" s="16"/>
      <c r="AJ981" s="16"/>
      <c r="AK981" s="17" t="s">
        <v>95</v>
      </c>
      <c r="AL981" s="17" t="s">
        <v>89</v>
      </c>
      <c r="AM981" s="17" t="s">
        <v>103</v>
      </c>
      <c r="AN981" s="17" t="s">
        <v>89</v>
      </c>
      <c r="AO981" s="16"/>
      <c r="AP981" s="18" t="s">
        <v>58</v>
      </c>
      <c r="AQ981" s="16"/>
    </row>
    <row r="982" ht="15.75" customHeight="1">
      <c r="A982" s="10" t="s">
        <v>4645</v>
      </c>
      <c r="B982" s="10" t="s">
        <v>4646</v>
      </c>
      <c r="C982" s="10" t="str">
        <f>VLOOKUP(A982,import!A:C,3,0)</f>
        <v>DOĞRU</v>
      </c>
      <c r="D982" s="10" t="s">
        <v>80</v>
      </c>
      <c r="E982" s="33">
        <f>VLOOKUP(A982,import!A:J,5,0)</f>
        <v>82</v>
      </c>
      <c r="F982" s="10" t="str">
        <f>VLOOKUP(A982,import!A:J,6,0)</f>
        <v/>
      </c>
      <c r="G982" s="10">
        <f>VLOOKUP(A982,import!A:J,7,0)</f>
        <v>0</v>
      </c>
      <c r="H982" s="10">
        <f>VLOOKUP(A982,import!A:J,8,0)</f>
        <v>10</v>
      </c>
      <c r="I982" s="10">
        <f>VLOOKUP(A982,import!A:J,9,0)</f>
        <v>10</v>
      </c>
      <c r="J982" s="11">
        <f>VLOOKUP(A982,import!A:J,10,0)</f>
        <v>0</v>
      </c>
      <c r="K982" s="10" t="s">
        <v>4647</v>
      </c>
      <c r="L982" s="10">
        <v>5.342480101E9</v>
      </c>
      <c r="M982" s="10" t="s">
        <v>63</v>
      </c>
      <c r="N982" s="10" t="s">
        <v>1447</v>
      </c>
      <c r="O982" s="10" t="s">
        <v>4648</v>
      </c>
      <c r="P982" s="10" t="str">
        <f>VLOOKUP(A982,import!A:P,16,0)</f>
        <v>Geleneksel</v>
      </c>
      <c r="Q982" s="12"/>
      <c r="R982" s="12" t="b">
        <v>1</v>
      </c>
      <c r="S982" s="12" t="b">
        <v>0</v>
      </c>
      <c r="T982" s="13" t="s">
        <v>521</v>
      </c>
      <c r="U982" s="13" t="s">
        <v>103</v>
      </c>
      <c r="V982" s="13" t="s">
        <v>66</v>
      </c>
      <c r="W982" s="13"/>
      <c r="X982" s="15">
        <v>44550.0</v>
      </c>
      <c r="Y982" s="15">
        <v>44551.0</v>
      </c>
      <c r="Z982" s="16"/>
      <c r="AA982" s="17" t="s">
        <v>56</v>
      </c>
      <c r="AB982" s="16">
        <v>44536.0</v>
      </c>
      <c r="AC982" s="17" t="s">
        <v>56</v>
      </c>
      <c r="AD982" s="16">
        <v>44550.0</v>
      </c>
      <c r="AE982" s="17"/>
      <c r="AF982" s="16"/>
      <c r="AG982" s="17"/>
      <c r="AH982" s="16"/>
      <c r="AI982" s="16"/>
      <c r="AJ982" s="16"/>
      <c r="AK982" s="17" t="s">
        <v>103</v>
      </c>
      <c r="AL982" s="17" t="s">
        <v>103</v>
      </c>
      <c r="AM982" s="16"/>
      <c r="AN982" s="16"/>
      <c r="AO982" s="16"/>
      <c r="AP982" s="18" t="s">
        <v>58</v>
      </c>
      <c r="AQ982" s="16"/>
    </row>
    <row r="983" ht="15.75" hidden="1" customHeight="1">
      <c r="A983" s="10" t="s">
        <v>4649</v>
      </c>
      <c r="B983" s="10" t="s">
        <v>4650</v>
      </c>
      <c r="C983" s="10" t="str">
        <f>VLOOKUP(A983,import!A:C,3,0)</f>
        <v>DOĞRU</v>
      </c>
      <c r="D983" s="10" t="s">
        <v>80</v>
      </c>
      <c r="E983" s="10">
        <f>VLOOKUP(A983,import!A:J,5,0)</f>
        <v>308</v>
      </c>
      <c r="F983" s="10">
        <f>VLOOKUP(A983,import!A:J,6,0)</f>
        <v>127</v>
      </c>
      <c r="G983" s="10">
        <f>VLOOKUP(A983,import!A:J,7,0)</f>
        <v>17</v>
      </c>
      <c r="H983" s="10">
        <f>VLOOKUP(A983,import!A:J,8,0)</f>
        <v>2</v>
      </c>
      <c r="I983" s="10">
        <f>VLOOKUP(A983,import!A:J,9,0)</f>
        <v>19</v>
      </c>
      <c r="J983" s="11">
        <f>VLOOKUP(A983,import!A:J,10,0)</f>
        <v>0.89</v>
      </c>
      <c r="K983" s="10" t="s">
        <v>4651</v>
      </c>
      <c r="L983" s="10">
        <v>5.523520933E9</v>
      </c>
      <c r="M983" s="10" t="s">
        <v>72</v>
      </c>
      <c r="N983" s="10" t="s">
        <v>73</v>
      </c>
      <c r="O983" s="10" t="s">
        <v>2313</v>
      </c>
      <c r="P983" s="10" t="str">
        <f>VLOOKUP(A983,import!A:P,16,0)</f>
        <v>Geleneksel</v>
      </c>
      <c r="Q983" s="12"/>
      <c r="R983" s="12" t="b">
        <v>1</v>
      </c>
      <c r="S983" s="12" t="b">
        <v>0</v>
      </c>
      <c r="T983" s="13" t="s">
        <v>51</v>
      </c>
      <c r="U983" s="13" t="s">
        <v>52</v>
      </c>
      <c r="V983" s="13" t="s">
        <v>66</v>
      </c>
      <c r="W983" s="13" t="s">
        <v>4652</v>
      </c>
      <c r="X983" s="15">
        <v>44632.0</v>
      </c>
      <c r="Y983" s="15">
        <v>44634.0</v>
      </c>
      <c r="Z983" s="16"/>
      <c r="AA983" s="17" t="s">
        <v>56</v>
      </c>
      <c r="AB983" s="16">
        <v>44627.0</v>
      </c>
      <c r="AC983" s="17" t="s">
        <v>56</v>
      </c>
      <c r="AD983" s="16">
        <v>44628.0</v>
      </c>
      <c r="AE983" s="17" t="s">
        <v>56</v>
      </c>
      <c r="AF983" s="16">
        <v>44632.0</v>
      </c>
      <c r="AG983" s="17"/>
      <c r="AH983" s="16"/>
      <c r="AI983" s="16"/>
      <c r="AJ983" s="16"/>
      <c r="AK983" s="17" t="s">
        <v>52</v>
      </c>
      <c r="AL983" s="17" t="s">
        <v>52</v>
      </c>
      <c r="AM983" s="17" t="s">
        <v>52</v>
      </c>
      <c r="AN983" s="16"/>
      <c r="AO983" s="16"/>
      <c r="AP983" s="18"/>
      <c r="AQ983" s="16"/>
    </row>
    <row r="984" ht="15.75" hidden="1" customHeight="1">
      <c r="A984" s="10" t="s">
        <v>4653</v>
      </c>
      <c r="B984" s="10" t="s">
        <v>4654</v>
      </c>
      <c r="C984" s="10" t="str">
        <f>VLOOKUP(A984,import!A:C,3,0)</f>
        <v>DOĞRU</v>
      </c>
      <c r="D984" s="10" t="s">
        <v>70</v>
      </c>
      <c r="E984" s="10">
        <f>VLOOKUP(A984,import!A:J,5,0)</f>
        <v>921</v>
      </c>
      <c r="F984" s="10">
        <f>VLOOKUP(A984,import!A:J,6,0)</f>
        <v>48</v>
      </c>
      <c r="G984" s="10">
        <f>VLOOKUP(A984,import!A:J,7,0)</f>
        <v>0</v>
      </c>
      <c r="H984" s="10">
        <f>VLOOKUP(A984,import!A:J,8,0)</f>
        <v>7</v>
      </c>
      <c r="I984" s="10">
        <f>VLOOKUP(A984,import!A:J,9,0)</f>
        <v>7</v>
      </c>
      <c r="J984" s="11">
        <f>VLOOKUP(A984,import!A:J,10,0)</f>
        <v>0</v>
      </c>
      <c r="K984" s="10" t="s">
        <v>4655</v>
      </c>
      <c r="L984" s="10">
        <v>3.246147015E9</v>
      </c>
      <c r="M984" s="10" t="s">
        <v>156</v>
      </c>
      <c r="N984" s="10" t="s">
        <v>338</v>
      </c>
      <c r="O984" s="10" t="s">
        <v>4656</v>
      </c>
      <c r="P984" s="10" t="str">
        <f>VLOOKUP(A984,import!A:P,16,0)</f>
        <v>Geleneksel</v>
      </c>
      <c r="Q984" s="12"/>
      <c r="R984" s="12" t="b">
        <v>0</v>
      </c>
      <c r="S984" s="12" t="b">
        <v>0</v>
      </c>
      <c r="T984" s="13"/>
      <c r="U984" s="13"/>
      <c r="V984" s="13"/>
      <c r="W984" s="13"/>
      <c r="X984" s="15"/>
      <c r="Y984" s="15"/>
      <c r="Z984" s="16"/>
      <c r="AA984" s="17"/>
      <c r="AB984" s="16"/>
      <c r="AC984" s="16"/>
      <c r="AD984" s="16"/>
      <c r="AE984" s="17"/>
      <c r="AF984" s="16"/>
      <c r="AG984" s="17"/>
      <c r="AH984" s="16"/>
      <c r="AI984" s="16"/>
      <c r="AJ984" s="16"/>
      <c r="AK984" s="17"/>
      <c r="AL984" s="16"/>
      <c r="AM984" s="16"/>
      <c r="AN984" s="16"/>
      <c r="AO984" s="16"/>
      <c r="AP984" s="18" t="s">
        <v>58</v>
      </c>
      <c r="AQ984" s="16"/>
    </row>
    <row r="985" ht="15.75" hidden="1" customHeight="1">
      <c r="A985" s="10" t="s">
        <v>4657</v>
      </c>
      <c r="B985" s="10" t="s">
        <v>4658</v>
      </c>
      <c r="C985" s="10" t="str">
        <f>VLOOKUP(A985,import!A:C,3,0)</f>
        <v>DOĞRU</v>
      </c>
      <c r="D985" s="10" t="s">
        <v>356</v>
      </c>
      <c r="E985" s="10">
        <f>VLOOKUP(A985,import!A:J,5,0)</f>
        <v>994</v>
      </c>
      <c r="F985" s="10">
        <f>VLOOKUP(A985,import!A:J,6,0)</f>
        <v>46</v>
      </c>
      <c r="G985" s="10">
        <f>VLOOKUP(A985,import!A:J,7,0)</f>
        <v>13</v>
      </c>
      <c r="H985" s="10">
        <f>VLOOKUP(A985,import!A:J,8,0)</f>
        <v>31</v>
      </c>
      <c r="I985" s="10">
        <f>VLOOKUP(A985,import!A:J,9,0)</f>
        <v>44</v>
      </c>
      <c r="J985" s="11">
        <f>VLOOKUP(A985,import!A:J,10,0)</f>
        <v>0.3</v>
      </c>
      <c r="K985" s="10" t="s">
        <v>4659</v>
      </c>
      <c r="L985" s="10">
        <v>3.243283434E9</v>
      </c>
      <c r="M985" s="10" t="s">
        <v>72</v>
      </c>
      <c r="N985" s="10" t="s">
        <v>73</v>
      </c>
      <c r="O985" s="10" t="s">
        <v>4660</v>
      </c>
      <c r="P985" s="10" t="str">
        <f>VLOOKUP(A985,import!A:P,16,0)</f>
        <v>Geleneksel</v>
      </c>
      <c r="Q985" s="12"/>
      <c r="R985" s="12" t="b">
        <v>1</v>
      </c>
      <c r="S985" s="12" t="b">
        <v>0</v>
      </c>
      <c r="T985" s="13" t="s">
        <v>51</v>
      </c>
      <c r="U985" s="13" t="s">
        <v>133</v>
      </c>
      <c r="V985" s="13" t="s">
        <v>66</v>
      </c>
      <c r="W985" s="13" t="s">
        <v>4661</v>
      </c>
      <c r="X985" s="15">
        <v>44638.0</v>
      </c>
      <c r="Y985" s="15">
        <v>44644.0</v>
      </c>
      <c r="Z985" s="16"/>
      <c r="AA985" s="17" t="s">
        <v>56</v>
      </c>
      <c r="AB985" s="16">
        <v>44414.0</v>
      </c>
      <c r="AC985" s="17" t="s">
        <v>56</v>
      </c>
      <c r="AD985" s="16">
        <v>44428.0</v>
      </c>
      <c r="AE985" s="17" t="s">
        <v>56</v>
      </c>
      <c r="AF985" s="16">
        <v>44431.0</v>
      </c>
      <c r="AG985" s="17" t="s">
        <v>56</v>
      </c>
      <c r="AH985" s="16">
        <v>44436.0</v>
      </c>
      <c r="AI985" s="17" t="s">
        <v>56</v>
      </c>
      <c r="AJ985" s="16">
        <v>44638.0</v>
      </c>
      <c r="AK985" s="17" t="s">
        <v>1629</v>
      </c>
      <c r="AL985" s="17" t="s">
        <v>95</v>
      </c>
      <c r="AM985" s="17" t="s">
        <v>367</v>
      </c>
      <c r="AN985" s="17" t="s">
        <v>926</v>
      </c>
      <c r="AO985" s="17" t="s">
        <v>133</v>
      </c>
      <c r="AP985" s="18" t="s">
        <v>58</v>
      </c>
      <c r="AQ985" s="17"/>
    </row>
    <row r="986" ht="15.75" hidden="1" customHeight="1">
      <c r="A986" s="10" t="s">
        <v>4662</v>
      </c>
      <c r="B986" s="10" t="s">
        <v>4663</v>
      </c>
      <c r="C986" s="10" t="str">
        <f>VLOOKUP(A986,import!A:C,3,0)</f>
        <v>DOĞRU</v>
      </c>
      <c r="D986" s="10" t="s">
        <v>356</v>
      </c>
      <c r="E986" s="10">
        <f>VLOOKUP(A986,import!A:J,5,0)</f>
        <v>45</v>
      </c>
      <c r="F986" s="10" t="str">
        <f>VLOOKUP(A986,import!A:J,6,0)</f>
        <v/>
      </c>
      <c r="G986" s="10">
        <f>VLOOKUP(A986,import!A:J,7,0)</f>
        <v>0</v>
      </c>
      <c r="H986" s="10">
        <f>VLOOKUP(A986,import!A:J,8,0)</f>
        <v>23</v>
      </c>
      <c r="I986" s="10">
        <f>VLOOKUP(A986,import!A:J,9,0)</f>
        <v>23</v>
      </c>
      <c r="J986" s="11">
        <f>VLOOKUP(A986,import!A:J,10,0)</f>
        <v>0</v>
      </c>
      <c r="K986" s="10" t="s">
        <v>4664</v>
      </c>
      <c r="L986" s="10">
        <v>5.52699257E9</v>
      </c>
      <c r="M986" s="10" t="s">
        <v>72</v>
      </c>
      <c r="N986" s="10" t="s">
        <v>716</v>
      </c>
      <c r="O986" s="10" t="s">
        <v>1788</v>
      </c>
      <c r="P986" s="10" t="str">
        <f>VLOOKUP(A986,import!A:P,16,0)</f>
        <v>Geleneksel</v>
      </c>
      <c r="Q986" s="12"/>
      <c r="R986" s="12" t="b">
        <v>1</v>
      </c>
      <c r="S986" s="12" t="b">
        <v>0</v>
      </c>
      <c r="T986" s="13" t="s">
        <v>130</v>
      </c>
      <c r="U986" s="13" t="s">
        <v>103</v>
      </c>
      <c r="V986" s="13" t="s">
        <v>53</v>
      </c>
      <c r="W986" s="13" t="s">
        <v>4665</v>
      </c>
      <c r="X986" s="15">
        <v>44538.0</v>
      </c>
      <c r="Y986" s="15">
        <v>44545.0</v>
      </c>
      <c r="Z986" s="16"/>
      <c r="AA986" s="16"/>
      <c r="AB986" s="16">
        <v>44414.0</v>
      </c>
      <c r="AC986" s="17" t="s">
        <v>56</v>
      </c>
      <c r="AD986" s="16">
        <v>44420.0</v>
      </c>
      <c r="AE986" s="17" t="s">
        <v>56</v>
      </c>
      <c r="AF986" s="16">
        <v>44427.0</v>
      </c>
      <c r="AG986" s="17" t="s">
        <v>56</v>
      </c>
      <c r="AH986" s="16">
        <v>44428.0</v>
      </c>
      <c r="AI986" s="17" t="s">
        <v>55</v>
      </c>
      <c r="AJ986" s="16">
        <v>44636.0</v>
      </c>
      <c r="AK986" s="17" t="s">
        <v>1629</v>
      </c>
      <c r="AL986" s="17" t="s">
        <v>57</v>
      </c>
      <c r="AM986" s="17" t="s">
        <v>1252</v>
      </c>
      <c r="AN986" s="17" t="s">
        <v>95</v>
      </c>
      <c r="AO986" s="17" t="s">
        <v>133</v>
      </c>
      <c r="AP986" s="18" t="s">
        <v>58</v>
      </c>
      <c r="AQ986" s="17"/>
    </row>
    <row r="987" ht="15.75" hidden="1" customHeight="1">
      <c r="A987" s="10" t="s">
        <v>4666</v>
      </c>
      <c r="B987" s="10" t="s">
        <v>4667</v>
      </c>
      <c r="C987" s="10" t="str">
        <f>VLOOKUP(A987,import!A:C,3,0)</f>
        <v>DOĞRU</v>
      </c>
      <c r="D987" s="10" t="s">
        <v>913</v>
      </c>
      <c r="E987" s="10">
        <f>VLOOKUP(A987,import!A:J,5,0)</f>
        <v>357</v>
      </c>
      <c r="F987" s="10">
        <f>VLOOKUP(A987,import!A:J,6,0)</f>
        <v>136</v>
      </c>
      <c r="G987" s="10">
        <f>VLOOKUP(A987,import!A:J,7,0)</f>
        <v>22</v>
      </c>
      <c r="H987" s="10">
        <f>VLOOKUP(A987,import!A:J,8,0)</f>
        <v>71</v>
      </c>
      <c r="I987" s="10">
        <f>VLOOKUP(A987,import!A:J,9,0)</f>
        <v>93</v>
      </c>
      <c r="J987" s="11">
        <f>VLOOKUP(A987,import!A:J,10,0)</f>
        <v>0.24</v>
      </c>
      <c r="K987" s="10" t="s">
        <v>4668</v>
      </c>
      <c r="L987" s="10">
        <v>5.30400999E9</v>
      </c>
      <c r="M987" s="10" t="s">
        <v>72</v>
      </c>
      <c r="N987" s="10" t="s">
        <v>415</v>
      </c>
      <c r="O987" s="10" t="s">
        <v>4669</v>
      </c>
      <c r="P987" s="10" t="str">
        <f>VLOOKUP(A987,import!A:P,16,0)</f>
        <v>Geleneksel</v>
      </c>
      <c r="Q987" s="12"/>
      <c r="R987" s="12" t="b">
        <v>1</v>
      </c>
      <c r="S987" s="12" t="b">
        <v>0</v>
      </c>
      <c r="T987" s="13" t="s">
        <v>51</v>
      </c>
      <c r="U987" s="13" t="s">
        <v>314</v>
      </c>
      <c r="V987" s="13" t="s">
        <v>53</v>
      </c>
      <c r="W987" s="13" t="s">
        <v>4670</v>
      </c>
      <c r="X987" s="15">
        <v>44536.0</v>
      </c>
      <c r="Y987" s="15">
        <v>44538.0</v>
      </c>
      <c r="Z987" s="16"/>
      <c r="AA987" s="17" t="s">
        <v>55</v>
      </c>
      <c r="AB987" s="16">
        <v>44523.0</v>
      </c>
      <c r="AC987" s="17" t="s">
        <v>56</v>
      </c>
      <c r="AD987" s="16">
        <v>44523.0</v>
      </c>
      <c r="AE987" s="17" t="s">
        <v>56</v>
      </c>
      <c r="AF987" s="16">
        <v>44536.0</v>
      </c>
      <c r="AG987" s="17"/>
      <c r="AH987" s="16"/>
      <c r="AI987" s="16"/>
      <c r="AJ987" s="16"/>
      <c r="AK987" s="17" t="s">
        <v>52</v>
      </c>
      <c r="AL987" s="17" t="s">
        <v>52</v>
      </c>
      <c r="AM987" s="17" t="s">
        <v>314</v>
      </c>
      <c r="AN987" s="16"/>
      <c r="AO987" s="16"/>
      <c r="AP987" s="18" t="s">
        <v>58</v>
      </c>
      <c r="AQ987" s="16"/>
    </row>
    <row r="988" ht="15.75" hidden="1" customHeight="1">
      <c r="A988" s="10" t="s">
        <v>4671</v>
      </c>
      <c r="B988" s="10" t="s">
        <v>4672</v>
      </c>
      <c r="C988" s="10" t="str">
        <f>VLOOKUP(A988,import!A:C,3,0)</f>
        <v>DOĞRU</v>
      </c>
      <c r="D988" s="10" t="s">
        <v>45</v>
      </c>
      <c r="E988" s="10">
        <f>VLOOKUP(A988,import!A:J,5,0)</f>
        <v>1222</v>
      </c>
      <c r="F988" s="10">
        <f>VLOOKUP(A988,import!A:J,6,0)</f>
        <v>513</v>
      </c>
      <c r="G988" s="10">
        <f>VLOOKUP(A988,import!A:J,7,0)</f>
        <v>27</v>
      </c>
      <c r="H988" s="10">
        <f>VLOOKUP(A988,import!A:J,8,0)</f>
        <v>66</v>
      </c>
      <c r="I988" s="10">
        <f>VLOOKUP(A988,import!A:J,9,0)</f>
        <v>93</v>
      </c>
      <c r="J988" s="11">
        <f>VLOOKUP(A988,import!A:J,10,0)</f>
        <v>0.29</v>
      </c>
      <c r="K988" s="10" t="s">
        <v>4668</v>
      </c>
      <c r="L988" s="10">
        <v>3.243271324E9</v>
      </c>
      <c r="M988" s="10" t="s">
        <v>72</v>
      </c>
      <c r="N988" s="10" t="s">
        <v>1090</v>
      </c>
      <c r="O988" s="10" t="s">
        <v>4673</v>
      </c>
      <c r="P988" s="10" t="str">
        <f>VLOOKUP(A988,import!A:P,16,0)</f>
        <v>Geleneksel</v>
      </c>
      <c r="Q988" s="12"/>
      <c r="R988" s="12" t="b">
        <v>1</v>
      </c>
      <c r="S988" s="12" t="b">
        <v>0</v>
      </c>
      <c r="T988" s="42" t="s">
        <v>51</v>
      </c>
      <c r="U988" s="13" t="s">
        <v>89</v>
      </c>
      <c r="V988" s="13" t="s">
        <v>66</v>
      </c>
      <c r="W988" s="13" t="s">
        <v>4674</v>
      </c>
      <c r="X988" s="15">
        <v>44571.0</v>
      </c>
      <c r="Y988" s="15">
        <v>44574.0</v>
      </c>
      <c r="Z988" s="16"/>
      <c r="AA988" s="17" t="s">
        <v>55</v>
      </c>
      <c r="AB988" s="16">
        <v>44523.0</v>
      </c>
      <c r="AC988" s="17" t="s">
        <v>56</v>
      </c>
      <c r="AD988" s="16">
        <v>44523.0</v>
      </c>
      <c r="AE988" s="17" t="s">
        <v>56</v>
      </c>
      <c r="AF988" s="16">
        <v>44571.0</v>
      </c>
      <c r="AG988" s="17"/>
      <c r="AH988" s="16"/>
      <c r="AI988" s="16"/>
      <c r="AJ988" s="16"/>
      <c r="AK988" s="17" t="s">
        <v>52</v>
      </c>
      <c r="AL988" s="17" t="s">
        <v>52</v>
      </c>
      <c r="AM988" s="17" t="s">
        <v>89</v>
      </c>
      <c r="AN988" s="16"/>
      <c r="AO988" s="16"/>
      <c r="AP988" s="18" t="s">
        <v>58</v>
      </c>
      <c r="AQ988" s="16"/>
    </row>
    <row r="989" ht="15.75" hidden="1" customHeight="1">
      <c r="A989" s="10" t="s">
        <v>4675</v>
      </c>
      <c r="B989" s="10" t="s">
        <v>4676</v>
      </c>
      <c r="C989" s="10" t="str">
        <f>VLOOKUP(A989,import!A:C,3,0)</f>
        <v>DOĞRU</v>
      </c>
      <c r="D989" s="10" t="s">
        <v>913</v>
      </c>
      <c r="E989" s="10">
        <f>VLOOKUP(A989,import!A:J,5,0)</f>
        <v>1330</v>
      </c>
      <c r="F989" s="10">
        <f>VLOOKUP(A989,import!A:J,6,0)</f>
        <v>669</v>
      </c>
      <c r="G989" s="10">
        <f>VLOOKUP(A989,import!A:J,7,0)</f>
        <v>3</v>
      </c>
      <c r="H989" s="10">
        <f>VLOOKUP(A989,import!A:J,8,0)</f>
        <v>116</v>
      </c>
      <c r="I989" s="10">
        <f>VLOOKUP(A989,import!A:J,9,0)</f>
        <v>119</v>
      </c>
      <c r="J989" s="11">
        <f>VLOOKUP(A989,import!A:J,10,0)</f>
        <v>0.03</v>
      </c>
      <c r="K989" s="10" t="s">
        <v>4668</v>
      </c>
      <c r="L989" s="10">
        <v>3.245022542E9</v>
      </c>
      <c r="M989" s="10" t="s">
        <v>72</v>
      </c>
      <c r="N989" s="10" t="s">
        <v>915</v>
      </c>
      <c r="O989" s="10" t="s">
        <v>4677</v>
      </c>
      <c r="P989" s="10" t="str">
        <f>VLOOKUP(A989,import!A:P,16,0)</f>
        <v>Geleneksel</v>
      </c>
      <c r="Q989" s="12"/>
      <c r="R989" s="12" t="b">
        <v>1</v>
      </c>
      <c r="S989" s="12" t="b">
        <v>0</v>
      </c>
      <c r="T989" s="27" t="s">
        <v>140</v>
      </c>
      <c r="U989" s="13"/>
      <c r="V989" s="13"/>
      <c r="W989" s="13" t="s">
        <v>4674</v>
      </c>
      <c r="X989" s="15"/>
      <c r="Y989" s="15"/>
      <c r="Z989" s="16"/>
      <c r="AA989" s="17" t="s">
        <v>55</v>
      </c>
      <c r="AB989" s="16">
        <v>44523.0</v>
      </c>
      <c r="AC989" s="17" t="s">
        <v>56</v>
      </c>
      <c r="AD989" s="16">
        <v>44523.0</v>
      </c>
      <c r="AE989" s="17"/>
      <c r="AF989" s="16"/>
      <c r="AG989" s="17"/>
      <c r="AH989" s="16"/>
      <c r="AI989" s="16"/>
      <c r="AJ989" s="16"/>
      <c r="AK989" s="17" t="s">
        <v>52</v>
      </c>
      <c r="AL989" s="17" t="s">
        <v>52</v>
      </c>
      <c r="AM989" s="16"/>
      <c r="AN989" s="16"/>
      <c r="AO989" s="16"/>
      <c r="AP989" s="18" t="s">
        <v>58</v>
      </c>
      <c r="AQ989" s="16"/>
    </row>
    <row r="990" ht="15.75" customHeight="1">
      <c r="A990" s="10" t="s">
        <v>4678</v>
      </c>
      <c r="B990" s="10" t="s">
        <v>4679</v>
      </c>
      <c r="C990" s="10" t="str">
        <f>VLOOKUP(A990,import!A:C,3,0)</f>
        <v>DOĞRU</v>
      </c>
      <c r="D990" s="10" t="s">
        <v>676</v>
      </c>
      <c r="E990" s="10">
        <f>VLOOKUP(A990,import!A:J,5,0)</f>
        <v>1147</v>
      </c>
      <c r="F990" s="10">
        <f>VLOOKUP(A990,import!A:J,6,0)</f>
        <v>151</v>
      </c>
      <c r="G990" s="10">
        <f>VLOOKUP(A990,import!A:J,7,0)</f>
        <v>5</v>
      </c>
      <c r="H990" s="10">
        <f>VLOOKUP(A990,import!A:J,8,0)</f>
        <v>27</v>
      </c>
      <c r="I990" s="10">
        <f>VLOOKUP(A990,import!A:J,9,0)</f>
        <v>32</v>
      </c>
      <c r="J990" s="11">
        <f>VLOOKUP(A990,import!A:J,10,0)</f>
        <v>0.16</v>
      </c>
      <c r="K990" s="10" t="s">
        <v>4680</v>
      </c>
      <c r="L990" s="10">
        <v>5.443140429E9</v>
      </c>
      <c r="M990" s="10" t="s">
        <v>63</v>
      </c>
      <c r="N990" s="10" t="s">
        <v>566</v>
      </c>
      <c r="O990" s="10" t="s">
        <v>4681</v>
      </c>
      <c r="P990" s="10" t="str">
        <f>VLOOKUP(A990,import!A:P,16,0)</f>
        <v>Geleneksel</v>
      </c>
      <c r="Q990" s="12"/>
      <c r="R990" s="12" t="b">
        <v>1</v>
      </c>
      <c r="S990" s="12" t="b">
        <v>0</v>
      </c>
      <c r="T990" s="13" t="s">
        <v>51</v>
      </c>
      <c r="U990" s="13" t="s">
        <v>367</v>
      </c>
      <c r="V990" s="13" t="s">
        <v>66</v>
      </c>
      <c r="W990" s="13" t="s">
        <v>4682</v>
      </c>
      <c r="X990" s="15">
        <v>44552.0</v>
      </c>
      <c r="Y990" s="15">
        <v>44554.0</v>
      </c>
      <c r="Z990" s="16"/>
      <c r="AA990" s="17" t="s">
        <v>86</v>
      </c>
      <c r="AB990" s="16">
        <v>44418.0</v>
      </c>
      <c r="AC990" s="17" t="s">
        <v>55</v>
      </c>
      <c r="AD990" s="16">
        <v>44446.0</v>
      </c>
      <c r="AE990" s="17" t="s">
        <v>56</v>
      </c>
      <c r="AF990" s="16">
        <v>44460.0</v>
      </c>
      <c r="AG990" s="17" t="s">
        <v>56</v>
      </c>
      <c r="AH990" s="16">
        <v>44489.0</v>
      </c>
      <c r="AI990" s="17" t="s">
        <v>56</v>
      </c>
      <c r="AJ990" s="16">
        <v>44552.0</v>
      </c>
      <c r="AK990" s="17" t="s">
        <v>95</v>
      </c>
      <c r="AL990" s="17" t="s">
        <v>367</v>
      </c>
      <c r="AM990" s="17" t="s">
        <v>87</v>
      </c>
      <c r="AN990" s="17" t="s">
        <v>367</v>
      </c>
      <c r="AO990" s="17" t="s">
        <v>367</v>
      </c>
      <c r="AP990" s="18" t="s">
        <v>58</v>
      </c>
      <c r="AQ990" s="17"/>
    </row>
    <row r="991" ht="15.75" hidden="1" customHeight="1">
      <c r="A991" s="10" t="s">
        <v>4683</v>
      </c>
      <c r="B991" s="10" t="s">
        <v>4684</v>
      </c>
      <c r="C991" s="10" t="str">
        <f>VLOOKUP(A991,import!A:C,3,0)</f>
        <v>DOĞRU</v>
      </c>
      <c r="D991" s="10" t="s">
        <v>80</v>
      </c>
      <c r="E991" s="10">
        <f>VLOOKUP(A991,import!A:J,5,0)</f>
        <v>9422</v>
      </c>
      <c r="F991" s="10">
        <f>VLOOKUP(A991,import!A:J,6,0)</f>
        <v>367</v>
      </c>
      <c r="G991" s="10">
        <f>VLOOKUP(A991,import!A:J,7,0)</f>
        <v>14</v>
      </c>
      <c r="H991" s="10">
        <f>VLOOKUP(A991,import!A:J,8,0)</f>
        <v>1</v>
      </c>
      <c r="I991" s="10">
        <f>VLOOKUP(A991,import!A:J,9,0)</f>
        <v>15</v>
      </c>
      <c r="J991" s="11">
        <f>VLOOKUP(A991,import!A:J,10,0)</f>
        <v>0.93</v>
      </c>
      <c r="K991" s="10" t="s">
        <v>4685</v>
      </c>
      <c r="L991" s="10">
        <v>5.4947774E9</v>
      </c>
      <c r="M991" s="10" t="s">
        <v>72</v>
      </c>
      <c r="N991" s="10" t="s">
        <v>415</v>
      </c>
      <c r="O991" s="10" t="s">
        <v>4686</v>
      </c>
      <c r="P991" s="10" t="str">
        <f>VLOOKUP(A991,import!A:P,16,0)</f>
        <v>Geleneksel</v>
      </c>
      <c r="Q991" s="12" t="s">
        <v>146</v>
      </c>
      <c r="R991" s="12" t="b">
        <v>1</v>
      </c>
      <c r="S991" s="12" t="b">
        <v>0</v>
      </c>
      <c r="T991" s="13" t="s">
        <v>51</v>
      </c>
      <c r="U991" s="13" t="s">
        <v>52</v>
      </c>
      <c r="V991" s="13" t="s">
        <v>278</v>
      </c>
      <c r="W991" s="13" t="s">
        <v>3192</v>
      </c>
      <c r="X991" s="15">
        <v>44267.0</v>
      </c>
      <c r="Y991" s="15">
        <v>44272.0</v>
      </c>
      <c r="Z991" s="16"/>
      <c r="AA991" s="17" t="s">
        <v>56</v>
      </c>
      <c r="AB991" s="16">
        <v>44550.0</v>
      </c>
      <c r="AC991" s="16"/>
      <c r="AD991" s="16"/>
      <c r="AE991" s="17"/>
      <c r="AF991" s="16"/>
      <c r="AG991" s="17"/>
      <c r="AH991" s="16"/>
      <c r="AI991" s="16"/>
      <c r="AJ991" s="16"/>
      <c r="AK991" s="17" t="s">
        <v>89</v>
      </c>
      <c r="AL991" s="16"/>
      <c r="AM991" s="16"/>
      <c r="AN991" s="16"/>
      <c r="AO991" s="16"/>
      <c r="AP991" s="18" t="s">
        <v>58</v>
      </c>
      <c r="AQ991" s="16"/>
    </row>
    <row r="992" ht="15.75" customHeight="1">
      <c r="A992" s="10" t="s">
        <v>4687</v>
      </c>
      <c r="B992" s="10" t="s">
        <v>4688</v>
      </c>
      <c r="C992" s="10" t="str">
        <f>VLOOKUP(A992,import!A:C,3,0)</f>
        <v>DOĞRU</v>
      </c>
      <c r="D992" s="10" t="s">
        <v>363</v>
      </c>
      <c r="E992" s="10">
        <f>VLOOKUP(A992,import!A:J,5,0)</f>
        <v>149</v>
      </c>
      <c r="F992" s="10">
        <f>VLOOKUP(A992,import!A:J,6,0)</f>
        <v>60</v>
      </c>
      <c r="G992" s="10">
        <f>VLOOKUP(A992,import!A:J,7,0)</f>
        <v>14</v>
      </c>
      <c r="H992" s="10">
        <f>VLOOKUP(A992,import!A:J,8,0)</f>
        <v>24</v>
      </c>
      <c r="I992" s="10">
        <f>VLOOKUP(A992,import!A:J,9,0)</f>
        <v>38</v>
      </c>
      <c r="J992" s="11">
        <f>VLOOKUP(A992,import!A:J,10,0)</f>
        <v>0.37</v>
      </c>
      <c r="K992" s="10" t="s">
        <v>4689</v>
      </c>
      <c r="L992" s="10">
        <v>5.431933327E9</v>
      </c>
      <c r="M992" s="10" t="s">
        <v>63</v>
      </c>
      <c r="N992" s="10" t="s">
        <v>318</v>
      </c>
      <c r="O992" s="10" t="s">
        <v>4690</v>
      </c>
      <c r="P992" s="10" t="str">
        <f>VLOOKUP(A992,import!A:P,16,0)</f>
        <v>Geleneksel</v>
      </c>
      <c r="Q992" s="12"/>
      <c r="R992" s="12" t="b">
        <v>1</v>
      </c>
      <c r="S992" s="12" t="b">
        <v>0</v>
      </c>
      <c r="T992" s="13" t="s">
        <v>51</v>
      </c>
      <c r="U992" s="13" t="s">
        <v>52</v>
      </c>
      <c r="V992" s="13" t="s">
        <v>131</v>
      </c>
      <c r="W992" s="13" t="s">
        <v>4691</v>
      </c>
      <c r="X992" s="15">
        <v>44641.0</v>
      </c>
      <c r="Y992" s="15">
        <v>44643.0</v>
      </c>
      <c r="Z992" s="16"/>
      <c r="AA992" s="17" t="s">
        <v>56</v>
      </c>
      <c r="AB992" s="16">
        <v>44641.0</v>
      </c>
      <c r="AC992" s="16"/>
      <c r="AD992" s="16"/>
      <c r="AE992" s="17"/>
      <c r="AF992" s="16"/>
      <c r="AG992" s="17"/>
      <c r="AH992" s="16"/>
      <c r="AI992" s="16"/>
      <c r="AJ992" s="16"/>
      <c r="AK992" s="17" t="s">
        <v>52</v>
      </c>
      <c r="AL992" s="16"/>
      <c r="AM992" s="16"/>
      <c r="AN992" s="16"/>
      <c r="AO992" s="16"/>
      <c r="AP992" s="18"/>
      <c r="AQ992" s="16"/>
    </row>
    <row r="993" ht="15.75" hidden="1" customHeight="1">
      <c r="A993" s="10" t="s">
        <v>4692</v>
      </c>
      <c r="B993" s="10" t="s">
        <v>4693</v>
      </c>
      <c r="C993" s="10" t="str">
        <f>VLOOKUP(A993,import!A:C,3,0)</f>
        <v>DOĞRU</v>
      </c>
      <c r="D993" s="10" t="s">
        <v>451</v>
      </c>
      <c r="E993" s="10">
        <f>VLOOKUP(A993,import!A:J,5,0)</f>
        <v>89</v>
      </c>
      <c r="F993" s="10" t="str">
        <f>VLOOKUP(A993,import!A:J,6,0)</f>
        <v/>
      </c>
      <c r="G993" s="10">
        <f>VLOOKUP(A993,import!A:J,7,0)</f>
        <v>0</v>
      </c>
      <c r="H993" s="10">
        <f>VLOOKUP(A993,import!A:J,8,0)</f>
        <v>58</v>
      </c>
      <c r="I993" s="10">
        <f>VLOOKUP(A993,import!A:J,9,0)</f>
        <v>58</v>
      </c>
      <c r="J993" s="11">
        <f>VLOOKUP(A993,import!A:J,10,0)</f>
        <v>0</v>
      </c>
      <c r="K993" s="10" t="s">
        <v>4694</v>
      </c>
      <c r="L993" s="10">
        <v>5.382625594E9</v>
      </c>
      <c r="M993" s="10" t="s">
        <v>156</v>
      </c>
      <c r="N993" s="10" t="s">
        <v>181</v>
      </c>
      <c r="O993" s="10" t="s">
        <v>4695</v>
      </c>
      <c r="P993" s="10" t="str">
        <f>VLOOKUP(A993,import!A:P,16,0)</f>
        <v>Geleneksel</v>
      </c>
      <c r="Q993" s="12"/>
      <c r="R993" s="12" t="b">
        <v>1</v>
      </c>
      <c r="S993" s="12" t="b">
        <v>0</v>
      </c>
      <c r="T993" s="13" t="s">
        <v>55</v>
      </c>
      <c r="U993" s="13"/>
      <c r="V993" s="13"/>
      <c r="W993" s="13" t="s">
        <v>170</v>
      </c>
      <c r="X993" s="15"/>
      <c r="Y993" s="15"/>
      <c r="Z993" s="16"/>
      <c r="AA993" s="17" t="s">
        <v>55</v>
      </c>
      <c r="AB993" s="16">
        <v>44540.0</v>
      </c>
      <c r="AC993" s="16"/>
      <c r="AD993" s="16"/>
      <c r="AE993" s="17"/>
      <c r="AF993" s="16"/>
      <c r="AG993" s="17"/>
      <c r="AH993" s="16"/>
      <c r="AI993" s="16"/>
      <c r="AJ993" s="16"/>
      <c r="AK993" s="17" t="s">
        <v>52</v>
      </c>
      <c r="AL993" s="16"/>
      <c r="AM993" s="16"/>
      <c r="AN993" s="16"/>
      <c r="AO993" s="16"/>
      <c r="AP993" s="18" t="s">
        <v>58</v>
      </c>
      <c r="AQ993" s="16"/>
    </row>
    <row r="994" ht="15.75" hidden="1" customHeight="1">
      <c r="A994" s="10" t="s">
        <v>4696</v>
      </c>
      <c r="B994" s="10" t="s">
        <v>4697</v>
      </c>
      <c r="C994" s="10" t="str">
        <f>VLOOKUP(A994,import!A:C,3,0)</f>
        <v>YANLIŞ</v>
      </c>
      <c r="D994" s="10" t="s">
        <v>118</v>
      </c>
      <c r="E994" s="10" t="str">
        <f>VLOOKUP(A994,import!A:J,5,0)</f>
        <v/>
      </c>
      <c r="F994" s="10" t="str">
        <f>VLOOKUP(A994,import!A:J,6,0)</f>
        <v/>
      </c>
      <c r="G994" s="10">
        <f>VLOOKUP(A994,import!A:J,7,0)</f>
        <v>0</v>
      </c>
      <c r="H994" s="10">
        <f>VLOOKUP(A994,import!A:J,8,0)</f>
        <v>50</v>
      </c>
      <c r="I994" s="10">
        <f>VLOOKUP(A994,import!A:J,9,0)</f>
        <v>50</v>
      </c>
      <c r="J994" s="11">
        <f>VLOOKUP(A994,import!A:J,10,0)</f>
        <v>0</v>
      </c>
      <c r="K994" s="10" t="s">
        <v>4698</v>
      </c>
      <c r="L994" s="10">
        <v>3.243252231E9</v>
      </c>
      <c r="M994" s="10" t="s">
        <v>72</v>
      </c>
      <c r="N994" s="10" t="s">
        <v>1298</v>
      </c>
      <c r="O994" s="10" t="s">
        <v>1333</v>
      </c>
      <c r="P994" s="10" t="str">
        <f>VLOOKUP(A994,import!A:P,16,0)</f>
        <v>Geleneksel</v>
      </c>
      <c r="Q994" s="12"/>
      <c r="R994" s="12" t="b">
        <v>1</v>
      </c>
      <c r="S994" s="12" t="b">
        <v>0</v>
      </c>
      <c r="T994" s="13" t="s">
        <v>199</v>
      </c>
      <c r="U994" s="13" t="s">
        <v>52</v>
      </c>
      <c r="V994" s="13" t="s">
        <v>66</v>
      </c>
      <c r="W994" s="13" t="s">
        <v>4699</v>
      </c>
      <c r="X994" s="15">
        <v>44494.0</v>
      </c>
      <c r="Y994" s="15">
        <v>44495.0</v>
      </c>
      <c r="Z994" s="16"/>
      <c r="AA994" s="17" t="s">
        <v>56</v>
      </c>
      <c r="AB994" s="16">
        <v>44494.0</v>
      </c>
      <c r="AC994" s="17" t="s">
        <v>56</v>
      </c>
      <c r="AD994" s="16">
        <v>44498.0</v>
      </c>
      <c r="AE994" s="17"/>
      <c r="AF994" s="16"/>
      <c r="AG994" s="17"/>
      <c r="AH994" s="16"/>
      <c r="AI994" s="16"/>
      <c r="AJ994" s="16"/>
      <c r="AK994" s="17" t="s">
        <v>52</v>
      </c>
      <c r="AL994" s="17" t="s">
        <v>52</v>
      </c>
      <c r="AM994" s="16"/>
      <c r="AN994" s="16"/>
      <c r="AO994" s="16"/>
      <c r="AP994" s="18" t="s">
        <v>58</v>
      </c>
      <c r="AQ994" s="16"/>
    </row>
    <row r="995" ht="15.75" customHeight="1">
      <c r="A995" s="10" t="s">
        <v>4700</v>
      </c>
      <c r="B995" s="10" t="s">
        <v>4701</v>
      </c>
      <c r="C995" s="10" t="str">
        <f>VLOOKUP(A995,import!A:C,3,0)</f>
        <v>DOĞRU</v>
      </c>
      <c r="D995" s="10" t="s">
        <v>80</v>
      </c>
      <c r="E995" s="10">
        <f>VLOOKUP(A995,import!A:J,5,0)</f>
        <v>1084</v>
      </c>
      <c r="F995" s="10" t="str">
        <f>VLOOKUP(A995,import!A:J,6,0)</f>
        <v/>
      </c>
      <c r="G995" s="10">
        <f>VLOOKUP(A995,import!A:J,7,0)</f>
        <v>18</v>
      </c>
      <c r="H995" s="10">
        <f>VLOOKUP(A995,import!A:J,8,0)</f>
        <v>9</v>
      </c>
      <c r="I995" s="10">
        <f>VLOOKUP(A995,import!A:J,9,0)</f>
        <v>27</v>
      </c>
      <c r="J995" s="11">
        <f>VLOOKUP(A995,import!A:J,10,0)</f>
        <v>0.67</v>
      </c>
      <c r="K995" s="10" t="s">
        <v>4702</v>
      </c>
      <c r="L995" s="10">
        <v>3.243367465E9</v>
      </c>
      <c r="M995" s="10" t="s">
        <v>137</v>
      </c>
      <c r="N995" s="10" t="s">
        <v>175</v>
      </c>
      <c r="O995" s="10" t="s">
        <v>4703</v>
      </c>
      <c r="P995" s="10" t="str">
        <f>VLOOKUP(A995,import!A:P,16,0)</f>
        <v>Geleneksel</v>
      </c>
      <c r="Q995" s="12"/>
      <c r="R995" s="12" t="b">
        <v>1</v>
      </c>
      <c r="S995" s="12" t="b">
        <v>0</v>
      </c>
      <c r="T995" s="13" t="s">
        <v>51</v>
      </c>
      <c r="U995" s="13" t="s">
        <v>52</v>
      </c>
      <c r="V995" s="13" t="s">
        <v>53</v>
      </c>
      <c r="W995" s="13" t="s">
        <v>3192</v>
      </c>
      <c r="X995" s="15">
        <v>44337.0</v>
      </c>
      <c r="Y995" s="15">
        <v>44341.0</v>
      </c>
      <c r="Z995" s="16"/>
      <c r="AA995" s="17" t="s">
        <v>56</v>
      </c>
      <c r="AB995" s="16">
        <v>44550.0</v>
      </c>
      <c r="AC995" s="16"/>
      <c r="AD995" s="16"/>
      <c r="AE995" s="17"/>
      <c r="AF995" s="16"/>
      <c r="AG995" s="17"/>
      <c r="AH995" s="16"/>
      <c r="AI995" s="16"/>
      <c r="AJ995" s="16"/>
      <c r="AK995" s="17" t="s">
        <v>89</v>
      </c>
      <c r="AL995" s="16"/>
      <c r="AM995" s="16"/>
      <c r="AN995" s="16"/>
      <c r="AO995" s="16"/>
      <c r="AP995" s="18" t="s">
        <v>58</v>
      </c>
      <c r="AQ995" s="16"/>
    </row>
    <row r="996" ht="15.75" hidden="1" customHeight="1">
      <c r="A996" s="18" t="s">
        <v>4704</v>
      </c>
      <c r="B996" s="18" t="s">
        <v>4705</v>
      </c>
      <c r="C996" s="10" t="str">
        <f>VLOOKUP(A996,import!A:C,3,0)</f>
        <v>DOĞRU</v>
      </c>
      <c r="D996" s="18" t="s">
        <v>70</v>
      </c>
      <c r="E996" s="10">
        <f>VLOOKUP(A996,import!A:J,5,0)</f>
        <v>1</v>
      </c>
      <c r="F996" s="10">
        <f>VLOOKUP(A996,import!A:J,6,0)</f>
        <v>1</v>
      </c>
      <c r="G996" s="10">
        <f>VLOOKUP(A996,import!A:J,7,0)</f>
        <v>8</v>
      </c>
      <c r="H996" s="10">
        <f>VLOOKUP(A996,import!A:J,8,0)</f>
        <v>0</v>
      </c>
      <c r="I996" s="10">
        <f>VLOOKUP(A996,import!A:J,9,0)</f>
        <v>8</v>
      </c>
      <c r="J996" s="11">
        <f>VLOOKUP(A996,import!A:J,10,0)</f>
        <v>1</v>
      </c>
      <c r="K996" s="18" t="s">
        <v>4706</v>
      </c>
      <c r="L996" s="18">
        <v>3.243248233E9</v>
      </c>
      <c r="M996" s="18" t="s">
        <v>72</v>
      </c>
      <c r="N996" s="18" t="s">
        <v>120</v>
      </c>
      <c r="O996" s="18" t="s">
        <v>4707</v>
      </c>
      <c r="P996" s="10" t="str">
        <f>VLOOKUP(A996,import!A:P,16,0)</f>
        <v>Geleneksel</v>
      </c>
      <c r="Q996" s="12"/>
      <c r="R996" s="12" t="b">
        <v>0</v>
      </c>
      <c r="S996" s="12" t="b">
        <v>0</v>
      </c>
      <c r="T996" s="13"/>
      <c r="U996" s="13"/>
      <c r="V996" s="13"/>
      <c r="W996" s="13"/>
      <c r="X996" s="15"/>
      <c r="Y996" s="15"/>
      <c r="Z996" s="16"/>
      <c r="AA996" s="17"/>
      <c r="AB996" s="16"/>
      <c r="AC996" s="16"/>
      <c r="AD996" s="16"/>
      <c r="AE996" s="17"/>
      <c r="AF996" s="16"/>
      <c r="AG996" s="17"/>
      <c r="AH996" s="16"/>
      <c r="AI996" s="16"/>
      <c r="AJ996" s="16"/>
      <c r="AK996" s="17"/>
      <c r="AL996" s="16"/>
      <c r="AM996" s="16"/>
      <c r="AN996" s="16"/>
      <c r="AO996" s="16"/>
      <c r="AP996" s="18"/>
      <c r="AQ996" s="16"/>
    </row>
    <row r="997" ht="15.75" hidden="1" customHeight="1">
      <c r="A997" s="10" t="s">
        <v>4708</v>
      </c>
      <c r="B997" s="10" t="s">
        <v>4709</v>
      </c>
      <c r="C997" s="10" t="str">
        <f>VLOOKUP(A997,import!A:C,3,0)</f>
        <v>DOĞRU</v>
      </c>
      <c r="D997" s="10" t="s">
        <v>80</v>
      </c>
      <c r="E997" s="10">
        <f>VLOOKUP(A997,import!A:J,5,0)</f>
        <v>299</v>
      </c>
      <c r="F997" s="10">
        <f>VLOOKUP(A997,import!A:J,6,0)</f>
        <v>17</v>
      </c>
      <c r="G997" s="10">
        <f>VLOOKUP(A997,import!A:J,7,0)</f>
        <v>0</v>
      </c>
      <c r="H997" s="10">
        <f>VLOOKUP(A997,import!A:J,8,0)</f>
        <v>9</v>
      </c>
      <c r="I997" s="10">
        <f>VLOOKUP(A997,import!A:J,9,0)</f>
        <v>9</v>
      </c>
      <c r="J997" s="11">
        <f>VLOOKUP(A997,import!A:J,10,0)</f>
        <v>0</v>
      </c>
      <c r="K997" s="10" t="s">
        <v>4710</v>
      </c>
      <c r="L997" s="10">
        <v>5.533466518E9</v>
      </c>
      <c r="M997" s="10" t="s">
        <v>47</v>
      </c>
      <c r="N997" s="10" t="s">
        <v>479</v>
      </c>
      <c r="O997" s="10" t="s">
        <v>4711</v>
      </c>
      <c r="P997" s="10" t="str">
        <f>VLOOKUP(A997,import!A:P,16,0)</f>
        <v>Geleneksel</v>
      </c>
      <c r="Q997" s="12"/>
      <c r="R997" s="12" t="b">
        <v>1</v>
      </c>
      <c r="S997" s="12" t="b">
        <v>1</v>
      </c>
      <c r="T997" s="13"/>
      <c r="U997" s="13"/>
      <c r="V997" s="13"/>
      <c r="W997" s="13"/>
      <c r="X997" s="15"/>
      <c r="Y997" s="15"/>
      <c r="Z997" s="16"/>
      <c r="AA997" s="17" t="s">
        <v>56</v>
      </c>
      <c r="AB997" s="16">
        <v>44504.0</v>
      </c>
      <c r="AC997" s="16"/>
      <c r="AD997" s="16"/>
      <c r="AE997" s="17"/>
      <c r="AF997" s="16"/>
      <c r="AG997" s="17"/>
      <c r="AH997" s="16"/>
      <c r="AI997" s="16"/>
      <c r="AJ997" s="16"/>
      <c r="AK997" s="17" t="s">
        <v>89</v>
      </c>
      <c r="AL997" s="16"/>
      <c r="AM997" s="16"/>
      <c r="AN997" s="16"/>
      <c r="AO997" s="16"/>
      <c r="AP997" s="18" t="s">
        <v>58</v>
      </c>
      <c r="AQ997" s="16"/>
    </row>
    <row r="998" ht="15.75" hidden="1" customHeight="1">
      <c r="A998" s="10" t="s">
        <v>4712</v>
      </c>
      <c r="B998" s="10" t="s">
        <v>4713</v>
      </c>
      <c r="C998" s="10" t="str">
        <f>VLOOKUP(A998,import!A:C,3,0)</f>
        <v>DOĞRU</v>
      </c>
      <c r="D998" s="10" t="s">
        <v>70</v>
      </c>
      <c r="E998" s="10">
        <f>VLOOKUP(A998,import!A:J,5,0)</f>
        <v>268</v>
      </c>
      <c r="F998" s="10">
        <f>VLOOKUP(A998,import!A:J,6,0)</f>
        <v>30</v>
      </c>
      <c r="G998" s="10">
        <f>VLOOKUP(A998,import!A:J,7,0)</f>
        <v>9</v>
      </c>
      <c r="H998" s="10">
        <f>VLOOKUP(A998,import!A:J,8,0)</f>
        <v>0</v>
      </c>
      <c r="I998" s="10">
        <f>VLOOKUP(A998,import!A:J,9,0)</f>
        <v>9</v>
      </c>
      <c r="J998" s="11">
        <f>VLOOKUP(A998,import!A:J,10,0)</f>
        <v>1</v>
      </c>
      <c r="K998" s="10" t="s">
        <v>4714</v>
      </c>
      <c r="L998" s="10">
        <v>5.551458933E9</v>
      </c>
      <c r="M998" s="10" t="s">
        <v>215</v>
      </c>
      <c r="N998" s="10" t="s">
        <v>442</v>
      </c>
      <c r="O998" s="10" t="s">
        <v>4715</v>
      </c>
      <c r="P998" s="10" t="str">
        <f>VLOOKUP(A998,import!A:P,16,0)</f>
        <v>Geleneksel</v>
      </c>
      <c r="Q998" s="12"/>
      <c r="R998" s="12" t="b">
        <v>1</v>
      </c>
      <c r="S998" s="12" t="b">
        <v>0</v>
      </c>
      <c r="T998" s="13" t="s">
        <v>51</v>
      </c>
      <c r="U998" s="13" t="s">
        <v>89</v>
      </c>
      <c r="V998" s="17" t="s">
        <v>131</v>
      </c>
      <c r="W998" s="13"/>
      <c r="X998" s="15">
        <v>44634.0</v>
      </c>
      <c r="Y998" s="15">
        <v>44635.0</v>
      </c>
      <c r="Z998" s="16"/>
      <c r="AA998" s="17" t="s">
        <v>56</v>
      </c>
      <c r="AB998" s="16">
        <v>44634.0</v>
      </c>
      <c r="AC998" s="16"/>
      <c r="AD998" s="16"/>
      <c r="AE998" s="17"/>
      <c r="AF998" s="16"/>
      <c r="AG998" s="17"/>
      <c r="AH998" s="16"/>
      <c r="AI998" s="16"/>
      <c r="AJ998" s="16"/>
      <c r="AK998" s="17" t="s">
        <v>89</v>
      </c>
      <c r="AL998" s="16"/>
      <c r="AM998" s="16"/>
      <c r="AN998" s="16"/>
      <c r="AO998" s="16"/>
      <c r="AP998" s="18"/>
      <c r="AQ998" s="16"/>
    </row>
    <row r="999" ht="15.75" hidden="1" customHeight="1">
      <c r="A999" s="10" t="s">
        <v>4716</v>
      </c>
      <c r="B999" s="10" t="s">
        <v>4717</v>
      </c>
      <c r="C999" s="10" t="str">
        <f>VLOOKUP(A999,import!A:C,3,0)</f>
        <v>DOĞRU</v>
      </c>
      <c r="D999" s="10" t="s">
        <v>80</v>
      </c>
      <c r="E999" s="10">
        <f>VLOOKUP(A999,import!A:J,5,0)</f>
        <v>111</v>
      </c>
      <c r="F999" s="10">
        <f>VLOOKUP(A999,import!A:J,6,0)</f>
        <v>4</v>
      </c>
      <c r="G999" s="10">
        <f>VLOOKUP(A999,import!A:J,7,0)</f>
        <v>9</v>
      </c>
      <c r="H999" s="10">
        <f>VLOOKUP(A999,import!A:J,8,0)</f>
        <v>0</v>
      </c>
      <c r="I999" s="10">
        <f>VLOOKUP(A999,import!A:J,9,0)</f>
        <v>9</v>
      </c>
      <c r="J999" s="11">
        <f>VLOOKUP(A999,import!A:J,10,0)</f>
        <v>1</v>
      </c>
      <c r="K999" s="10" t="s">
        <v>4718</v>
      </c>
      <c r="L999" s="10">
        <v>5.531636347E9</v>
      </c>
      <c r="M999" s="10" t="s">
        <v>215</v>
      </c>
      <c r="N999" s="10" t="s">
        <v>745</v>
      </c>
      <c r="O999" s="10" t="s">
        <v>4719</v>
      </c>
      <c r="P999" s="10" t="str">
        <f>VLOOKUP(A999,import!A:P,16,0)</f>
        <v>Geleneksel</v>
      </c>
      <c r="Q999" s="12"/>
      <c r="R999" s="12" t="b">
        <v>1</v>
      </c>
      <c r="S999" s="12" t="b">
        <v>0</v>
      </c>
      <c r="T999" s="13" t="s">
        <v>51</v>
      </c>
      <c r="U999" s="13" t="s">
        <v>52</v>
      </c>
      <c r="V999" s="13" t="s">
        <v>53</v>
      </c>
      <c r="W999" s="13" t="s">
        <v>4720</v>
      </c>
      <c r="X999" s="15">
        <v>44515.0</v>
      </c>
      <c r="Y999" s="15">
        <v>44516.0</v>
      </c>
      <c r="Z999" s="16"/>
      <c r="AA999" s="17" t="s">
        <v>56</v>
      </c>
      <c r="AB999" s="16">
        <v>44515.0</v>
      </c>
      <c r="AC999" s="17" t="s">
        <v>56</v>
      </c>
      <c r="AD999" s="16">
        <v>44533.0</v>
      </c>
      <c r="AE999" s="17"/>
      <c r="AF999" s="16"/>
      <c r="AG999" s="17"/>
      <c r="AH999" s="16"/>
      <c r="AI999" s="16"/>
      <c r="AJ999" s="16"/>
      <c r="AK999" s="17" t="s">
        <v>52</v>
      </c>
      <c r="AL999" s="17" t="s">
        <v>108</v>
      </c>
      <c r="AM999" s="16"/>
      <c r="AN999" s="16"/>
      <c r="AO999" s="16"/>
      <c r="AP999" s="18" t="s">
        <v>58</v>
      </c>
      <c r="AQ999" s="16"/>
    </row>
    <row r="1000" ht="15.75" hidden="1" customHeight="1">
      <c r="A1000" s="10" t="s">
        <v>4721</v>
      </c>
      <c r="B1000" s="10" t="s">
        <v>4722</v>
      </c>
      <c r="C1000" s="10" t="str">
        <f>VLOOKUP(A1000,import!A:C,3,0)</f>
        <v>DOĞRU</v>
      </c>
      <c r="D1000" s="10" t="s">
        <v>118</v>
      </c>
      <c r="E1000" s="10">
        <f>VLOOKUP(A1000,import!A:J,5,0)</f>
        <v>1222</v>
      </c>
      <c r="F1000" s="10">
        <f>VLOOKUP(A1000,import!A:J,6,0)</f>
        <v>112</v>
      </c>
      <c r="G1000" s="10">
        <f>VLOOKUP(A1000,import!A:J,7,0)</f>
        <v>0</v>
      </c>
      <c r="H1000" s="10">
        <f>VLOOKUP(A1000,import!A:J,8,0)</f>
        <v>17</v>
      </c>
      <c r="I1000" s="10">
        <f>VLOOKUP(A1000,import!A:J,9,0)</f>
        <v>17</v>
      </c>
      <c r="J1000" s="11">
        <f>VLOOKUP(A1000,import!A:J,10,0)</f>
        <v>0</v>
      </c>
      <c r="K1000" s="10" t="s">
        <v>4723</v>
      </c>
      <c r="L1000" s="10">
        <v>3.243610825E9</v>
      </c>
      <c r="M1000" s="10" t="s">
        <v>72</v>
      </c>
      <c r="N1000" s="10" t="s">
        <v>82</v>
      </c>
      <c r="O1000" s="10" t="s">
        <v>4724</v>
      </c>
      <c r="P1000" s="10" t="str">
        <f>VLOOKUP(A1000,import!A:P,16,0)</f>
        <v>Geleneksel</v>
      </c>
      <c r="Q1000" s="12"/>
      <c r="R1000" s="12" t="b">
        <v>1</v>
      </c>
      <c r="S1000" s="12" t="b">
        <v>1</v>
      </c>
      <c r="T1000" s="13"/>
      <c r="U1000" s="13" t="s">
        <v>314</v>
      </c>
      <c r="V1000" s="17" t="s">
        <v>66</v>
      </c>
      <c r="W1000" s="36" t="s">
        <v>4725</v>
      </c>
      <c r="X1000" s="15">
        <v>44517.0</v>
      </c>
      <c r="Y1000" s="15">
        <v>44518.0</v>
      </c>
      <c r="Z1000" s="16"/>
      <c r="AA1000" s="17" t="s">
        <v>55</v>
      </c>
      <c r="AB1000" s="16">
        <v>44508.0</v>
      </c>
      <c r="AC1000" s="17" t="s">
        <v>55</v>
      </c>
      <c r="AD1000" s="16">
        <v>44516.0</v>
      </c>
      <c r="AE1000" s="17" t="s">
        <v>56</v>
      </c>
      <c r="AF1000" s="16">
        <v>44517.0</v>
      </c>
      <c r="AG1000" s="17"/>
      <c r="AH1000" s="16"/>
      <c r="AI1000" s="16"/>
      <c r="AJ1000" s="16"/>
      <c r="AK1000" s="17" t="s">
        <v>133</v>
      </c>
      <c r="AL1000" s="17" t="s">
        <v>108</v>
      </c>
      <c r="AM1000" s="17" t="s">
        <v>314</v>
      </c>
      <c r="AN1000" s="16"/>
      <c r="AO1000" s="16"/>
      <c r="AP1000" s="18" t="s">
        <v>58</v>
      </c>
      <c r="AQ1000" s="16"/>
    </row>
    <row r="1001" ht="15.75" customHeight="1">
      <c r="A1001" s="10" t="s">
        <v>4726</v>
      </c>
      <c r="B1001" s="10" t="s">
        <v>4727</v>
      </c>
      <c r="C1001" s="10" t="str">
        <f>VLOOKUP(A1001,import!A:C,3,0)</f>
        <v>DOĞRU</v>
      </c>
      <c r="D1001" s="10" t="s">
        <v>80</v>
      </c>
      <c r="E1001" s="10">
        <f>VLOOKUP(A1001,import!A:J,5,0)</f>
        <v>250</v>
      </c>
      <c r="F1001" s="10">
        <f>VLOOKUP(A1001,import!A:J,6,0)</f>
        <v>25</v>
      </c>
      <c r="G1001" s="10">
        <f>VLOOKUP(A1001,import!A:J,7,0)</f>
        <v>7</v>
      </c>
      <c r="H1001" s="10">
        <f>VLOOKUP(A1001,import!A:J,8,0)</f>
        <v>11</v>
      </c>
      <c r="I1001" s="10">
        <f>VLOOKUP(A1001,import!A:J,9,0)</f>
        <v>18</v>
      </c>
      <c r="J1001" s="11">
        <f>VLOOKUP(A1001,import!A:J,10,0)</f>
        <v>0.39</v>
      </c>
      <c r="K1001" s="10" t="s">
        <v>4728</v>
      </c>
      <c r="L1001" s="10">
        <v>5.462472133E9</v>
      </c>
      <c r="M1001" s="10" t="s">
        <v>137</v>
      </c>
      <c r="N1001" s="10" t="s">
        <v>4023</v>
      </c>
      <c r="O1001" s="10" t="s">
        <v>4729</v>
      </c>
      <c r="P1001" s="10" t="str">
        <f>VLOOKUP(A1001,import!A:P,16,0)</f>
        <v>Geleneksel</v>
      </c>
      <c r="Q1001" s="12"/>
      <c r="R1001" s="12" t="b">
        <v>1</v>
      </c>
      <c r="S1001" s="12" t="b">
        <v>1</v>
      </c>
      <c r="T1001" s="13"/>
      <c r="U1001" s="13"/>
      <c r="V1001" s="13"/>
      <c r="W1001" s="13" t="s">
        <v>1294</v>
      </c>
      <c r="X1001" s="15"/>
      <c r="Y1001" s="15"/>
      <c r="Z1001" s="16"/>
      <c r="AA1001" s="17" t="s">
        <v>56</v>
      </c>
      <c r="AB1001" s="16">
        <v>44579.0</v>
      </c>
      <c r="AC1001" s="16"/>
      <c r="AD1001" s="16"/>
      <c r="AE1001" s="17"/>
      <c r="AF1001" s="16"/>
      <c r="AG1001" s="17"/>
      <c r="AH1001" s="16"/>
      <c r="AI1001" s="16"/>
      <c r="AJ1001" s="16"/>
      <c r="AK1001" s="17" t="s">
        <v>52</v>
      </c>
      <c r="AL1001" s="16"/>
      <c r="AM1001" s="16"/>
      <c r="AN1001" s="16"/>
      <c r="AO1001" s="16"/>
      <c r="AP1001" s="18"/>
      <c r="AQ1001" s="16"/>
    </row>
    <row r="1002" ht="15.75" customHeight="1">
      <c r="A1002" s="10" t="s">
        <v>4730</v>
      </c>
      <c r="B1002" s="10" t="s">
        <v>4731</v>
      </c>
      <c r="C1002" s="10" t="str">
        <f>VLOOKUP(A1002,import!A:C,3,0)</f>
        <v>DOĞRU</v>
      </c>
      <c r="D1002" s="10" t="s">
        <v>356</v>
      </c>
      <c r="E1002" s="10">
        <f>VLOOKUP(A1002,import!A:J,5,0)</f>
        <v>109</v>
      </c>
      <c r="F1002" s="10">
        <f>VLOOKUP(A1002,import!A:J,6,0)</f>
        <v>20</v>
      </c>
      <c r="G1002" s="10">
        <f>VLOOKUP(A1002,import!A:J,7,0)</f>
        <v>0</v>
      </c>
      <c r="H1002" s="10">
        <f>VLOOKUP(A1002,import!A:J,8,0)</f>
        <v>17</v>
      </c>
      <c r="I1002" s="10">
        <f>VLOOKUP(A1002,import!A:J,9,0)</f>
        <v>17</v>
      </c>
      <c r="J1002" s="11">
        <f>VLOOKUP(A1002,import!A:J,10,0)</f>
        <v>0</v>
      </c>
      <c r="K1002" s="10" t="s">
        <v>4732</v>
      </c>
      <c r="L1002" s="10">
        <v>5.539577441E9</v>
      </c>
      <c r="M1002" s="10" t="s">
        <v>137</v>
      </c>
      <c r="N1002" s="10" t="s">
        <v>209</v>
      </c>
      <c r="O1002" s="10" t="s">
        <v>4733</v>
      </c>
      <c r="P1002" s="10" t="str">
        <f>VLOOKUP(A1002,import!A:P,16,0)</f>
        <v>Geleneksel</v>
      </c>
      <c r="Q1002" s="12" t="s">
        <v>146</v>
      </c>
      <c r="R1002" s="12" t="b">
        <v>1</v>
      </c>
      <c r="S1002" s="12" t="b">
        <v>0</v>
      </c>
      <c r="T1002" s="13" t="s">
        <v>272</v>
      </c>
      <c r="U1002" s="13" t="s">
        <v>376</v>
      </c>
      <c r="V1002" s="13" t="s">
        <v>278</v>
      </c>
      <c r="W1002" s="13" t="s">
        <v>4734</v>
      </c>
      <c r="X1002" s="15">
        <v>44301.0</v>
      </c>
      <c r="Y1002" s="15">
        <v>44305.0</v>
      </c>
      <c r="Z1002" s="16"/>
      <c r="AA1002" s="17" t="s">
        <v>230</v>
      </c>
      <c r="AB1002" s="16">
        <v>44411.0</v>
      </c>
      <c r="AC1002" s="17" t="s">
        <v>56</v>
      </c>
      <c r="AD1002" s="16">
        <v>44581.0</v>
      </c>
      <c r="AE1002" s="17"/>
      <c r="AF1002" s="16"/>
      <c r="AG1002" s="17"/>
      <c r="AH1002" s="16"/>
      <c r="AI1002" s="16"/>
      <c r="AJ1002" s="16"/>
      <c r="AK1002" s="17" t="s">
        <v>171</v>
      </c>
      <c r="AL1002" s="17" t="s">
        <v>89</v>
      </c>
      <c r="AM1002" s="16"/>
      <c r="AN1002" s="16"/>
      <c r="AO1002" s="16"/>
      <c r="AP1002" s="18" t="s">
        <v>58</v>
      </c>
      <c r="AQ1002" s="16"/>
    </row>
    <row r="1003" ht="15.75" customHeight="1">
      <c r="A1003" s="18" t="s">
        <v>4735</v>
      </c>
      <c r="B1003" s="18" t="s">
        <v>4736</v>
      </c>
      <c r="C1003" s="10" t="str">
        <f>VLOOKUP(A1003,import!A:C,3,0)</f>
        <v>DOĞRU</v>
      </c>
      <c r="D1003" s="18" t="s">
        <v>363</v>
      </c>
      <c r="E1003" s="10" t="str">
        <f>VLOOKUP(A1003,import!A:J,5,0)</f>
        <v/>
      </c>
      <c r="F1003" s="10" t="str">
        <f>VLOOKUP(A1003,import!A:J,6,0)</f>
        <v/>
      </c>
      <c r="G1003" s="10">
        <f>VLOOKUP(A1003,import!A:J,7,0)</f>
        <v>0</v>
      </c>
      <c r="H1003" s="10">
        <f>VLOOKUP(A1003,import!A:J,8,0)</f>
        <v>18</v>
      </c>
      <c r="I1003" s="10">
        <f>VLOOKUP(A1003,import!A:J,9,0)</f>
        <v>18</v>
      </c>
      <c r="J1003" s="11">
        <f>VLOOKUP(A1003,import!A:J,10,0)</f>
        <v>0</v>
      </c>
      <c r="K1003" s="18" t="s">
        <v>4737</v>
      </c>
      <c r="L1003" s="18">
        <v>3.242380391E9</v>
      </c>
      <c r="M1003" s="18" t="s">
        <v>137</v>
      </c>
      <c r="N1003" s="18" t="s">
        <v>138</v>
      </c>
      <c r="O1003" s="18" t="s">
        <v>4738</v>
      </c>
      <c r="P1003" s="10" t="str">
        <f>VLOOKUP(A1003,import!A:P,16,0)</f>
        <v>Geleneksel</v>
      </c>
      <c r="Q1003" s="12"/>
      <c r="R1003" s="12" t="b">
        <v>0</v>
      </c>
      <c r="S1003" s="12" t="b">
        <v>0</v>
      </c>
      <c r="T1003" s="13"/>
      <c r="U1003" s="13"/>
      <c r="V1003" s="13"/>
      <c r="W1003" s="13"/>
      <c r="X1003" s="15"/>
      <c r="Y1003" s="15"/>
      <c r="Z1003" s="16"/>
      <c r="AA1003" s="17"/>
      <c r="AB1003" s="16"/>
      <c r="AC1003" s="16"/>
      <c r="AD1003" s="16"/>
      <c r="AE1003" s="17"/>
      <c r="AF1003" s="16"/>
      <c r="AG1003" s="17"/>
      <c r="AH1003" s="16"/>
      <c r="AI1003" s="16"/>
      <c r="AJ1003" s="16"/>
      <c r="AK1003" s="17"/>
      <c r="AL1003" s="16"/>
      <c r="AM1003" s="16"/>
      <c r="AN1003" s="16"/>
      <c r="AO1003" s="16"/>
      <c r="AP1003" s="18"/>
      <c r="AQ1003" s="16"/>
    </row>
    <row r="1004" ht="15.75" hidden="1" customHeight="1">
      <c r="A1004" s="18" t="s">
        <v>4739</v>
      </c>
      <c r="B1004" s="18" t="s">
        <v>4740</v>
      </c>
      <c r="C1004" s="10" t="str">
        <f>VLOOKUP(A1004,import!A:C,3,0)</f>
        <v>DOĞRU</v>
      </c>
      <c r="D1004" s="18" t="s">
        <v>363</v>
      </c>
      <c r="E1004" s="10" t="str">
        <f>VLOOKUP(A1004,import!A:J,5,0)</f>
        <v/>
      </c>
      <c r="F1004" s="10" t="str">
        <f>VLOOKUP(A1004,import!A:J,6,0)</f>
        <v/>
      </c>
      <c r="G1004" s="10">
        <f>VLOOKUP(A1004,import!A:J,7,0)</f>
        <v>0</v>
      </c>
      <c r="H1004" s="10">
        <f>VLOOKUP(A1004,import!A:J,8,0)</f>
        <v>32</v>
      </c>
      <c r="I1004" s="10">
        <f>VLOOKUP(A1004,import!A:J,9,0)</f>
        <v>32</v>
      </c>
      <c r="J1004" s="11">
        <f>VLOOKUP(A1004,import!A:J,10,0)</f>
        <v>0</v>
      </c>
      <c r="K1004" s="18" t="s">
        <v>4737</v>
      </c>
      <c r="L1004" s="18">
        <v>3.243264691E9</v>
      </c>
      <c r="M1004" s="18" t="s">
        <v>72</v>
      </c>
      <c r="N1004" s="18" t="s">
        <v>1277</v>
      </c>
      <c r="O1004" s="18" t="s">
        <v>4741</v>
      </c>
      <c r="P1004" s="10" t="str">
        <f>VLOOKUP(A1004,import!A:P,16,0)</f>
        <v>Geleneksel</v>
      </c>
      <c r="Q1004" s="12"/>
      <c r="R1004" s="12" t="b">
        <v>0</v>
      </c>
      <c r="S1004" s="12" t="b">
        <v>0</v>
      </c>
      <c r="T1004" s="13"/>
      <c r="U1004" s="13"/>
      <c r="V1004" s="13"/>
      <c r="W1004" s="13"/>
      <c r="X1004" s="15"/>
      <c r="Y1004" s="15"/>
      <c r="Z1004" s="16"/>
      <c r="AA1004" s="17"/>
      <c r="AB1004" s="16"/>
      <c r="AC1004" s="16"/>
      <c r="AD1004" s="16"/>
      <c r="AE1004" s="17"/>
      <c r="AF1004" s="16"/>
      <c r="AG1004" s="17"/>
      <c r="AH1004" s="16"/>
      <c r="AI1004" s="16"/>
      <c r="AJ1004" s="16"/>
      <c r="AK1004" s="17"/>
      <c r="AL1004" s="16"/>
      <c r="AM1004" s="16"/>
      <c r="AN1004" s="16"/>
      <c r="AO1004" s="16"/>
      <c r="AP1004" s="18"/>
      <c r="AQ1004" s="16"/>
    </row>
    <row r="1005" ht="15.75" hidden="1" customHeight="1">
      <c r="A1005" s="18" t="s">
        <v>4742</v>
      </c>
      <c r="B1005" s="18" t="s">
        <v>4743</v>
      </c>
      <c r="C1005" s="10" t="str">
        <f>VLOOKUP(A1005,import!A:C,3,0)</f>
        <v>DOĞRU</v>
      </c>
      <c r="D1005" s="18" t="s">
        <v>106</v>
      </c>
      <c r="E1005" s="10">
        <f>VLOOKUP(A1005,import!A:J,5,0)</f>
        <v>21</v>
      </c>
      <c r="F1005" s="10">
        <f>VLOOKUP(A1005,import!A:J,6,0)</f>
        <v>16</v>
      </c>
      <c r="G1005" s="10">
        <f>VLOOKUP(A1005,import!A:J,7,0)</f>
        <v>0</v>
      </c>
      <c r="H1005" s="10">
        <f>VLOOKUP(A1005,import!A:J,8,0)</f>
        <v>9</v>
      </c>
      <c r="I1005" s="10">
        <f>VLOOKUP(A1005,import!A:J,9,0)</f>
        <v>9</v>
      </c>
      <c r="J1005" s="11">
        <f>VLOOKUP(A1005,import!A:J,10,0)</f>
        <v>0</v>
      </c>
      <c r="K1005" s="18" t="s">
        <v>4744</v>
      </c>
      <c r="L1005" s="18">
        <v>5.317858325E9</v>
      </c>
      <c r="M1005" s="18" t="s">
        <v>215</v>
      </c>
      <c r="N1005" s="18" t="s">
        <v>442</v>
      </c>
      <c r="O1005" s="18" t="s">
        <v>4745</v>
      </c>
      <c r="P1005" s="10" t="str">
        <f>VLOOKUP(A1005,import!A:P,16,0)</f>
        <v>Geleneksel</v>
      </c>
      <c r="Q1005" s="12"/>
      <c r="R1005" s="12" t="b">
        <v>1</v>
      </c>
      <c r="S1005" s="12" t="b">
        <v>0</v>
      </c>
      <c r="T1005" s="13" t="s">
        <v>51</v>
      </c>
      <c r="U1005" s="13" t="s">
        <v>87</v>
      </c>
      <c r="V1005" s="13"/>
      <c r="W1005" s="13"/>
      <c r="X1005" s="15">
        <v>44671.0</v>
      </c>
      <c r="Y1005" s="15">
        <v>44672.0</v>
      </c>
      <c r="Z1005" s="16"/>
      <c r="AA1005" s="17" t="s">
        <v>56</v>
      </c>
      <c r="AB1005" s="16">
        <v>44672.0</v>
      </c>
      <c r="AC1005" s="16"/>
      <c r="AD1005" s="16"/>
      <c r="AE1005" s="17"/>
      <c r="AF1005" s="16"/>
      <c r="AG1005" s="17"/>
      <c r="AH1005" s="16"/>
      <c r="AI1005" s="16"/>
      <c r="AJ1005" s="16"/>
      <c r="AK1005" s="17" t="s">
        <v>87</v>
      </c>
      <c r="AL1005" s="16"/>
      <c r="AM1005" s="16"/>
      <c r="AN1005" s="16"/>
      <c r="AO1005" s="16"/>
      <c r="AP1005" s="18"/>
      <c r="AQ1005" s="16"/>
    </row>
    <row r="1006" ht="15.75" hidden="1" customHeight="1">
      <c r="A1006" s="10" t="s">
        <v>4746</v>
      </c>
      <c r="B1006" s="10" t="s">
        <v>4747</v>
      </c>
      <c r="C1006" s="10" t="str">
        <f>VLOOKUP(A1006,import!A:C,3,0)</f>
        <v>DOĞRU</v>
      </c>
      <c r="D1006" s="10" t="s">
        <v>913</v>
      </c>
      <c r="E1006" s="10">
        <f>VLOOKUP(A1006,import!A:J,5,0)</f>
        <v>68</v>
      </c>
      <c r="F1006" s="10" t="str">
        <f>VLOOKUP(A1006,import!A:J,6,0)</f>
        <v/>
      </c>
      <c r="G1006" s="10">
        <f>VLOOKUP(A1006,import!A:J,7,0)</f>
        <v>0</v>
      </c>
      <c r="H1006" s="10">
        <f>VLOOKUP(A1006,import!A:J,8,0)</f>
        <v>59</v>
      </c>
      <c r="I1006" s="10">
        <f>VLOOKUP(A1006,import!A:J,9,0)</f>
        <v>59</v>
      </c>
      <c r="J1006" s="11">
        <f>VLOOKUP(A1006,import!A:J,10,0)</f>
        <v>0</v>
      </c>
      <c r="K1006" s="10" t="s">
        <v>4748</v>
      </c>
      <c r="L1006" s="10">
        <v>5.4697521E9</v>
      </c>
      <c r="M1006" s="10" t="s">
        <v>47</v>
      </c>
      <c r="N1006" s="10" t="s">
        <v>489</v>
      </c>
      <c r="O1006" s="10" t="s">
        <v>4749</v>
      </c>
      <c r="P1006" s="10" t="str">
        <f>VLOOKUP(A1006,import!A:P,16,0)</f>
        <v>Geleneksel</v>
      </c>
      <c r="Q1006" s="12"/>
      <c r="R1006" s="12" t="b">
        <v>0</v>
      </c>
      <c r="S1006" s="12" t="b">
        <v>0</v>
      </c>
      <c r="T1006" s="13" t="s">
        <v>485</v>
      </c>
      <c r="U1006" s="13"/>
      <c r="V1006" s="13"/>
      <c r="W1006" s="13"/>
      <c r="X1006" s="15"/>
      <c r="Y1006" s="15"/>
      <c r="Z1006" s="16"/>
      <c r="AA1006" s="16"/>
      <c r="AB1006" s="16"/>
      <c r="AC1006" s="16"/>
      <c r="AD1006" s="16"/>
      <c r="AE1006" s="17"/>
      <c r="AF1006" s="16"/>
      <c r="AG1006" s="17"/>
      <c r="AH1006" s="16"/>
      <c r="AI1006" s="16"/>
      <c r="AJ1006" s="16"/>
      <c r="AK1006" s="16"/>
      <c r="AL1006" s="16"/>
      <c r="AM1006" s="16"/>
      <c r="AN1006" s="16"/>
      <c r="AO1006" s="16"/>
      <c r="AP1006" s="18" t="s">
        <v>58</v>
      </c>
      <c r="AQ1006" s="16"/>
    </row>
    <row r="1007" ht="15.75" hidden="1" customHeight="1">
      <c r="A1007" s="10" t="s">
        <v>4750</v>
      </c>
      <c r="B1007" s="10" t="s">
        <v>4751</v>
      </c>
      <c r="C1007" s="10" t="str">
        <f>VLOOKUP(A1007,import!A:C,3,0)</f>
        <v>DOĞRU</v>
      </c>
      <c r="D1007" s="10" t="s">
        <v>118</v>
      </c>
      <c r="E1007" s="10">
        <f>VLOOKUP(A1007,import!A:J,5,0)</f>
        <v>3465</v>
      </c>
      <c r="F1007" s="10">
        <f>VLOOKUP(A1007,import!A:J,6,0)</f>
        <v>199</v>
      </c>
      <c r="G1007" s="10">
        <f>VLOOKUP(A1007,import!A:J,7,0)</f>
        <v>0</v>
      </c>
      <c r="H1007" s="10">
        <f>VLOOKUP(A1007,import!A:J,8,0)</f>
        <v>20</v>
      </c>
      <c r="I1007" s="10">
        <f>VLOOKUP(A1007,import!A:J,9,0)</f>
        <v>20</v>
      </c>
      <c r="J1007" s="11">
        <f>VLOOKUP(A1007,import!A:J,10,0)</f>
        <v>0</v>
      </c>
      <c r="K1007" s="10" t="s">
        <v>4752</v>
      </c>
      <c r="L1007" s="10">
        <v>3.24325909E9</v>
      </c>
      <c r="M1007" s="10" t="s">
        <v>72</v>
      </c>
      <c r="N1007" s="10" t="s">
        <v>716</v>
      </c>
      <c r="O1007" s="10" t="s">
        <v>4753</v>
      </c>
      <c r="P1007" s="10" t="str">
        <f>VLOOKUP(A1007,import!A:P,16,0)</f>
        <v>Geleneksel</v>
      </c>
      <c r="Q1007" s="12"/>
      <c r="R1007" s="12" t="b">
        <v>1</v>
      </c>
      <c r="S1007" s="12" t="b">
        <v>0</v>
      </c>
      <c r="T1007" s="13" t="s">
        <v>199</v>
      </c>
      <c r="U1007" s="13"/>
      <c r="V1007" s="13"/>
      <c r="W1007" s="13" t="s">
        <v>4754</v>
      </c>
      <c r="X1007" s="15"/>
      <c r="Y1007" s="15"/>
      <c r="Z1007" s="16"/>
      <c r="AA1007" s="17" t="s">
        <v>230</v>
      </c>
      <c r="AB1007" s="16">
        <v>44498.0</v>
      </c>
      <c r="AC1007" s="16"/>
      <c r="AD1007" s="16"/>
      <c r="AE1007" s="17"/>
      <c r="AF1007" s="16"/>
      <c r="AG1007" s="17"/>
      <c r="AH1007" s="16"/>
      <c r="AI1007" s="16"/>
      <c r="AJ1007" s="16"/>
      <c r="AK1007" s="17" t="s">
        <v>89</v>
      </c>
      <c r="AL1007" s="16"/>
      <c r="AM1007" s="16"/>
      <c r="AN1007" s="16"/>
      <c r="AO1007" s="16"/>
      <c r="AP1007" s="18" t="s">
        <v>58</v>
      </c>
      <c r="AQ1007" s="16"/>
    </row>
    <row r="1008" ht="15.75" hidden="1" customHeight="1">
      <c r="A1008" s="18" t="s">
        <v>4755</v>
      </c>
      <c r="B1008" s="18" t="s">
        <v>4756</v>
      </c>
      <c r="C1008" s="10" t="str">
        <f>VLOOKUP(A1008,import!A:C,3,0)</f>
        <v>DOĞRU</v>
      </c>
      <c r="D1008" s="18" t="s">
        <v>70</v>
      </c>
      <c r="E1008" s="10">
        <f>VLOOKUP(A1008,import!A:J,5,0)</f>
        <v>5</v>
      </c>
      <c r="F1008" s="10">
        <f>VLOOKUP(A1008,import!A:J,6,0)</f>
        <v>5</v>
      </c>
      <c r="G1008" s="10">
        <f>VLOOKUP(A1008,import!A:J,7,0)</f>
        <v>0</v>
      </c>
      <c r="H1008" s="10">
        <f>VLOOKUP(A1008,import!A:J,8,0)</f>
        <v>18</v>
      </c>
      <c r="I1008" s="10">
        <f>VLOOKUP(A1008,import!A:J,9,0)</f>
        <v>18</v>
      </c>
      <c r="J1008" s="11">
        <f>VLOOKUP(A1008,import!A:J,10,0)</f>
        <v>0</v>
      </c>
      <c r="K1008" s="18" t="s">
        <v>4757</v>
      </c>
      <c r="L1008" s="18">
        <v>5.352808772E9</v>
      </c>
      <c r="M1008" s="18" t="s">
        <v>72</v>
      </c>
      <c r="N1008" s="18" t="s">
        <v>128</v>
      </c>
      <c r="O1008" s="18" t="s">
        <v>4758</v>
      </c>
      <c r="P1008" s="10" t="str">
        <f>VLOOKUP(A1008,import!A:P,16,0)</f>
        <v>Geleneksel</v>
      </c>
      <c r="Q1008" s="12"/>
      <c r="R1008" s="12" t="b">
        <v>0</v>
      </c>
      <c r="S1008" s="12" t="b">
        <v>0</v>
      </c>
      <c r="T1008" s="13"/>
      <c r="U1008" s="13"/>
      <c r="V1008" s="13"/>
      <c r="W1008" s="13"/>
      <c r="X1008" s="15"/>
      <c r="Y1008" s="15"/>
      <c r="Z1008" s="16"/>
      <c r="AA1008" s="17"/>
      <c r="AB1008" s="16"/>
      <c r="AC1008" s="16"/>
      <c r="AD1008" s="16"/>
      <c r="AE1008" s="17"/>
      <c r="AF1008" s="16"/>
      <c r="AG1008" s="17"/>
      <c r="AH1008" s="16"/>
      <c r="AI1008" s="16"/>
      <c r="AJ1008" s="16"/>
      <c r="AK1008" s="17"/>
      <c r="AL1008" s="16"/>
      <c r="AM1008" s="16"/>
      <c r="AN1008" s="16"/>
      <c r="AO1008" s="16"/>
      <c r="AP1008" s="18"/>
      <c r="AQ1008" s="16"/>
    </row>
    <row r="1009" ht="15.75" customHeight="1">
      <c r="A1009" s="10" t="s">
        <v>4759</v>
      </c>
      <c r="B1009" s="10" t="s">
        <v>4760</v>
      </c>
      <c r="C1009" s="10" t="str">
        <f>VLOOKUP(A1009,import!A:C,3,0)</f>
        <v>DOĞRU</v>
      </c>
      <c r="D1009" s="10" t="s">
        <v>356</v>
      </c>
      <c r="E1009" s="10">
        <f>VLOOKUP(A1009,import!A:J,5,0)</f>
        <v>710</v>
      </c>
      <c r="F1009" s="10">
        <f>VLOOKUP(A1009,import!A:J,6,0)</f>
        <v>22</v>
      </c>
      <c r="G1009" s="10">
        <f>VLOOKUP(A1009,import!A:J,7,0)</f>
        <v>0</v>
      </c>
      <c r="H1009" s="10">
        <f>VLOOKUP(A1009,import!A:J,8,0)</f>
        <v>39</v>
      </c>
      <c r="I1009" s="10">
        <f>VLOOKUP(A1009,import!A:J,9,0)</f>
        <v>39</v>
      </c>
      <c r="J1009" s="11">
        <f>VLOOKUP(A1009,import!A:J,10,0)</f>
        <v>0</v>
      </c>
      <c r="K1009" s="10" t="s">
        <v>4761</v>
      </c>
      <c r="L1009" s="10">
        <v>5.413876343E9</v>
      </c>
      <c r="M1009" s="10" t="s">
        <v>63</v>
      </c>
      <c r="N1009" s="10" t="s">
        <v>318</v>
      </c>
      <c r="O1009" s="10" t="s">
        <v>4762</v>
      </c>
      <c r="P1009" s="10" t="str">
        <f>VLOOKUP(A1009,import!A:P,16,0)</f>
        <v>Geleneksel</v>
      </c>
      <c r="Q1009" s="12" t="s">
        <v>84</v>
      </c>
      <c r="R1009" s="12" t="b">
        <v>1</v>
      </c>
      <c r="S1009" s="12" t="b">
        <v>0</v>
      </c>
      <c r="T1009" s="13" t="s">
        <v>199</v>
      </c>
      <c r="U1009" s="13" t="s">
        <v>133</v>
      </c>
      <c r="V1009" s="13" t="s">
        <v>66</v>
      </c>
      <c r="W1009" s="13" t="s">
        <v>4763</v>
      </c>
      <c r="X1009" s="15">
        <v>44266.0</v>
      </c>
      <c r="Y1009" s="15">
        <v>44271.0</v>
      </c>
      <c r="Z1009" s="16"/>
      <c r="AA1009" s="17" t="s">
        <v>55</v>
      </c>
      <c r="AB1009" s="16">
        <v>44450.0</v>
      </c>
      <c r="AC1009" s="17" t="s">
        <v>55</v>
      </c>
      <c r="AD1009" s="16">
        <v>44459.0</v>
      </c>
      <c r="AE1009" s="17" t="s">
        <v>56</v>
      </c>
      <c r="AF1009" s="16">
        <v>44460.0</v>
      </c>
      <c r="AG1009" s="17" t="s">
        <v>55</v>
      </c>
      <c r="AH1009" s="16">
        <v>44495.0</v>
      </c>
      <c r="AI1009" s="17" t="s">
        <v>55</v>
      </c>
      <c r="AJ1009" s="16">
        <v>44497.0</v>
      </c>
      <c r="AK1009" s="17" t="s">
        <v>108</v>
      </c>
      <c r="AL1009" s="17" t="s">
        <v>267</v>
      </c>
      <c r="AM1009" s="17" t="s">
        <v>87</v>
      </c>
      <c r="AN1009" s="17" t="s">
        <v>89</v>
      </c>
      <c r="AO1009" s="17" t="s">
        <v>267</v>
      </c>
      <c r="AP1009" s="18" t="s">
        <v>58</v>
      </c>
      <c r="AQ1009" s="17"/>
    </row>
    <row r="1010" ht="15.75" hidden="1" customHeight="1">
      <c r="A1010" s="10" t="s">
        <v>4764</v>
      </c>
      <c r="B1010" s="10" t="s">
        <v>4765</v>
      </c>
      <c r="C1010" s="10" t="str">
        <f>VLOOKUP(A1010,import!A:C,3,0)</f>
        <v>DOĞRU</v>
      </c>
      <c r="D1010" s="10" t="s">
        <v>70</v>
      </c>
      <c r="E1010" s="10">
        <f>VLOOKUP(A1010,import!A:J,5,0)</f>
        <v>474</v>
      </c>
      <c r="F1010" s="10">
        <f>VLOOKUP(A1010,import!A:J,6,0)</f>
        <v>88</v>
      </c>
      <c r="G1010" s="10">
        <f>VLOOKUP(A1010,import!A:J,7,0)</f>
        <v>0</v>
      </c>
      <c r="H1010" s="10">
        <f>VLOOKUP(A1010,import!A:J,8,0)</f>
        <v>12</v>
      </c>
      <c r="I1010" s="10">
        <f>VLOOKUP(A1010,import!A:J,9,0)</f>
        <v>12</v>
      </c>
      <c r="J1010" s="11">
        <f>VLOOKUP(A1010,import!A:J,10,0)</f>
        <v>0</v>
      </c>
      <c r="K1010" s="10" t="s">
        <v>4766</v>
      </c>
      <c r="L1010" s="10">
        <v>3.247146333E9</v>
      </c>
      <c r="M1010" s="10" t="s">
        <v>187</v>
      </c>
      <c r="N1010" s="10" t="s">
        <v>150</v>
      </c>
      <c r="O1010" s="10" t="s">
        <v>4767</v>
      </c>
      <c r="P1010" s="10" t="str">
        <f>VLOOKUP(A1010,import!A:P,16,0)</f>
        <v>Geleneksel</v>
      </c>
      <c r="Q1010" s="12"/>
      <c r="R1010" s="12" t="b">
        <v>0</v>
      </c>
      <c r="S1010" s="12" t="b">
        <v>0</v>
      </c>
      <c r="T1010" s="13"/>
      <c r="U1010" s="13"/>
      <c r="V1010" s="13"/>
      <c r="W1010" s="13"/>
      <c r="X1010" s="15"/>
      <c r="Y1010" s="15"/>
      <c r="Z1010" s="16"/>
      <c r="AA1010" s="17"/>
      <c r="AB1010" s="16"/>
      <c r="AC1010" s="16"/>
      <c r="AD1010" s="16"/>
      <c r="AE1010" s="17"/>
      <c r="AF1010" s="16"/>
      <c r="AG1010" s="17"/>
      <c r="AH1010" s="16"/>
      <c r="AI1010" s="16"/>
      <c r="AJ1010" s="16"/>
      <c r="AK1010" s="17"/>
      <c r="AL1010" s="16"/>
      <c r="AM1010" s="16"/>
      <c r="AN1010" s="16"/>
      <c r="AO1010" s="16"/>
      <c r="AP1010" s="18"/>
      <c r="AQ1010" s="16"/>
    </row>
    <row r="1011" ht="15.75" customHeight="1">
      <c r="A1011" s="10" t="s">
        <v>4768</v>
      </c>
      <c r="B1011" s="10" t="s">
        <v>4769</v>
      </c>
      <c r="C1011" s="10" t="str">
        <f>VLOOKUP(A1011,import!A:C,3,0)</f>
        <v>DOĞRU</v>
      </c>
      <c r="D1011" s="10" t="s">
        <v>118</v>
      </c>
      <c r="E1011" s="10">
        <f>VLOOKUP(A1011,import!A:J,5,0)</f>
        <v>699</v>
      </c>
      <c r="F1011" s="10">
        <f>VLOOKUP(A1011,import!A:J,6,0)</f>
        <v>72</v>
      </c>
      <c r="G1011" s="10">
        <f>VLOOKUP(A1011,import!A:J,7,0)</f>
        <v>9</v>
      </c>
      <c r="H1011" s="10">
        <f>VLOOKUP(A1011,import!A:J,8,0)</f>
        <v>10</v>
      </c>
      <c r="I1011" s="10">
        <f>VLOOKUP(A1011,import!A:J,9,0)</f>
        <v>19</v>
      </c>
      <c r="J1011" s="11">
        <f>VLOOKUP(A1011,import!A:J,10,0)</f>
        <v>0.47</v>
      </c>
      <c r="K1011" s="10" t="s">
        <v>4770</v>
      </c>
      <c r="L1011" s="10">
        <v>3.242324027E9</v>
      </c>
      <c r="M1011" s="10" t="s">
        <v>137</v>
      </c>
      <c r="N1011" s="10" t="s">
        <v>138</v>
      </c>
      <c r="O1011" s="10" t="s">
        <v>4771</v>
      </c>
      <c r="P1011" s="10" t="str">
        <f>VLOOKUP(A1011,import!A:P,16,0)</f>
        <v>Geleneksel</v>
      </c>
      <c r="Q1011" s="12"/>
      <c r="R1011" s="12" t="b">
        <v>1</v>
      </c>
      <c r="S1011" s="12" t="b">
        <v>1</v>
      </c>
      <c r="T1011" s="13"/>
      <c r="U1011" s="13"/>
      <c r="V1011" s="13"/>
      <c r="W1011" s="13">
        <v>5.077358503E9</v>
      </c>
      <c r="X1011" s="15"/>
      <c r="Y1011" s="15"/>
      <c r="Z1011" s="16"/>
      <c r="AA1011" s="17" t="s">
        <v>56</v>
      </c>
      <c r="AB1011" s="16">
        <v>44529.0</v>
      </c>
      <c r="AC1011" s="16"/>
      <c r="AD1011" s="16"/>
      <c r="AE1011" s="17"/>
      <c r="AF1011" s="16"/>
      <c r="AG1011" s="17"/>
      <c r="AH1011" s="16"/>
      <c r="AI1011" s="16"/>
      <c r="AJ1011" s="16"/>
      <c r="AK1011" s="17" t="s">
        <v>108</v>
      </c>
      <c r="AL1011" s="16"/>
      <c r="AM1011" s="16"/>
      <c r="AN1011" s="16"/>
      <c r="AO1011" s="16"/>
      <c r="AP1011" s="18" t="s">
        <v>58</v>
      </c>
      <c r="AQ1011" s="16"/>
    </row>
    <row r="1012" ht="15.75" hidden="1" customHeight="1">
      <c r="A1012" s="10" t="s">
        <v>4772</v>
      </c>
      <c r="B1012" s="10" t="s">
        <v>4773</v>
      </c>
      <c r="C1012" s="10" t="str">
        <f>VLOOKUP(A1012,import!A:C,3,0)</f>
        <v>DOĞRU</v>
      </c>
      <c r="D1012" s="10" t="s">
        <v>80</v>
      </c>
      <c r="E1012" s="10">
        <f>VLOOKUP(A1012,import!A:J,5,0)</f>
        <v>793</v>
      </c>
      <c r="F1012" s="10">
        <f>VLOOKUP(A1012,import!A:J,6,0)</f>
        <v>87</v>
      </c>
      <c r="G1012" s="10">
        <f>VLOOKUP(A1012,import!A:J,7,0)</f>
        <v>7</v>
      </c>
      <c r="H1012" s="10">
        <f>VLOOKUP(A1012,import!A:J,8,0)</f>
        <v>5</v>
      </c>
      <c r="I1012" s="10">
        <f>VLOOKUP(A1012,import!A:J,9,0)</f>
        <v>12</v>
      </c>
      <c r="J1012" s="11">
        <f>VLOOKUP(A1012,import!A:J,10,0)</f>
        <v>0.58</v>
      </c>
      <c r="K1012" s="10" t="s">
        <v>4774</v>
      </c>
      <c r="L1012" s="10">
        <v>5.385746386E9</v>
      </c>
      <c r="M1012" s="10" t="s">
        <v>72</v>
      </c>
      <c r="N1012" s="10" t="s">
        <v>352</v>
      </c>
      <c r="O1012" s="10" t="s">
        <v>4775</v>
      </c>
      <c r="P1012" s="10" t="str">
        <f>VLOOKUP(A1012,import!A:P,16,0)</f>
        <v>Geleneksel</v>
      </c>
      <c r="Q1012" s="12"/>
      <c r="R1012" s="12" t="b">
        <v>1</v>
      </c>
      <c r="S1012" s="12" t="b">
        <v>0</v>
      </c>
      <c r="T1012" s="13" t="s">
        <v>51</v>
      </c>
      <c r="U1012" s="13" t="s">
        <v>89</v>
      </c>
      <c r="V1012" s="13" t="s">
        <v>53</v>
      </c>
      <c r="W1012" s="13" t="s">
        <v>1060</v>
      </c>
      <c r="X1012" s="15">
        <v>44536.0</v>
      </c>
      <c r="Y1012" s="15">
        <v>44538.0</v>
      </c>
      <c r="Z1012" s="16"/>
      <c r="AA1012" s="17" t="s">
        <v>56</v>
      </c>
      <c r="AB1012" s="16">
        <v>44536.0</v>
      </c>
      <c r="AC1012" s="16"/>
      <c r="AD1012" s="16"/>
      <c r="AE1012" s="17"/>
      <c r="AF1012" s="16"/>
      <c r="AG1012" s="17"/>
      <c r="AH1012" s="16"/>
      <c r="AI1012" s="16"/>
      <c r="AJ1012" s="16"/>
      <c r="AK1012" s="17" t="s">
        <v>89</v>
      </c>
      <c r="AL1012" s="16"/>
      <c r="AM1012" s="16"/>
      <c r="AN1012" s="16"/>
      <c r="AO1012" s="16"/>
      <c r="AP1012" s="18" t="s">
        <v>58</v>
      </c>
      <c r="AQ1012" s="16"/>
    </row>
    <row r="1013" ht="15.75" hidden="1" customHeight="1">
      <c r="A1013" s="10" t="s">
        <v>4776</v>
      </c>
      <c r="B1013" s="10" t="s">
        <v>4777</v>
      </c>
      <c r="C1013" s="10" t="str">
        <f>VLOOKUP(A1013,import!A:C,3,0)</f>
        <v>YANLIŞ</v>
      </c>
      <c r="D1013" s="10" t="s">
        <v>4778</v>
      </c>
      <c r="E1013" s="10" t="str">
        <f>VLOOKUP(A1013,import!A:J,5,0)</f>
        <v/>
      </c>
      <c r="F1013" s="10" t="str">
        <f>VLOOKUP(A1013,import!A:J,6,0)</f>
        <v/>
      </c>
      <c r="G1013" s="10">
        <f>VLOOKUP(A1013,import!A:J,7,0)</f>
        <v>8</v>
      </c>
      <c r="H1013" s="10">
        <f>VLOOKUP(A1013,import!A:J,8,0)</f>
        <v>3</v>
      </c>
      <c r="I1013" s="10">
        <f>VLOOKUP(A1013,import!A:J,9,0)</f>
        <v>11</v>
      </c>
      <c r="J1013" s="11">
        <f>VLOOKUP(A1013,import!A:J,10,0)</f>
        <v>0.73</v>
      </c>
      <c r="K1013" s="10" t="s">
        <v>4779</v>
      </c>
      <c r="L1013" s="10">
        <v>5.377039429E9</v>
      </c>
      <c r="M1013" s="10" t="s">
        <v>215</v>
      </c>
      <c r="N1013" s="10" t="s">
        <v>658</v>
      </c>
      <c r="O1013" s="10" t="s">
        <v>4780</v>
      </c>
      <c r="P1013" s="10" t="str">
        <f>VLOOKUP(A1013,import!A:P,16,0)</f>
        <v>Geleneksel</v>
      </c>
      <c r="Q1013" s="12" t="s">
        <v>50</v>
      </c>
      <c r="R1013" s="12" t="b">
        <v>1</v>
      </c>
      <c r="S1013" s="12" t="b">
        <v>0</v>
      </c>
      <c r="T1013" s="13" t="s">
        <v>51</v>
      </c>
      <c r="U1013" s="13" t="s">
        <v>124</v>
      </c>
      <c r="V1013" s="13" t="s">
        <v>53</v>
      </c>
      <c r="W1013" s="13" t="s">
        <v>4781</v>
      </c>
      <c r="X1013" s="15">
        <v>44363.0</v>
      </c>
      <c r="Y1013" s="15">
        <v>44365.0</v>
      </c>
      <c r="Z1013" s="16"/>
      <c r="AA1013" s="17" t="s">
        <v>56</v>
      </c>
      <c r="AB1013" s="16">
        <v>44363.0</v>
      </c>
      <c r="AC1013" s="16"/>
      <c r="AD1013" s="16"/>
      <c r="AE1013" s="17"/>
      <c r="AF1013" s="16"/>
      <c r="AG1013" s="17"/>
      <c r="AH1013" s="16"/>
      <c r="AI1013" s="16"/>
      <c r="AJ1013" s="16"/>
      <c r="AK1013" s="17" t="s">
        <v>124</v>
      </c>
      <c r="AL1013" s="16"/>
      <c r="AM1013" s="16"/>
      <c r="AN1013" s="16"/>
      <c r="AO1013" s="16"/>
      <c r="AP1013" s="18" t="s">
        <v>58</v>
      </c>
      <c r="AQ1013" s="16"/>
    </row>
    <row r="1014" ht="15.75" hidden="1" customHeight="1">
      <c r="A1014" s="10" t="s">
        <v>4782</v>
      </c>
      <c r="B1014" s="10" t="s">
        <v>4783</v>
      </c>
      <c r="C1014" s="10" t="str">
        <f>VLOOKUP(A1014,import!A:C,3,0)</f>
        <v>DOĞRU</v>
      </c>
      <c r="D1014" s="10" t="s">
        <v>356</v>
      </c>
      <c r="E1014" s="10">
        <f>VLOOKUP(A1014,import!A:J,5,0)</f>
        <v>65</v>
      </c>
      <c r="F1014" s="10">
        <f>VLOOKUP(A1014,import!A:J,6,0)</f>
        <v>10</v>
      </c>
      <c r="G1014" s="10">
        <f>VLOOKUP(A1014,import!A:J,7,0)</f>
        <v>0</v>
      </c>
      <c r="H1014" s="10">
        <f>VLOOKUP(A1014,import!A:J,8,0)</f>
        <v>35</v>
      </c>
      <c r="I1014" s="10">
        <f>VLOOKUP(A1014,import!A:J,9,0)</f>
        <v>35</v>
      </c>
      <c r="J1014" s="11">
        <f>VLOOKUP(A1014,import!A:J,10,0)</f>
        <v>0</v>
      </c>
      <c r="K1014" s="10" t="s">
        <v>468</v>
      </c>
      <c r="L1014" s="10">
        <v>5.525296565E9</v>
      </c>
      <c r="M1014" s="10" t="s">
        <v>72</v>
      </c>
      <c r="N1014" s="10" t="s">
        <v>73</v>
      </c>
      <c r="O1014" s="10" t="s">
        <v>469</v>
      </c>
      <c r="P1014" s="10" t="str">
        <f>VLOOKUP(A1014,import!A:P,16,0)</f>
        <v>Geleneksel</v>
      </c>
      <c r="Q1014" s="12"/>
      <c r="R1014" s="12" t="b">
        <v>1</v>
      </c>
      <c r="S1014" s="12" t="b">
        <v>1</v>
      </c>
      <c r="T1014" s="13" t="s">
        <v>4784</v>
      </c>
      <c r="U1014" s="13"/>
      <c r="V1014" s="13"/>
      <c r="W1014" s="13" t="s">
        <v>4785</v>
      </c>
      <c r="X1014" s="15"/>
      <c r="Y1014" s="15"/>
      <c r="Z1014" s="16"/>
      <c r="AA1014" s="17" t="s">
        <v>56</v>
      </c>
      <c r="AB1014" s="16">
        <v>44558.0</v>
      </c>
      <c r="AC1014" s="17" t="s">
        <v>86</v>
      </c>
      <c r="AD1014" s="16">
        <v>44560.0</v>
      </c>
      <c r="AE1014" s="17" t="s">
        <v>56</v>
      </c>
      <c r="AF1014" s="16">
        <v>44565.0</v>
      </c>
      <c r="AG1014" s="17"/>
      <c r="AH1014" s="16"/>
      <c r="AI1014" s="17"/>
      <c r="AJ1014" s="16"/>
      <c r="AK1014" s="17" t="s">
        <v>87</v>
      </c>
      <c r="AL1014" s="17" t="s">
        <v>87</v>
      </c>
      <c r="AM1014" s="17" t="s">
        <v>89</v>
      </c>
      <c r="AN1014" s="16"/>
      <c r="AO1014" s="16"/>
      <c r="AP1014" s="18"/>
      <c r="AQ1014" s="16"/>
    </row>
    <row r="1015" ht="15.75" customHeight="1">
      <c r="A1015" s="10" t="s">
        <v>4786</v>
      </c>
      <c r="B1015" s="10" t="s">
        <v>4787</v>
      </c>
      <c r="C1015" s="10" t="str">
        <f>VLOOKUP(A1015,import!A:C,3,0)</f>
        <v>DOĞRU</v>
      </c>
      <c r="D1015" s="10" t="s">
        <v>167</v>
      </c>
      <c r="E1015" s="10">
        <f>VLOOKUP(A1015,import!A:J,5,0)</f>
        <v>2310</v>
      </c>
      <c r="F1015" s="10">
        <f>VLOOKUP(A1015,import!A:J,6,0)</f>
        <v>40</v>
      </c>
      <c r="G1015" s="10">
        <f>VLOOKUP(A1015,import!A:J,7,0)</f>
        <v>15</v>
      </c>
      <c r="H1015" s="10">
        <f>VLOOKUP(A1015,import!A:J,8,0)</f>
        <v>13</v>
      </c>
      <c r="I1015" s="10">
        <f>VLOOKUP(A1015,import!A:J,9,0)</f>
        <v>28</v>
      </c>
      <c r="J1015" s="11">
        <f>VLOOKUP(A1015,import!A:J,10,0)</f>
        <v>0.54</v>
      </c>
      <c r="K1015" s="10" t="s">
        <v>4788</v>
      </c>
      <c r="L1015" s="10">
        <v>5.550903333E9</v>
      </c>
      <c r="M1015" s="10" t="s">
        <v>63</v>
      </c>
      <c r="N1015" s="10" t="s">
        <v>137</v>
      </c>
      <c r="O1015" s="10" t="s">
        <v>4789</v>
      </c>
      <c r="P1015" s="10" t="str">
        <f>VLOOKUP(A1015,import!A:P,16,0)</f>
        <v>Geleneksel</v>
      </c>
      <c r="Q1015" s="12" t="s">
        <v>75</v>
      </c>
      <c r="R1015" s="12" t="b">
        <v>1</v>
      </c>
      <c r="S1015" s="12" t="b">
        <v>0</v>
      </c>
      <c r="T1015" s="13" t="s">
        <v>51</v>
      </c>
      <c r="U1015" s="13" t="s">
        <v>367</v>
      </c>
      <c r="V1015" s="13" t="s">
        <v>53</v>
      </c>
      <c r="W1015" s="13" t="s">
        <v>4790</v>
      </c>
      <c r="X1015" s="15">
        <v>44446.0</v>
      </c>
      <c r="Y1015" s="15">
        <v>44448.0</v>
      </c>
      <c r="Z1015" s="16"/>
      <c r="AA1015" s="16"/>
      <c r="AB1015" s="16"/>
      <c r="AC1015" s="16"/>
      <c r="AD1015" s="16"/>
      <c r="AE1015" s="17"/>
      <c r="AF1015" s="16"/>
      <c r="AG1015" s="17"/>
      <c r="AH1015" s="16"/>
      <c r="AI1015" s="16"/>
      <c r="AJ1015" s="16"/>
      <c r="AK1015" s="16"/>
      <c r="AL1015" s="16"/>
      <c r="AM1015" s="16"/>
      <c r="AN1015" s="16"/>
      <c r="AO1015" s="16"/>
      <c r="AP1015" s="18" t="s">
        <v>58</v>
      </c>
      <c r="AQ1015" s="16"/>
    </row>
    <row r="1016" ht="15.75" customHeight="1">
      <c r="A1016" s="10" t="s">
        <v>4791</v>
      </c>
      <c r="B1016" s="10" t="s">
        <v>4792</v>
      </c>
      <c r="C1016" s="10" t="str">
        <f>VLOOKUP(A1016,import!A:C,3,0)</f>
        <v>DOĞRU</v>
      </c>
      <c r="D1016" s="10" t="s">
        <v>167</v>
      </c>
      <c r="E1016" s="10">
        <f>VLOOKUP(A1016,import!A:J,5,0)</f>
        <v>146</v>
      </c>
      <c r="F1016" s="10">
        <f>VLOOKUP(A1016,import!A:J,6,0)</f>
        <v>6</v>
      </c>
      <c r="G1016" s="10">
        <f>VLOOKUP(A1016,import!A:J,7,0)</f>
        <v>8</v>
      </c>
      <c r="H1016" s="10">
        <f>VLOOKUP(A1016,import!A:J,8,0)</f>
        <v>8</v>
      </c>
      <c r="I1016" s="10">
        <f>VLOOKUP(A1016,import!A:J,9,0)</f>
        <v>16</v>
      </c>
      <c r="J1016" s="11">
        <f>VLOOKUP(A1016,import!A:J,10,0)</f>
        <v>0.5</v>
      </c>
      <c r="K1016" s="10" t="s">
        <v>4793</v>
      </c>
      <c r="L1016" s="10">
        <v>5.510290508E9</v>
      </c>
      <c r="M1016" s="10" t="s">
        <v>137</v>
      </c>
      <c r="N1016" s="10" t="s">
        <v>4023</v>
      </c>
      <c r="O1016" s="10" t="s">
        <v>4794</v>
      </c>
      <c r="P1016" s="10" t="str">
        <f>VLOOKUP(A1016,import!A:P,16,0)</f>
        <v>Geleneksel</v>
      </c>
      <c r="Q1016" s="12"/>
      <c r="R1016" s="12" t="b">
        <v>0</v>
      </c>
      <c r="S1016" s="12" t="b">
        <v>0</v>
      </c>
      <c r="T1016" s="13" t="s">
        <v>248</v>
      </c>
      <c r="U1016" s="13"/>
      <c r="V1016" s="13"/>
      <c r="W1016" s="13"/>
      <c r="X1016" s="15"/>
      <c r="Y1016" s="15"/>
      <c r="Z1016" s="16"/>
      <c r="AA1016" s="16"/>
      <c r="AB1016" s="16"/>
      <c r="AC1016" s="16"/>
      <c r="AD1016" s="16"/>
      <c r="AE1016" s="17"/>
      <c r="AF1016" s="16"/>
      <c r="AG1016" s="17"/>
      <c r="AH1016" s="16"/>
      <c r="AI1016" s="16"/>
      <c r="AJ1016" s="16"/>
      <c r="AK1016" s="16"/>
      <c r="AL1016" s="16"/>
      <c r="AM1016" s="16"/>
      <c r="AN1016" s="16"/>
      <c r="AO1016" s="16"/>
      <c r="AP1016" s="18" t="s">
        <v>58</v>
      </c>
      <c r="AQ1016" s="16"/>
    </row>
    <row r="1017" ht="15.75" customHeight="1">
      <c r="A1017" s="10" t="s">
        <v>4795</v>
      </c>
      <c r="B1017" s="10" t="s">
        <v>4796</v>
      </c>
      <c r="C1017" s="10" t="str">
        <f>VLOOKUP(A1017,import!A:C,3,0)</f>
        <v>DOĞRU</v>
      </c>
      <c r="D1017" s="10" t="s">
        <v>1063</v>
      </c>
      <c r="E1017" s="10">
        <f>VLOOKUP(A1017,import!A:J,5,0)</f>
        <v>132</v>
      </c>
      <c r="F1017" s="10" t="str">
        <f>VLOOKUP(A1017,import!A:J,6,0)</f>
        <v/>
      </c>
      <c r="G1017" s="10">
        <f>VLOOKUP(A1017,import!A:J,7,0)</f>
        <v>0</v>
      </c>
      <c r="H1017" s="10">
        <f>VLOOKUP(A1017,import!A:J,8,0)</f>
        <v>5</v>
      </c>
      <c r="I1017" s="10">
        <f>VLOOKUP(A1017,import!A:J,9,0)</f>
        <v>5</v>
      </c>
      <c r="J1017" s="11">
        <f>VLOOKUP(A1017,import!A:J,10,0)</f>
        <v>0</v>
      </c>
      <c r="K1017" s="10" t="s">
        <v>4797</v>
      </c>
      <c r="L1017" s="10">
        <v>5.057587323E9</v>
      </c>
      <c r="M1017" s="10" t="s">
        <v>63</v>
      </c>
      <c r="N1017" s="10" t="s">
        <v>137</v>
      </c>
      <c r="O1017" s="10" t="s">
        <v>4789</v>
      </c>
      <c r="P1017" s="10" t="str">
        <f>VLOOKUP(A1017,import!A:P,16,0)</f>
        <v>Geleneksel</v>
      </c>
      <c r="Q1017" s="12"/>
      <c r="R1017" s="12" t="b">
        <v>1</v>
      </c>
      <c r="S1017" s="12" t="b">
        <v>0</v>
      </c>
      <c r="T1017" s="13"/>
      <c r="U1017" s="13" t="s">
        <v>367</v>
      </c>
      <c r="V1017" s="13" t="s">
        <v>53</v>
      </c>
      <c r="W1017" s="13" t="s">
        <v>4798</v>
      </c>
      <c r="X1017" s="15">
        <v>44446.0</v>
      </c>
      <c r="Y1017" s="15">
        <v>44448.0</v>
      </c>
      <c r="Z1017" s="16"/>
      <c r="AA1017" s="17" t="s">
        <v>56</v>
      </c>
      <c r="AB1017" s="16">
        <v>44446.0</v>
      </c>
      <c r="AC1017" s="17" t="s">
        <v>56</v>
      </c>
      <c r="AD1017" s="16">
        <v>44487.0</v>
      </c>
      <c r="AE1017" s="17" t="s">
        <v>56</v>
      </c>
      <c r="AF1017" s="16">
        <v>44550.0</v>
      </c>
      <c r="AG1017" s="17"/>
      <c r="AH1017" s="16"/>
      <c r="AI1017" s="16"/>
      <c r="AJ1017" s="16"/>
      <c r="AK1017" s="17" t="s">
        <v>367</v>
      </c>
      <c r="AL1017" s="17" t="s">
        <v>87</v>
      </c>
      <c r="AM1017" s="17" t="s">
        <v>89</v>
      </c>
      <c r="AN1017" s="16"/>
      <c r="AO1017" s="16"/>
      <c r="AP1017" s="18" t="s">
        <v>58</v>
      </c>
      <c r="AQ1017" s="16"/>
    </row>
    <row r="1018" ht="15.75" hidden="1" customHeight="1">
      <c r="A1018" s="10" t="s">
        <v>4799</v>
      </c>
      <c r="B1018" s="10" t="s">
        <v>4800</v>
      </c>
      <c r="C1018" s="10" t="str">
        <f>VLOOKUP(A1018,import!A:C,3,0)</f>
        <v>DOĞRU</v>
      </c>
      <c r="D1018" s="10" t="s">
        <v>363</v>
      </c>
      <c r="E1018" s="10">
        <f>VLOOKUP(A1018,import!A:J,5,0)</f>
        <v>709</v>
      </c>
      <c r="F1018" s="10">
        <f>VLOOKUP(A1018,import!A:J,6,0)</f>
        <v>23</v>
      </c>
      <c r="G1018" s="10">
        <f>VLOOKUP(A1018,import!A:J,7,0)</f>
        <v>12</v>
      </c>
      <c r="H1018" s="10">
        <f>VLOOKUP(A1018,import!A:J,8,0)</f>
        <v>15</v>
      </c>
      <c r="I1018" s="10">
        <f>VLOOKUP(A1018,import!A:J,9,0)</f>
        <v>27</v>
      </c>
      <c r="J1018" s="11">
        <f>VLOOKUP(A1018,import!A:J,10,0)</f>
        <v>0.44</v>
      </c>
      <c r="K1018" s="10" t="s">
        <v>4801</v>
      </c>
      <c r="L1018" s="10">
        <v>3.243289494E9</v>
      </c>
      <c r="M1018" s="10" t="s">
        <v>72</v>
      </c>
      <c r="N1018" s="10" t="s">
        <v>1277</v>
      </c>
      <c r="O1018" s="10" t="s">
        <v>4802</v>
      </c>
      <c r="P1018" s="10" t="str">
        <f>VLOOKUP(A1018,import!A:P,16,0)</f>
        <v>Geleneksel</v>
      </c>
      <c r="Q1018" s="12" t="s">
        <v>146</v>
      </c>
      <c r="R1018" s="12" t="b">
        <v>1</v>
      </c>
      <c r="S1018" s="12" t="b">
        <v>0</v>
      </c>
      <c r="T1018" s="13" t="s">
        <v>51</v>
      </c>
      <c r="U1018" s="13" t="s">
        <v>52</v>
      </c>
      <c r="V1018" s="13" t="s">
        <v>278</v>
      </c>
      <c r="W1018" s="13" t="s">
        <v>4803</v>
      </c>
      <c r="X1018" s="15">
        <v>44267.0</v>
      </c>
      <c r="Y1018" s="15">
        <v>44274.0</v>
      </c>
      <c r="Z1018" s="16"/>
      <c r="AA1018" s="17" t="s">
        <v>56</v>
      </c>
      <c r="AB1018" s="16">
        <v>44524.0</v>
      </c>
      <c r="AC1018" s="16"/>
      <c r="AD1018" s="16"/>
      <c r="AE1018" s="17"/>
      <c r="AF1018" s="16"/>
      <c r="AG1018" s="17"/>
      <c r="AH1018" s="16"/>
      <c r="AI1018" s="16"/>
      <c r="AJ1018" s="16"/>
      <c r="AK1018" s="17" t="s">
        <v>103</v>
      </c>
      <c r="AL1018" s="16"/>
      <c r="AM1018" s="16"/>
      <c r="AN1018" s="16"/>
      <c r="AO1018" s="17"/>
      <c r="AP1018" s="18" t="s">
        <v>58</v>
      </c>
      <c r="AQ1018" s="17"/>
    </row>
    <row r="1019" ht="15.75" hidden="1" customHeight="1">
      <c r="A1019" s="10" t="s">
        <v>4804</v>
      </c>
      <c r="B1019" s="10" t="s">
        <v>4805</v>
      </c>
      <c r="C1019" s="10" t="str">
        <f>VLOOKUP(A1019,import!A:C,3,0)</f>
        <v>DOĞRU</v>
      </c>
      <c r="D1019" s="10" t="s">
        <v>363</v>
      </c>
      <c r="E1019" s="10">
        <f>VLOOKUP(A1019,import!A:J,5,0)</f>
        <v>204</v>
      </c>
      <c r="F1019" s="10" t="str">
        <f>VLOOKUP(A1019,import!A:J,6,0)</f>
        <v/>
      </c>
      <c r="G1019" s="10">
        <f>VLOOKUP(A1019,import!A:J,7,0)</f>
        <v>0</v>
      </c>
      <c r="H1019" s="10">
        <f>VLOOKUP(A1019,import!A:J,8,0)</f>
        <v>25</v>
      </c>
      <c r="I1019" s="10">
        <f>VLOOKUP(A1019,import!A:J,9,0)</f>
        <v>25</v>
      </c>
      <c r="J1019" s="11">
        <f>VLOOKUP(A1019,import!A:J,10,0)</f>
        <v>0</v>
      </c>
      <c r="K1019" s="10" t="s">
        <v>4806</v>
      </c>
      <c r="L1019" s="10">
        <v>5.427986788E9</v>
      </c>
      <c r="M1019" s="10" t="s">
        <v>187</v>
      </c>
      <c r="N1019" s="10" t="s">
        <v>188</v>
      </c>
      <c r="O1019" s="10" t="s">
        <v>4807</v>
      </c>
      <c r="P1019" s="10" t="str">
        <f>VLOOKUP(A1019,import!A:P,16,0)</f>
        <v>Geleneksel</v>
      </c>
      <c r="Q1019" s="12"/>
      <c r="R1019" s="12" t="b">
        <v>0</v>
      </c>
      <c r="S1019" s="12" t="b">
        <v>0</v>
      </c>
      <c r="T1019" s="13" t="s">
        <v>485</v>
      </c>
      <c r="U1019" s="13"/>
      <c r="V1019" s="13"/>
      <c r="W1019" s="13"/>
      <c r="X1019" s="15"/>
      <c r="Y1019" s="15"/>
      <c r="Z1019" s="16"/>
      <c r="AA1019" s="16"/>
      <c r="AB1019" s="16"/>
      <c r="AC1019" s="16"/>
      <c r="AD1019" s="16"/>
      <c r="AE1019" s="17"/>
      <c r="AF1019" s="16"/>
      <c r="AG1019" s="17"/>
      <c r="AH1019" s="16"/>
      <c r="AI1019" s="16"/>
      <c r="AJ1019" s="16"/>
      <c r="AK1019" s="16"/>
      <c r="AL1019" s="16"/>
      <c r="AM1019" s="16"/>
      <c r="AN1019" s="16"/>
      <c r="AO1019" s="16"/>
      <c r="AP1019" s="18" t="s">
        <v>58</v>
      </c>
      <c r="AQ1019" s="16"/>
    </row>
    <row r="1020" ht="15.75" customHeight="1">
      <c r="A1020" s="10" t="s">
        <v>4808</v>
      </c>
      <c r="B1020" s="10" t="s">
        <v>4809</v>
      </c>
      <c r="C1020" s="10" t="str">
        <f>VLOOKUP(A1020,import!A:C,3,0)</f>
        <v>DOĞRU</v>
      </c>
      <c r="D1020" s="10" t="s">
        <v>356</v>
      </c>
      <c r="E1020" s="10" t="str">
        <f>VLOOKUP(A1020,import!A:J,5,0)</f>
        <v/>
      </c>
      <c r="F1020" s="10" t="str">
        <f>VLOOKUP(A1020,import!A:J,6,0)</f>
        <v/>
      </c>
      <c r="G1020" s="10">
        <f>VLOOKUP(A1020,import!A:J,7,0)</f>
        <v>16</v>
      </c>
      <c r="H1020" s="10">
        <f>VLOOKUP(A1020,import!A:J,8,0)</f>
        <v>0</v>
      </c>
      <c r="I1020" s="10">
        <f>VLOOKUP(A1020,import!A:J,9,0)</f>
        <v>16</v>
      </c>
      <c r="J1020" s="11">
        <f>VLOOKUP(A1020,import!A:J,10,0)</f>
        <v>1</v>
      </c>
      <c r="K1020" s="10" t="s">
        <v>4810</v>
      </c>
      <c r="L1020" s="10">
        <v>5.36423643E9</v>
      </c>
      <c r="M1020" s="10" t="s">
        <v>63</v>
      </c>
      <c r="N1020" s="10" t="s">
        <v>678</v>
      </c>
      <c r="O1020" s="10" t="s">
        <v>4811</v>
      </c>
      <c r="P1020" s="10" t="str">
        <f>VLOOKUP(A1020,import!A:P,16,0)</f>
        <v>Geleneksel</v>
      </c>
      <c r="Q1020" s="12"/>
      <c r="R1020" s="12" t="b">
        <v>1</v>
      </c>
      <c r="S1020" s="12" t="b">
        <v>0</v>
      </c>
      <c r="T1020" s="13" t="s">
        <v>51</v>
      </c>
      <c r="U1020" s="13" t="s">
        <v>52</v>
      </c>
      <c r="V1020" s="13" t="s">
        <v>66</v>
      </c>
      <c r="W1020" s="13" t="s">
        <v>4812</v>
      </c>
      <c r="X1020" s="15">
        <v>44557.0</v>
      </c>
      <c r="Y1020" s="15">
        <v>44558.0</v>
      </c>
      <c r="Z1020" s="16"/>
      <c r="AA1020" s="17" t="s">
        <v>56</v>
      </c>
      <c r="AB1020" s="16">
        <v>44557.0</v>
      </c>
      <c r="AC1020" s="16"/>
      <c r="AD1020" s="16"/>
      <c r="AE1020" s="17"/>
      <c r="AF1020" s="16"/>
      <c r="AG1020" s="17"/>
      <c r="AH1020" s="16"/>
      <c r="AI1020" s="16"/>
      <c r="AJ1020" s="16"/>
      <c r="AK1020" s="17" t="s">
        <v>52</v>
      </c>
      <c r="AL1020" s="16"/>
      <c r="AM1020" s="16"/>
      <c r="AN1020" s="16"/>
      <c r="AO1020" s="16"/>
      <c r="AP1020" s="18"/>
      <c r="AQ1020" s="16"/>
    </row>
  </sheetData>
  <autoFilter ref="$A$1:$AQ$1020">
    <filterColumn colId="12">
      <filters>
        <filter val="Akdeniz"/>
        <filter val="Mezitli"/>
      </filters>
    </filterColumn>
    <sortState ref="A1:AQ1020">
      <sortCondition descending="1" ref="C1:C1020"/>
      <sortCondition ref="B1:B1020"/>
    </sortState>
  </autoFilter>
  <customSheetViews>
    <customSheetView guid="{800FC62A-0186-4991-A13C-7BF950AA4631}" filter="1" showAutoFilter="1">
      <autoFilter ref="$W$325:$W$328"/>
      <extLst>
        <ext uri="GoogleSheetsCustomDataVersion1">
          <go:sheetsCustomData xmlns:go="http://customooxmlschemas.google.com/" filterViewId="1103082819"/>
        </ext>
      </extLst>
    </customSheetView>
    <customSheetView guid="{1594DD59-FFF9-4095-87DD-FDEBFB7FE2EA}" filter="1" showAutoFilter="1">
      <autoFilter ref="$X$169:$Y$169"/>
      <extLst>
        <ext uri="GoogleSheetsCustomDataVersion1">
          <go:sheetsCustomData xmlns:go="http://customooxmlschemas.google.com/" filterViewId="1176640961"/>
        </ext>
      </extLst>
    </customSheetView>
    <customSheetView guid="{CA2C7EEC-3363-45D7-8894-C693FC94511D}" filter="1" showAutoFilter="1">
      <autoFilter ref="$AJ$10"/>
      <extLst>
        <ext uri="GoogleSheetsCustomDataVersion1">
          <go:sheetsCustomData xmlns:go="http://customooxmlschemas.google.com/" filterViewId="1190441512"/>
        </ext>
      </extLst>
    </customSheetView>
    <customSheetView guid="{34FCDDD1-7922-4D67-B40E-25F7A7038B17}" filter="1" showAutoFilter="1">
      <autoFilter ref="$X$169:$Y$169"/>
      <extLst>
        <ext uri="GoogleSheetsCustomDataVersion1">
          <go:sheetsCustomData xmlns:go="http://customooxmlschemas.google.com/" filterViewId="125878234"/>
        </ext>
      </extLst>
    </customSheetView>
    <customSheetView guid="{2F8C13A9-6A5D-40B6-89C5-908DDEF8C148}" filter="1" showAutoFilter="1">
      <autoFilter ref="$A$1:$AI$337">
        <filterColumn colId="8">
          <customFilters>
            <customFilter operator="greaterThan" val="35"/>
          </customFilters>
        </filterColumn>
      </autoFilter>
      <extLst>
        <ext uri="GoogleSheetsCustomDataVersion1">
          <go:sheetsCustomData xmlns:go="http://customooxmlschemas.google.com/" filterViewId="1287750060"/>
        </ext>
      </extLst>
    </customSheetView>
    <customSheetView guid="{EEB208D1-43D9-4FB6-843D-4B3152F48150}" filter="1" showAutoFilter="1">
      <autoFilter ref="$AJ$10"/>
      <extLst>
        <ext uri="GoogleSheetsCustomDataVersion1">
          <go:sheetsCustomData xmlns:go="http://customooxmlschemas.google.com/" filterViewId="1333677974"/>
        </ext>
      </extLst>
    </customSheetView>
    <customSheetView guid="{4264FFFA-3B7B-495F-A98D-D28474E7FBD6}" filter="1" showAutoFilter="1">
      <autoFilter ref="$A$1:$AO$822">
        <filterColumn colId="9">
          <filters>
            <filter val="1%"/>
            <filter val="2%"/>
            <filter val="3%"/>
            <filter val="5%"/>
            <filter val="6%"/>
            <filter val="7%"/>
            <filter val="0%"/>
          </filters>
        </filterColumn>
        <filterColumn colId="19">
          <filters>
            <filter val="Franchise"/>
            <filter val="Başka Şubeden Çekilecek"/>
            <filter val="Yılbaşından Sonra Aranacak"/>
          </filters>
        </filterColumn>
      </autoFilter>
      <extLst>
        <ext uri="GoogleSheetsCustomDataVersion1">
          <go:sheetsCustomData xmlns:go="http://customooxmlschemas.google.com/" filterViewId="14085334"/>
        </ext>
      </extLst>
    </customSheetView>
    <customSheetView guid="{17BBFDE8-4DC3-47D6-9B2A-382C38617387}" filter="1" showAutoFilter="1">
      <autoFilter ref="$A$1:$AO$697">
        <filterColumn colId="9">
          <filters>
            <filter val="11%"/>
            <filter val="95%"/>
            <filter val="1%"/>
            <filter val="6%"/>
            <filter val="13%"/>
            <filter val="97%"/>
            <filter val="3%"/>
            <filter val="14%"/>
            <filter val="34%"/>
            <filter val="8%"/>
            <filter val="4%"/>
            <filter val="0%"/>
          </filters>
        </filterColumn>
        <filterColumn colId="19">
          <filters>
            <filter val="İleride Randevu Alınacak"/>
            <filter val="Ulaşılamadı"/>
            <filter val="Sistemden Çıkmak İstiyor"/>
            <filter val="Çekim İstemiyor"/>
            <filter val="Tadilat Var"/>
          </filters>
        </filterColumn>
        <filterColumn colId="18">
          <filters blank="1">
            <filter val="FALSE"/>
          </filters>
        </filterColumn>
      </autoFilter>
      <extLst>
        <ext uri="GoogleSheetsCustomDataVersion1">
          <go:sheetsCustomData xmlns:go="http://customooxmlschemas.google.com/" filterViewId="1452487335"/>
        </ext>
      </extLst>
    </customSheetView>
    <customSheetView guid="{734260C1-C8A6-4F42-8F27-C6D42C71439E}" filter="1" showAutoFilter="1">
      <autoFilter ref="$T$37:$T$451"/>
      <extLst>
        <ext uri="GoogleSheetsCustomDataVersion1">
          <go:sheetsCustomData xmlns:go="http://customooxmlschemas.google.com/" filterViewId="1458989757"/>
        </ext>
      </extLst>
    </customSheetView>
    <customSheetView guid="{DE9D7DD6-229C-472E-A6D4-14F5A5B4B73E}" filter="1" showAutoFilter="1">
      <autoFilter ref="$W$311"/>
      <extLst>
        <ext uri="GoogleSheetsCustomDataVersion1">
          <go:sheetsCustomData xmlns:go="http://customooxmlschemas.google.com/" filterViewId="1464791028"/>
        </ext>
      </extLst>
    </customSheetView>
    <customSheetView guid="{40679580-73D5-41B4-BBC8-18F019E5B693}" filter="1" showAutoFilter="1">
      <autoFilter ref="$S$1:$S$574"/>
      <extLst>
        <ext uri="GoogleSheetsCustomDataVersion1">
          <go:sheetsCustomData xmlns:go="http://customooxmlschemas.google.com/" filterViewId="1482891763"/>
        </ext>
      </extLst>
    </customSheetView>
    <customSheetView guid="{ABE11A69-E549-48E8-98D4-2AD701329D10}" filter="1" showAutoFilter="1">
      <autoFilter ref="$A$1:$AO$655">
        <filterColumn colId="25">
          <filters>
            <filter val="Hemen Randevu İstiyorum"/>
          </filters>
        </filterColumn>
      </autoFilter>
      <extLst>
        <ext uri="GoogleSheetsCustomDataVersion1">
          <go:sheetsCustomData xmlns:go="http://customooxmlschemas.google.com/" filterViewId="1492587937"/>
        </ext>
      </extLst>
    </customSheetView>
    <customSheetView guid="{DE3364AB-B339-4446-807F-65367EACBDCC}" filter="1" showAutoFilter="1">
      <autoFilter ref="$W$247:$W$250"/>
      <extLst>
        <ext uri="GoogleSheetsCustomDataVersion1">
          <go:sheetsCustomData xmlns:go="http://customooxmlschemas.google.com/" filterViewId="1563646217"/>
        </ext>
      </extLst>
    </customSheetView>
    <customSheetView guid="{0B9C297E-0DC7-44E4-B213-E6DD51B16800}" filter="1" showAutoFilter="1">
      <autoFilter ref="$AH$8"/>
      <extLst>
        <ext uri="GoogleSheetsCustomDataVersion1">
          <go:sheetsCustomData xmlns:go="http://customooxmlschemas.google.com/" filterViewId="1632095263"/>
        </ext>
      </extLst>
    </customSheetView>
    <customSheetView guid="{C06BAEE7-6D50-4CC2-9440-9BCCB77F5EFA}" filter="1" showAutoFilter="1">
      <autoFilter ref="$X$79:$Y$80"/>
      <extLst>
        <ext uri="GoogleSheetsCustomDataVersion1">
          <go:sheetsCustomData xmlns:go="http://customooxmlschemas.google.com/" filterViewId="1653131861"/>
        </ext>
      </extLst>
    </customSheetView>
    <customSheetView guid="{F661F73A-24AD-4431-A341-96F929761282}" filter="1" showAutoFilter="1">
      <autoFilter ref="$A$1:$AA$419">
        <filterColumn colId="19">
          <filters>
            <filter val="Ulaşılamadı"/>
            <filter val="Dönüş Yapacak"/>
            <filter val="Lokasyon Uzak"/>
            <filter val="BlackList"/>
            <filter val="Franchise"/>
            <filter val="Çekim İstemiyor"/>
            <filter val="Tadilat Var"/>
            <filter val="Restoran Silindi"/>
          </filters>
        </filterColumn>
      </autoFilter>
      <extLst>
        <ext uri="GoogleSheetsCustomDataVersion1">
          <go:sheetsCustomData xmlns:go="http://customooxmlschemas.google.com/" filterViewId="1660998064"/>
        </ext>
      </extLst>
    </customSheetView>
    <customSheetView guid="{0CD4BF66-61D4-41DD-BF88-FDC472D6315C}" filter="1" showAutoFilter="1">
      <autoFilter ref="$W$325:$W$328"/>
      <extLst>
        <ext uri="GoogleSheetsCustomDataVersion1">
          <go:sheetsCustomData xmlns:go="http://customooxmlschemas.google.com/" filterViewId="1699850753"/>
        </ext>
      </extLst>
    </customSheetView>
    <customSheetView guid="{FB1F08D7-3075-491A-8E24-8208EBA2F792}" filter="1" showAutoFilter="1">
      <autoFilter ref="$W$311"/>
      <extLst>
        <ext uri="GoogleSheetsCustomDataVersion1">
          <go:sheetsCustomData xmlns:go="http://customooxmlschemas.google.com/" filterViewId="1706857736"/>
        </ext>
      </extLst>
    </customSheetView>
    <customSheetView guid="{721354E9-4C9C-4435-9AD8-EE9DD0551ED4}" filter="1" showAutoFilter="1">
      <autoFilter ref="$A$1:$AO$747">
        <filterColumn colId="9">
          <filters>
            <filter val="11%"/>
            <filter val="9%"/>
            <filter val="1%"/>
            <filter val="12%"/>
            <filter val="6%"/>
            <filter val="13%"/>
            <filter val="97%"/>
            <filter val="3%"/>
            <filter val="0%"/>
          </filters>
        </filterColumn>
        <filterColumn colId="19">
          <filters>
            <filter val="İleride Randevu Alınacak"/>
            <filter val="Ulaşılamadı"/>
            <filter val="Dönüş Yapacak"/>
            <filter val="Sistemden Çıkmak İstiyor"/>
            <filter val="Çekim İstemiyor"/>
            <filter val="Tadilat Var"/>
          </filters>
        </filterColumn>
        <filterColumn colId="18">
          <filters blank="1">
            <filter val="FALSE"/>
          </filters>
        </filterColumn>
      </autoFilter>
      <extLst>
        <ext uri="GoogleSheetsCustomDataVersion1">
          <go:sheetsCustomData xmlns:go="http://customooxmlschemas.google.com/" filterViewId="1768329103"/>
        </ext>
      </extLst>
    </customSheetView>
    <customSheetView guid="{DCB140B4-A763-470C-8758-82B09744DDCD}" filter="1" showAutoFilter="1">
      <autoFilter ref="$W$325:$W$328"/>
      <extLst>
        <ext uri="GoogleSheetsCustomDataVersion1">
          <go:sheetsCustomData xmlns:go="http://customooxmlschemas.google.com/" filterViewId="1783068792"/>
        </ext>
      </extLst>
    </customSheetView>
    <customSheetView guid="{59D9EDD7-222E-489D-B6DF-A4C38FD5A1CD}" filter="1" showAutoFilter="1">
      <autoFilter ref="$W$311:$W$313"/>
      <extLst>
        <ext uri="GoogleSheetsCustomDataVersion1">
          <go:sheetsCustomData xmlns:go="http://customooxmlschemas.google.com/" filterViewId="1798833146"/>
        </ext>
      </extLst>
    </customSheetView>
    <customSheetView guid="{1BD4E991-83F7-4C7D-980D-0015110EE627}" filter="1" showAutoFilter="1">
      <autoFilter ref="$A$1:$AA$461"/>
      <extLst>
        <ext uri="GoogleSheetsCustomDataVersion1">
          <go:sheetsCustomData xmlns:go="http://customooxmlschemas.google.com/" filterViewId="1931973087"/>
        </ext>
      </extLst>
    </customSheetView>
    <customSheetView guid="{697BAABE-1FBD-4B3B-81C1-3ED7566140E6}" filter="1" showAutoFilter="1">
      <autoFilter ref="$W$311"/>
      <extLst>
        <ext uri="GoogleSheetsCustomDataVersion1">
          <go:sheetsCustomData xmlns:go="http://customooxmlschemas.google.com/" filterViewId="1946929832"/>
        </ext>
      </extLst>
    </customSheetView>
    <customSheetView guid="{6E50DD65-92A6-478C-9928-8C7B9231046B}" filter="1" showAutoFilter="1">
      <autoFilter ref="$T$35:$T$440"/>
      <extLst>
        <ext uri="GoogleSheetsCustomDataVersion1">
          <go:sheetsCustomData xmlns:go="http://customooxmlschemas.google.com/" filterViewId="2036303040"/>
        </ext>
      </extLst>
    </customSheetView>
    <customSheetView guid="{A3E6D4F6-3EB0-45DC-BFC6-A276237452FD}" filter="1" showAutoFilter="1">
      <autoFilter ref="$A$1:$AO$655">
        <filterColumn colId="9">
          <filters>
            <filter val="95%"/>
            <filter val="1%"/>
            <filter val="16%"/>
            <filter val="12%"/>
            <filter val="6%"/>
            <filter val="49%"/>
            <filter val="13%"/>
            <filter val="3%"/>
            <filter val="94%"/>
            <filter val="8%"/>
            <filter val="90%"/>
            <filter val="0%"/>
          </filters>
        </filterColumn>
        <filterColumn colId="19">
          <filters>
            <filter val="Lokasyon Uzak"/>
            <filter val="Çekim İstemiyor"/>
            <filter val="Tadilat Var"/>
          </filters>
        </filterColumn>
        <filterColumn colId="18">
          <filters blank="1">
            <filter val="FALSE"/>
          </filters>
        </filterColumn>
      </autoFilter>
      <extLst>
        <ext uri="GoogleSheetsCustomDataVersion1">
          <go:sheetsCustomData xmlns:go="http://customooxmlschemas.google.com/" filterViewId="2054186350"/>
        </ext>
      </extLst>
    </customSheetView>
    <customSheetView guid="{8A573261-7E85-43E0-8EE4-BB340FE7C08C}" filter="1" showAutoFilter="1">
      <autoFilter ref="$W$212:$W$213"/>
      <extLst>
        <ext uri="GoogleSheetsCustomDataVersion1">
          <go:sheetsCustomData xmlns:go="http://customooxmlschemas.google.com/" filterViewId="2119604711"/>
        </ext>
      </extLst>
    </customSheetView>
    <customSheetView guid="{6F4E752A-4FB1-4289-AD58-B63CC58DDACD}" filter="1" showAutoFilter="1">
      <autoFilter ref="$X$129:$Y$131"/>
      <extLst>
        <ext uri="GoogleSheetsCustomDataVersion1">
          <go:sheetsCustomData xmlns:go="http://customooxmlschemas.google.com/" filterViewId="225503104"/>
        </ext>
      </extLst>
    </customSheetView>
    <customSheetView guid="{DC1818F9-0BBD-4E72-A988-D020C3822137}" filter="1" showAutoFilter="1">
      <autoFilter ref="$A$1:$AA$540">
        <filterColumn colId="19">
          <filters>
            <filter val="İleride Randevu Alınacak"/>
            <filter val="Dönüş Yapacak"/>
            <filter val="Lokasyon Uzak"/>
            <filter val="BlackList"/>
            <filter val="Tadilat Var"/>
          </filters>
        </filterColumn>
      </autoFilter>
      <extLst>
        <ext uri="GoogleSheetsCustomDataVersion1">
          <go:sheetsCustomData xmlns:go="http://customooxmlschemas.google.com/" filterViewId="240268582"/>
        </ext>
      </extLst>
    </customSheetView>
    <customSheetView guid="{821DEC20-A85A-42D2-8F2D-D04CE9AB9239}" filter="1" showAutoFilter="1">
      <autoFilter ref="$A$1:$AO$718">
        <filterColumn colId="9">
          <filters>
            <filter val="11%"/>
            <filter val="95%"/>
            <filter val="9%"/>
            <filter val="44%"/>
            <filter val="6%"/>
            <filter val="13%"/>
            <filter val="97%"/>
            <filter val="3%"/>
            <filter val="4%"/>
            <filter val="0%"/>
          </filters>
        </filterColumn>
        <filterColumn colId="18">
          <filters blank="1">
            <filter val="TRUE"/>
          </filters>
        </filterColumn>
        <filterColumn colId="19">
          <filters blank="1">
            <filter val="Ulaşılamadı"/>
            <filter val="Sistemden Çıkmak İstiyor"/>
            <filter val="Lokasyon Uzak"/>
            <filter val="BlackList"/>
            <filter val="Randevu Alındı"/>
            <filter val="Devir"/>
            <filter val="Tadilat Var"/>
            <filter val="Restoran Silindi"/>
          </filters>
        </filterColumn>
      </autoFilter>
      <extLst>
        <ext uri="GoogleSheetsCustomDataVersion1">
          <go:sheetsCustomData xmlns:go="http://customooxmlschemas.google.com/" filterViewId="284814135"/>
        </ext>
      </extLst>
    </customSheetView>
    <customSheetView guid="{88640532-789B-45F6-87BB-D8DBB3BB5A08}" filter="1" showAutoFilter="1">
      <autoFilter ref="$W$325:$W$328"/>
      <extLst>
        <ext uri="GoogleSheetsCustomDataVersion1">
          <go:sheetsCustomData xmlns:go="http://customooxmlschemas.google.com/" filterViewId="287403359"/>
        </ext>
      </extLst>
    </customSheetView>
    <customSheetView guid="{2D98275A-297B-4B7E-B5ED-1995C9545EE5}" filter="1" showAutoFilter="1">
      <autoFilter ref="$A$1:$AO$771">
        <sortState ref="A1:AO771">
          <sortCondition ref="B1:B771"/>
        </sortState>
      </autoFilter>
      <extLst>
        <ext uri="GoogleSheetsCustomDataVersion1">
          <go:sheetsCustomData xmlns:go="http://customooxmlschemas.google.com/" filterViewId="581719304"/>
        </ext>
      </extLst>
    </customSheetView>
    <customSheetView guid="{13A4DF29-5B29-43E6-AC6D-4DA2CFF6443C}" filter="1" showAutoFilter="1">
      <autoFilter ref="$X$130:$Y$132"/>
      <extLst>
        <ext uri="GoogleSheetsCustomDataVersion1">
          <go:sheetsCustomData xmlns:go="http://customooxmlschemas.google.com/" filterViewId="60145462"/>
        </ext>
      </extLst>
    </customSheetView>
    <customSheetView guid="{FA8BA213-7869-41A0-AECE-444C25D6BF51}" filter="1" showAutoFilter="1">
      <autoFilter ref="$T$1:$T$439">
        <filterColumn colId="0">
          <filters blank="1">
            <filter val="İleride Randevu Alınacak"/>
            <filter val="Ulaşılamadı"/>
            <filter val="Dönüş Yapacak"/>
            <filter val="Lokasyon Uzak"/>
            <filter val="BlackList"/>
            <filter val="Franchise"/>
            <filter val="Randevu İptal"/>
            <filter val="Tadilat Var"/>
            <filter val="Restoran Silindi"/>
          </filters>
        </filterColumn>
      </autoFilter>
      <extLst>
        <ext uri="GoogleSheetsCustomDataVersion1">
          <go:sheetsCustomData xmlns:go="http://customooxmlschemas.google.com/" filterViewId="615329882"/>
        </ext>
      </extLst>
    </customSheetView>
    <customSheetView guid="{9D33451F-1B5E-4916-A1DC-1D6D17443072}" filter="1" showAutoFilter="1">
      <autoFilter ref="$W$325:$W$328"/>
      <extLst>
        <ext uri="GoogleSheetsCustomDataVersion1">
          <go:sheetsCustomData xmlns:go="http://customooxmlschemas.google.com/" filterViewId="632889922"/>
        </ext>
      </extLst>
    </customSheetView>
    <customSheetView guid="{215C5152-F4E9-41CF-9CFD-327F9E3F6451}" filter="1" showAutoFilter="1">
      <autoFilter ref="$AA$724:$AO$729"/>
      <extLst>
        <ext uri="GoogleSheetsCustomDataVersion1">
          <go:sheetsCustomData xmlns:go="http://customooxmlschemas.google.com/" filterViewId="646350880"/>
        </ext>
      </extLst>
    </customSheetView>
    <customSheetView guid="{F3C9A537-F769-4BF6-B058-99D14A751A28}" filter="1" showAutoFilter="1">
      <autoFilter ref="$X$130:$Y$134"/>
      <extLst>
        <ext uri="GoogleSheetsCustomDataVersion1">
          <go:sheetsCustomData xmlns:go="http://customooxmlschemas.google.com/" filterViewId="655086464"/>
        </ext>
      </extLst>
    </customSheetView>
    <customSheetView guid="{5D392BE3-16B8-4FF3-8B61-282795B4F764}" filter="1" showAutoFilter="1">
      <autoFilter ref="$A$1:$AA$337"/>
      <extLst>
        <ext uri="GoogleSheetsCustomDataVersion1">
          <go:sheetsCustomData xmlns:go="http://customooxmlschemas.google.com/" filterViewId="718411797"/>
        </ext>
      </extLst>
    </customSheetView>
    <customSheetView guid="{8A948A72-C498-4F33-A24F-3A48F750AFCC}" filter="1" showAutoFilter="1">
      <autoFilter ref="$X$169:$Y$169"/>
      <extLst>
        <ext uri="GoogleSheetsCustomDataVersion1">
          <go:sheetsCustomData xmlns:go="http://customooxmlschemas.google.com/" filterViewId="728103830"/>
        </ext>
      </extLst>
    </customSheetView>
    <customSheetView guid="{11EE25A7-266C-4D1E-8C7B-2AE89BBE9005}" filter="1" showAutoFilter="1">
      <autoFilter ref="$V$18"/>
      <extLst>
        <ext uri="GoogleSheetsCustomDataVersion1">
          <go:sheetsCustomData xmlns:go="http://customooxmlschemas.google.com/" filterViewId="777488933"/>
        </ext>
      </extLst>
    </customSheetView>
    <customSheetView guid="{D64D946E-D398-4C58-B5E4-7CB08903080A}" filter="1" showAutoFilter="1">
      <autoFilter ref="$AH$8"/>
      <extLst>
        <ext uri="GoogleSheetsCustomDataVersion1">
          <go:sheetsCustomData xmlns:go="http://customooxmlschemas.google.com/" filterViewId="855055279"/>
        </ext>
      </extLst>
    </customSheetView>
  </customSheetViews>
  <conditionalFormatting sqref="C2:C1020">
    <cfRule type="containsText" dxfId="0" priority="1" operator="containsText" text="TRUE">
      <formula>NOT(ISERROR(SEARCH(("TRUE"),(C2))))</formula>
    </cfRule>
  </conditionalFormatting>
  <conditionalFormatting sqref="C1:C1020">
    <cfRule type="containsText" dxfId="1" priority="2" operator="containsText" text="FALSE">
      <formula>NOT(ISERROR(SEARCH(("FALSE"),(C1))))</formula>
    </cfRule>
  </conditionalFormatting>
  <conditionalFormatting sqref="J1:J1020">
    <cfRule type="colorScale" priority="3">
      <colorScale>
        <cfvo type="min"/>
        <cfvo type="percentile" val="50"/>
        <cfvo type="max"/>
        <color rgb="FFE67C73"/>
        <color rgb="FFFFFFFF"/>
        <color rgb="FF57BB8A"/>
      </colorScale>
    </cfRule>
  </conditionalFormatting>
  <conditionalFormatting sqref="P2:P1020">
    <cfRule type="containsText" dxfId="0" priority="4" operator="containsText" text="Geleneksel">
      <formula>NOT(ISERROR(SEARCH(("Geleneksel"),(P2))))</formula>
    </cfRule>
  </conditionalFormatting>
  <conditionalFormatting sqref="P2:P1020">
    <cfRule type="notContainsText" dxfId="2" priority="5" operator="notContains" text="Geleneksel">
      <formula>ISERROR(SEARCH(("Geleneksel"),(P2)))</formula>
    </cfRule>
  </conditionalFormatting>
  <dataValidations>
    <dataValidation type="list" allowBlank="1" showErrorMessage="1" sqref="X2:Y1020 AB2:AB1020 AD2:AD1020 AF2:AF1020 AH2:AH1020 AJ2:AJ1020">
      <formula1>'Durum Parametreler'!$A$1:$A$700</formula1>
    </dataValidation>
    <dataValidation type="list" allowBlank="1" showErrorMessage="1" sqref="Z2:Z1020">
      <formula1>'Durum Parametreler'!$C$30:$C$32</formula1>
    </dataValidation>
    <dataValidation type="list" allowBlank="1" showErrorMessage="1" sqref="T2:T1020">
      <formula1>'Durum Parametreler'!$C$2:$C$25</formula1>
    </dataValidation>
    <dataValidation type="list" allowBlank="1" showErrorMessage="1" sqref="AQ2:AQ1020">
      <formula1>'Durum Parametreler'!$C$35:$C$38</formula1>
    </dataValidation>
    <dataValidation type="list" allowBlank="1" showErrorMessage="1" sqref="U2:U677 U679:U1020">
      <formula1>'Durum Parametreler'!$F$10:$F$41</formula1>
    </dataValidation>
    <dataValidation type="list" allowBlank="1" sqref="V2:V10 V12:V51 V53:V69 V71 V73:V77 V79:V83 V85:V87 V90 V93:V99 V101:V102 V105:V118 V120:V128 V130:V131 V133:V149 V151:V158 V160 V162:V178 V180 V182 V184 V186:V195 V197:V215 V217:V233 V235:V252 V254:V281 V283 V285:V291 V293:V298 V300:V309 V311:V314 V316:V336 V338:V346 V348:V384 V386:V387 V389:V392 V395:V422 V424:V441 V443:V450 V452:V463 V465:V472 V474:V484 V486:V505 V507:V508 V511:V547 V549:V562 V564:V576 V578:V580 V582:V599 V601:V611 V613:V626 V628:V646 V648:V661 V663:V675 V677:V679 V681:V700 V702:V750 V752:V767 V769:V812 V814:V818 V820:V831 V833:V844 V846:V871 V873:V888 V890:V895 V897:V914 V916:V920 V922:V945 V947:V954 V956 V958:V969 V971:V972 V974:V991 V993:V997 V999 V1001:V1014 V1016 V1018:V1020">
      <formula1>'Durum Parametreler'!$F$2:$F$5</formula1>
    </dataValidation>
    <dataValidation type="list" allowBlank="1" showErrorMessage="1" sqref="U678 AK2:AO1020">
      <formula1>'Durum Parametreler'!$F$10:$F$34</formula1>
    </dataValidation>
    <dataValidation type="list" allowBlank="1" showErrorMessage="1" sqref="B820">
      <formula1>'Durum Parametreler'!$C$2:$C$19</formula1>
    </dataValidation>
    <dataValidation type="list" allowBlank="1" showErrorMessage="1" sqref="AC2:AC9 AA2:AA1020 AC11:AC1020 AE2:AE1020 AG2:AG1020 AI2:AI1020">
      <formula1>'Durum Parametreler'!$C$24:$C$28</formula1>
    </dataValidation>
  </dataValidations>
  <hyperlinks>
    <hyperlink r:id="rId1" ref="W444"/>
    <hyperlink r:id="rId2" ref="W884"/>
    <hyperlink r:id="rId3" ref="W927"/>
    <hyperlink r:id="rId4" ref="W100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88"/>
    <col customWidth="1" min="2" max="2" width="8.38"/>
    <col customWidth="1" min="3" max="3" width="9.38"/>
    <col customWidth="1" min="4" max="4" width="11.38"/>
    <col customWidth="1" min="5" max="5" width="11.13"/>
    <col customWidth="1" min="6" max="6" width="24.25"/>
    <col customWidth="1" min="7" max="7" width="6.25"/>
    <col customWidth="1" min="8" max="8" width="13.25"/>
    <col customWidth="1" min="9" max="9" width="31.88"/>
    <col customWidth="1" min="10" max="10" width="47.63"/>
    <col customWidth="1" min="11" max="11" width="21.5"/>
    <col customWidth="1" min="12" max="12" width="39.13"/>
    <col customWidth="1" min="13" max="13" width="68.0"/>
    <col customWidth="1" min="14" max="14" width="11.88"/>
    <col customWidth="1" min="15" max="15" width="11.63"/>
  </cols>
  <sheetData>
    <row r="1" ht="24.75" customHeight="1">
      <c r="A1" s="43" t="s">
        <v>4813</v>
      </c>
      <c r="B1" s="44" t="s">
        <v>4814</v>
      </c>
      <c r="C1" s="45" t="s">
        <v>4815</v>
      </c>
      <c r="D1" s="44" t="s">
        <v>20</v>
      </c>
      <c r="E1" s="44" t="s">
        <v>4816</v>
      </c>
      <c r="F1" s="46" t="s">
        <v>4817</v>
      </c>
      <c r="G1" s="47" t="s">
        <v>4818</v>
      </c>
      <c r="H1" s="44" t="s">
        <v>4819</v>
      </c>
      <c r="I1" s="44" t="s">
        <v>4820</v>
      </c>
      <c r="J1" s="44" t="s">
        <v>14</v>
      </c>
      <c r="K1" s="48" t="s">
        <v>4821</v>
      </c>
      <c r="L1" s="44" t="s">
        <v>4822</v>
      </c>
      <c r="M1" s="49" t="s">
        <v>4823</v>
      </c>
      <c r="N1" s="44" t="s">
        <v>4824</v>
      </c>
      <c r="O1" s="44" t="s">
        <v>4825</v>
      </c>
      <c r="P1" s="50" t="s">
        <v>4826</v>
      </c>
      <c r="Q1" s="50"/>
      <c r="R1" s="50"/>
      <c r="S1" s="50"/>
      <c r="T1" s="50"/>
      <c r="U1" s="50"/>
      <c r="V1" s="50"/>
      <c r="W1" s="50"/>
      <c r="X1" s="50"/>
      <c r="Y1" s="50"/>
      <c r="Z1" s="50"/>
      <c r="AA1" s="50"/>
      <c r="AB1" s="50"/>
    </row>
    <row r="2" ht="15.75" customHeight="1">
      <c r="A2" s="38"/>
      <c r="B2" s="51"/>
      <c r="C2" s="52">
        <v>44270.0</v>
      </c>
      <c r="D2" s="38"/>
      <c r="E2" s="53"/>
      <c r="F2" s="54"/>
      <c r="G2" s="54"/>
      <c r="H2" s="54"/>
      <c r="I2" s="54"/>
      <c r="J2" s="54"/>
      <c r="K2" s="54"/>
      <c r="L2" s="55"/>
      <c r="M2" s="56"/>
      <c r="N2" s="56"/>
      <c r="O2" s="56"/>
      <c r="P2" s="56"/>
      <c r="Q2" s="56"/>
      <c r="R2" s="56"/>
      <c r="S2" s="56"/>
      <c r="T2" s="56"/>
      <c r="U2" s="56"/>
      <c r="V2" s="56"/>
      <c r="W2" s="56"/>
      <c r="X2" s="56"/>
      <c r="Y2" s="56"/>
      <c r="Z2" s="56"/>
      <c r="AA2" s="56"/>
      <c r="AB2" s="56"/>
    </row>
    <row r="3" ht="15.75" customHeight="1">
      <c r="A3" s="57" t="str">
        <f t="shared" ref="A3:A423" si="1">E3</f>
        <v>5ffc92665f0ab4b544e7da57</v>
      </c>
      <c r="B3" s="58" t="s">
        <v>4827</v>
      </c>
      <c r="C3" s="56" t="s">
        <v>66</v>
      </c>
      <c r="D3" s="59" t="s">
        <v>108</v>
      </c>
      <c r="E3" s="60" t="s">
        <v>812</v>
      </c>
      <c r="F3" s="60" t="s">
        <v>813</v>
      </c>
      <c r="G3" s="61">
        <v>0.4583333333333333</v>
      </c>
      <c r="H3" s="59" t="s">
        <v>4828</v>
      </c>
      <c r="I3" s="59" t="s">
        <v>4829</v>
      </c>
      <c r="J3" s="60" t="s">
        <v>815</v>
      </c>
      <c r="K3" s="62" t="s">
        <v>4830</v>
      </c>
      <c r="L3" s="38">
        <v>13.0</v>
      </c>
      <c r="M3" s="56">
        <f>VLOOKUP(E3,'Hedef Liste'!A:I,9,false)</f>
        <v>18</v>
      </c>
      <c r="N3" s="56" t="b">
        <v>0</v>
      </c>
      <c r="O3" s="56" t="b">
        <v>0</v>
      </c>
      <c r="P3" s="56"/>
      <c r="Q3" s="56"/>
      <c r="R3" s="56"/>
      <c r="S3" s="56"/>
      <c r="T3" s="56"/>
      <c r="U3" s="56"/>
      <c r="V3" s="56"/>
      <c r="W3" s="56"/>
      <c r="X3" s="56"/>
      <c r="Y3" s="56"/>
      <c r="Z3" s="56"/>
      <c r="AA3" s="56"/>
      <c r="AB3" s="56"/>
    </row>
    <row r="4" ht="15.75" customHeight="1">
      <c r="A4" s="57" t="str">
        <f t="shared" si="1"/>
        <v>6026d563ff60ad8f5fc077b9</v>
      </c>
      <c r="B4" s="63"/>
      <c r="C4" s="56" t="s">
        <v>66</v>
      </c>
      <c r="D4" s="59" t="s">
        <v>108</v>
      </c>
      <c r="E4" s="60" t="s">
        <v>2112</v>
      </c>
      <c r="F4" s="60" t="s">
        <v>2113</v>
      </c>
      <c r="G4" s="61">
        <v>0.5208333333333334</v>
      </c>
      <c r="H4" s="59" t="s">
        <v>4828</v>
      </c>
      <c r="I4" s="59" t="s">
        <v>4831</v>
      </c>
      <c r="J4" s="60" t="s">
        <v>2115</v>
      </c>
      <c r="K4" s="62" t="s">
        <v>4830</v>
      </c>
      <c r="L4" s="38">
        <v>27.0</v>
      </c>
      <c r="M4" s="56">
        <f>VLOOKUP(E4,'Hedef Liste'!A:I,9,false)</f>
        <v>47</v>
      </c>
      <c r="N4" s="56" t="b">
        <v>0</v>
      </c>
      <c r="O4" s="56" t="b">
        <v>0</v>
      </c>
      <c r="P4" s="56"/>
      <c r="Q4" s="56"/>
      <c r="R4" s="56"/>
      <c r="S4" s="56"/>
      <c r="T4" s="56"/>
      <c r="U4" s="56"/>
      <c r="V4" s="56"/>
      <c r="W4" s="56"/>
      <c r="X4" s="56"/>
      <c r="Y4" s="56"/>
      <c r="Z4" s="56"/>
      <c r="AA4" s="56"/>
      <c r="AB4" s="56"/>
    </row>
    <row r="5" ht="15.75" customHeight="1">
      <c r="A5" s="57" t="str">
        <f t="shared" si="1"/>
        <v>601954628ecbe9f3ef5c861c</v>
      </c>
      <c r="B5" s="63"/>
      <c r="C5" s="56" t="s">
        <v>66</v>
      </c>
      <c r="D5" s="62" t="s">
        <v>108</v>
      </c>
      <c r="E5" s="60" t="s">
        <v>104</v>
      </c>
      <c r="F5" s="60" t="s">
        <v>105</v>
      </c>
      <c r="G5" s="61">
        <v>0.5833333333333334</v>
      </c>
      <c r="H5" s="59" t="s">
        <v>4832</v>
      </c>
      <c r="I5" s="59" t="s">
        <v>4833</v>
      </c>
      <c r="J5" s="60" t="s">
        <v>107</v>
      </c>
      <c r="K5" s="62" t="s">
        <v>4830</v>
      </c>
      <c r="L5" s="38">
        <v>13.0</v>
      </c>
      <c r="M5" s="56">
        <f>VLOOKUP(E5,'Hedef Liste'!A:I,9,false)</f>
        <v>10</v>
      </c>
      <c r="N5" s="56" t="b">
        <v>0</v>
      </c>
      <c r="O5" s="56" t="b">
        <v>0</v>
      </c>
      <c r="P5" s="56"/>
      <c r="Q5" s="56"/>
      <c r="R5" s="56"/>
      <c r="S5" s="56"/>
      <c r="T5" s="56"/>
      <c r="U5" s="56"/>
      <c r="V5" s="56"/>
      <c r="W5" s="56"/>
      <c r="X5" s="56"/>
      <c r="Y5" s="56"/>
      <c r="Z5" s="56"/>
      <c r="AA5" s="56"/>
      <c r="AB5" s="56"/>
    </row>
    <row r="6" ht="15.75" customHeight="1">
      <c r="A6" s="57" t="str">
        <f t="shared" si="1"/>
        <v>600d90d6104d8be4f7f2c1b6</v>
      </c>
      <c r="B6" s="63"/>
      <c r="C6" s="56" t="s">
        <v>66</v>
      </c>
      <c r="D6" s="62" t="s">
        <v>108</v>
      </c>
      <c r="E6" s="60" t="s">
        <v>708</v>
      </c>
      <c r="F6" s="60" t="s">
        <v>709</v>
      </c>
      <c r="G6" s="61">
        <v>0.6666666666666666</v>
      </c>
      <c r="H6" s="59" t="s">
        <v>4832</v>
      </c>
      <c r="I6" s="59" t="s">
        <v>4834</v>
      </c>
      <c r="J6" s="60" t="s">
        <v>711</v>
      </c>
      <c r="K6" s="62" t="s">
        <v>4835</v>
      </c>
      <c r="L6" s="38"/>
      <c r="M6" s="56">
        <f>VLOOKUP(E6,'Hedef Liste'!A:I,9,false)</f>
        <v>33</v>
      </c>
      <c r="N6" s="56" t="b">
        <v>0</v>
      </c>
      <c r="O6" s="56" t="b">
        <v>0</v>
      </c>
      <c r="P6" s="56"/>
      <c r="Q6" s="56"/>
      <c r="R6" s="56"/>
      <c r="S6" s="56"/>
      <c r="T6" s="56"/>
      <c r="U6" s="56"/>
      <c r="V6" s="56"/>
      <c r="W6" s="56"/>
      <c r="X6" s="56"/>
      <c r="Y6" s="56"/>
      <c r="Z6" s="56"/>
      <c r="AA6" s="56"/>
      <c r="AB6" s="56"/>
    </row>
    <row r="7" ht="15.75" customHeight="1">
      <c r="A7" s="57" t="str">
        <f t="shared" si="1"/>
        <v/>
      </c>
      <c r="B7" s="63"/>
      <c r="C7" s="56" t="s">
        <v>66</v>
      </c>
      <c r="D7" s="38"/>
      <c r="E7" s="64"/>
      <c r="F7" s="65"/>
      <c r="G7" s="66"/>
      <c r="H7" s="67"/>
      <c r="I7" s="67"/>
      <c r="J7" s="67"/>
      <c r="K7" s="68"/>
      <c r="L7" s="38"/>
      <c r="M7" s="56"/>
      <c r="N7" s="56" t="b">
        <v>0</v>
      </c>
      <c r="O7" s="56" t="b">
        <v>0</v>
      </c>
      <c r="P7" s="56"/>
      <c r="Q7" s="56"/>
      <c r="R7" s="56"/>
      <c r="S7" s="56"/>
      <c r="T7" s="56"/>
      <c r="U7" s="56"/>
      <c r="V7" s="56"/>
      <c r="W7" s="56"/>
      <c r="X7" s="56"/>
      <c r="Y7" s="56"/>
      <c r="Z7" s="56"/>
      <c r="AA7" s="56"/>
      <c r="AB7" s="56"/>
    </row>
    <row r="8" ht="15.75" customHeight="1">
      <c r="A8" s="57" t="str">
        <f t="shared" si="1"/>
        <v/>
      </c>
      <c r="B8" s="69"/>
      <c r="C8" s="56"/>
      <c r="D8" s="38"/>
      <c r="E8" s="38"/>
      <c r="F8" s="65"/>
      <c r="G8" s="66"/>
      <c r="H8" s="38"/>
      <c r="I8" s="38"/>
      <c r="J8" s="38"/>
      <c r="K8" s="38"/>
      <c r="L8" s="38"/>
      <c r="M8" s="56"/>
      <c r="N8" s="56" t="b">
        <v>0</v>
      </c>
      <c r="O8" s="56" t="b">
        <v>0</v>
      </c>
      <c r="P8" s="56"/>
      <c r="Q8" s="56"/>
      <c r="R8" s="56"/>
      <c r="S8" s="56"/>
      <c r="T8" s="56"/>
      <c r="U8" s="56"/>
      <c r="V8" s="56"/>
      <c r="W8" s="56"/>
      <c r="X8" s="56"/>
      <c r="Y8" s="56"/>
      <c r="Z8" s="56"/>
      <c r="AA8" s="56"/>
      <c r="AB8" s="56"/>
    </row>
    <row r="9" ht="15.75" customHeight="1">
      <c r="A9" s="57" t="str">
        <f t="shared" si="1"/>
        <v>5ff6332965ba5259742b37c3</v>
      </c>
      <c r="B9" s="58" t="s">
        <v>4836</v>
      </c>
      <c r="C9" s="56" t="s">
        <v>53</v>
      </c>
      <c r="D9" s="62" t="s">
        <v>133</v>
      </c>
      <c r="E9" s="60" t="s">
        <v>546</v>
      </c>
      <c r="F9" s="60" t="s">
        <v>547</v>
      </c>
      <c r="G9" s="61">
        <v>0.5208333333333334</v>
      </c>
      <c r="H9" s="59" t="s">
        <v>4837</v>
      </c>
      <c r="I9" s="59" t="s">
        <v>4838</v>
      </c>
      <c r="J9" s="62" t="s">
        <v>549</v>
      </c>
      <c r="K9" s="70"/>
      <c r="L9" s="38">
        <v>6.0</v>
      </c>
      <c r="M9" s="56">
        <f>VLOOKUP(E9,'Hedef Liste'!A:I,9,false)</f>
        <v>21</v>
      </c>
      <c r="N9" s="56" t="b">
        <v>0</v>
      </c>
      <c r="O9" s="56" t="b">
        <v>0</v>
      </c>
      <c r="P9" s="56"/>
      <c r="Q9" s="56"/>
      <c r="R9" s="56"/>
      <c r="S9" s="56"/>
      <c r="T9" s="56"/>
      <c r="U9" s="56"/>
      <c r="V9" s="56"/>
      <c r="W9" s="56"/>
      <c r="X9" s="56"/>
      <c r="Y9" s="56"/>
      <c r="Z9" s="56"/>
      <c r="AA9" s="56"/>
      <c r="AB9" s="56"/>
    </row>
    <row r="10" ht="15.75" customHeight="1">
      <c r="A10" s="57" t="str">
        <f t="shared" si="1"/>
        <v>5fde3e352a802b2b35fc967c</v>
      </c>
      <c r="B10" s="63"/>
      <c r="C10" s="56" t="s">
        <v>53</v>
      </c>
      <c r="D10" s="62" t="s">
        <v>133</v>
      </c>
      <c r="E10" s="60" t="s">
        <v>2031</v>
      </c>
      <c r="F10" s="71" t="s">
        <v>2032</v>
      </c>
      <c r="G10" s="61">
        <v>0.6041666666666666</v>
      </c>
      <c r="H10" s="62" t="s">
        <v>4839</v>
      </c>
      <c r="I10" s="59" t="s">
        <v>4840</v>
      </c>
      <c r="J10" s="62" t="s">
        <v>4841</v>
      </c>
      <c r="K10" s="70"/>
      <c r="L10" s="38">
        <v>13.0</v>
      </c>
      <c r="M10" s="56">
        <f>VLOOKUP(E10,'Hedef Liste'!A:I,9,false)</f>
        <v>20</v>
      </c>
      <c r="N10" s="56" t="b">
        <v>0</v>
      </c>
      <c r="O10" s="56" t="b">
        <v>0</v>
      </c>
      <c r="P10" s="56"/>
      <c r="Q10" s="56"/>
      <c r="R10" s="56"/>
      <c r="S10" s="56"/>
      <c r="T10" s="56"/>
      <c r="U10" s="56"/>
      <c r="V10" s="56"/>
      <c r="W10" s="56"/>
      <c r="X10" s="56"/>
      <c r="Y10" s="56"/>
      <c r="Z10" s="56"/>
      <c r="AA10" s="56"/>
      <c r="AB10" s="56"/>
    </row>
    <row r="11" ht="15.75" customHeight="1">
      <c r="A11" s="57" t="str">
        <f t="shared" si="1"/>
        <v>602577df9364ae38cbf178d1</v>
      </c>
      <c r="B11" s="63"/>
      <c r="C11" s="56" t="s">
        <v>53</v>
      </c>
      <c r="D11" s="62" t="s">
        <v>133</v>
      </c>
      <c r="E11" s="60" t="s">
        <v>4842</v>
      </c>
      <c r="F11" s="71" t="s">
        <v>4843</v>
      </c>
      <c r="G11" s="72">
        <v>0.6666666666666666</v>
      </c>
      <c r="H11" s="60" t="s">
        <v>4844</v>
      </c>
      <c r="I11" s="60" t="s">
        <v>4845</v>
      </c>
      <c r="J11" s="62" t="s">
        <v>4846</v>
      </c>
      <c r="K11" s="70"/>
      <c r="L11" s="38">
        <v>7.0</v>
      </c>
      <c r="M11" s="56" t="str">
        <f>VLOOKUP(E11,'Hedef Liste'!A:I,9,false)</f>
        <v>#N/A</v>
      </c>
      <c r="N11" s="56" t="b">
        <v>0</v>
      </c>
      <c r="O11" s="56" t="b">
        <v>0</v>
      </c>
      <c r="P11" s="56"/>
      <c r="Q11" s="56"/>
      <c r="R11" s="56"/>
      <c r="S11" s="56"/>
      <c r="T11" s="56"/>
      <c r="U11" s="56"/>
      <c r="V11" s="56"/>
      <c r="W11" s="56"/>
      <c r="X11" s="56"/>
      <c r="Y11" s="56"/>
      <c r="Z11" s="56"/>
      <c r="AA11" s="56"/>
      <c r="AB11" s="56"/>
    </row>
    <row r="12" ht="15.75" customHeight="1">
      <c r="A12" s="57" t="str">
        <f t="shared" si="1"/>
        <v>601aa4e6ef295e7d15faa710</v>
      </c>
      <c r="B12" s="63"/>
      <c r="C12" s="56" t="s">
        <v>53</v>
      </c>
      <c r="D12" s="62" t="s">
        <v>133</v>
      </c>
      <c r="E12" s="60" t="s">
        <v>3715</v>
      </c>
      <c r="F12" s="60" t="s">
        <v>3716</v>
      </c>
      <c r="G12" s="73" t="s">
        <v>4847</v>
      </c>
      <c r="H12" s="60" t="s">
        <v>4844</v>
      </c>
      <c r="I12" s="74" t="s">
        <v>4848</v>
      </c>
      <c r="J12" s="74" t="s">
        <v>3718</v>
      </c>
      <c r="K12" s="62" t="s">
        <v>4849</v>
      </c>
      <c r="L12" s="38">
        <v>12.0</v>
      </c>
      <c r="M12" s="56">
        <f>VLOOKUP(E12,'Hedef Liste'!A:I,9,false)</f>
        <v>36</v>
      </c>
      <c r="N12" s="56" t="b">
        <v>0</v>
      </c>
      <c r="O12" s="56" t="b">
        <v>0</v>
      </c>
      <c r="P12" s="56"/>
      <c r="Q12" s="56"/>
      <c r="R12" s="56"/>
      <c r="S12" s="56"/>
      <c r="T12" s="56"/>
      <c r="U12" s="56"/>
      <c r="V12" s="56"/>
      <c r="W12" s="56"/>
      <c r="X12" s="56"/>
      <c r="Y12" s="56"/>
      <c r="Z12" s="56"/>
      <c r="AA12" s="56"/>
      <c r="AB12" s="56"/>
    </row>
    <row r="13" ht="15.75" customHeight="1">
      <c r="A13" s="57" t="str">
        <f t="shared" si="1"/>
        <v/>
      </c>
      <c r="B13" s="63"/>
      <c r="C13" s="56"/>
      <c r="D13" s="64"/>
      <c r="E13" s="64"/>
      <c r="F13" s="65"/>
      <c r="G13" s="66"/>
      <c r="H13" s="38"/>
      <c r="I13" s="38"/>
      <c r="J13" s="38"/>
      <c r="K13" s="68"/>
      <c r="L13" s="38"/>
      <c r="M13" s="56"/>
      <c r="N13" s="56" t="b">
        <v>0</v>
      </c>
      <c r="O13" s="56" t="b">
        <v>0</v>
      </c>
      <c r="P13" s="56"/>
      <c r="Q13" s="56"/>
      <c r="R13" s="56"/>
      <c r="S13" s="56"/>
      <c r="T13" s="56"/>
      <c r="U13" s="56"/>
      <c r="V13" s="56"/>
      <c r="W13" s="56"/>
      <c r="X13" s="56"/>
      <c r="Y13" s="56"/>
      <c r="Z13" s="56"/>
      <c r="AA13" s="56"/>
      <c r="AB13" s="56"/>
    </row>
    <row r="14" ht="15.75" customHeight="1">
      <c r="A14" s="57" t="str">
        <f t="shared" si="1"/>
        <v/>
      </c>
      <c r="B14" s="69"/>
      <c r="C14" s="56"/>
      <c r="D14" s="38"/>
      <c r="E14" s="38"/>
      <c r="F14" s="65"/>
      <c r="G14" s="66"/>
      <c r="H14" s="38"/>
      <c r="I14" s="38"/>
      <c r="J14" s="38"/>
      <c r="K14" s="38"/>
      <c r="L14" s="38"/>
      <c r="M14" s="56"/>
      <c r="N14" s="56" t="b">
        <v>0</v>
      </c>
      <c r="O14" s="56" t="b">
        <v>0</v>
      </c>
      <c r="P14" s="56"/>
      <c r="Q14" s="56"/>
      <c r="R14" s="56"/>
      <c r="S14" s="56"/>
      <c r="T14" s="56"/>
      <c r="U14" s="56"/>
      <c r="V14" s="56"/>
      <c r="W14" s="56"/>
      <c r="X14" s="56"/>
      <c r="Y14" s="56"/>
      <c r="Z14" s="56"/>
      <c r="AA14" s="56"/>
      <c r="AB14" s="56"/>
    </row>
    <row r="15" ht="15.75" customHeight="1">
      <c r="A15" s="57" t="str">
        <f t="shared" si="1"/>
        <v/>
      </c>
      <c r="B15" s="58" t="s">
        <v>4850</v>
      </c>
      <c r="C15" s="56"/>
      <c r="D15" s="38"/>
      <c r="E15" s="38"/>
      <c r="F15" s="65"/>
      <c r="G15" s="66"/>
      <c r="H15" s="38"/>
      <c r="I15" s="38"/>
      <c r="J15" s="38"/>
      <c r="K15" s="38"/>
      <c r="L15" s="38"/>
      <c r="M15" s="56"/>
      <c r="N15" s="56" t="b">
        <v>0</v>
      </c>
      <c r="O15" s="56" t="b">
        <v>0</v>
      </c>
      <c r="P15" s="56"/>
      <c r="Q15" s="56"/>
      <c r="R15" s="56"/>
      <c r="S15" s="56"/>
      <c r="T15" s="56"/>
      <c r="U15" s="56"/>
      <c r="V15" s="56"/>
      <c r="W15" s="56"/>
      <c r="X15" s="56"/>
      <c r="Y15" s="56"/>
      <c r="Z15" s="56"/>
      <c r="AA15" s="56"/>
      <c r="AB15" s="56"/>
    </row>
    <row r="16" ht="15.75" customHeight="1">
      <c r="A16" s="57" t="str">
        <f t="shared" si="1"/>
        <v>6026dd5755fa61c439fcfb44</v>
      </c>
      <c r="B16" s="63"/>
      <c r="C16" s="38" t="s">
        <v>278</v>
      </c>
      <c r="D16" s="62" t="s">
        <v>52</v>
      </c>
      <c r="E16" s="60" t="s">
        <v>142</v>
      </c>
      <c r="F16" s="60" t="s">
        <v>143</v>
      </c>
      <c r="G16" s="73" t="s">
        <v>4851</v>
      </c>
      <c r="H16" s="62" t="s">
        <v>4852</v>
      </c>
      <c r="I16" s="62" t="s">
        <v>4853</v>
      </c>
      <c r="J16" s="60" t="s">
        <v>145</v>
      </c>
      <c r="K16" s="62" t="s">
        <v>4830</v>
      </c>
      <c r="L16" s="38">
        <v>21.0</v>
      </c>
      <c r="M16" s="56">
        <f>VLOOKUP(E16,'Hedef Liste'!A:I,9,false)</f>
        <v>23</v>
      </c>
      <c r="N16" s="56" t="b">
        <v>0</v>
      </c>
      <c r="O16" s="56" t="b">
        <v>0</v>
      </c>
      <c r="P16" s="56"/>
      <c r="Q16" s="56"/>
      <c r="R16" s="56"/>
      <c r="S16" s="56"/>
      <c r="T16" s="56"/>
      <c r="U16" s="56"/>
      <c r="V16" s="56"/>
      <c r="W16" s="56"/>
      <c r="X16" s="56"/>
      <c r="Y16" s="56"/>
      <c r="Z16" s="56"/>
      <c r="AA16" s="56"/>
      <c r="AB16" s="56"/>
    </row>
    <row r="17" ht="15.75" customHeight="1">
      <c r="A17" s="57" t="str">
        <f t="shared" si="1"/>
        <v>600b1ca4e94019dd5eeb32bc</v>
      </c>
      <c r="B17" s="63"/>
      <c r="C17" s="38" t="s">
        <v>278</v>
      </c>
      <c r="D17" s="62" t="s">
        <v>52</v>
      </c>
      <c r="E17" s="60" t="s">
        <v>2855</v>
      </c>
      <c r="F17" s="60" t="s">
        <v>2856</v>
      </c>
      <c r="G17" s="73" t="s">
        <v>4854</v>
      </c>
      <c r="H17" s="62" t="s">
        <v>4852</v>
      </c>
      <c r="I17" s="62" t="s">
        <v>4855</v>
      </c>
      <c r="J17" s="60" t="s">
        <v>2858</v>
      </c>
      <c r="K17" s="75" t="s">
        <v>4830</v>
      </c>
      <c r="L17" s="38">
        <v>16.0</v>
      </c>
      <c r="M17" s="56">
        <f>VLOOKUP(E17,'Hedef Liste'!A:I,9,false)</f>
        <v>47</v>
      </c>
      <c r="N17" s="56" t="b">
        <v>0</v>
      </c>
      <c r="O17" s="56" t="b">
        <v>0</v>
      </c>
      <c r="P17" s="56"/>
      <c r="Q17" s="56"/>
      <c r="R17" s="56"/>
      <c r="S17" s="56"/>
      <c r="T17" s="56"/>
      <c r="U17" s="56"/>
      <c r="V17" s="56"/>
      <c r="W17" s="56"/>
      <c r="X17" s="56"/>
      <c r="Y17" s="56"/>
      <c r="Z17" s="56"/>
      <c r="AA17" s="56"/>
      <c r="AB17" s="56"/>
    </row>
    <row r="18" ht="15.75" customHeight="1">
      <c r="A18" s="57" t="str">
        <f t="shared" si="1"/>
        <v>602bf01417a37670303595b6</v>
      </c>
      <c r="B18" s="63"/>
      <c r="C18" s="38" t="s">
        <v>278</v>
      </c>
      <c r="D18" s="62" t="s">
        <v>52</v>
      </c>
      <c r="E18" s="60" t="s">
        <v>4585</v>
      </c>
      <c r="F18" s="60" t="s">
        <v>4586</v>
      </c>
      <c r="G18" s="73" t="s">
        <v>4856</v>
      </c>
      <c r="H18" s="62" t="s">
        <v>4852</v>
      </c>
      <c r="I18" s="62" t="s">
        <v>4857</v>
      </c>
      <c r="J18" s="60" t="s">
        <v>4588</v>
      </c>
      <c r="K18" s="75" t="s">
        <v>4830</v>
      </c>
      <c r="L18" s="38">
        <v>10.0</v>
      </c>
      <c r="M18" s="56">
        <f>VLOOKUP(E18,'Hedef Liste'!A:I,9,false)</f>
        <v>55</v>
      </c>
      <c r="N18" s="56" t="b">
        <v>0</v>
      </c>
      <c r="O18" s="56" t="b">
        <v>0</v>
      </c>
      <c r="P18" s="56"/>
      <c r="Q18" s="56"/>
      <c r="R18" s="56"/>
      <c r="S18" s="56"/>
      <c r="T18" s="56"/>
      <c r="U18" s="56"/>
      <c r="V18" s="56"/>
      <c r="W18" s="56"/>
      <c r="X18" s="56"/>
      <c r="Y18" s="56"/>
      <c r="Z18" s="56"/>
      <c r="AA18" s="56"/>
      <c r="AB18" s="56"/>
    </row>
    <row r="19" ht="15.75" customHeight="1">
      <c r="A19" s="57" t="str">
        <f t="shared" si="1"/>
        <v>5ff77f4a5f2349557873245c</v>
      </c>
      <c r="B19" s="63"/>
      <c r="C19" s="38" t="s">
        <v>278</v>
      </c>
      <c r="D19" s="62" t="s">
        <v>52</v>
      </c>
      <c r="E19" s="60" t="s">
        <v>3325</v>
      </c>
      <c r="F19" s="60" t="s">
        <v>3326</v>
      </c>
      <c r="G19" s="73" t="s">
        <v>4858</v>
      </c>
      <c r="H19" s="62" t="s">
        <v>4859</v>
      </c>
      <c r="I19" s="62" t="s">
        <v>4860</v>
      </c>
      <c r="J19" s="60" t="s">
        <v>3328</v>
      </c>
      <c r="K19" s="75" t="s">
        <v>4830</v>
      </c>
      <c r="L19" s="38">
        <v>8.0</v>
      </c>
      <c r="M19" s="56">
        <f>VLOOKUP(E19,'Hedef Liste'!A:I,9,false)</f>
        <v>25</v>
      </c>
      <c r="N19" s="56" t="b">
        <v>0</v>
      </c>
      <c r="O19" s="56" t="b">
        <v>0</v>
      </c>
      <c r="P19" s="56"/>
      <c r="Q19" s="56"/>
      <c r="R19" s="56"/>
      <c r="S19" s="56"/>
      <c r="T19" s="56"/>
      <c r="U19" s="56"/>
      <c r="V19" s="56"/>
      <c r="W19" s="56"/>
      <c r="X19" s="56"/>
      <c r="Y19" s="56"/>
      <c r="Z19" s="56"/>
      <c r="AA19" s="56"/>
      <c r="AB19" s="56"/>
    </row>
    <row r="20" ht="15.75" customHeight="1">
      <c r="A20" s="57" t="str">
        <f t="shared" si="1"/>
        <v/>
      </c>
      <c r="B20" s="69"/>
      <c r="C20" s="56"/>
      <c r="D20" s="38"/>
      <c r="E20" s="38"/>
      <c r="F20" s="65"/>
      <c r="G20" s="66"/>
      <c r="H20" s="38"/>
      <c r="I20" s="38"/>
      <c r="J20" s="38"/>
      <c r="K20" s="38"/>
      <c r="L20" s="38"/>
      <c r="M20" s="56"/>
      <c r="N20" s="56" t="b">
        <v>0</v>
      </c>
      <c r="O20" s="56" t="b">
        <v>0</v>
      </c>
      <c r="P20" s="56"/>
      <c r="Q20" s="56"/>
      <c r="R20" s="56"/>
      <c r="S20" s="56"/>
      <c r="T20" s="56"/>
      <c r="U20" s="56"/>
      <c r="V20" s="56"/>
      <c r="W20" s="56"/>
      <c r="X20" s="56"/>
      <c r="Y20" s="56"/>
      <c r="Z20" s="56"/>
      <c r="AA20" s="56"/>
      <c r="AB20" s="56"/>
    </row>
    <row r="21" ht="15.75" customHeight="1">
      <c r="A21" s="57" t="str">
        <f t="shared" si="1"/>
        <v/>
      </c>
      <c r="B21" s="51"/>
      <c r="C21" s="52">
        <v>44271.0</v>
      </c>
      <c r="D21" s="38"/>
      <c r="E21" s="53"/>
      <c r="F21" s="54"/>
      <c r="G21" s="54"/>
      <c r="H21" s="54"/>
      <c r="I21" s="54"/>
      <c r="J21" s="54"/>
      <c r="K21" s="54"/>
      <c r="L21" s="55"/>
      <c r="M21" s="56"/>
      <c r="N21" s="56"/>
      <c r="O21" s="56"/>
      <c r="P21" s="56"/>
      <c r="Q21" s="56"/>
      <c r="R21" s="56"/>
      <c r="S21" s="56"/>
      <c r="T21" s="56"/>
      <c r="U21" s="56"/>
      <c r="V21" s="56"/>
      <c r="W21" s="56"/>
      <c r="X21" s="56"/>
      <c r="Y21" s="56"/>
      <c r="Z21" s="56"/>
      <c r="AA21" s="56"/>
      <c r="AB21" s="56"/>
    </row>
    <row r="22" ht="15.75" customHeight="1">
      <c r="A22" s="57" t="str">
        <f t="shared" si="1"/>
        <v>6022ce49c8b9111f8d92a988</v>
      </c>
      <c r="B22" s="58" t="s">
        <v>4827</v>
      </c>
      <c r="C22" s="56" t="s">
        <v>66</v>
      </c>
      <c r="D22" s="62" t="s">
        <v>133</v>
      </c>
      <c r="E22" s="60" t="s">
        <v>4861</v>
      </c>
      <c r="F22" s="60" t="s">
        <v>4862</v>
      </c>
      <c r="G22" s="61">
        <v>0.5</v>
      </c>
      <c r="H22" s="59" t="s">
        <v>4863</v>
      </c>
      <c r="I22" s="59" t="s">
        <v>4864</v>
      </c>
      <c r="J22" s="62" t="s">
        <v>4865</v>
      </c>
      <c r="K22" s="38" t="s">
        <v>4830</v>
      </c>
      <c r="L22" s="38">
        <v>24.0</v>
      </c>
      <c r="M22" s="56" t="str">
        <f>VLOOKUP(E22,'Hedef Liste'!A:I,9,false)</f>
        <v>#N/A</v>
      </c>
      <c r="N22" s="56" t="b">
        <v>0</v>
      </c>
      <c r="O22" s="56" t="b">
        <v>0</v>
      </c>
      <c r="P22" s="56"/>
      <c r="Q22" s="56"/>
      <c r="R22" s="56"/>
      <c r="S22" s="56"/>
      <c r="T22" s="56"/>
      <c r="U22" s="56"/>
      <c r="V22" s="56"/>
      <c r="W22" s="56"/>
      <c r="X22" s="56"/>
      <c r="Y22" s="56"/>
      <c r="Z22" s="56"/>
      <c r="AA22" s="56"/>
      <c r="AB22" s="56"/>
    </row>
    <row r="23" ht="15.75" customHeight="1">
      <c r="A23" s="57" t="str">
        <f t="shared" si="1"/>
        <v>602568c90aeff91b79b89846</v>
      </c>
      <c r="B23" s="63"/>
      <c r="C23" s="56" t="s">
        <v>66</v>
      </c>
      <c r="D23" s="62" t="s">
        <v>108</v>
      </c>
      <c r="E23" s="60" t="s">
        <v>3839</v>
      </c>
      <c r="F23" s="60" t="s">
        <v>3840</v>
      </c>
      <c r="G23" s="73" t="s">
        <v>4856</v>
      </c>
      <c r="H23" s="62" t="s">
        <v>4828</v>
      </c>
      <c r="I23" s="62" t="s">
        <v>4866</v>
      </c>
      <c r="J23" s="60" t="s">
        <v>3842</v>
      </c>
      <c r="K23" s="38" t="s">
        <v>4830</v>
      </c>
      <c r="L23" s="38">
        <v>13.0</v>
      </c>
      <c r="M23" s="56">
        <f>VLOOKUP(E23,'Hedef Liste'!A:I,9,false)</f>
        <v>17</v>
      </c>
      <c r="N23" s="56" t="b">
        <v>0</v>
      </c>
      <c r="O23" s="56" t="b">
        <v>0</v>
      </c>
      <c r="P23" s="56"/>
      <c r="Q23" s="56"/>
      <c r="R23" s="56"/>
      <c r="S23" s="56"/>
      <c r="T23" s="56"/>
      <c r="U23" s="56"/>
      <c r="V23" s="56"/>
      <c r="W23" s="56"/>
      <c r="X23" s="56"/>
      <c r="Y23" s="56"/>
      <c r="Z23" s="56"/>
      <c r="AA23" s="56"/>
      <c r="AB23" s="56"/>
    </row>
    <row r="24" ht="15.75" customHeight="1">
      <c r="A24" s="57" t="str">
        <f t="shared" si="1"/>
        <v>5ff761d3757a6c3dfa603768</v>
      </c>
      <c r="B24" s="63"/>
      <c r="C24" s="56" t="s">
        <v>66</v>
      </c>
      <c r="D24" s="76" t="s">
        <v>133</v>
      </c>
      <c r="E24" s="77" t="s">
        <v>4759</v>
      </c>
      <c r="F24" s="77" t="s">
        <v>4760</v>
      </c>
      <c r="G24" s="78">
        <v>0.6666666666666666</v>
      </c>
      <c r="H24" s="76" t="s">
        <v>4863</v>
      </c>
      <c r="I24" s="76" t="s">
        <v>4867</v>
      </c>
      <c r="J24" s="76" t="s">
        <v>4762</v>
      </c>
      <c r="K24" s="23" t="s">
        <v>4868</v>
      </c>
      <c r="L24" s="38"/>
      <c r="M24" s="56">
        <f>VLOOKUP(E24,'Hedef Liste'!A:I,9,false)</f>
        <v>39</v>
      </c>
      <c r="N24" s="56" t="b">
        <v>0</v>
      </c>
      <c r="O24" s="56" t="b">
        <v>0</v>
      </c>
      <c r="P24" s="56"/>
      <c r="Q24" s="56"/>
      <c r="R24" s="56"/>
      <c r="S24" s="56"/>
      <c r="T24" s="56"/>
      <c r="U24" s="56"/>
      <c r="V24" s="56"/>
      <c r="W24" s="56"/>
      <c r="X24" s="56"/>
      <c r="Y24" s="56"/>
      <c r="Z24" s="56"/>
      <c r="AA24" s="56"/>
      <c r="AB24" s="56"/>
    </row>
    <row r="25" ht="15.75" customHeight="1">
      <c r="A25" s="57" t="str">
        <f t="shared" si="1"/>
        <v>6000b3213cc99f3452cdc395</v>
      </c>
      <c r="B25" s="63"/>
      <c r="C25" s="56" t="s">
        <v>66</v>
      </c>
      <c r="D25" s="62" t="s">
        <v>133</v>
      </c>
      <c r="E25" s="60" t="s">
        <v>4869</v>
      </c>
      <c r="F25" s="60" t="s">
        <v>4870</v>
      </c>
      <c r="G25" s="73" t="s">
        <v>4847</v>
      </c>
      <c r="H25" s="60" t="s">
        <v>4871</v>
      </c>
      <c r="I25" s="60" t="s">
        <v>4872</v>
      </c>
      <c r="J25" s="62" t="s">
        <v>4873</v>
      </c>
      <c r="K25" s="38"/>
      <c r="L25" s="38">
        <v>12.0</v>
      </c>
      <c r="M25" s="56" t="str">
        <f>VLOOKUP(E25,'Hedef Liste'!A:I,9,false)</f>
        <v>#N/A</v>
      </c>
      <c r="N25" s="56" t="b">
        <v>0</v>
      </c>
      <c r="O25" s="56" t="b">
        <v>0</v>
      </c>
      <c r="P25" s="56"/>
      <c r="Q25" s="56"/>
      <c r="R25" s="56"/>
      <c r="S25" s="56"/>
      <c r="T25" s="56"/>
      <c r="U25" s="56"/>
      <c r="V25" s="56"/>
      <c r="W25" s="56"/>
      <c r="X25" s="56"/>
      <c r="Y25" s="56"/>
      <c r="Z25" s="56"/>
      <c r="AA25" s="56"/>
      <c r="AB25" s="56"/>
    </row>
    <row r="26" ht="15.75" customHeight="1">
      <c r="A26" s="57" t="str">
        <f t="shared" si="1"/>
        <v>5fdf8c76daff1648a66db3ab</v>
      </c>
      <c r="B26" s="63"/>
      <c r="C26" s="56" t="s">
        <v>66</v>
      </c>
      <c r="D26" s="62" t="s">
        <v>133</v>
      </c>
      <c r="E26" s="60" t="s">
        <v>3609</v>
      </c>
      <c r="F26" s="60" t="s">
        <v>3610</v>
      </c>
      <c r="G26" s="73" t="s">
        <v>4858</v>
      </c>
      <c r="H26" s="62" t="s">
        <v>4874</v>
      </c>
      <c r="I26" s="62" t="s">
        <v>4875</v>
      </c>
      <c r="J26" s="60" t="s">
        <v>3612</v>
      </c>
      <c r="K26" s="38" t="s">
        <v>4830</v>
      </c>
      <c r="L26" s="38">
        <v>18.0</v>
      </c>
      <c r="M26" s="56"/>
      <c r="N26" s="56" t="b">
        <v>0</v>
      </c>
      <c r="O26" s="56" t="b">
        <v>0</v>
      </c>
      <c r="P26" s="56"/>
      <c r="Q26" s="56"/>
      <c r="R26" s="56"/>
      <c r="S26" s="56"/>
      <c r="T26" s="56"/>
      <c r="U26" s="56"/>
      <c r="V26" s="56"/>
      <c r="W26" s="56"/>
      <c r="X26" s="56"/>
      <c r="Y26" s="56"/>
      <c r="Z26" s="56"/>
      <c r="AA26" s="56"/>
      <c r="AB26" s="56"/>
    </row>
    <row r="27" ht="15.75" customHeight="1">
      <c r="A27" s="57" t="str">
        <f t="shared" si="1"/>
        <v/>
      </c>
      <c r="B27" s="69"/>
      <c r="C27" s="56"/>
      <c r="D27" s="38"/>
      <c r="E27" s="38"/>
      <c r="F27" s="65"/>
      <c r="G27" s="66"/>
      <c r="H27" s="38"/>
      <c r="I27" s="38"/>
      <c r="J27" s="38"/>
      <c r="K27" s="38"/>
      <c r="L27" s="38"/>
      <c r="M27" s="56"/>
      <c r="N27" s="56" t="b">
        <v>0</v>
      </c>
      <c r="O27" s="56" t="b">
        <v>0</v>
      </c>
      <c r="P27" s="56"/>
      <c r="Q27" s="56"/>
      <c r="R27" s="56"/>
      <c r="S27" s="56"/>
      <c r="T27" s="56"/>
      <c r="U27" s="56"/>
      <c r="V27" s="56"/>
      <c r="W27" s="56"/>
      <c r="X27" s="56"/>
      <c r="Y27" s="56"/>
      <c r="Z27" s="56"/>
      <c r="AA27" s="56"/>
      <c r="AB27" s="56"/>
    </row>
    <row r="28" ht="15.75" customHeight="1">
      <c r="A28" s="57" t="str">
        <f t="shared" si="1"/>
        <v>5fdf41970654ee6da6e8a3b5</v>
      </c>
      <c r="B28" s="58" t="s">
        <v>4836</v>
      </c>
      <c r="C28" s="56" t="s">
        <v>53</v>
      </c>
      <c r="D28" s="62" t="s">
        <v>133</v>
      </c>
      <c r="E28" s="60" t="s">
        <v>1357</v>
      </c>
      <c r="F28" s="60" t="s">
        <v>1358</v>
      </c>
      <c r="G28" s="61">
        <v>0.5416666666666666</v>
      </c>
      <c r="H28" s="59" t="s">
        <v>4876</v>
      </c>
      <c r="I28" s="60" t="s">
        <v>4877</v>
      </c>
      <c r="J28" s="60" t="s">
        <v>1360</v>
      </c>
      <c r="K28" s="68"/>
      <c r="L28" s="38">
        <v>11.0</v>
      </c>
      <c r="M28" s="56">
        <f>VLOOKUP(E28,'Hedef Liste'!A:I,9,false)</f>
        <v>38</v>
      </c>
      <c r="N28" s="56" t="b">
        <v>0</v>
      </c>
      <c r="O28" s="56" t="b">
        <v>0</v>
      </c>
      <c r="P28" s="56"/>
      <c r="Q28" s="56"/>
      <c r="R28" s="56"/>
      <c r="S28" s="56"/>
      <c r="T28" s="56"/>
      <c r="U28" s="56"/>
      <c r="V28" s="56"/>
      <c r="W28" s="56"/>
      <c r="X28" s="56"/>
      <c r="Y28" s="56"/>
      <c r="Z28" s="56"/>
      <c r="AA28" s="56"/>
      <c r="AB28" s="56"/>
    </row>
    <row r="29" ht="15.75" customHeight="1">
      <c r="A29" s="57" t="str">
        <f t="shared" si="1"/>
        <v/>
      </c>
      <c r="B29" s="63"/>
      <c r="C29" s="56" t="s">
        <v>53</v>
      </c>
      <c r="D29" s="38"/>
      <c r="E29" s="67"/>
      <c r="F29" s="67"/>
      <c r="G29" s="79"/>
      <c r="H29" s="67"/>
      <c r="I29" s="67"/>
      <c r="J29" s="38"/>
      <c r="K29" s="68"/>
      <c r="L29" s="38"/>
      <c r="M29" s="56" t="str">
        <f>VLOOKUP(E29,'Hedef Liste'!A:I,9,false)</f>
        <v>#N/A</v>
      </c>
      <c r="N29" s="56" t="b">
        <v>0</v>
      </c>
      <c r="O29" s="56" t="b">
        <v>0</v>
      </c>
      <c r="P29" s="56"/>
      <c r="Q29" s="56"/>
      <c r="R29" s="56"/>
      <c r="S29" s="56"/>
      <c r="T29" s="56"/>
      <c r="U29" s="56"/>
      <c r="V29" s="56"/>
      <c r="W29" s="56"/>
      <c r="X29" s="56"/>
      <c r="Y29" s="56"/>
      <c r="Z29" s="56"/>
      <c r="AA29" s="56"/>
      <c r="AB29" s="56"/>
    </row>
    <row r="30" ht="15.75" customHeight="1">
      <c r="A30" s="57" t="str">
        <f t="shared" si="1"/>
        <v>5fdfa7d0bc2d63483612b950</v>
      </c>
      <c r="B30" s="63"/>
      <c r="C30" s="56" t="s">
        <v>53</v>
      </c>
      <c r="D30" s="62" t="s">
        <v>133</v>
      </c>
      <c r="E30" s="60" t="s">
        <v>4878</v>
      </c>
      <c r="F30" s="60" t="s">
        <v>4879</v>
      </c>
      <c r="G30" s="72">
        <v>0.6666666666666666</v>
      </c>
      <c r="H30" s="60" t="s">
        <v>4880</v>
      </c>
      <c r="I30" s="60" t="s">
        <v>4881</v>
      </c>
      <c r="J30" s="62" t="s">
        <v>4882</v>
      </c>
      <c r="K30" s="38" t="s">
        <v>1144</v>
      </c>
      <c r="L30" s="38">
        <v>13.0</v>
      </c>
      <c r="M30" s="56" t="str">
        <f>VLOOKUP(E30,'Hedef Liste'!A:I,9,false)</f>
        <v>#N/A</v>
      </c>
      <c r="N30" s="56" t="b">
        <v>0</v>
      </c>
      <c r="O30" s="56" t="b">
        <v>0</v>
      </c>
      <c r="P30" s="56"/>
      <c r="Q30" s="56"/>
      <c r="R30" s="56"/>
      <c r="S30" s="56"/>
      <c r="T30" s="56"/>
      <c r="U30" s="56"/>
      <c r="V30" s="56"/>
      <c r="W30" s="56"/>
      <c r="X30" s="56"/>
      <c r="Y30" s="56"/>
      <c r="Z30" s="56"/>
      <c r="AA30" s="56"/>
      <c r="AB30" s="56"/>
    </row>
    <row r="31" ht="15.75" customHeight="1">
      <c r="A31" s="57" t="str">
        <f t="shared" si="1"/>
        <v>5ffcabd15757432cd8db3247</v>
      </c>
      <c r="B31" s="63"/>
      <c r="C31" s="56" t="s">
        <v>53</v>
      </c>
      <c r="D31" s="62" t="s">
        <v>76</v>
      </c>
      <c r="E31" s="60" t="s">
        <v>68</v>
      </c>
      <c r="F31" s="60" t="s">
        <v>69</v>
      </c>
      <c r="G31" s="73" t="s">
        <v>4883</v>
      </c>
      <c r="H31" s="60" t="s">
        <v>4884</v>
      </c>
      <c r="I31" s="60" t="s">
        <v>4885</v>
      </c>
      <c r="J31" s="60" t="s">
        <v>4886</v>
      </c>
      <c r="K31" s="38"/>
      <c r="L31" s="38">
        <v>18.0</v>
      </c>
      <c r="M31" s="56">
        <f>VLOOKUP(E31,'Hedef Liste'!A:I,9,false)</f>
        <v>50</v>
      </c>
      <c r="N31" s="56" t="b">
        <v>0</v>
      </c>
      <c r="O31" s="56" t="b">
        <v>0</v>
      </c>
      <c r="P31" s="56"/>
      <c r="Q31" s="56"/>
      <c r="R31" s="56"/>
      <c r="S31" s="56"/>
      <c r="T31" s="56"/>
      <c r="U31" s="56"/>
      <c r="V31" s="56"/>
      <c r="W31" s="56"/>
      <c r="X31" s="56"/>
      <c r="Y31" s="56"/>
      <c r="Z31" s="56"/>
      <c r="AA31" s="56"/>
      <c r="AB31" s="56"/>
    </row>
    <row r="32" ht="15.75" customHeight="1">
      <c r="A32" s="57" t="str">
        <f t="shared" si="1"/>
        <v/>
      </c>
      <c r="B32" s="63"/>
      <c r="C32" s="56"/>
      <c r="D32" s="64"/>
      <c r="E32" s="64"/>
      <c r="F32" s="65"/>
      <c r="G32" s="66"/>
      <c r="H32" s="38"/>
      <c r="I32" s="38"/>
      <c r="J32" s="38"/>
      <c r="K32" s="68"/>
      <c r="L32" s="38"/>
      <c r="M32" s="56"/>
      <c r="N32" s="56" t="b">
        <v>0</v>
      </c>
      <c r="O32" s="56" t="b">
        <v>0</v>
      </c>
      <c r="P32" s="56"/>
      <c r="Q32" s="56"/>
      <c r="R32" s="56"/>
      <c r="S32" s="56"/>
      <c r="T32" s="56"/>
      <c r="U32" s="56"/>
      <c r="V32" s="56"/>
      <c r="W32" s="56"/>
      <c r="X32" s="56"/>
      <c r="Y32" s="56"/>
      <c r="Z32" s="56"/>
      <c r="AA32" s="56"/>
      <c r="AB32" s="56"/>
    </row>
    <row r="33" ht="15.75" customHeight="1">
      <c r="A33" s="57" t="str">
        <f t="shared" si="1"/>
        <v/>
      </c>
      <c r="B33" s="69"/>
      <c r="C33" s="56"/>
      <c r="D33" s="38"/>
      <c r="E33" s="38"/>
      <c r="F33" s="65"/>
      <c r="G33" s="66"/>
      <c r="H33" s="38"/>
      <c r="I33" s="38"/>
      <c r="J33" s="38"/>
      <c r="K33" s="38"/>
      <c r="L33" s="38"/>
      <c r="M33" s="56"/>
      <c r="N33" s="56" t="b">
        <v>0</v>
      </c>
      <c r="O33" s="56" t="b">
        <v>0</v>
      </c>
      <c r="P33" s="56"/>
      <c r="Q33" s="56"/>
      <c r="R33" s="56"/>
      <c r="S33" s="56"/>
      <c r="T33" s="56"/>
      <c r="U33" s="56"/>
      <c r="V33" s="56"/>
      <c r="W33" s="56"/>
      <c r="X33" s="56"/>
      <c r="Y33" s="56"/>
      <c r="Z33" s="56"/>
      <c r="AA33" s="56"/>
      <c r="AB33" s="56"/>
    </row>
    <row r="34" ht="15.75" customHeight="1">
      <c r="A34" s="57" t="str">
        <f t="shared" si="1"/>
        <v/>
      </c>
      <c r="B34" s="58" t="s">
        <v>4850</v>
      </c>
      <c r="C34" s="56"/>
      <c r="D34" s="38"/>
      <c r="E34" s="38"/>
      <c r="F34" s="65"/>
      <c r="G34" s="66"/>
      <c r="H34" s="38"/>
      <c r="I34" s="38"/>
      <c r="J34" s="38"/>
      <c r="K34" s="38"/>
      <c r="L34" s="38"/>
      <c r="M34" s="56"/>
      <c r="N34" s="56" t="b">
        <v>0</v>
      </c>
      <c r="O34" s="56" t="b">
        <v>0</v>
      </c>
      <c r="P34" s="56"/>
      <c r="Q34" s="56"/>
      <c r="R34" s="56"/>
      <c r="S34" s="56"/>
      <c r="T34" s="56"/>
      <c r="U34" s="56"/>
      <c r="V34" s="56"/>
      <c r="W34" s="56"/>
      <c r="X34" s="56"/>
      <c r="Y34" s="56"/>
      <c r="Z34" s="56"/>
      <c r="AA34" s="56"/>
      <c r="AB34" s="56"/>
    </row>
    <row r="35" ht="15.75" customHeight="1">
      <c r="A35" s="57" t="str">
        <f t="shared" si="1"/>
        <v/>
      </c>
      <c r="B35" s="63"/>
      <c r="C35" s="38" t="s">
        <v>278</v>
      </c>
      <c r="D35" s="80"/>
      <c r="E35" s="67"/>
      <c r="F35" s="67"/>
      <c r="G35" s="81"/>
      <c r="H35" s="80"/>
      <c r="I35" s="80"/>
      <c r="J35" s="67"/>
      <c r="K35" s="80"/>
      <c r="L35" s="80"/>
      <c r="M35" s="56" t="str">
        <f>VLOOKUP(E35,'Hedef Liste'!A:I,9,false)</f>
        <v>#N/A</v>
      </c>
      <c r="N35" s="56" t="b">
        <v>0</v>
      </c>
      <c r="O35" s="56" t="b">
        <v>0</v>
      </c>
      <c r="P35" s="56"/>
      <c r="Q35" s="56"/>
      <c r="R35" s="56"/>
      <c r="S35" s="56"/>
      <c r="T35" s="56"/>
      <c r="U35" s="56"/>
      <c r="V35" s="56"/>
      <c r="W35" s="56"/>
      <c r="X35" s="56"/>
      <c r="Y35" s="56"/>
      <c r="Z35" s="56"/>
      <c r="AA35" s="56"/>
      <c r="AB35" s="56"/>
    </row>
    <row r="36" ht="15.75" customHeight="1">
      <c r="A36" s="57" t="str">
        <f t="shared" si="1"/>
        <v>602589d85bb03e5adf4e33d1</v>
      </c>
      <c r="B36" s="63"/>
      <c r="C36" s="38" t="s">
        <v>278</v>
      </c>
      <c r="D36" s="76" t="s">
        <v>52</v>
      </c>
      <c r="E36" s="77" t="s">
        <v>1274</v>
      </c>
      <c r="F36" s="77" t="s">
        <v>1275</v>
      </c>
      <c r="G36" s="82" t="s">
        <v>4887</v>
      </c>
      <c r="H36" s="76" t="s">
        <v>4888</v>
      </c>
      <c r="I36" s="76" t="s">
        <v>4889</v>
      </c>
      <c r="J36" s="77" t="s">
        <v>4890</v>
      </c>
      <c r="K36" s="76" t="s">
        <v>4891</v>
      </c>
      <c r="L36" s="38"/>
      <c r="M36" s="56">
        <f>VLOOKUP(E36,'Hedef Liste'!A:I,9,false)</f>
        <v>12</v>
      </c>
      <c r="N36" s="56" t="b">
        <v>0</v>
      </c>
      <c r="O36" s="56" t="b">
        <v>0</v>
      </c>
      <c r="P36" s="56"/>
      <c r="Q36" s="56"/>
      <c r="R36" s="56"/>
      <c r="S36" s="56"/>
      <c r="T36" s="56"/>
      <c r="U36" s="56"/>
      <c r="V36" s="56"/>
      <c r="W36" s="56"/>
      <c r="X36" s="56"/>
      <c r="Y36" s="56"/>
      <c r="Z36" s="56"/>
      <c r="AA36" s="56"/>
      <c r="AB36" s="56"/>
    </row>
    <row r="37" ht="15.75" customHeight="1">
      <c r="A37" s="57" t="str">
        <f t="shared" si="1"/>
        <v>60259059fc9e27288db6c1cc</v>
      </c>
      <c r="B37" s="63"/>
      <c r="C37" s="38" t="s">
        <v>278</v>
      </c>
      <c r="D37" s="76" t="s">
        <v>52</v>
      </c>
      <c r="E37" s="77" t="s">
        <v>2772</v>
      </c>
      <c r="F37" s="77" t="s">
        <v>2773</v>
      </c>
      <c r="G37" s="82" t="s">
        <v>4892</v>
      </c>
      <c r="H37" s="76" t="s">
        <v>4888</v>
      </c>
      <c r="I37" s="76" t="s">
        <v>4893</v>
      </c>
      <c r="J37" s="76" t="s">
        <v>4894</v>
      </c>
      <c r="K37" s="38" t="s">
        <v>4895</v>
      </c>
      <c r="L37" s="38"/>
      <c r="M37" s="56">
        <f>VLOOKUP(E37,'Hedef Liste'!A:I,9,false)</f>
        <v>4</v>
      </c>
      <c r="N37" s="56" t="b">
        <v>0</v>
      </c>
      <c r="O37" s="56" t="b">
        <v>0</v>
      </c>
      <c r="P37" s="56"/>
      <c r="Q37" s="56"/>
      <c r="R37" s="56"/>
      <c r="S37" s="56"/>
      <c r="T37" s="56"/>
      <c r="U37" s="56"/>
      <c r="V37" s="56"/>
      <c r="W37" s="56"/>
      <c r="X37" s="56"/>
      <c r="Y37" s="56"/>
      <c r="Z37" s="56"/>
      <c r="AA37" s="56"/>
      <c r="AB37" s="56"/>
    </row>
    <row r="38" ht="15.75" customHeight="1">
      <c r="A38" s="57" t="str">
        <f t="shared" si="1"/>
        <v>60422036133a2988eb41312b</v>
      </c>
      <c r="B38" s="63"/>
      <c r="C38" s="38" t="s">
        <v>278</v>
      </c>
      <c r="D38" s="62" t="s">
        <v>52</v>
      </c>
      <c r="E38" s="60" t="s">
        <v>4525</v>
      </c>
      <c r="F38" s="60" t="s">
        <v>4526</v>
      </c>
      <c r="G38" s="73" t="s">
        <v>4896</v>
      </c>
      <c r="H38" s="62" t="s">
        <v>4888</v>
      </c>
      <c r="I38" s="62" t="s">
        <v>4897</v>
      </c>
      <c r="J38" s="60" t="s">
        <v>4528</v>
      </c>
      <c r="K38" s="38" t="s">
        <v>4830</v>
      </c>
      <c r="L38" s="38">
        <v>9.0</v>
      </c>
      <c r="M38" s="56">
        <f>VLOOKUP(E38,'Hedef Liste'!A:I,9,false)</f>
        <v>32</v>
      </c>
      <c r="N38" s="56" t="b">
        <v>0</v>
      </c>
      <c r="O38" s="56" t="b">
        <v>0</v>
      </c>
      <c r="P38" s="56"/>
      <c r="Q38" s="56"/>
      <c r="R38" s="56"/>
      <c r="S38" s="56"/>
      <c r="T38" s="56"/>
      <c r="U38" s="56"/>
      <c r="V38" s="56"/>
      <c r="W38" s="56"/>
      <c r="X38" s="56"/>
      <c r="Y38" s="56"/>
      <c r="Z38" s="56"/>
      <c r="AA38" s="56"/>
      <c r="AB38" s="56"/>
    </row>
    <row r="39" ht="15.75" customHeight="1">
      <c r="A39" s="57" t="str">
        <f t="shared" si="1"/>
        <v>60087a9637de625c30b3eb13</v>
      </c>
      <c r="B39" s="69"/>
      <c r="C39" s="38" t="s">
        <v>278</v>
      </c>
      <c r="D39" s="62" t="s">
        <v>654</v>
      </c>
      <c r="E39" s="60" t="s">
        <v>4898</v>
      </c>
      <c r="F39" s="60" t="s">
        <v>3153</v>
      </c>
      <c r="G39" s="73" t="s">
        <v>4899</v>
      </c>
      <c r="H39" s="62" t="s">
        <v>4900</v>
      </c>
      <c r="I39" s="62" t="s">
        <v>4901</v>
      </c>
      <c r="J39" s="60" t="s">
        <v>4902</v>
      </c>
      <c r="K39" s="38" t="s">
        <v>4903</v>
      </c>
      <c r="L39" s="38">
        <v>6.0</v>
      </c>
      <c r="M39" s="56"/>
      <c r="N39" s="56" t="b">
        <v>0</v>
      </c>
      <c r="O39" s="56" t="b">
        <v>0</v>
      </c>
      <c r="P39" s="56"/>
      <c r="Q39" s="56"/>
      <c r="R39" s="56"/>
      <c r="S39" s="56"/>
      <c r="T39" s="56"/>
      <c r="U39" s="56"/>
      <c r="V39" s="56"/>
      <c r="W39" s="56"/>
      <c r="X39" s="56"/>
      <c r="Y39" s="56"/>
      <c r="Z39" s="56"/>
      <c r="AA39" s="56"/>
      <c r="AB39" s="56"/>
    </row>
    <row r="40" ht="15.75" customHeight="1">
      <c r="A40" s="57" t="str">
        <f t="shared" si="1"/>
        <v/>
      </c>
      <c r="B40" s="51"/>
      <c r="C40" s="52">
        <v>44272.0</v>
      </c>
      <c r="D40" s="38"/>
      <c r="E40" s="53"/>
      <c r="F40" s="54"/>
      <c r="G40" s="54"/>
      <c r="H40" s="54"/>
      <c r="I40" s="54"/>
      <c r="J40" s="54"/>
      <c r="K40" s="54"/>
      <c r="L40" s="55"/>
      <c r="M40" s="56"/>
      <c r="N40" s="56"/>
      <c r="O40" s="56"/>
      <c r="P40" s="56"/>
      <c r="Q40" s="56"/>
      <c r="R40" s="56"/>
      <c r="S40" s="56"/>
      <c r="T40" s="56"/>
      <c r="U40" s="56"/>
      <c r="V40" s="56"/>
      <c r="W40" s="56"/>
      <c r="X40" s="56"/>
      <c r="Y40" s="56"/>
      <c r="Z40" s="56"/>
      <c r="AA40" s="56"/>
      <c r="AB40" s="56"/>
    </row>
    <row r="41" ht="15.75" customHeight="1">
      <c r="A41" s="57" t="str">
        <f t="shared" si="1"/>
        <v>602e99fd43eb4c1cdebeb7b5</v>
      </c>
      <c r="B41" s="58" t="s">
        <v>4827</v>
      </c>
      <c r="C41" s="56" t="s">
        <v>66</v>
      </c>
      <c r="D41" s="62" t="s">
        <v>108</v>
      </c>
      <c r="E41" s="60" t="s">
        <v>1727</v>
      </c>
      <c r="F41" s="60" t="s">
        <v>1728</v>
      </c>
      <c r="G41" s="61">
        <v>0.4166666666666667</v>
      </c>
      <c r="H41" s="59" t="s">
        <v>4832</v>
      </c>
      <c r="I41" s="59" t="s">
        <v>4904</v>
      </c>
      <c r="J41" s="60" t="s">
        <v>4905</v>
      </c>
      <c r="K41" s="38" t="s">
        <v>4830</v>
      </c>
      <c r="L41" s="38">
        <v>13.0</v>
      </c>
      <c r="M41" s="56">
        <f>VLOOKUP(E41,'Hedef Liste'!A:I,9,false)</f>
        <v>9</v>
      </c>
      <c r="N41" s="56" t="b">
        <v>0</v>
      </c>
      <c r="O41" s="56" t="b">
        <v>0</v>
      </c>
      <c r="P41" s="56"/>
      <c r="Q41" s="56"/>
      <c r="R41" s="56"/>
      <c r="S41" s="56"/>
      <c r="T41" s="56"/>
      <c r="U41" s="56"/>
      <c r="V41" s="56"/>
      <c r="W41" s="56"/>
      <c r="X41" s="56"/>
      <c r="Y41" s="56"/>
      <c r="Z41" s="56"/>
      <c r="AA41" s="56"/>
      <c r="AB41" s="56"/>
    </row>
    <row r="42" ht="15.75" customHeight="1">
      <c r="A42" s="57" t="str">
        <f t="shared" si="1"/>
        <v>5fe0ec263e964be477e9b3f6</v>
      </c>
      <c r="B42" s="63"/>
      <c r="C42" s="56" t="s">
        <v>66</v>
      </c>
      <c r="D42" s="62" t="s">
        <v>108</v>
      </c>
      <c r="E42" s="60" t="s">
        <v>4906</v>
      </c>
      <c r="F42" s="60" t="s">
        <v>4907</v>
      </c>
      <c r="G42" s="61">
        <v>0.6041666666666666</v>
      </c>
      <c r="H42" s="62" t="s">
        <v>4908</v>
      </c>
      <c r="I42" s="60" t="s">
        <v>4909</v>
      </c>
      <c r="J42" s="60" t="s">
        <v>2872</v>
      </c>
      <c r="K42" s="38" t="s">
        <v>4830</v>
      </c>
      <c r="L42" s="38">
        <v>47.0</v>
      </c>
      <c r="M42" s="56" t="str">
        <f>VLOOKUP(E42,'Hedef Liste'!A:I,9,false)</f>
        <v>#N/A</v>
      </c>
      <c r="N42" s="56" t="b">
        <v>0</v>
      </c>
      <c r="O42" s="56" t="b">
        <v>0</v>
      </c>
      <c r="P42" s="56"/>
      <c r="Q42" s="56"/>
      <c r="R42" s="56"/>
      <c r="S42" s="56"/>
      <c r="T42" s="56"/>
      <c r="U42" s="56"/>
      <c r="V42" s="56"/>
      <c r="W42" s="56"/>
      <c r="X42" s="56"/>
      <c r="Y42" s="56"/>
      <c r="Z42" s="56"/>
      <c r="AA42" s="56"/>
      <c r="AB42" s="56"/>
    </row>
    <row r="43" ht="15.75" customHeight="1">
      <c r="A43" s="57" t="str">
        <f t="shared" si="1"/>
        <v>60210b9198337b48e94db3e3</v>
      </c>
      <c r="B43" s="63"/>
      <c r="C43" s="56" t="s">
        <v>66</v>
      </c>
      <c r="D43" s="62" t="s">
        <v>108</v>
      </c>
      <c r="E43" s="60" t="s">
        <v>1669</v>
      </c>
      <c r="F43" s="60" t="s">
        <v>1670</v>
      </c>
      <c r="G43" s="72">
        <v>0.6666666666666666</v>
      </c>
      <c r="H43" s="62" t="s">
        <v>4910</v>
      </c>
      <c r="I43" s="62" t="s">
        <v>4911</v>
      </c>
      <c r="J43" s="60" t="s">
        <v>1672</v>
      </c>
      <c r="K43" s="38" t="s">
        <v>4830</v>
      </c>
      <c r="L43" s="38">
        <v>6.0</v>
      </c>
      <c r="M43" s="56">
        <f>VLOOKUP(E43,'Hedef Liste'!A:I,9,false)</f>
        <v>37</v>
      </c>
      <c r="N43" s="56" t="b">
        <v>0</v>
      </c>
      <c r="O43" s="56" t="b">
        <v>0</v>
      </c>
      <c r="P43" s="56"/>
      <c r="Q43" s="56"/>
      <c r="R43" s="56"/>
      <c r="S43" s="56"/>
      <c r="T43" s="56"/>
      <c r="U43" s="56"/>
      <c r="V43" s="56"/>
      <c r="W43" s="56"/>
      <c r="X43" s="56"/>
      <c r="Y43" s="56"/>
      <c r="Z43" s="56"/>
      <c r="AA43" s="56"/>
      <c r="AB43" s="56"/>
    </row>
    <row r="44" ht="15.75" customHeight="1">
      <c r="A44" s="57" t="str">
        <f t="shared" si="1"/>
        <v>60074dab99244e2cfd05cc1a</v>
      </c>
      <c r="B44" s="63"/>
      <c r="C44" s="56" t="s">
        <v>66</v>
      </c>
      <c r="D44" s="62" t="s">
        <v>654</v>
      </c>
      <c r="E44" s="83" t="s">
        <v>4912</v>
      </c>
      <c r="F44" s="84" t="s">
        <v>4913</v>
      </c>
      <c r="G44" s="73" t="s">
        <v>4914</v>
      </c>
      <c r="H44" s="60" t="s">
        <v>4915</v>
      </c>
      <c r="I44" s="60" t="s">
        <v>4916</v>
      </c>
      <c r="J44" s="60" t="s">
        <v>4917</v>
      </c>
      <c r="K44" s="38" t="s">
        <v>4830</v>
      </c>
      <c r="L44" s="38">
        <v>14.0</v>
      </c>
      <c r="M44" s="56" t="str">
        <f>VLOOKUP(E44,'Hedef Liste'!A:I,9,false)</f>
        <v>#N/A</v>
      </c>
      <c r="N44" s="56" t="b">
        <v>0</v>
      </c>
      <c r="O44" s="56" t="b">
        <v>0</v>
      </c>
      <c r="P44" s="56"/>
      <c r="Q44" s="56"/>
      <c r="R44" s="56"/>
      <c r="S44" s="56"/>
      <c r="T44" s="56"/>
      <c r="U44" s="56"/>
      <c r="V44" s="56"/>
      <c r="W44" s="56"/>
      <c r="X44" s="56"/>
      <c r="Y44" s="56"/>
      <c r="Z44" s="56"/>
      <c r="AA44" s="56"/>
      <c r="AB44" s="56"/>
    </row>
    <row r="45" ht="15.75" customHeight="1">
      <c r="A45" s="57" t="str">
        <f t="shared" si="1"/>
        <v/>
      </c>
      <c r="B45" s="63"/>
      <c r="C45" s="56"/>
      <c r="D45" s="38"/>
      <c r="E45" s="64"/>
      <c r="F45" s="85"/>
      <c r="G45" s="66"/>
      <c r="H45" s="38"/>
      <c r="I45" s="38"/>
      <c r="J45" s="67"/>
      <c r="K45" s="68"/>
      <c r="L45" s="38"/>
      <c r="M45" s="56"/>
      <c r="N45" s="56" t="b">
        <v>0</v>
      </c>
      <c r="O45" s="56" t="b">
        <v>0</v>
      </c>
      <c r="P45" s="56"/>
      <c r="Q45" s="56"/>
      <c r="R45" s="56"/>
      <c r="S45" s="56"/>
      <c r="T45" s="56"/>
      <c r="U45" s="56"/>
      <c r="V45" s="56"/>
      <c r="W45" s="56"/>
      <c r="X45" s="56"/>
      <c r="Y45" s="56"/>
      <c r="Z45" s="56"/>
      <c r="AA45" s="56"/>
      <c r="AB45" s="56"/>
    </row>
    <row r="46" ht="15.75" customHeight="1">
      <c r="A46" s="57" t="str">
        <f t="shared" si="1"/>
        <v/>
      </c>
      <c r="B46" s="69"/>
      <c r="C46" s="56"/>
      <c r="D46" s="38"/>
      <c r="E46" s="38"/>
      <c r="F46" s="65"/>
      <c r="G46" s="66"/>
      <c r="H46" s="38"/>
      <c r="I46" s="38"/>
      <c r="J46" s="38"/>
      <c r="K46" s="38"/>
      <c r="L46" s="38"/>
      <c r="M46" s="56"/>
      <c r="N46" s="56" t="b">
        <v>0</v>
      </c>
      <c r="O46" s="56" t="b">
        <v>0</v>
      </c>
      <c r="P46" s="56"/>
      <c r="Q46" s="56"/>
      <c r="R46" s="56"/>
      <c r="S46" s="56"/>
      <c r="T46" s="56"/>
      <c r="U46" s="56"/>
      <c r="V46" s="56"/>
      <c r="W46" s="56"/>
      <c r="X46" s="56"/>
      <c r="Y46" s="56"/>
      <c r="Z46" s="56"/>
      <c r="AA46" s="56"/>
      <c r="AB46" s="56"/>
    </row>
    <row r="47" ht="15.75" customHeight="1">
      <c r="A47" s="57" t="str">
        <f t="shared" si="1"/>
        <v>5fdf5fcc0345d26b727f465a</v>
      </c>
      <c r="B47" s="58" t="s">
        <v>4836</v>
      </c>
      <c r="C47" s="56" t="s">
        <v>53</v>
      </c>
      <c r="D47" s="62" t="s">
        <v>133</v>
      </c>
      <c r="E47" s="60" t="s">
        <v>388</v>
      </c>
      <c r="F47" s="60" t="s">
        <v>389</v>
      </c>
      <c r="G47" s="61">
        <v>0.6041666666666666</v>
      </c>
      <c r="H47" s="59" t="s">
        <v>4876</v>
      </c>
      <c r="I47" s="60" t="s">
        <v>4918</v>
      </c>
      <c r="J47" s="60" t="s">
        <v>4919</v>
      </c>
      <c r="K47" s="68"/>
      <c r="L47" s="38">
        <v>8.0</v>
      </c>
      <c r="M47" s="56">
        <f>VLOOKUP(E47,'Hedef Liste'!A:I,9,false)</f>
        <v>19</v>
      </c>
      <c r="N47" s="56" t="b">
        <v>0</v>
      </c>
      <c r="O47" s="56" t="b">
        <v>0</v>
      </c>
      <c r="P47" s="56"/>
      <c r="Q47" s="56"/>
      <c r="R47" s="56"/>
      <c r="S47" s="56"/>
      <c r="T47" s="56"/>
      <c r="U47" s="56"/>
      <c r="V47" s="56"/>
      <c r="W47" s="56"/>
      <c r="X47" s="56"/>
      <c r="Y47" s="56"/>
      <c r="Z47" s="56"/>
      <c r="AA47" s="56"/>
      <c r="AB47" s="56"/>
    </row>
    <row r="48" ht="15.75" customHeight="1">
      <c r="A48" s="57" t="str">
        <f t="shared" si="1"/>
        <v>5fdf6349a8b06d89d7a484bc</v>
      </c>
      <c r="B48" s="63"/>
      <c r="C48" s="56" t="s">
        <v>53</v>
      </c>
      <c r="D48" s="62" t="s">
        <v>133</v>
      </c>
      <c r="E48" s="60" t="s">
        <v>4920</v>
      </c>
      <c r="F48" s="60" t="s">
        <v>3118</v>
      </c>
      <c r="G48" s="61">
        <v>0.5208333333333334</v>
      </c>
      <c r="H48" s="59" t="s">
        <v>4876</v>
      </c>
      <c r="I48" s="59" t="s">
        <v>4921</v>
      </c>
      <c r="J48" s="62" t="s">
        <v>4922</v>
      </c>
      <c r="K48" s="68"/>
      <c r="L48" s="38">
        <v>55.0</v>
      </c>
      <c r="M48" s="56" t="str">
        <f>VLOOKUP(E48,'Hedef Liste'!A:I,9,false)</f>
        <v>#N/A</v>
      </c>
      <c r="N48" s="56" t="b">
        <v>0</v>
      </c>
      <c r="O48" s="56" t="b">
        <v>0</v>
      </c>
      <c r="P48" s="56"/>
      <c r="Q48" s="56"/>
      <c r="R48" s="56"/>
      <c r="S48" s="56"/>
      <c r="T48" s="56"/>
      <c r="U48" s="56"/>
      <c r="V48" s="56"/>
      <c r="W48" s="56"/>
      <c r="X48" s="56"/>
      <c r="Y48" s="56"/>
      <c r="Z48" s="56"/>
      <c r="AA48" s="56"/>
      <c r="AB48" s="56"/>
    </row>
    <row r="49" ht="15.75" customHeight="1">
      <c r="A49" s="57" t="str">
        <f t="shared" si="1"/>
        <v>5fe4084ebd719f4e7bbdc1c3</v>
      </c>
      <c r="B49" s="63"/>
      <c r="C49" s="56" t="s">
        <v>53</v>
      </c>
      <c r="D49" s="38" t="s">
        <v>133</v>
      </c>
      <c r="E49" s="67" t="s">
        <v>3659</v>
      </c>
      <c r="F49" s="67" t="s">
        <v>3660</v>
      </c>
      <c r="G49" s="86">
        <v>0.6666666666666666</v>
      </c>
      <c r="H49" s="56" t="s">
        <v>4876</v>
      </c>
      <c r="I49" s="38" t="s">
        <v>4923</v>
      </c>
      <c r="J49" s="38" t="s">
        <v>3662</v>
      </c>
      <c r="K49" s="68"/>
      <c r="L49" s="38">
        <v>8.0</v>
      </c>
      <c r="M49" s="56">
        <f>VLOOKUP(E49,'Hedef Liste'!A:I,9,false)</f>
        <v>10</v>
      </c>
      <c r="N49" s="56" t="b">
        <v>0</v>
      </c>
      <c r="O49" s="56" t="b">
        <v>0</v>
      </c>
      <c r="P49" s="56"/>
      <c r="Q49" s="56"/>
      <c r="R49" s="56"/>
      <c r="S49" s="56"/>
      <c r="T49" s="56"/>
      <c r="U49" s="56"/>
      <c r="V49" s="56"/>
      <c r="W49" s="56"/>
      <c r="X49" s="56"/>
      <c r="Y49" s="56"/>
      <c r="Z49" s="56"/>
      <c r="AA49" s="56"/>
      <c r="AB49" s="56"/>
    </row>
    <row r="50" ht="15.75" customHeight="1">
      <c r="A50" s="57" t="str">
        <f t="shared" si="1"/>
        <v>6001dd8544f1b44ebcb9f058</v>
      </c>
      <c r="B50" s="63"/>
      <c r="C50" s="56" t="s">
        <v>53</v>
      </c>
      <c r="D50" s="62" t="s">
        <v>133</v>
      </c>
      <c r="E50" s="60" t="s">
        <v>2966</v>
      </c>
      <c r="F50" s="60" t="s">
        <v>2967</v>
      </c>
      <c r="G50" s="73" t="s">
        <v>4847</v>
      </c>
      <c r="H50" s="59" t="s">
        <v>4924</v>
      </c>
      <c r="I50" s="60" t="s">
        <v>4925</v>
      </c>
      <c r="J50" s="60" t="s">
        <v>2969</v>
      </c>
      <c r="K50" s="38"/>
      <c r="L50" s="38">
        <v>7.0</v>
      </c>
      <c r="M50" s="56">
        <f>VLOOKUP(E50,'Hedef Liste'!A:I,9,false)</f>
        <v>14</v>
      </c>
      <c r="N50" s="56" t="b">
        <v>0</v>
      </c>
      <c r="O50" s="56" t="b">
        <v>0</v>
      </c>
      <c r="P50" s="56"/>
      <c r="Q50" s="56"/>
      <c r="R50" s="56"/>
      <c r="S50" s="56"/>
      <c r="T50" s="56"/>
      <c r="U50" s="56"/>
      <c r="V50" s="56"/>
      <c r="W50" s="56"/>
      <c r="X50" s="56"/>
      <c r="Y50" s="56"/>
      <c r="Z50" s="56"/>
      <c r="AA50" s="56"/>
      <c r="AB50" s="56"/>
    </row>
    <row r="51" ht="15.75" customHeight="1">
      <c r="A51" s="57" t="str">
        <f t="shared" si="1"/>
        <v/>
      </c>
      <c r="B51" s="63"/>
      <c r="C51" s="56"/>
      <c r="D51" s="64"/>
      <c r="E51" s="64"/>
      <c r="F51" s="65"/>
      <c r="G51" s="66"/>
      <c r="H51" s="38"/>
      <c r="I51" s="38"/>
      <c r="J51" s="38"/>
      <c r="K51" s="68"/>
      <c r="L51" s="38"/>
      <c r="M51" s="56"/>
      <c r="N51" s="56" t="b">
        <v>0</v>
      </c>
      <c r="O51" s="56" t="b">
        <v>0</v>
      </c>
      <c r="P51" s="56"/>
      <c r="Q51" s="56"/>
      <c r="R51" s="56"/>
      <c r="S51" s="56"/>
      <c r="T51" s="56"/>
      <c r="U51" s="56"/>
      <c r="V51" s="56"/>
      <c r="W51" s="56"/>
      <c r="X51" s="56"/>
      <c r="Y51" s="56"/>
      <c r="Z51" s="56"/>
      <c r="AA51" s="56"/>
      <c r="AB51" s="56"/>
    </row>
    <row r="52" ht="15.75" customHeight="1">
      <c r="A52" s="57" t="str">
        <f t="shared" si="1"/>
        <v/>
      </c>
      <c r="B52" s="69"/>
      <c r="C52" s="56"/>
      <c r="D52" s="38"/>
      <c r="E52" s="38"/>
      <c r="F52" s="65"/>
      <c r="G52" s="66"/>
      <c r="H52" s="38"/>
      <c r="I52" s="38"/>
      <c r="J52" s="38"/>
      <c r="K52" s="38"/>
      <c r="L52" s="38"/>
      <c r="M52" s="56"/>
      <c r="N52" s="56" t="b">
        <v>0</v>
      </c>
      <c r="O52" s="56" t="b">
        <v>0</v>
      </c>
      <c r="P52" s="56"/>
      <c r="Q52" s="56"/>
      <c r="R52" s="56"/>
      <c r="S52" s="56"/>
      <c r="T52" s="56"/>
      <c r="U52" s="56"/>
      <c r="V52" s="56"/>
      <c r="W52" s="56"/>
      <c r="X52" s="56"/>
      <c r="Y52" s="56"/>
      <c r="Z52" s="56"/>
      <c r="AA52" s="56"/>
      <c r="AB52" s="56"/>
    </row>
    <row r="53" ht="15.75" customHeight="1">
      <c r="A53" s="57" t="str">
        <f t="shared" si="1"/>
        <v/>
      </c>
      <c r="B53" s="58" t="s">
        <v>4850</v>
      </c>
      <c r="C53" s="56"/>
      <c r="D53" s="38"/>
      <c r="E53" s="38"/>
      <c r="F53" s="65"/>
      <c r="G53" s="66"/>
      <c r="H53" s="38"/>
      <c r="I53" s="38"/>
      <c r="J53" s="38"/>
      <c r="K53" s="38"/>
      <c r="L53" s="38"/>
      <c r="M53" s="56"/>
      <c r="N53" s="56" t="b">
        <v>0</v>
      </c>
      <c r="O53" s="56" t="b">
        <v>0</v>
      </c>
      <c r="P53" s="56"/>
      <c r="Q53" s="56"/>
      <c r="R53" s="56"/>
      <c r="S53" s="56"/>
      <c r="T53" s="56"/>
      <c r="U53" s="56"/>
      <c r="V53" s="56"/>
      <c r="W53" s="56"/>
      <c r="X53" s="56"/>
      <c r="Y53" s="56"/>
      <c r="Z53" s="56"/>
      <c r="AA53" s="56"/>
      <c r="AB53" s="56"/>
    </row>
    <row r="54" ht="15.75" customHeight="1">
      <c r="A54" s="57" t="str">
        <f t="shared" si="1"/>
        <v>5fe4fe8a4669ba622d463092</v>
      </c>
      <c r="B54" s="63"/>
      <c r="C54" s="38" t="s">
        <v>278</v>
      </c>
      <c r="D54" s="62" t="s">
        <v>52</v>
      </c>
      <c r="E54" s="60" t="s">
        <v>530</v>
      </c>
      <c r="F54" s="60" t="s">
        <v>531</v>
      </c>
      <c r="G54" s="73" t="s">
        <v>4926</v>
      </c>
      <c r="H54" s="62" t="s">
        <v>4927</v>
      </c>
      <c r="I54" s="62" t="s">
        <v>4928</v>
      </c>
      <c r="J54" s="60" t="s">
        <v>533</v>
      </c>
      <c r="K54" s="87" t="s">
        <v>4830</v>
      </c>
      <c r="L54" s="38">
        <v>12.0</v>
      </c>
      <c r="M54" s="56">
        <f>VLOOKUP(E54,'Hedef Liste'!A:I,9,false)</f>
        <v>22</v>
      </c>
      <c r="N54" s="56" t="b">
        <v>0</v>
      </c>
      <c r="O54" s="56" t="b">
        <v>0</v>
      </c>
      <c r="P54" s="56"/>
      <c r="Q54" s="56"/>
      <c r="R54" s="56"/>
      <c r="S54" s="56"/>
      <c r="T54" s="56"/>
      <c r="U54" s="56"/>
      <c r="V54" s="56"/>
      <c r="W54" s="56"/>
      <c r="X54" s="56"/>
      <c r="Y54" s="56"/>
      <c r="Z54" s="56"/>
      <c r="AA54" s="56"/>
      <c r="AB54" s="56"/>
    </row>
    <row r="55" ht="15.75" customHeight="1">
      <c r="A55" s="57" t="str">
        <f t="shared" si="1"/>
        <v>601ecb5e71c5457b1a019232</v>
      </c>
      <c r="B55" s="63"/>
      <c r="C55" s="38" t="s">
        <v>278</v>
      </c>
      <c r="D55" s="76" t="s">
        <v>52</v>
      </c>
      <c r="E55" s="77" t="s">
        <v>1121</v>
      </c>
      <c r="F55" s="77" t="s">
        <v>1122</v>
      </c>
      <c r="G55" s="82" t="s">
        <v>4887</v>
      </c>
      <c r="H55" s="76" t="s">
        <v>4927</v>
      </c>
      <c r="I55" s="76" t="s">
        <v>4929</v>
      </c>
      <c r="J55" s="77" t="s">
        <v>1124</v>
      </c>
      <c r="K55" s="88" t="s">
        <v>4930</v>
      </c>
      <c r="L55" s="38"/>
      <c r="M55" s="56">
        <f>VLOOKUP(E55,'Hedef Liste'!A:I,9,false)</f>
        <v>12</v>
      </c>
      <c r="N55" s="56" t="b">
        <v>0</v>
      </c>
      <c r="O55" s="56" t="b">
        <v>0</v>
      </c>
      <c r="P55" s="56"/>
      <c r="Q55" s="56"/>
      <c r="R55" s="56"/>
      <c r="S55" s="56"/>
      <c r="T55" s="56"/>
      <c r="U55" s="56"/>
      <c r="V55" s="56"/>
      <c r="W55" s="56"/>
      <c r="X55" s="56"/>
      <c r="Y55" s="56"/>
      <c r="Z55" s="56"/>
      <c r="AA55" s="56"/>
      <c r="AB55" s="56"/>
    </row>
    <row r="56" ht="15.75" customHeight="1">
      <c r="A56" s="57" t="str">
        <f t="shared" si="1"/>
        <v>6011a6d7caa061bcd47eb809</v>
      </c>
      <c r="B56" s="63"/>
      <c r="C56" s="38" t="s">
        <v>278</v>
      </c>
      <c r="D56" s="62" t="s">
        <v>52</v>
      </c>
      <c r="E56" s="60" t="s">
        <v>4683</v>
      </c>
      <c r="F56" s="60" t="s">
        <v>4684</v>
      </c>
      <c r="G56" s="73" t="s">
        <v>4892</v>
      </c>
      <c r="H56" s="62" t="s">
        <v>4927</v>
      </c>
      <c r="I56" s="62" t="s">
        <v>4931</v>
      </c>
      <c r="J56" s="60" t="s">
        <v>4686</v>
      </c>
      <c r="K56" s="87" t="s">
        <v>4830</v>
      </c>
      <c r="L56" s="38">
        <v>12.0</v>
      </c>
      <c r="M56" s="56">
        <f>VLOOKUP(E56,'Hedef Liste'!A:I,9,false)</f>
        <v>15</v>
      </c>
      <c r="N56" s="56" t="b">
        <v>0</v>
      </c>
      <c r="O56" s="56" t="b">
        <v>0</v>
      </c>
      <c r="P56" s="56"/>
      <c r="Q56" s="56"/>
      <c r="R56" s="56"/>
      <c r="S56" s="56"/>
      <c r="T56" s="56"/>
      <c r="U56" s="56"/>
      <c r="V56" s="56"/>
      <c r="W56" s="56"/>
      <c r="X56" s="56"/>
      <c r="Y56" s="56"/>
      <c r="Z56" s="56"/>
      <c r="AA56" s="56"/>
      <c r="AB56" s="56"/>
    </row>
    <row r="57" ht="15.75" customHeight="1">
      <c r="A57" s="57" t="str">
        <f t="shared" si="1"/>
        <v>60041836485747389ce76572</v>
      </c>
      <c r="B57" s="63"/>
      <c r="C57" s="38" t="s">
        <v>278</v>
      </c>
      <c r="D57" s="62" t="s">
        <v>52</v>
      </c>
      <c r="E57" s="60" t="s">
        <v>4932</v>
      </c>
      <c r="F57" s="60" t="s">
        <v>1509</v>
      </c>
      <c r="G57" s="73" t="s">
        <v>4899</v>
      </c>
      <c r="H57" s="62" t="s">
        <v>4927</v>
      </c>
      <c r="I57" s="62" t="s">
        <v>4933</v>
      </c>
      <c r="J57" s="60" t="s">
        <v>4934</v>
      </c>
      <c r="K57" s="87" t="s">
        <v>4830</v>
      </c>
      <c r="L57" s="38">
        <v>17.0</v>
      </c>
      <c r="M57" s="56" t="str">
        <f>VLOOKUP(E57,'Hedef Liste'!A:I,9,false)</f>
        <v>#N/A</v>
      </c>
      <c r="N57" s="56" t="b">
        <v>0</v>
      </c>
      <c r="O57" s="56" t="b">
        <v>0</v>
      </c>
      <c r="P57" s="56"/>
      <c r="Q57" s="56"/>
      <c r="R57" s="56"/>
      <c r="S57" s="56"/>
      <c r="T57" s="56"/>
      <c r="U57" s="56"/>
      <c r="V57" s="56"/>
      <c r="W57" s="56"/>
      <c r="X57" s="56"/>
      <c r="Y57" s="56"/>
      <c r="Z57" s="56"/>
      <c r="AA57" s="56"/>
      <c r="AB57" s="56"/>
    </row>
    <row r="58" ht="15.75" customHeight="1">
      <c r="A58" s="57" t="str">
        <f t="shared" si="1"/>
        <v/>
      </c>
      <c r="B58" s="69"/>
      <c r="C58" s="38" t="s">
        <v>278</v>
      </c>
      <c r="D58" s="56"/>
      <c r="E58" s="56"/>
      <c r="F58" s="89"/>
      <c r="G58" s="90"/>
      <c r="H58" s="56"/>
      <c r="I58" s="56"/>
      <c r="J58" s="56"/>
      <c r="K58" s="38"/>
      <c r="L58" s="38"/>
      <c r="M58" s="56" t="str">
        <f>VLOOKUP(E106,'Hedef Liste'!A:I,9,false)</f>
        <v>#N/A</v>
      </c>
      <c r="N58" s="56" t="b">
        <v>0</v>
      </c>
      <c r="O58" s="56" t="b">
        <v>0</v>
      </c>
      <c r="P58" s="56"/>
      <c r="Q58" s="56"/>
      <c r="R58" s="56"/>
      <c r="S58" s="56"/>
      <c r="T58" s="56"/>
      <c r="U58" s="56"/>
      <c r="V58" s="56"/>
      <c r="W58" s="56"/>
      <c r="X58" s="56"/>
      <c r="Y58" s="56"/>
      <c r="Z58" s="56"/>
      <c r="AA58" s="56"/>
      <c r="AB58" s="56"/>
    </row>
    <row r="59" ht="15.75" customHeight="1">
      <c r="A59" s="57" t="str">
        <f t="shared" si="1"/>
        <v/>
      </c>
      <c r="B59" s="51"/>
      <c r="C59" s="52">
        <v>44273.0</v>
      </c>
      <c r="D59" s="38"/>
      <c r="E59" s="53"/>
      <c r="F59" s="54"/>
      <c r="G59" s="54"/>
      <c r="H59" s="54"/>
      <c r="I59" s="54"/>
      <c r="J59" s="54"/>
      <c r="K59" s="54"/>
      <c r="L59" s="55"/>
      <c r="M59" s="56"/>
      <c r="N59" s="56"/>
      <c r="O59" s="56"/>
      <c r="P59" s="56"/>
      <c r="Q59" s="56"/>
      <c r="R59" s="56"/>
      <c r="S59" s="56"/>
      <c r="T59" s="56"/>
      <c r="U59" s="56"/>
      <c r="V59" s="56"/>
      <c r="W59" s="56"/>
      <c r="X59" s="56"/>
      <c r="Y59" s="56"/>
      <c r="Z59" s="56"/>
      <c r="AA59" s="56"/>
      <c r="AB59" s="56"/>
    </row>
    <row r="60" ht="15.75" customHeight="1">
      <c r="A60" s="57" t="str">
        <f t="shared" si="1"/>
        <v/>
      </c>
      <c r="B60" s="58" t="s">
        <v>4827</v>
      </c>
      <c r="C60" s="56"/>
      <c r="D60" s="38"/>
      <c r="E60" s="38"/>
      <c r="F60" s="65"/>
      <c r="G60" s="90"/>
      <c r="H60" s="56"/>
      <c r="I60" s="56"/>
      <c r="J60" s="38"/>
      <c r="K60" s="68"/>
      <c r="L60" s="38"/>
      <c r="M60" s="56" t="str">
        <f>VLOOKUP(E60,'Hedef Liste'!A:I,9,false)</f>
        <v>#N/A</v>
      </c>
      <c r="N60" s="56" t="b">
        <v>0</v>
      </c>
      <c r="O60" s="56" t="b">
        <v>0</v>
      </c>
      <c r="P60" s="56"/>
      <c r="Q60" s="56"/>
      <c r="R60" s="56"/>
      <c r="S60" s="56"/>
      <c r="T60" s="56"/>
      <c r="U60" s="56"/>
      <c r="V60" s="56"/>
      <c r="W60" s="56"/>
      <c r="X60" s="56"/>
      <c r="Y60" s="56"/>
      <c r="Z60" s="56"/>
      <c r="AA60" s="56"/>
      <c r="AB60" s="56"/>
    </row>
    <row r="61" ht="15.75" customHeight="1">
      <c r="A61" s="57" t="str">
        <f t="shared" si="1"/>
        <v>5ffa0c5e5f0ab46841e792fb</v>
      </c>
      <c r="B61" s="63"/>
      <c r="C61" s="56" t="s">
        <v>66</v>
      </c>
      <c r="D61" s="76" t="s">
        <v>1043</v>
      </c>
      <c r="E61" s="76" t="s">
        <v>4091</v>
      </c>
      <c r="F61" s="91" t="s">
        <v>4092</v>
      </c>
      <c r="G61" s="92">
        <v>0.4583333333333333</v>
      </c>
      <c r="H61" s="76" t="s">
        <v>4935</v>
      </c>
      <c r="I61" s="93" t="s">
        <v>4936</v>
      </c>
      <c r="J61" s="76" t="s">
        <v>4094</v>
      </c>
      <c r="K61" s="38" t="s">
        <v>4937</v>
      </c>
      <c r="L61" s="38"/>
      <c r="M61" s="56">
        <f>VLOOKUP(E61,'Hedef Liste'!A:I,9,false)</f>
        <v>47</v>
      </c>
      <c r="N61" s="56" t="b">
        <v>0</v>
      </c>
      <c r="O61" s="56" t="b">
        <v>0</v>
      </c>
      <c r="P61" s="56"/>
      <c r="Q61" s="56"/>
      <c r="R61" s="56"/>
      <c r="S61" s="56"/>
      <c r="T61" s="56"/>
      <c r="U61" s="56"/>
      <c r="V61" s="56"/>
      <c r="W61" s="56"/>
      <c r="X61" s="56"/>
      <c r="Y61" s="56"/>
      <c r="Z61" s="56"/>
      <c r="AA61" s="56"/>
      <c r="AB61" s="56"/>
    </row>
    <row r="62" ht="15.75" customHeight="1">
      <c r="A62" s="57" t="str">
        <f t="shared" si="1"/>
        <v>5ff35dbfee0f720340a8eec4</v>
      </c>
      <c r="B62" s="63"/>
      <c r="C62" s="56" t="s">
        <v>66</v>
      </c>
      <c r="D62" s="38" t="s">
        <v>1043</v>
      </c>
      <c r="E62" s="67" t="s">
        <v>1906</v>
      </c>
      <c r="F62" s="67" t="s">
        <v>1907</v>
      </c>
      <c r="G62" s="90" t="s">
        <v>4938</v>
      </c>
      <c r="H62" s="38" t="s">
        <v>4915</v>
      </c>
      <c r="I62" s="67" t="s">
        <v>4939</v>
      </c>
      <c r="J62" s="67" t="s">
        <v>1909</v>
      </c>
      <c r="K62" s="38" t="s">
        <v>4830</v>
      </c>
      <c r="L62" s="38">
        <v>25.0</v>
      </c>
      <c r="M62" s="56">
        <f>VLOOKUP(E62,'Hedef Liste'!A:I,9,false)</f>
        <v>17</v>
      </c>
      <c r="N62" s="56" t="b">
        <v>0</v>
      </c>
      <c r="O62" s="56" t="b">
        <v>0</v>
      </c>
      <c r="P62" s="56"/>
      <c r="Q62" s="56"/>
      <c r="R62" s="56"/>
      <c r="S62" s="56"/>
      <c r="T62" s="56"/>
      <c r="U62" s="56"/>
      <c r="V62" s="56"/>
      <c r="W62" s="56"/>
      <c r="X62" s="56"/>
      <c r="Y62" s="56"/>
      <c r="Z62" s="56"/>
      <c r="AA62" s="56"/>
      <c r="AB62" s="56"/>
    </row>
    <row r="63" ht="15.75" customHeight="1">
      <c r="A63" s="57" t="str">
        <f t="shared" si="1"/>
        <v>6022d6c68efa606e1a9f4455</v>
      </c>
      <c r="B63" s="63"/>
      <c r="C63" s="56" t="s">
        <v>66</v>
      </c>
      <c r="D63" s="76" t="s">
        <v>1043</v>
      </c>
      <c r="E63" s="77" t="s">
        <v>1805</v>
      </c>
      <c r="F63" s="77" t="s">
        <v>1806</v>
      </c>
      <c r="G63" s="94" t="s">
        <v>4940</v>
      </c>
      <c r="H63" s="76" t="s">
        <v>4941</v>
      </c>
      <c r="I63" s="76" t="s">
        <v>4942</v>
      </c>
      <c r="J63" s="77" t="s">
        <v>1809</v>
      </c>
      <c r="K63" s="76" t="s">
        <v>4943</v>
      </c>
      <c r="L63" s="38"/>
      <c r="M63" s="56">
        <f>VLOOKUP(E63,'Hedef Liste'!A:I,9,false)</f>
        <v>16</v>
      </c>
      <c r="N63" s="56" t="b">
        <v>0</v>
      </c>
      <c r="O63" s="56" t="b">
        <v>0</v>
      </c>
      <c r="P63" s="56"/>
      <c r="Q63" s="56"/>
      <c r="R63" s="56"/>
      <c r="S63" s="56"/>
      <c r="T63" s="56"/>
      <c r="U63" s="56"/>
      <c r="V63" s="56"/>
      <c r="W63" s="56"/>
      <c r="X63" s="56"/>
      <c r="Y63" s="56"/>
      <c r="Z63" s="56"/>
      <c r="AA63" s="56"/>
      <c r="AB63" s="56"/>
    </row>
    <row r="64" ht="15.75" customHeight="1">
      <c r="A64" s="57" t="str">
        <f t="shared" si="1"/>
        <v>602109d56d12e9fd884907e1</v>
      </c>
      <c r="B64" s="63"/>
      <c r="C64" s="56" t="s">
        <v>66</v>
      </c>
      <c r="D64" s="62" t="s">
        <v>171</v>
      </c>
      <c r="E64" s="60" t="s">
        <v>455</v>
      </c>
      <c r="F64" s="60" t="s">
        <v>456</v>
      </c>
      <c r="G64" s="73" t="s">
        <v>4899</v>
      </c>
      <c r="H64" s="62" t="s">
        <v>4915</v>
      </c>
      <c r="I64" s="62" t="s">
        <v>4944</v>
      </c>
      <c r="J64" s="60" t="s">
        <v>458</v>
      </c>
      <c r="K64" s="38" t="s">
        <v>4830</v>
      </c>
      <c r="L64" s="38">
        <v>84.0</v>
      </c>
      <c r="M64" s="56"/>
      <c r="N64" s="56" t="b">
        <v>0</v>
      </c>
      <c r="O64" s="56" t="b">
        <v>0</v>
      </c>
      <c r="P64" s="56"/>
      <c r="Q64" s="56"/>
      <c r="R64" s="56"/>
      <c r="S64" s="56"/>
      <c r="T64" s="56"/>
      <c r="U64" s="56"/>
      <c r="V64" s="56"/>
      <c r="W64" s="56"/>
      <c r="X64" s="56"/>
      <c r="Y64" s="56"/>
      <c r="Z64" s="56"/>
      <c r="AA64" s="56"/>
      <c r="AB64" s="56"/>
    </row>
    <row r="65" ht="15.75" customHeight="1">
      <c r="A65" s="57" t="str">
        <f t="shared" si="1"/>
        <v>603b4f5f71783662f11465af</v>
      </c>
      <c r="B65" s="69"/>
      <c r="C65" s="56" t="s">
        <v>66</v>
      </c>
      <c r="D65" s="38" t="s">
        <v>1043</v>
      </c>
      <c r="E65" s="67" t="s">
        <v>4945</v>
      </c>
      <c r="F65" s="67" t="s">
        <v>4946</v>
      </c>
      <c r="G65" s="66" t="s">
        <v>4947</v>
      </c>
      <c r="H65" s="38" t="s">
        <v>4915</v>
      </c>
      <c r="I65" s="38" t="s">
        <v>4948</v>
      </c>
      <c r="J65" s="67" t="s">
        <v>4949</v>
      </c>
      <c r="K65" s="38" t="s">
        <v>4830</v>
      </c>
      <c r="L65" s="38">
        <v>8.0</v>
      </c>
      <c r="M65" s="56"/>
      <c r="N65" s="56" t="b">
        <v>0</v>
      </c>
      <c r="O65" s="56" t="b">
        <v>0</v>
      </c>
      <c r="P65" s="56"/>
      <c r="Q65" s="56"/>
      <c r="R65" s="56"/>
      <c r="S65" s="56"/>
      <c r="T65" s="56"/>
      <c r="U65" s="56"/>
      <c r="V65" s="56"/>
      <c r="W65" s="56"/>
      <c r="X65" s="56"/>
      <c r="Y65" s="56"/>
      <c r="Z65" s="56"/>
      <c r="AA65" s="56"/>
      <c r="AB65" s="56"/>
    </row>
    <row r="66" ht="15.75" customHeight="1">
      <c r="A66" s="57" t="str">
        <f t="shared" si="1"/>
        <v>5fdf99bc0654ee5405e8a7fc</v>
      </c>
      <c r="B66" s="58" t="s">
        <v>4836</v>
      </c>
      <c r="C66" s="56" t="s">
        <v>53</v>
      </c>
      <c r="D66" s="80" t="s">
        <v>108</v>
      </c>
      <c r="E66" s="67" t="s">
        <v>4950</v>
      </c>
      <c r="F66" s="67" t="s">
        <v>4951</v>
      </c>
      <c r="G66" s="95">
        <v>0.5625</v>
      </c>
      <c r="H66" s="38" t="s">
        <v>4952</v>
      </c>
      <c r="I66" s="96" t="s">
        <v>4953</v>
      </c>
      <c r="J66" s="67" t="s">
        <v>4954</v>
      </c>
      <c r="K66" s="38"/>
      <c r="L66" s="38">
        <v>8.0</v>
      </c>
      <c r="M66" s="56" t="str">
        <f>VLOOKUP(E66,'Hedef Liste'!A:I,9,false)</f>
        <v>#N/A</v>
      </c>
      <c r="N66" s="56" t="b">
        <v>0</v>
      </c>
      <c r="O66" s="56" t="b">
        <v>0</v>
      </c>
      <c r="P66" s="56"/>
      <c r="Q66" s="56"/>
      <c r="R66" s="56"/>
      <c r="S66" s="56"/>
      <c r="T66" s="56"/>
      <c r="U66" s="56"/>
      <c r="V66" s="56"/>
      <c r="W66" s="56"/>
      <c r="X66" s="56"/>
      <c r="Y66" s="56"/>
      <c r="Z66" s="56"/>
      <c r="AA66" s="56"/>
      <c r="AB66" s="56"/>
    </row>
    <row r="67" ht="15.75" customHeight="1">
      <c r="A67" s="57" t="str">
        <f t="shared" si="1"/>
        <v>602192f0450e7fc163dfe7d7</v>
      </c>
      <c r="B67" s="63"/>
      <c r="C67" s="56" t="s">
        <v>53</v>
      </c>
      <c r="D67" s="62" t="s">
        <v>133</v>
      </c>
      <c r="E67" s="62" t="s">
        <v>3087</v>
      </c>
      <c r="F67" s="84" t="s">
        <v>3088</v>
      </c>
      <c r="G67" s="61">
        <v>0.625</v>
      </c>
      <c r="H67" s="62" t="s">
        <v>4952</v>
      </c>
      <c r="I67" s="59" t="s">
        <v>4955</v>
      </c>
      <c r="J67" s="62" t="s">
        <v>3090</v>
      </c>
      <c r="K67" s="68"/>
      <c r="L67" s="38">
        <v>4.0</v>
      </c>
      <c r="M67" s="56">
        <f>VLOOKUP(E67,'Hedef Liste'!A:I,9,false)</f>
        <v>13</v>
      </c>
      <c r="N67" s="56" t="b">
        <v>0</v>
      </c>
      <c r="O67" s="56" t="b">
        <v>0</v>
      </c>
      <c r="P67" s="56"/>
      <c r="Q67" s="56"/>
      <c r="R67" s="56"/>
      <c r="S67" s="56"/>
      <c r="T67" s="56"/>
      <c r="U67" s="56"/>
      <c r="V67" s="56"/>
      <c r="W67" s="56"/>
      <c r="X67" s="56"/>
      <c r="Y67" s="56"/>
      <c r="Z67" s="56"/>
      <c r="AA67" s="56"/>
      <c r="AB67" s="56"/>
    </row>
    <row r="68" ht="15.75" customHeight="1">
      <c r="A68" s="57" t="str">
        <f t="shared" si="1"/>
        <v>6019b00a669ec38ecb752630</v>
      </c>
      <c r="B68" s="63"/>
      <c r="C68" s="56" t="s">
        <v>53</v>
      </c>
      <c r="D68" s="38" t="s">
        <v>133</v>
      </c>
      <c r="E68" s="67" t="s">
        <v>4956</v>
      </c>
      <c r="F68" s="67" t="s">
        <v>3853</v>
      </c>
      <c r="G68" s="86">
        <v>0.4583333333333333</v>
      </c>
      <c r="H68" s="38" t="s">
        <v>4952</v>
      </c>
      <c r="I68" s="38" t="s">
        <v>4957</v>
      </c>
      <c r="J68" s="67" t="s">
        <v>4958</v>
      </c>
      <c r="K68" s="68"/>
      <c r="L68" s="38"/>
      <c r="M68" s="56" t="str">
        <f>VLOOKUP(E68,'Hedef Liste'!A:I,9,false)</f>
        <v>#N/A</v>
      </c>
      <c r="N68" s="56" t="b">
        <v>0</v>
      </c>
      <c r="O68" s="56" t="b">
        <v>0</v>
      </c>
      <c r="P68" s="56"/>
      <c r="Q68" s="56"/>
      <c r="R68" s="56"/>
      <c r="S68" s="56"/>
      <c r="T68" s="56"/>
      <c r="U68" s="56"/>
      <c r="V68" s="56"/>
      <c r="W68" s="56"/>
      <c r="X68" s="56"/>
      <c r="Y68" s="56"/>
      <c r="Z68" s="56"/>
      <c r="AA68" s="56"/>
      <c r="AB68" s="56"/>
    </row>
    <row r="69" ht="15.75" customHeight="1">
      <c r="A69" s="57" t="str">
        <f t="shared" si="1"/>
        <v>5fdf6a0135987ab9bc5edb40</v>
      </c>
      <c r="B69" s="63"/>
      <c r="C69" s="56" t="s">
        <v>53</v>
      </c>
      <c r="D69" s="38" t="s">
        <v>1043</v>
      </c>
      <c r="E69" s="38" t="s">
        <v>942</v>
      </c>
      <c r="F69" s="85" t="s">
        <v>943</v>
      </c>
      <c r="G69" s="66" t="s">
        <v>4914</v>
      </c>
      <c r="H69" s="38" t="s">
        <v>4876</v>
      </c>
      <c r="I69" s="38" t="s">
        <v>4959</v>
      </c>
      <c r="J69" s="38" t="s">
        <v>945</v>
      </c>
      <c r="K69" s="38"/>
      <c r="L69" s="38">
        <v>29.0</v>
      </c>
      <c r="M69" s="56">
        <f>VLOOKUP(E69,'Hedef Liste'!A:I,9,false)</f>
        <v>34</v>
      </c>
      <c r="N69" s="56" t="b">
        <v>0</v>
      </c>
      <c r="O69" s="56" t="b">
        <v>0</v>
      </c>
      <c r="P69" s="56"/>
      <c r="Q69" s="56"/>
      <c r="R69" s="56"/>
      <c r="S69" s="56"/>
      <c r="T69" s="56"/>
      <c r="U69" s="56"/>
      <c r="V69" s="56"/>
      <c r="W69" s="56"/>
      <c r="X69" s="56"/>
      <c r="Y69" s="56"/>
      <c r="Z69" s="56"/>
      <c r="AA69" s="56"/>
      <c r="AB69" s="56"/>
    </row>
    <row r="70" ht="15.75" customHeight="1">
      <c r="A70" s="57" t="str">
        <f t="shared" si="1"/>
        <v>601a70035ad05126c49863cd</v>
      </c>
      <c r="B70" s="63"/>
      <c r="C70" s="56"/>
      <c r="D70" s="97" t="s">
        <v>133</v>
      </c>
      <c r="E70" s="77" t="s">
        <v>2513</v>
      </c>
      <c r="F70" s="77" t="s">
        <v>2514</v>
      </c>
      <c r="G70" s="82" t="s">
        <v>4960</v>
      </c>
      <c r="H70" s="76" t="s">
        <v>4876</v>
      </c>
      <c r="I70" s="76" t="s">
        <v>4961</v>
      </c>
      <c r="J70" s="76" t="s">
        <v>2516</v>
      </c>
      <c r="K70" s="38" t="s">
        <v>4962</v>
      </c>
      <c r="L70" s="38"/>
      <c r="M70" s="56"/>
      <c r="N70" s="56" t="b">
        <v>0</v>
      </c>
      <c r="O70" s="56" t="b">
        <v>0</v>
      </c>
      <c r="P70" s="56"/>
      <c r="Q70" s="56"/>
      <c r="R70" s="56"/>
      <c r="S70" s="56"/>
      <c r="T70" s="56"/>
      <c r="U70" s="56"/>
      <c r="V70" s="56"/>
      <c r="W70" s="56"/>
      <c r="X70" s="56"/>
      <c r="Y70" s="56"/>
      <c r="Z70" s="56"/>
      <c r="AA70" s="56"/>
      <c r="AB70" s="56"/>
    </row>
    <row r="71" ht="15.75" customHeight="1">
      <c r="A71" s="57" t="str">
        <f t="shared" si="1"/>
        <v/>
      </c>
      <c r="B71" s="69"/>
      <c r="C71" s="56"/>
      <c r="D71" s="38"/>
      <c r="E71" s="38"/>
      <c r="F71" s="65"/>
      <c r="G71" s="66"/>
      <c r="H71" s="38"/>
      <c r="I71" s="38"/>
      <c r="J71" s="38"/>
      <c r="K71" s="38"/>
      <c r="L71" s="38"/>
      <c r="M71" s="56"/>
      <c r="N71" s="56" t="b">
        <v>0</v>
      </c>
      <c r="O71" s="56" t="b">
        <v>0</v>
      </c>
      <c r="P71" s="56"/>
      <c r="Q71" s="56"/>
      <c r="R71" s="56"/>
      <c r="S71" s="56"/>
      <c r="T71" s="56"/>
      <c r="U71" s="56"/>
      <c r="V71" s="56"/>
      <c r="W71" s="56"/>
      <c r="X71" s="56"/>
      <c r="Y71" s="56"/>
      <c r="Z71" s="56"/>
      <c r="AA71" s="56"/>
      <c r="AB71" s="56"/>
    </row>
    <row r="72" ht="15.75" customHeight="1">
      <c r="A72" s="57" t="str">
        <f t="shared" si="1"/>
        <v/>
      </c>
      <c r="B72" s="58" t="s">
        <v>4850</v>
      </c>
      <c r="C72" s="56"/>
      <c r="D72" s="38"/>
      <c r="E72" s="38"/>
      <c r="F72" s="65"/>
      <c r="G72" s="66"/>
      <c r="H72" s="38"/>
      <c r="I72" s="38"/>
      <c r="J72" s="38"/>
      <c r="K72" s="38"/>
      <c r="L72" s="38"/>
      <c r="M72" s="56"/>
      <c r="N72" s="56" t="b">
        <v>0</v>
      </c>
      <c r="O72" s="56" t="b">
        <v>0</v>
      </c>
      <c r="P72" s="56"/>
      <c r="Q72" s="56"/>
      <c r="R72" s="56"/>
      <c r="S72" s="56"/>
      <c r="T72" s="56"/>
      <c r="U72" s="56"/>
      <c r="V72" s="56"/>
      <c r="W72" s="56"/>
      <c r="X72" s="56"/>
      <c r="Y72" s="56"/>
      <c r="Z72" s="56"/>
      <c r="AA72" s="56"/>
      <c r="AB72" s="56"/>
    </row>
    <row r="73" ht="15.75" customHeight="1">
      <c r="A73" s="57" t="str">
        <f t="shared" si="1"/>
        <v/>
      </c>
      <c r="B73" s="63"/>
      <c r="C73" s="38" t="s">
        <v>278</v>
      </c>
      <c r="D73" s="38"/>
      <c r="E73" s="38"/>
      <c r="F73" s="98" t="s">
        <v>4963</v>
      </c>
      <c r="G73" s="66"/>
      <c r="H73" s="38"/>
      <c r="I73" s="38"/>
      <c r="J73" s="38"/>
      <c r="K73" s="38"/>
      <c r="L73" s="38"/>
      <c r="M73" s="56" t="str">
        <f>VLOOKUP(E73,'Hedef Liste'!A:I,9,false)</f>
        <v>#N/A</v>
      </c>
      <c r="N73" s="56" t="b">
        <v>0</v>
      </c>
      <c r="O73" s="56" t="b">
        <v>0</v>
      </c>
      <c r="P73" s="56"/>
      <c r="Q73" s="56"/>
      <c r="R73" s="56"/>
      <c r="S73" s="56"/>
      <c r="T73" s="56"/>
      <c r="U73" s="56"/>
      <c r="V73" s="56"/>
      <c r="W73" s="56"/>
      <c r="X73" s="56"/>
      <c r="Y73" s="56"/>
      <c r="Z73" s="56"/>
      <c r="AA73" s="56"/>
      <c r="AB73" s="56"/>
    </row>
    <row r="74" ht="15.75" customHeight="1">
      <c r="A74" s="57" t="str">
        <f t="shared" si="1"/>
        <v>5fe247d90654ee6397e8e94b</v>
      </c>
      <c r="B74" s="63"/>
      <c r="C74" s="38" t="s">
        <v>278</v>
      </c>
      <c r="D74" s="76" t="s">
        <v>1043</v>
      </c>
      <c r="E74" s="76" t="s">
        <v>1942</v>
      </c>
      <c r="F74" s="99" t="s">
        <v>1943</v>
      </c>
      <c r="G74" s="82" t="s">
        <v>4938</v>
      </c>
      <c r="H74" s="76" t="s">
        <v>4884</v>
      </c>
      <c r="I74" s="76" t="s">
        <v>4964</v>
      </c>
      <c r="J74" s="77" t="s">
        <v>1944</v>
      </c>
      <c r="K74" s="38" t="s">
        <v>4965</v>
      </c>
      <c r="L74" s="38"/>
      <c r="M74" s="56">
        <f>VLOOKUP(E74,'Hedef Liste'!A:I,9,false)</f>
        <v>38</v>
      </c>
      <c r="N74" s="56" t="b">
        <v>0</v>
      </c>
      <c r="O74" s="56" t="b">
        <v>0</v>
      </c>
      <c r="P74" s="56"/>
      <c r="Q74" s="56"/>
      <c r="R74" s="56"/>
      <c r="S74" s="56"/>
      <c r="T74" s="56"/>
      <c r="U74" s="56"/>
      <c r="V74" s="56"/>
      <c r="W74" s="56"/>
      <c r="X74" s="56"/>
      <c r="Y74" s="56"/>
      <c r="Z74" s="56"/>
      <c r="AA74" s="56"/>
      <c r="AB74" s="56"/>
    </row>
    <row r="75" ht="15.75" customHeight="1">
      <c r="A75" s="57" t="str">
        <f t="shared" si="1"/>
        <v>5fdf6cb40345d20df07f472d</v>
      </c>
      <c r="B75" s="63"/>
      <c r="C75" s="38" t="s">
        <v>278</v>
      </c>
      <c r="D75" s="62" t="s">
        <v>52</v>
      </c>
      <c r="E75" s="60" t="s">
        <v>1910</v>
      </c>
      <c r="F75" s="60" t="s">
        <v>1911</v>
      </c>
      <c r="G75" s="73" t="s">
        <v>4892</v>
      </c>
      <c r="H75" s="62" t="s">
        <v>4927</v>
      </c>
      <c r="I75" s="62" t="s">
        <v>4966</v>
      </c>
      <c r="J75" s="60" t="s">
        <v>1913</v>
      </c>
      <c r="K75" s="87" t="s">
        <v>4830</v>
      </c>
      <c r="L75" s="38">
        <v>8.0</v>
      </c>
      <c r="M75" s="56">
        <f>VLOOKUP(E75,'Hedef Liste'!A:I,9,false)</f>
        <v>14</v>
      </c>
      <c r="N75" s="56" t="b">
        <v>0</v>
      </c>
      <c r="O75" s="56" t="b">
        <v>0</v>
      </c>
      <c r="P75" s="56"/>
      <c r="Q75" s="56"/>
      <c r="R75" s="56"/>
      <c r="S75" s="56"/>
      <c r="T75" s="56"/>
      <c r="U75" s="56"/>
      <c r="V75" s="56"/>
      <c r="W75" s="56"/>
      <c r="X75" s="56"/>
      <c r="Y75" s="56"/>
      <c r="Z75" s="56"/>
      <c r="AA75" s="56"/>
      <c r="AB75" s="56"/>
    </row>
    <row r="76" ht="15.75" customHeight="1">
      <c r="A76" s="57" t="str">
        <f t="shared" si="1"/>
        <v>5fe23beed3f42b1acbaf1b12</v>
      </c>
      <c r="B76" s="63"/>
      <c r="C76" s="38" t="s">
        <v>278</v>
      </c>
      <c r="D76" s="62" t="s">
        <v>1043</v>
      </c>
      <c r="E76" s="59" t="s">
        <v>1371</v>
      </c>
      <c r="F76" s="84" t="s">
        <v>1372</v>
      </c>
      <c r="G76" s="73" t="s">
        <v>4967</v>
      </c>
      <c r="H76" s="62" t="s">
        <v>4968</v>
      </c>
      <c r="I76" s="62" t="s">
        <v>4969</v>
      </c>
      <c r="J76" s="62" t="s">
        <v>4970</v>
      </c>
      <c r="K76" s="87" t="s">
        <v>4830</v>
      </c>
      <c r="L76" s="38">
        <v>3.0</v>
      </c>
      <c r="M76" s="56">
        <f>VLOOKUP(E76,'Hedef Liste'!A:I,9,false)</f>
        <v>20</v>
      </c>
      <c r="N76" s="56" t="b">
        <v>0</v>
      </c>
      <c r="O76" s="56" t="b">
        <v>0</v>
      </c>
      <c r="P76" s="56"/>
      <c r="Q76" s="56"/>
      <c r="R76" s="56"/>
      <c r="S76" s="56"/>
      <c r="T76" s="56"/>
      <c r="U76" s="56"/>
      <c r="V76" s="56"/>
      <c r="W76" s="56"/>
      <c r="X76" s="56"/>
      <c r="Y76" s="56"/>
      <c r="Z76" s="56"/>
      <c r="AA76" s="56"/>
      <c r="AB76" s="56"/>
    </row>
    <row r="77" ht="15.75" customHeight="1">
      <c r="A77" s="57" t="str">
        <f t="shared" si="1"/>
        <v>5fe25653a8ae935542baa9be</v>
      </c>
      <c r="B77" s="69"/>
      <c r="C77" s="56"/>
      <c r="D77" s="76" t="s">
        <v>76</v>
      </c>
      <c r="E77" s="77" t="s">
        <v>471</v>
      </c>
      <c r="F77" s="77" t="s">
        <v>472</v>
      </c>
      <c r="G77" s="82" t="s">
        <v>4883</v>
      </c>
      <c r="H77" s="76" t="s">
        <v>4971</v>
      </c>
      <c r="I77" s="77" t="s">
        <v>4972</v>
      </c>
      <c r="J77" s="77" t="s">
        <v>474</v>
      </c>
      <c r="K77" s="38" t="s">
        <v>4973</v>
      </c>
      <c r="L77" s="38"/>
      <c r="M77" s="56"/>
      <c r="N77" s="56" t="b">
        <v>0</v>
      </c>
      <c r="O77" s="56" t="b">
        <v>0</v>
      </c>
      <c r="P77" s="56"/>
      <c r="Q77" s="56"/>
      <c r="R77" s="56"/>
      <c r="S77" s="56"/>
      <c r="T77" s="56"/>
      <c r="U77" s="56"/>
      <c r="V77" s="56"/>
      <c r="W77" s="56"/>
      <c r="X77" s="56"/>
      <c r="Y77" s="56"/>
      <c r="Z77" s="56"/>
      <c r="AA77" s="56"/>
      <c r="AB77" s="56"/>
    </row>
    <row r="78" ht="15.75" customHeight="1">
      <c r="A78" s="57" t="str">
        <f t="shared" si="1"/>
        <v/>
      </c>
      <c r="B78" s="51"/>
      <c r="C78" s="52">
        <v>44274.0</v>
      </c>
      <c r="D78" s="38"/>
      <c r="E78" s="38"/>
      <c r="F78" s="65"/>
      <c r="G78" s="100"/>
      <c r="H78" s="38"/>
      <c r="I78" s="38"/>
      <c r="J78" s="38"/>
      <c r="K78" s="38"/>
      <c r="L78" s="38"/>
      <c r="M78" s="56"/>
      <c r="N78" s="56"/>
      <c r="O78" s="56"/>
      <c r="P78" s="56"/>
      <c r="Q78" s="56"/>
      <c r="R78" s="56"/>
      <c r="S78" s="56"/>
      <c r="T78" s="56"/>
      <c r="U78" s="56"/>
      <c r="V78" s="56"/>
      <c r="W78" s="56"/>
      <c r="X78" s="56"/>
      <c r="Y78" s="56"/>
      <c r="Z78" s="56"/>
      <c r="AA78" s="56"/>
      <c r="AB78" s="56"/>
    </row>
    <row r="79" ht="15.75" customHeight="1">
      <c r="A79" s="57" t="str">
        <f t="shared" si="1"/>
        <v>5fe6387097764ae0cb5a6ed9</v>
      </c>
      <c r="B79" s="58" t="s">
        <v>4827</v>
      </c>
      <c r="C79" s="56" t="s">
        <v>66</v>
      </c>
      <c r="D79" s="62" t="s">
        <v>1043</v>
      </c>
      <c r="E79" s="62" t="s">
        <v>4278</v>
      </c>
      <c r="F79" s="84" t="s">
        <v>4279</v>
      </c>
      <c r="G79" s="101" t="s">
        <v>4926</v>
      </c>
      <c r="H79" s="59" t="s">
        <v>4935</v>
      </c>
      <c r="I79" s="59" t="s">
        <v>4974</v>
      </c>
      <c r="J79" s="60" t="s">
        <v>4281</v>
      </c>
      <c r="K79" s="68"/>
      <c r="L79" s="38">
        <v>21.0</v>
      </c>
      <c r="M79" s="56">
        <f>VLOOKUP(E79,'Hedef Liste'!A:I,9,false)</f>
        <v>13</v>
      </c>
      <c r="N79" s="56" t="b">
        <v>0</v>
      </c>
      <c r="O79" s="56" t="b">
        <v>0</v>
      </c>
      <c r="P79" s="56"/>
      <c r="Q79" s="56"/>
      <c r="R79" s="56"/>
      <c r="S79" s="56"/>
      <c r="T79" s="56"/>
      <c r="U79" s="56"/>
      <c r="V79" s="56"/>
      <c r="W79" s="56"/>
      <c r="X79" s="56"/>
      <c r="Y79" s="56"/>
      <c r="Z79" s="56"/>
      <c r="AA79" s="56"/>
      <c r="AB79" s="56"/>
    </row>
    <row r="80" ht="15.75" customHeight="1">
      <c r="A80" s="57" t="str">
        <f t="shared" si="1"/>
        <v>60072be6e13dbd68ec5c06e9</v>
      </c>
      <c r="B80" s="63"/>
      <c r="C80" s="56" t="s">
        <v>66</v>
      </c>
      <c r="D80" s="62" t="s">
        <v>1043</v>
      </c>
      <c r="E80" s="62" t="s">
        <v>4364</v>
      </c>
      <c r="F80" s="84" t="s">
        <v>4365</v>
      </c>
      <c r="G80" s="101" t="s">
        <v>4975</v>
      </c>
      <c r="H80" s="62" t="s">
        <v>4935</v>
      </c>
      <c r="I80" s="59" t="s">
        <v>4976</v>
      </c>
      <c r="J80" s="60" t="s">
        <v>4367</v>
      </c>
      <c r="K80" s="68"/>
      <c r="L80" s="38">
        <v>21.0</v>
      </c>
      <c r="M80" s="56">
        <f>VLOOKUP(E80,'Hedef Liste'!A:I,9,false)</f>
        <v>21</v>
      </c>
      <c r="N80" s="56" t="b">
        <v>0</v>
      </c>
      <c r="O80" s="56" t="b">
        <v>0</v>
      </c>
      <c r="P80" s="56"/>
      <c r="Q80" s="56"/>
      <c r="R80" s="56"/>
      <c r="S80" s="56"/>
      <c r="T80" s="56"/>
      <c r="U80" s="56"/>
      <c r="V80" s="56"/>
      <c r="W80" s="56"/>
      <c r="X80" s="56"/>
      <c r="Y80" s="56"/>
      <c r="Z80" s="56"/>
      <c r="AA80" s="56"/>
      <c r="AB80" s="56"/>
    </row>
    <row r="81" ht="15.75" customHeight="1">
      <c r="A81" s="57" t="str">
        <f t="shared" si="1"/>
        <v>6009c0009611de95e5cd123a</v>
      </c>
      <c r="B81" s="63"/>
      <c r="C81" s="56" t="s">
        <v>66</v>
      </c>
      <c r="D81" s="76" t="s">
        <v>108</v>
      </c>
      <c r="E81" s="77" t="s">
        <v>1853</v>
      </c>
      <c r="F81" s="77" t="s">
        <v>1854</v>
      </c>
      <c r="G81" s="78">
        <v>0.6666666666666666</v>
      </c>
      <c r="H81" s="76" t="s">
        <v>4977</v>
      </c>
      <c r="I81" s="76" t="s">
        <v>4978</v>
      </c>
      <c r="J81" s="77" t="s">
        <v>1856</v>
      </c>
      <c r="K81" s="38" t="s">
        <v>4979</v>
      </c>
      <c r="L81" s="38"/>
      <c r="M81" s="56">
        <f>VLOOKUP(E81,'Hedef Liste'!A:I,9,false)</f>
        <v>11</v>
      </c>
      <c r="N81" s="56" t="b">
        <v>0</v>
      </c>
      <c r="O81" s="56" t="b">
        <v>0</v>
      </c>
      <c r="P81" s="56"/>
      <c r="Q81" s="56"/>
      <c r="R81" s="56"/>
      <c r="S81" s="56"/>
      <c r="T81" s="56"/>
      <c r="U81" s="56"/>
      <c r="V81" s="56"/>
      <c r="W81" s="56"/>
      <c r="X81" s="56"/>
      <c r="Y81" s="56"/>
      <c r="Z81" s="56"/>
      <c r="AA81" s="56"/>
      <c r="AB81" s="56"/>
    </row>
    <row r="82" ht="15.75" customHeight="1">
      <c r="A82" s="57" t="str">
        <f t="shared" si="1"/>
        <v>5ffc9750def5a0f0cd566089</v>
      </c>
      <c r="B82" s="63"/>
      <c r="C82" s="56" t="s">
        <v>66</v>
      </c>
      <c r="D82" s="62" t="s">
        <v>1043</v>
      </c>
      <c r="E82" s="62" t="s">
        <v>4167</v>
      </c>
      <c r="F82" s="84" t="s">
        <v>4168</v>
      </c>
      <c r="G82" s="73" t="s">
        <v>4980</v>
      </c>
      <c r="H82" s="62" t="s">
        <v>4935</v>
      </c>
      <c r="I82" s="62" t="s">
        <v>4981</v>
      </c>
      <c r="J82" s="60" t="s">
        <v>4170</v>
      </c>
      <c r="K82" s="38"/>
      <c r="L82" s="38">
        <v>26.0</v>
      </c>
      <c r="M82" s="56">
        <f>VLOOKUP(E82,'Hedef Liste'!A:I,9,false)</f>
        <v>32</v>
      </c>
      <c r="N82" s="56" t="b">
        <v>0</v>
      </c>
      <c r="O82" s="56" t="b">
        <v>0</v>
      </c>
      <c r="P82" s="56"/>
      <c r="Q82" s="56"/>
      <c r="R82" s="56"/>
      <c r="S82" s="56"/>
      <c r="T82" s="56"/>
      <c r="U82" s="56"/>
      <c r="V82" s="56"/>
      <c r="W82" s="56"/>
      <c r="X82" s="56"/>
      <c r="Y82" s="56"/>
      <c r="Z82" s="56"/>
      <c r="AA82" s="56"/>
      <c r="AB82" s="56"/>
    </row>
    <row r="83" ht="15.75" customHeight="1">
      <c r="A83" s="57" t="str">
        <f t="shared" si="1"/>
        <v>6033946ae87c9207e0875e00</v>
      </c>
      <c r="B83" s="63"/>
      <c r="C83" s="56" t="s">
        <v>66</v>
      </c>
      <c r="D83" s="62" t="s">
        <v>133</v>
      </c>
      <c r="E83" s="83" t="s">
        <v>2460</v>
      </c>
      <c r="F83" s="84" t="s">
        <v>2461</v>
      </c>
      <c r="G83" s="73" t="s">
        <v>4858</v>
      </c>
      <c r="H83" s="62" t="s">
        <v>4874</v>
      </c>
      <c r="I83" s="62" t="s">
        <v>4982</v>
      </c>
      <c r="J83" s="83" t="s">
        <v>2463</v>
      </c>
      <c r="K83" s="68"/>
      <c r="L83" s="38">
        <v>16.0</v>
      </c>
      <c r="M83" s="56"/>
      <c r="N83" s="56" t="b">
        <v>0</v>
      </c>
      <c r="O83" s="56" t="b">
        <v>0</v>
      </c>
      <c r="P83" s="56"/>
      <c r="Q83" s="56"/>
      <c r="R83" s="56"/>
      <c r="S83" s="56"/>
      <c r="T83" s="56"/>
      <c r="U83" s="56"/>
      <c r="V83" s="56"/>
      <c r="W83" s="56"/>
      <c r="X83" s="56"/>
      <c r="Y83" s="56"/>
      <c r="Z83" s="56"/>
      <c r="AA83" s="56"/>
      <c r="AB83" s="56"/>
    </row>
    <row r="84" ht="15.75" customHeight="1">
      <c r="A84" s="57" t="str">
        <f t="shared" si="1"/>
        <v/>
      </c>
      <c r="B84" s="69"/>
      <c r="C84" s="56"/>
      <c r="D84" s="38"/>
      <c r="E84" s="38"/>
      <c r="F84" s="65"/>
      <c r="G84" s="66"/>
      <c r="H84" s="38"/>
      <c r="I84" s="38"/>
      <c r="J84" s="38"/>
      <c r="K84" s="38"/>
      <c r="L84" s="38"/>
      <c r="M84" s="56"/>
      <c r="N84" s="56" t="b">
        <v>0</v>
      </c>
      <c r="O84" s="56" t="b">
        <v>0</v>
      </c>
      <c r="P84" s="56"/>
      <c r="Q84" s="56"/>
      <c r="R84" s="56"/>
      <c r="S84" s="56"/>
      <c r="T84" s="56"/>
      <c r="U84" s="56"/>
      <c r="V84" s="56"/>
      <c r="W84" s="56"/>
      <c r="X84" s="56"/>
      <c r="Y84" s="56"/>
      <c r="Z84" s="56"/>
      <c r="AA84" s="56"/>
      <c r="AB84" s="56"/>
    </row>
    <row r="85" ht="15.75" customHeight="1">
      <c r="A85" s="57" t="str">
        <f t="shared" si="1"/>
        <v>602177de252c448b691416a1</v>
      </c>
      <c r="B85" s="58" t="s">
        <v>4836</v>
      </c>
      <c r="C85" s="56" t="s">
        <v>53</v>
      </c>
      <c r="D85" s="102" t="s">
        <v>1043</v>
      </c>
      <c r="E85" s="102" t="s">
        <v>4015</v>
      </c>
      <c r="F85" s="103" t="s">
        <v>4016</v>
      </c>
      <c r="G85" s="104" t="s">
        <v>4983</v>
      </c>
      <c r="H85" s="102" t="s">
        <v>4984</v>
      </c>
      <c r="I85" s="105" t="s">
        <v>4985</v>
      </c>
      <c r="J85" s="102" t="s">
        <v>4018</v>
      </c>
      <c r="K85" s="102" t="s">
        <v>4986</v>
      </c>
      <c r="L85" s="38"/>
      <c r="M85" s="56">
        <f>VLOOKUP(E85,'Hedef Liste'!A:I,9,false)</f>
        <v>50</v>
      </c>
      <c r="N85" s="56" t="b">
        <v>0</v>
      </c>
      <c r="O85" s="56" t="b">
        <v>0</v>
      </c>
      <c r="P85" s="56"/>
      <c r="Q85" s="56"/>
      <c r="R85" s="56"/>
      <c r="S85" s="56"/>
      <c r="T85" s="56"/>
      <c r="U85" s="56"/>
      <c r="V85" s="56"/>
      <c r="W85" s="56"/>
      <c r="X85" s="56"/>
      <c r="Y85" s="56"/>
      <c r="Z85" s="56"/>
      <c r="AA85" s="56"/>
      <c r="AB85" s="56"/>
    </row>
    <row r="86" ht="15.75" customHeight="1">
      <c r="A86" s="57" t="str">
        <f t="shared" si="1"/>
        <v>602d54e425e3a672b9ec875f        </v>
      </c>
      <c r="B86" s="63"/>
      <c r="C86" s="56" t="s">
        <v>53</v>
      </c>
      <c r="D86" s="102" t="s">
        <v>1043</v>
      </c>
      <c r="E86" s="102" t="s">
        <v>4987</v>
      </c>
      <c r="F86" s="103" t="s">
        <v>4227</v>
      </c>
      <c r="G86" s="104" t="s">
        <v>4938</v>
      </c>
      <c r="H86" s="102" t="s">
        <v>4984</v>
      </c>
      <c r="I86" s="105" t="s">
        <v>4988</v>
      </c>
      <c r="J86" s="102" t="s">
        <v>4229</v>
      </c>
      <c r="K86" s="38" t="s">
        <v>4989</v>
      </c>
      <c r="L86" s="38"/>
      <c r="M86" s="56" t="str">
        <f>VLOOKUP(E86,'Hedef Liste'!A:I,9,false)</f>
        <v>#N/A</v>
      </c>
      <c r="N86" s="56" t="b">
        <v>0</v>
      </c>
      <c r="O86" s="56" t="b">
        <v>0</v>
      </c>
      <c r="P86" s="56"/>
      <c r="Q86" s="56"/>
      <c r="R86" s="56"/>
      <c r="S86" s="56"/>
      <c r="T86" s="56"/>
      <c r="U86" s="56"/>
      <c r="V86" s="56"/>
      <c r="W86" s="56"/>
      <c r="X86" s="56"/>
      <c r="Y86" s="56"/>
      <c r="Z86" s="56"/>
      <c r="AA86" s="56"/>
      <c r="AB86" s="56"/>
    </row>
    <row r="87" ht="15.75" customHeight="1">
      <c r="A87" s="57" t="str">
        <f t="shared" si="1"/>
        <v>602333f3215fd174b8daab7b</v>
      </c>
      <c r="B87" s="63"/>
      <c r="C87" s="56" t="s">
        <v>53</v>
      </c>
      <c r="D87" s="62" t="s">
        <v>3146</v>
      </c>
      <c r="E87" s="60" t="s">
        <v>3142</v>
      </c>
      <c r="F87" s="60" t="s">
        <v>3143</v>
      </c>
      <c r="G87" s="106" t="s">
        <v>4940</v>
      </c>
      <c r="H87" s="62" t="s">
        <v>4990</v>
      </c>
      <c r="I87" s="62" t="s">
        <v>4991</v>
      </c>
      <c r="J87" s="60" t="s">
        <v>3145</v>
      </c>
      <c r="K87" s="68"/>
      <c r="L87" s="38">
        <v>12.0</v>
      </c>
      <c r="M87" s="56">
        <f>VLOOKUP(E87,'Hedef Liste'!A:I,9,false)</f>
        <v>22</v>
      </c>
      <c r="N87" s="56" t="b">
        <v>0</v>
      </c>
      <c r="O87" s="56" t="b">
        <v>0</v>
      </c>
      <c r="P87" s="56"/>
      <c r="Q87" s="56"/>
      <c r="R87" s="56"/>
      <c r="S87" s="56"/>
      <c r="T87" s="56"/>
      <c r="U87" s="56"/>
      <c r="V87" s="56"/>
      <c r="W87" s="56"/>
      <c r="X87" s="56"/>
      <c r="Y87" s="56"/>
      <c r="Z87" s="56"/>
      <c r="AA87" s="56"/>
      <c r="AB87" s="56"/>
    </row>
    <row r="88" ht="15.75" customHeight="1">
      <c r="A88" s="57" t="str">
        <f t="shared" si="1"/>
        <v>5ffc9f56f21cfb690a98eb5b</v>
      </c>
      <c r="B88" s="63"/>
      <c r="C88" s="56" t="s">
        <v>53</v>
      </c>
      <c r="D88" s="38" t="s">
        <v>654</v>
      </c>
      <c r="E88" s="85" t="s">
        <v>4992</v>
      </c>
      <c r="F88" s="85" t="s">
        <v>4993</v>
      </c>
      <c r="G88" s="66" t="s">
        <v>4914</v>
      </c>
      <c r="H88" s="38" t="s">
        <v>4994</v>
      </c>
      <c r="I88" s="87" t="s">
        <v>4995</v>
      </c>
      <c r="J88" s="107" t="s">
        <v>4996</v>
      </c>
      <c r="K88" s="38"/>
      <c r="L88" s="38">
        <v>16.0</v>
      </c>
      <c r="M88" s="56" t="str">
        <f>VLOOKUP(E88,'Hedef Liste'!A:I,9,false)</f>
        <v>#N/A</v>
      </c>
      <c r="N88" s="56" t="b">
        <v>0</v>
      </c>
      <c r="O88" s="56" t="b">
        <v>0</v>
      </c>
      <c r="P88" s="56"/>
      <c r="Q88" s="56"/>
      <c r="R88" s="56"/>
      <c r="S88" s="56"/>
      <c r="T88" s="56"/>
      <c r="U88" s="56"/>
      <c r="V88" s="56"/>
      <c r="W88" s="56"/>
      <c r="X88" s="56"/>
      <c r="Y88" s="56"/>
      <c r="Z88" s="56"/>
      <c r="AA88" s="56"/>
      <c r="AB88" s="56"/>
    </row>
    <row r="89" ht="15.75" customHeight="1">
      <c r="A89" s="57" t="str">
        <f t="shared" si="1"/>
        <v>600b1918fb76e32d4a2e062d</v>
      </c>
      <c r="B89" s="63"/>
      <c r="C89" s="56" t="s">
        <v>53</v>
      </c>
      <c r="D89" s="97" t="s">
        <v>52</v>
      </c>
      <c r="E89" s="77" t="s">
        <v>3829</v>
      </c>
      <c r="F89" s="77" t="s">
        <v>3830</v>
      </c>
      <c r="G89" s="82" t="s">
        <v>4997</v>
      </c>
      <c r="H89" s="76" t="s">
        <v>4998</v>
      </c>
      <c r="I89" s="76" t="s">
        <v>4999</v>
      </c>
      <c r="J89" s="77" t="s">
        <v>3832</v>
      </c>
      <c r="K89" s="38" t="s">
        <v>5000</v>
      </c>
      <c r="L89" s="38"/>
      <c r="M89" s="56"/>
      <c r="N89" s="56" t="b">
        <v>0</v>
      </c>
      <c r="O89" s="56" t="b">
        <v>0</v>
      </c>
      <c r="P89" s="56"/>
      <c r="Q89" s="56"/>
      <c r="R89" s="56"/>
      <c r="S89" s="56"/>
      <c r="T89" s="56"/>
      <c r="U89" s="56"/>
      <c r="V89" s="56"/>
      <c r="W89" s="56"/>
      <c r="X89" s="56"/>
      <c r="Y89" s="56"/>
      <c r="Z89" s="56"/>
      <c r="AA89" s="56"/>
      <c r="AB89" s="56"/>
    </row>
    <row r="90" ht="15.75" customHeight="1">
      <c r="A90" s="57" t="str">
        <f t="shared" si="1"/>
        <v>6037e8fa451e50807e797013</v>
      </c>
      <c r="B90" s="69"/>
      <c r="C90" s="56" t="s">
        <v>53</v>
      </c>
      <c r="D90" s="76" t="s">
        <v>654</v>
      </c>
      <c r="E90" s="77" t="s">
        <v>2602</v>
      </c>
      <c r="F90" s="77" t="s">
        <v>2603</v>
      </c>
      <c r="G90" s="92">
        <v>0.6666666666666666</v>
      </c>
      <c r="H90" s="93" t="s">
        <v>5001</v>
      </c>
      <c r="I90" s="93" t="s">
        <v>5002</v>
      </c>
      <c r="J90" s="77" t="s">
        <v>2605</v>
      </c>
      <c r="K90" s="56" t="s">
        <v>5003</v>
      </c>
      <c r="L90" s="56"/>
      <c r="M90" s="56"/>
      <c r="N90" s="56" t="b">
        <v>0</v>
      </c>
      <c r="O90" s="56" t="b">
        <v>0</v>
      </c>
      <c r="P90" s="56"/>
      <c r="Q90" s="56"/>
      <c r="R90" s="56"/>
      <c r="S90" s="56"/>
      <c r="T90" s="56"/>
      <c r="U90" s="56"/>
      <c r="V90" s="56"/>
      <c r="W90" s="56"/>
      <c r="X90" s="56"/>
      <c r="Y90" s="56"/>
      <c r="Z90" s="56"/>
      <c r="AA90" s="56"/>
      <c r="AB90" s="56"/>
    </row>
    <row r="91" ht="15.75" customHeight="1">
      <c r="A91" s="57" t="str">
        <f t="shared" si="1"/>
        <v>5fe25653a8ae935542baa9be</v>
      </c>
      <c r="B91" s="58" t="s">
        <v>4850</v>
      </c>
      <c r="C91" s="38" t="s">
        <v>278</v>
      </c>
      <c r="D91" s="62" t="s">
        <v>76</v>
      </c>
      <c r="E91" s="60" t="s">
        <v>471</v>
      </c>
      <c r="F91" s="60" t="s">
        <v>472</v>
      </c>
      <c r="G91" s="73" t="s">
        <v>5004</v>
      </c>
      <c r="H91" s="62" t="s">
        <v>4971</v>
      </c>
      <c r="I91" s="60" t="s">
        <v>4972</v>
      </c>
      <c r="J91" s="60" t="s">
        <v>474</v>
      </c>
      <c r="K91" s="38" t="s">
        <v>4830</v>
      </c>
      <c r="L91" s="38">
        <v>13.0</v>
      </c>
      <c r="M91" s="56"/>
      <c r="N91" s="56" t="b">
        <v>0</v>
      </c>
      <c r="O91" s="56" t="b">
        <v>0</v>
      </c>
      <c r="P91" s="56"/>
      <c r="Q91" s="56"/>
      <c r="R91" s="56"/>
      <c r="S91" s="56"/>
      <c r="T91" s="56"/>
      <c r="U91" s="56"/>
      <c r="V91" s="56"/>
      <c r="W91" s="56"/>
      <c r="X91" s="56"/>
      <c r="Y91" s="56"/>
      <c r="Z91" s="56"/>
      <c r="AA91" s="56"/>
      <c r="AB91" s="56"/>
    </row>
    <row r="92" ht="15.75" customHeight="1">
      <c r="A92" s="57" t="str">
        <f t="shared" si="1"/>
        <v>601a590b5fde71120538f4ad</v>
      </c>
      <c r="B92" s="63"/>
      <c r="C92" s="38" t="s">
        <v>278</v>
      </c>
      <c r="D92" s="38" t="s">
        <v>654</v>
      </c>
      <c r="E92" s="38" t="s">
        <v>5005</v>
      </c>
      <c r="F92" s="85" t="s">
        <v>5006</v>
      </c>
      <c r="G92" s="66" t="s">
        <v>4926</v>
      </c>
      <c r="H92" s="67" t="s">
        <v>4884</v>
      </c>
      <c r="I92" s="67" t="s">
        <v>5007</v>
      </c>
      <c r="J92" s="67" t="s">
        <v>5008</v>
      </c>
      <c r="K92" s="38" t="s">
        <v>4830</v>
      </c>
      <c r="L92" s="38">
        <v>13.0</v>
      </c>
      <c r="M92" s="56">
        <f>VLOOKUP(E93,'Hedef Liste'!A:I,9,false)</f>
        <v>50</v>
      </c>
      <c r="N92" s="56" t="b">
        <v>0</v>
      </c>
      <c r="O92" s="56" t="b">
        <v>0</v>
      </c>
      <c r="P92" s="56"/>
      <c r="Q92" s="56"/>
      <c r="R92" s="56"/>
      <c r="S92" s="56"/>
      <c r="T92" s="56"/>
      <c r="U92" s="56"/>
      <c r="V92" s="56"/>
      <c r="W92" s="56"/>
      <c r="X92" s="56"/>
      <c r="Y92" s="56"/>
      <c r="Z92" s="56"/>
      <c r="AA92" s="56"/>
      <c r="AB92" s="56"/>
    </row>
    <row r="93" ht="15.75" customHeight="1">
      <c r="A93" s="57" t="str">
        <f t="shared" si="1"/>
        <v>5fdfb2c022f5bdcedcd6fa31</v>
      </c>
      <c r="B93" s="63"/>
      <c r="C93" s="38" t="s">
        <v>278</v>
      </c>
      <c r="D93" s="62" t="s">
        <v>654</v>
      </c>
      <c r="E93" s="62" t="s">
        <v>2098</v>
      </c>
      <c r="F93" s="84" t="s">
        <v>2099</v>
      </c>
      <c r="G93" s="73" t="s">
        <v>4938</v>
      </c>
      <c r="H93" s="62" t="s">
        <v>4884</v>
      </c>
      <c r="I93" s="62" t="s">
        <v>5009</v>
      </c>
      <c r="J93" s="60" t="s">
        <v>2101</v>
      </c>
      <c r="K93" s="38" t="s">
        <v>4830</v>
      </c>
      <c r="L93" s="38">
        <v>11.0</v>
      </c>
      <c r="M93" s="56">
        <f>VLOOKUP(E94,'Hedef Liste'!A:I,9,false)</f>
        <v>48</v>
      </c>
      <c r="N93" s="56" t="b">
        <v>0</v>
      </c>
      <c r="O93" s="56" t="b">
        <v>0</v>
      </c>
      <c r="P93" s="56"/>
      <c r="Q93" s="56"/>
      <c r="R93" s="56"/>
      <c r="S93" s="56"/>
      <c r="T93" s="56"/>
      <c r="U93" s="56"/>
      <c r="V93" s="56"/>
      <c r="W93" s="56"/>
      <c r="X93" s="56"/>
      <c r="Y93" s="56"/>
      <c r="Z93" s="56"/>
      <c r="AA93" s="56"/>
      <c r="AB93" s="56"/>
    </row>
    <row r="94" ht="15.75" customHeight="1">
      <c r="A94" s="57" t="str">
        <f t="shared" si="1"/>
        <v>602bfe04f376832a689e5b36</v>
      </c>
      <c r="B94" s="63"/>
      <c r="C94" s="38" t="s">
        <v>278</v>
      </c>
      <c r="D94" s="62" t="s">
        <v>1043</v>
      </c>
      <c r="E94" s="62" t="s">
        <v>1039</v>
      </c>
      <c r="F94" s="84" t="s">
        <v>1040</v>
      </c>
      <c r="G94" s="73" t="s">
        <v>4940</v>
      </c>
      <c r="H94" s="62" t="s">
        <v>5010</v>
      </c>
      <c r="I94" s="62" t="s">
        <v>5011</v>
      </c>
      <c r="J94" s="62" t="s">
        <v>1042</v>
      </c>
      <c r="K94" s="38" t="s">
        <v>4830</v>
      </c>
      <c r="L94" s="38">
        <v>16.0</v>
      </c>
      <c r="M94" s="56">
        <f>VLOOKUP(E95,'Hedef Liste'!A:I,9,false)</f>
        <v>27</v>
      </c>
      <c r="N94" s="56" t="b">
        <v>0</v>
      </c>
      <c r="O94" s="56" t="b">
        <v>0</v>
      </c>
      <c r="P94" s="56"/>
      <c r="Q94" s="56"/>
      <c r="R94" s="56"/>
      <c r="S94" s="56"/>
      <c r="T94" s="56"/>
      <c r="U94" s="56"/>
      <c r="V94" s="56"/>
      <c r="W94" s="56"/>
      <c r="X94" s="56"/>
      <c r="Y94" s="56"/>
      <c r="Z94" s="56"/>
      <c r="AA94" s="56"/>
      <c r="AB94" s="56"/>
    </row>
    <row r="95" ht="15.75" customHeight="1">
      <c r="A95" s="57" t="str">
        <f t="shared" si="1"/>
        <v>601ee57571c545633001941c</v>
      </c>
      <c r="B95" s="63"/>
      <c r="C95" s="38" t="s">
        <v>278</v>
      </c>
      <c r="D95" s="62" t="s">
        <v>52</v>
      </c>
      <c r="E95" s="60" t="s">
        <v>4799</v>
      </c>
      <c r="F95" s="60" t="s">
        <v>4800</v>
      </c>
      <c r="G95" s="73" t="s">
        <v>4899</v>
      </c>
      <c r="H95" s="62" t="s">
        <v>4888</v>
      </c>
      <c r="I95" s="62" t="s">
        <v>5012</v>
      </c>
      <c r="J95" s="108" t="s">
        <v>5013</v>
      </c>
      <c r="K95" s="38" t="s">
        <v>4830</v>
      </c>
      <c r="L95" s="38">
        <v>16.0</v>
      </c>
      <c r="M95" s="56" t="str">
        <f>VLOOKUP(#REF!,'Hedef Liste'!A:I,9,false)</f>
        <v>#REF!</v>
      </c>
      <c r="N95" s="56" t="b">
        <v>0</v>
      </c>
      <c r="O95" s="56" t="b">
        <v>0</v>
      </c>
      <c r="P95" s="56"/>
      <c r="Q95" s="56"/>
      <c r="R95" s="56"/>
      <c r="S95" s="56"/>
      <c r="T95" s="56"/>
      <c r="U95" s="56"/>
      <c r="V95" s="56"/>
      <c r="W95" s="56"/>
      <c r="X95" s="56"/>
      <c r="Y95" s="56"/>
      <c r="Z95" s="56"/>
      <c r="AA95" s="56"/>
      <c r="AB95" s="56"/>
    </row>
    <row r="96" ht="15.75" customHeight="1">
      <c r="A96" s="57" t="str">
        <f t="shared" si="1"/>
        <v/>
      </c>
      <c r="B96" s="69"/>
      <c r="C96" s="56"/>
      <c r="D96" s="38"/>
      <c r="E96" s="38"/>
      <c r="F96" s="65"/>
      <c r="G96" s="66"/>
      <c r="H96" s="38"/>
      <c r="I96" s="38"/>
      <c r="J96" s="38"/>
      <c r="K96" s="38"/>
      <c r="L96" s="38"/>
      <c r="M96" s="56"/>
      <c r="N96" s="56" t="b">
        <v>0</v>
      </c>
      <c r="O96" s="56" t="b">
        <v>0</v>
      </c>
      <c r="P96" s="56"/>
      <c r="Q96" s="56"/>
      <c r="R96" s="56"/>
      <c r="S96" s="56"/>
      <c r="T96" s="56"/>
      <c r="U96" s="56"/>
      <c r="V96" s="56"/>
      <c r="W96" s="56"/>
      <c r="X96" s="56"/>
      <c r="Y96" s="56"/>
      <c r="Z96" s="56"/>
      <c r="AA96" s="56"/>
      <c r="AB96" s="56"/>
    </row>
    <row r="97" ht="15.75" customHeight="1">
      <c r="A97" s="57" t="str">
        <f t="shared" si="1"/>
        <v/>
      </c>
      <c r="B97" s="51"/>
      <c r="C97" s="52">
        <v>44277.0</v>
      </c>
      <c r="D97" s="38"/>
      <c r="E97" s="38"/>
      <c r="F97" s="65"/>
      <c r="G97" s="100"/>
      <c r="H97" s="38"/>
      <c r="I97" s="38"/>
      <c r="J97" s="38"/>
      <c r="K97" s="38"/>
      <c r="L97" s="38"/>
      <c r="M97" s="56"/>
      <c r="N97" s="56"/>
      <c r="O97" s="56"/>
      <c r="P97" s="56"/>
      <c r="Q97" s="56"/>
      <c r="R97" s="56"/>
      <c r="S97" s="56"/>
      <c r="T97" s="56"/>
      <c r="U97" s="56"/>
      <c r="V97" s="56"/>
      <c r="W97" s="56"/>
      <c r="X97" s="56"/>
      <c r="Y97" s="56"/>
      <c r="Z97" s="56"/>
      <c r="AA97" s="56"/>
      <c r="AB97" s="56"/>
    </row>
    <row r="98" ht="15.75" customHeight="1">
      <c r="A98" s="57" t="str">
        <f t="shared" si="1"/>
        <v>5fe24dc923ff895f3ca771fb</v>
      </c>
      <c r="B98" s="58" t="s">
        <v>4827</v>
      </c>
      <c r="C98" s="56" t="s">
        <v>66</v>
      </c>
      <c r="D98" s="62" t="s">
        <v>52</v>
      </c>
      <c r="E98" s="60" t="s">
        <v>2103</v>
      </c>
      <c r="F98" s="60" t="s">
        <v>2104</v>
      </c>
      <c r="G98" s="61">
        <v>0.4583333333333333</v>
      </c>
      <c r="H98" s="59" t="s">
        <v>5014</v>
      </c>
      <c r="I98" s="59" t="s">
        <v>5015</v>
      </c>
      <c r="J98" s="60" t="s">
        <v>5016</v>
      </c>
      <c r="K98" s="68"/>
      <c r="L98" s="38">
        <v>14.0</v>
      </c>
      <c r="M98" s="56">
        <f>VLOOKUP(E98,'Hedef Liste'!A:I,9,false)</f>
        <v>10</v>
      </c>
      <c r="N98" s="56" t="b">
        <v>0</v>
      </c>
      <c r="O98" s="56" t="b">
        <v>0</v>
      </c>
      <c r="P98" s="56"/>
      <c r="Q98" s="56"/>
      <c r="R98" s="56"/>
      <c r="S98" s="56"/>
      <c r="T98" s="56"/>
      <c r="U98" s="56"/>
      <c r="V98" s="56"/>
      <c r="W98" s="56"/>
      <c r="X98" s="56"/>
      <c r="Y98" s="56"/>
      <c r="Z98" s="56"/>
      <c r="AA98" s="56"/>
      <c r="AB98" s="56"/>
    </row>
    <row r="99" ht="15.75" customHeight="1">
      <c r="A99" s="57" t="str">
        <f t="shared" si="1"/>
        <v>6032952929d1d392c28c4b70</v>
      </c>
      <c r="B99" s="63"/>
      <c r="C99" s="56" t="s">
        <v>66</v>
      </c>
      <c r="D99" s="93" t="s">
        <v>52</v>
      </c>
      <c r="E99" s="77" t="s">
        <v>3055</v>
      </c>
      <c r="F99" s="77" t="s">
        <v>3056</v>
      </c>
      <c r="G99" s="92">
        <v>0.5416666666666666</v>
      </c>
      <c r="H99" s="93" t="s">
        <v>5017</v>
      </c>
      <c r="I99" s="93" t="s">
        <v>5018</v>
      </c>
      <c r="J99" s="77" t="s">
        <v>5019</v>
      </c>
      <c r="K99" s="38" t="s">
        <v>5020</v>
      </c>
      <c r="L99" s="38"/>
      <c r="M99" s="56">
        <f>VLOOKUP(E111,'Hedef Liste'!A:I,9,false)</f>
        <v>50</v>
      </c>
      <c r="N99" s="56" t="s">
        <v>4985</v>
      </c>
      <c r="O99" s="56" t="b">
        <v>0</v>
      </c>
      <c r="P99" s="56"/>
      <c r="Q99" s="56"/>
      <c r="R99" s="56"/>
      <c r="S99" s="56"/>
      <c r="T99" s="56"/>
      <c r="U99" s="56"/>
      <c r="V99" s="56"/>
      <c r="W99" s="56"/>
      <c r="X99" s="56"/>
      <c r="Y99" s="56"/>
      <c r="Z99" s="56"/>
      <c r="AA99" s="56"/>
      <c r="AB99" s="56"/>
    </row>
    <row r="100" ht="15.75" customHeight="1">
      <c r="A100" s="57" t="str">
        <f t="shared" si="1"/>
        <v>5fe634c3ce622f9485cb3f9d</v>
      </c>
      <c r="B100" s="63"/>
      <c r="C100" s="56" t="s">
        <v>66</v>
      </c>
      <c r="D100" s="62" t="s">
        <v>654</v>
      </c>
      <c r="E100" s="60" t="s">
        <v>4282</v>
      </c>
      <c r="F100" s="60" t="s">
        <v>4283</v>
      </c>
      <c r="G100" s="72">
        <v>0.625</v>
      </c>
      <c r="H100" s="59" t="s">
        <v>5014</v>
      </c>
      <c r="I100" s="62" t="s">
        <v>5021</v>
      </c>
      <c r="J100" s="60" t="s">
        <v>4285</v>
      </c>
      <c r="K100" s="38"/>
      <c r="L100" s="38">
        <v>7.0</v>
      </c>
      <c r="M100" s="56">
        <f>VLOOKUP(E100,'Hedef Liste'!A:I,9,false)</f>
        <v>16</v>
      </c>
      <c r="N100" s="56" t="b">
        <v>0</v>
      </c>
      <c r="O100" s="56" t="b">
        <v>0</v>
      </c>
      <c r="P100" s="56"/>
      <c r="Q100" s="56"/>
      <c r="R100" s="56"/>
      <c r="S100" s="56"/>
      <c r="T100" s="56"/>
      <c r="U100" s="56"/>
      <c r="V100" s="56"/>
      <c r="W100" s="56"/>
      <c r="X100" s="56"/>
      <c r="Y100" s="56"/>
      <c r="Z100" s="56"/>
      <c r="AA100" s="56"/>
      <c r="AB100" s="56"/>
    </row>
    <row r="101" ht="15.75" customHeight="1">
      <c r="A101" s="57" t="str">
        <f t="shared" si="1"/>
        <v>6002f166e2740f0a9319bef3</v>
      </c>
      <c r="B101" s="63"/>
      <c r="C101" s="56" t="s">
        <v>66</v>
      </c>
      <c r="D101" s="62" t="s">
        <v>52</v>
      </c>
      <c r="E101" s="60" t="s">
        <v>59</v>
      </c>
      <c r="F101" s="60" t="s">
        <v>60</v>
      </c>
      <c r="G101" s="73" t="s">
        <v>4899</v>
      </c>
      <c r="H101" s="62" t="s">
        <v>5022</v>
      </c>
      <c r="I101" s="62" t="s">
        <v>5023</v>
      </c>
      <c r="J101" s="60" t="s">
        <v>65</v>
      </c>
      <c r="K101" s="38"/>
      <c r="L101" s="38">
        <v>21.0</v>
      </c>
      <c r="M101" s="56">
        <f>VLOOKUP(E101,'Hedef Liste'!A:I,9,false)</f>
        <v>8</v>
      </c>
      <c r="N101" s="56" t="b">
        <v>0</v>
      </c>
      <c r="O101" s="56" t="b">
        <v>0</v>
      </c>
      <c r="P101" s="56"/>
      <c r="Q101" s="56"/>
      <c r="R101" s="56"/>
      <c r="S101" s="56"/>
      <c r="T101" s="56"/>
      <c r="U101" s="56"/>
      <c r="V101" s="56"/>
      <c r="W101" s="56"/>
      <c r="X101" s="56"/>
      <c r="Y101" s="56"/>
      <c r="Z101" s="56"/>
      <c r="AA101" s="56"/>
      <c r="AB101" s="56"/>
    </row>
    <row r="102" ht="15.75" customHeight="1">
      <c r="A102" s="57" t="str">
        <f t="shared" si="1"/>
        <v>5fdf5af2798e59ab323451e0</v>
      </c>
      <c r="B102" s="63"/>
      <c r="C102" s="56" t="s">
        <v>66</v>
      </c>
      <c r="D102" s="38" t="s">
        <v>654</v>
      </c>
      <c r="E102" s="67" t="s">
        <v>5024</v>
      </c>
      <c r="F102" s="67" t="s">
        <v>5025</v>
      </c>
      <c r="G102" s="66" t="s">
        <v>4947</v>
      </c>
      <c r="H102" s="38" t="s">
        <v>5026</v>
      </c>
      <c r="I102" s="38" t="s">
        <v>5027</v>
      </c>
      <c r="J102" s="67" t="s">
        <v>5028</v>
      </c>
      <c r="K102" s="68"/>
      <c r="L102" s="38">
        <v>6.0</v>
      </c>
      <c r="M102" s="56"/>
      <c r="N102" s="56" t="b">
        <v>0</v>
      </c>
      <c r="O102" s="56" t="b">
        <v>0</v>
      </c>
      <c r="P102" s="56"/>
      <c r="Q102" s="56"/>
      <c r="R102" s="56"/>
      <c r="S102" s="56"/>
      <c r="T102" s="56"/>
      <c r="U102" s="56"/>
      <c r="V102" s="56"/>
      <c r="W102" s="56"/>
      <c r="X102" s="56"/>
      <c r="Y102" s="56"/>
      <c r="Z102" s="56"/>
      <c r="AA102" s="56"/>
      <c r="AB102" s="56"/>
    </row>
    <row r="103" ht="15.75" customHeight="1">
      <c r="A103" s="57" t="str">
        <f t="shared" si="1"/>
        <v/>
      </c>
      <c r="B103" s="69"/>
      <c r="C103" s="56"/>
      <c r="D103" s="38"/>
      <c r="E103" s="38"/>
      <c r="F103" s="65"/>
      <c r="G103" s="66"/>
      <c r="H103" s="38"/>
      <c r="I103" s="38"/>
      <c r="J103" s="38"/>
      <c r="K103" s="38"/>
      <c r="L103" s="38"/>
      <c r="M103" s="56"/>
      <c r="N103" s="56" t="b">
        <v>0</v>
      </c>
      <c r="O103" s="56" t="b">
        <v>0</v>
      </c>
      <c r="P103" s="56"/>
      <c r="Q103" s="56"/>
      <c r="R103" s="56"/>
      <c r="S103" s="56"/>
      <c r="T103" s="56"/>
      <c r="U103" s="56"/>
      <c r="V103" s="56"/>
      <c r="W103" s="56"/>
      <c r="X103" s="56"/>
      <c r="Y103" s="56"/>
      <c r="Z103" s="56"/>
      <c r="AA103" s="56"/>
      <c r="AB103" s="56"/>
    </row>
    <row r="104" ht="15.75" customHeight="1">
      <c r="A104" s="57" t="str">
        <f t="shared" si="1"/>
        <v/>
      </c>
      <c r="B104" s="58" t="s">
        <v>4836</v>
      </c>
      <c r="C104" s="38" t="s">
        <v>278</v>
      </c>
      <c r="D104" s="64"/>
      <c r="E104" s="67"/>
      <c r="F104" s="67"/>
      <c r="G104" s="66"/>
      <c r="H104" s="38"/>
      <c r="I104" s="38"/>
      <c r="J104" s="38"/>
      <c r="K104" s="68"/>
      <c r="L104" s="38"/>
      <c r="M104" s="56" t="str">
        <f>VLOOKUP(E104,'Hedef Liste'!A:I,9,false)</f>
        <v>#N/A</v>
      </c>
      <c r="N104" s="56" t="b">
        <v>0</v>
      </c>
      <c r="O104" s="56" t="b">
        <v>0</v>
      </c>
      <c r="P104" s="56"/>
      <c r="Q104" s="56"/>
      <c r="R104" s="56"/>
      <c r="S104" s="56"/>
      <c r="T104" s="56"/>
      <c r="U104" s="56"/>
      <c r="V104" s="56"/>
      <c r="W104" s="56"/>
      <c r="X104" s="56"/>
      <c r="Y104" s="56"/>
      <c r="Z104" s="56"/>
      <c r="AA104" s="56"/>
      <c r="AB104" s="56"/>
    </row>
    <row r="105" ht="15.75" customHeight="1">
      <c r="A105" s="57" t="str">
        <f t="shared" si="1"/>
        <v>5fdf568d35987ae5ea5eda04</v>
      </c>
      <c r="B105" s="63"/>
      <c r="C105" s="38" t="s">
        <v>278</v>
      </c>
      <c r="D105" s="62" t="s">
        <v>52</v>
      </c>
      <c r="E105" s="60" t="s">
        <v>4576</v>
      </c>
      <c r="F105" s="60" t="s">
        <v>4577</v>
      </c>
      <c r="G105" s="61">
        <v>0.5416666666666666</v>
      </c>
      <c r="H105" s="62" t="s">
        <v>5029</v>
      </c>
      <c r="I105" s="59" t="s">
        <v>5030</v>
      </c>
      <c r="J105" s="60" t="s">
        <v>4579</v>
      </c>
      <c r="K105" s="38" t="s">
        <v>4830</v>
      </c>
      <c r="L105" s="38">
        <v>6.0</v>
      </c>
      <c r="M105" s="56">
        <f>VLOOKUP(E105,'Hedef Liste'!A:I,9,false)</f>
        <v>58</v>
      </c>
      <c r="N105" s="56" t="b">
        <v>0</v>
      </c>
      <c r="O105" s="56" t="b">
        <v>0</v>
      </c>
      <c r="P105" s="56"/>
      <c r="Q105" s="56"/>
      <c r="R105" s="56"/>
      <c r="S105" s="56"/>
      <c r="T105" s="56"/>
      <c r="U105" s="56"/>
      <c r="V105" s="56"/>
      <c r="W105" s="56"/>
      <c r="X105" s="56"/>
      <c r="Y105" s="56"/>
      <c r="Z105" s="56"/>
      <c r="AA105" s="56"/>
      <c r="AB105" s="56"/>
    </row>
    <row r="106" ht="15.75" customHeight="1">
      <c r="A106" s="57" t="str">
        <f t="shared" si="1"/>
        <v>5fe4f1f44669ba4a29462e9c</v>
      </c>
      <c r="B106" s="63"/>
      <c r="C106" s="38" t="s">
        <v>278</v>
      </c>
      <c r="D106" s="80" t="s">
        <v>654</v>
      </c>
      <c r="E106" s="109" t="s">
        <v>5031</v>
      </c>
      <c r="F106" s="109" t="s">
        <v>5032</v>
      </c>
      <c r="G106" s="81" t="s">
        <v>4892</v>
      </c>
      <c r="H106" s="80" t="s">
        <v>5033</v>
      </c>
      <c r="I106" s="80" t="s">
        <v>5034</v>
      </c>
      <c r="J106" s="109" t="s">
        <v>5035</v>
      </c>
      <c r="K106" s="38" t="s">
        <v>4830</v>
      </c>
      <c r="L106" s="38">
        <v>13.0</v>
      </c>
      <c r="M106" s="56" t="str">
        <f>VLOOKUP(#REF!,'Hedef Liste'!A:I,9,false)</f>
        <v>#REF!</v>
      </c>
      <c r="N106" s="56" t="b">
        <v>0</v>
      </c>
      <c r="O106" s="56" t="b">
        <v>0</v>
      </c>
      <c r="P106" s="56"/>
      <c r="Q106" s="56"/>
      <c r="R106" s="56"/>
      <c r="S106" s="56"/>
      <c r="T106" s="56"/>
      <c r="U106" s="56"/>
      <c r="V106" s="56"/>
      <c r="W106" s="56"/>
      <c r="X106" s="56"/>
      <c r="Y106" s="56"/>
      <c r="Z106" s="56"/>
      <c r="AA106" s="56"/>
      <c r="AB106" s="56"/>
    </row>
    <row r="107" ht="15.75" customHeight="1">
      <c r="A107" s="57" t="str">
        <f t="shared" si="1"/>
        <v>6019948e669ec378e17523fa</v>
      </c>
      <c r="B107" s="63"/>
      <c r="C107" s="38" t="s">
        <v>278</v>
      </c>
      <c r="D107" s="62" t="s">
        <v>52</v>
      </c>
      <c r="E107" s="60" t="s">
        <v>2916</v>
      </c>
      <c r="F107" s="60" t="s">
        <v>2917</v>
      </c>
      <c r="G107" s="73" t="s">
        <v>5036</v>
      </c>
      <c r="H107" s="62" t="s">
        <v>4900</v>
      </c>
      <c r="I107" s="75" t="s">
        <v>5037</v>
      </c>
      <c r="J107" s="60" t="s">
        <v>2919</v>
      </c>
      <c r="K107" s="38" t="s">
        <v>4830</v>
      </c>
      <c r="L107" s="38">
        <v>11.0</v>
      </c>
      <c r="M107" s="56">
        <f>VLOOKUP(E107,'Hedef Liste'!A:I,9,false)</f>
        <v>27</v>
      </c>
      <c r="N107" s="56" t="b">
        <v>0</v>
      </c>
      <c r="O107" s="56" t="b">
        <v>0</v>
      </c>
      <c r="P107" s="56"/>
      <c r="Q107" s="56"/>
      <c r="R107" s="56"/>
      <c r="S107" s="56"/>
      <c r="T107" s="56"/>
      <c r="U107" s="56"/>
      <c r="V107" s="56"/>
      <c r="W107" s="56"/>
      <c r="X107" s="56"/>
      <c r="Y107" s="56"/>
      <c r="Z107" s="56"/>
      <c r="AA107" s="56"/>
      <c r="AB107" s="56"/>
    </row>
    <row r="108" ht="15.75" customHeight="1">
      <c r="A108" s="57" t="str">
        <f t="shared" si="1"/>
        <v>6019686a51fd9b14cc3f4a48</v>
      </c>
      <c r="B108" s="63"/>
      <c r="C108" s="38" t="s">
        <v>278</v>
      </c>
      <c r="D108" s="64" t="s">
        <v>133</v>
      </c>
      <c r="E108" s="64" t="s">
        <v>5038</v>
      </c>
      <c r="F108" s="85" t="s">
        <v>5039</v>
      </c>
      <c r="G108" s="66" t="s">
        <v>4847</v>
      </c>
      <c r="H108" s="38" t="s">
        <v>5040</v>
      </c>
      <c r="I108" s="38" t="s">
        <v>5041</v>
      </c>
      <c r="J108" s="38" t="s">
        <v>5042</v>
      </c>
      <c r="K108" s="38" t="s">
        <v>4830</v>
      </c>
      <c r="L108" s="38">
        <v>13.0</v>
      </c>
      <c r="M108" s="56"/>
      <c r="N108" s="56" t="b">
        <v>0</v>
      </c>
      <c r="O108" s="56" t="b">
        <v>0</v>
      </c>
      <c r="P108" s="56"/>
      <c r="Q108" s="56"/>
      <c r="R108" s="56"/>
      <c r="S108" s="56"/>
      <c r="T108" s="56"/>
      <c r="U108" s="56"/>
      <c r="V108" s="56"/>
      <c r="W108" s="56"/>
      <c r="X108" s="56"/>
      <c r="Y108" s="56"/>
      <c r="Z108" s="56"/>
      <c r="AA108" s="56"/>
      <c r="AB108" s="56"/>
    </row>
    <row r="109" ht="15.75" customHeight="1">
      <c r="A109" s="57" t="str">
        <f t="shared" si="1"/>
        <v/>
      </c>
      <c r="B109" s="69"/>
      <c r="C109" s="56"/>
      <c r="D109" s="38"/>
      <c r="E109" s="38"/>
      <c r="F109" s="65"/>
      <c r="G109" s="66"/>
      <c r="H109" s="38"/>
      <c r="I109" s="38"/>
      <c r="J109" s="38"/>
      <c r="K109" s="38"/>
      <c r="L109" s="38"/>
      <c r="M109" s="56"/>
      <c r="N109" s="56" t="b">
        <v>0</v>
      </c>
      <c r="O109" s="56" t="b">
        <v>0</v>
      </c>
      <c r="P109" s="56"/>
      <c r="Q109" s="56"/>
      <c r="R109" s="56"/>
      <c r="S109" s="56"/>
      <c r="T109" s="56"/>
      <c r="U109" s="56"/>
      <c r="V109" s="56"/>
      <c r="W109" s="56"/>
      <c r="X109" s="56"/>
      <c r="Y109" s="56"/>
      <c r="Z109" s="56"/>
      <c r="AA109" s="56"/>
      <c r="AB109" s="56"/>
    </row>
    <row r="110" ht="15.75" customHeight="1">
      <c r="A110" s="57" t="str">
        <f t="shared" si="1"/>
        <v/>
      </c>
      <c r="B110" s="58" t="s">
        <v>4850</v>
      </c>
      <c r="C110" s="56"/>
      <c r="D110" s="38"/>
      <c r="E110" s="38"/>
      <c r="F110" s="110"/>
      <c r="G110" s="66"/>
      <c r="H110" s="67"/>
      <c r="I110" s="67"/>
      <c r="J110" s="67"/>
      <c r="K110" s="38"/>
      <c r="L110" s="38"/>
      <c r="M110" s="56"/>
      <c r="N110" s="56" t="b">
        <v>0</v>
      </c>
      <c r="O110" s="56" t="b">
        <v>0</v>
      </c>
      <c r="P110" s="56"/>
      <c r="Q110" s="56"/>
      <c r="R110" s="56"/>
      <c r="S110" s="56"/>
      <c r="T110" s="56"/>
      <c r="U110" s="56"/>
      <c r="V110" s="56"/>
      <c r="W110" s="56"/>
      <c r="X110" s="56"/>
      <c r="Y110" s="56"/>
      <c r="Z110" s="56"/>
      <c r="AA110" s="56"/>
      <c r="AB110" s="56"/>
    </row>
    <row r="111" ht="15.75" customHeight="1">
      <c r="A111" s="57" t="str">
        <f t="shared" si="1"/>
        <v>602177de252c448b691416a1</v>
      </c>
      <c r="B111" s="63"/>
      <c r="C111" s="56" t="s">
        <v>53</v>
      </c>
      <c r="D111" s="62" t="s">
        <v>52</v>
      </c>
      <c r="E111" s="62" t="s">
        <v>4015</v>
      </c>
      <c r="F111" s="84" t="s">
        <v>4016</v>
      </c>
      <c r="G111" s="61">
        <v>0.5416666666666666</v>
      </c>
      <c r="H111" s="62" t="s">
        <v>4984</v>
      </c>
      <c r="I111" s="59" t="s">
        <v>4985</v>
      </c>
      <c r="J111" s="62" t="s">
        <v>4018</v>
      </c>
      <c r="K111" s="38" t="s">
        <v>5043</v>
      </c>
      <c r="L111" s="38">
        <v>15.0</v>
      </c>
      <c r="M111" s="56" t="str">
        <f>VLOOKUP(#REF!,'Hedef Liste'!A:I,9,false)</f>
        <v>#REF!</v>
      </c>
      <c r="N111" s="56" t="b">
        <v>0</v>
      </c>
      <c r="O111" s="56" t="b">
        <v>0</v>
      </c>
      <c r="P111" s="56"/>
      <c r="Q111" s="56"/>
      <c r="R111" s="56"/>
      <c r="S111" s="56"/>
      <c r="T111" s="56"/>
      <c r="U111" s="56"/>
      <c r="V111" s="56"/>
      <c r="W111" s="56"/>
      <c r="X111" s="56"/>
      <c r="Y111" s="56"/>
      <c r="Z111" s="56"/>
      <c r="AA111" s="56"/>
      <c r="AB111" s="56"/>
    </row>
    <row r="112" ht="15.75" customHeight="1">
      <c r="A112" s="57" t="str">
        <f t="shared" si="1"/>
        <v>5ffa172edef5a061fe5617ef</v>
      </c>
      <c r="B112" s="63"/>
      <c r="C112" s="56" t="s">
        <v>53</v>
      </c>
      <c r="D112" s="62" t="s">
        <v>654</v>
      </c>
      <c r="E112" s="60" t="s">
        <v>4067</v>
      </c>
      <c r="F112" s="60" t="s">
        <v>4068</v>
      </c>
      <c r="G112" s="61">
        <v>0.625</v>
      </c>
      <c r="H112" s="59" t="s">
        <v>5044</v>
      </c>
      <c r="I112" s="59" t="s">
        <v>5045</v>
      </c>
      <c r="J112" s="60" t="s">
        <v>4070</v>
      </c>
      <c r="K112" s="38" t="s">
        <v>5043</v>
      </c>
      <c r="L112" s="38">
        <v>10.0</v>
      </c>
      <c r="M112" s="56" t="str">
        <f>VLOOKUP(#REF!,'Hedef Liste'!A:I,9,false)</f>
        <v>#REF!</v>
      </c>
      <c r="N112" s="56" t="b">
        <v>0</v>
      </c>
      <c r="O112" s="56" t="b">
        <v>0</v>
      </c>
      <c r="P112" s="56"/>
      <c r="Q112" s="56"/>
      <c r="R112" s="56"/>
      <c r="S112" s="56"/>
      <c r="T112" s="56"/>
      <c r="U112" s="56"/>
      <c r="V112" s="56"/>
      <c r="W112" s="56"/>
      <c r="X112" s="56"/>
      <c r="Y112" s="56"/>
      <c r="Z112" s="56"/>
      <c r="AA112" s="56"/>
      <c r="AB112" s="56"/>
    </row>
    <row r="113" ht="15.75" customHeight="1">
      <c r="A113" s="57" t="str">
        <f t="shared" si="1"/>
        <v>6023cf711ac2f5625125969f</v>
      </c>
      <c r="B113" s="63"/>
      <c r="C113" s="56" t="s">
        <v>53</v>
      </c>
      <c r="D113" s="76" t="s">
        <v>654</v>
      </c>
      <c r="E113" s="77" t="s">
        <v>370</v>
      </c>
      <c r="F113" s="77" t="s">
        <v>371</v>
      </c>
      <c r="G113" s="92">
        <v>0.7083333333333334</v>
      </c>
      <c r="H113" s="93" t="s">
        <v>5046</v>
      </c>
      <c r="I113" s="93" t="s">
        <v>5047</v>
      </c>
      <c r="J113" s="77" t="s">
        <v>5048</v>
      </c>
      <c r="K113" s="38" t="s">
        <v>5049</v>
      </c>
      <c r="L113" s="38"/>
      <c r="M113" s="56" t="str">
        <f>VLOOKUP(#REF!,'Hedef Liste'!A:I,9,false)</f>
        <v>#REF!</v>
      </c>
      <c r="N113" s="56" t="b">
        <v>0</v>
      </c>
      <c r="O113" s="56" t="b">
        <v>0</v>
      </c>
      <c r="P113" s="56"/>
      <c r="Q113" s="56"/>
      <c r="R113" s="56"/>
      <c r="S113" s="56"/>
      <c r="T113" s="56"/>
      <c r="U113" s="56"/>
      <c r="V113" s="56"/>
      <c r="W113" s="56"/>
      <c r="X113" s="56"/>
      <c r="Y113" s="56"/>
      <c r="Z113" s="56"/>
      <c r="AA113" s="56"/>
      <c r="AB113" s="56"/>
    </row>
    <row r="114" ht="15.75" customHeight="1">
      <c r="A114" s="57" t="str">
        <f t="shared" si="1"/>
        <v>602d4f1b17a376375836012a</v>
      </c>
      <c r="B114" s="63"/>
      <c r="C114" s="56" t="s">
        <v>53</v>
      </c>
      <c r="D114" s="38" t="s">
        <v>52</v>
      </c>
      <c r="E114" s="67" t="s">
        <v>5050</v>
      </c>
      <c r="F114" s="67" t="s">
        <v>5051</v>
      </c>
      <c r="G114" s="66" t="s">
        <v>4997</v>
      </c>
      <c r="H114" s="38" t="s">
        <v>5046</v>
      </c>
      <c r="I114" s="38" t="s">
        <v>5052</v>
      </c>
      <c r="J114" s="67" t="s">
        <v>5053</v>
      </c>
      <c r="K114" s="38" t="s">
        <v>5054</v>
      </c>
      <c r="L114" s="38">
        <v>13.0</v>
      </c>
      <c r="M114" s="56" t="str">
        <f>VLOOKUP(E114,'Hedef Liste'!A:I,9,false)</f>
        <v>#N/A</v>
      </c>
      <c r="N114" s="56" t="b">
        <v>0</v>
      </c>
      <c r="O114" s="56" t="b">
        <v>0</v>
      </c>
      <c r="P114" s="56"/>
      <c r="Q114" s="56"/>
      <c r="R114" s="56"/>
      <c r="S114" s="56"/>
      <c r="T114" s="56"/>
      <c r="U114" s="56"/>
      <c r="V114" s="56"/>
      <c r="W114" s="56"/>
      <c r="X114" s="56"/>
      <c r="Y114" s="56"/>
      <c r="Z114" s="56"/>
      <c r="AA114" s="56"/>
      <c r="AB114" s="56"/>
    </row>
    <row r="115" ht="15.75" customHeight="1">
      <c r="A115" s="57" t="str">
        <f t="shared" si="1"/>
        <v/>
      </c>
      <c r="B115" s="69"/>
      <c r="C115" s="56"/>
      <c r="D115" s="38"/>
      <c r="E115" s="67"/>
      <c r="F115" s="67"/>
      <c r="G115" s="66"/>
      <c r="H115" s="38"/>
      <c r="I115" s="38"/>
      <c r="J115" s="67"/>
      <c r="K115" s="38"/>
      <c r="L115" s="38"/>
      <c r="M115" s="56"/>
      <c r="N115" s="56" t="b">
        <v>0</v>
      </c>
      <c r="O115" s="56" t="b">
        <v>0</v>
      </c>
      <c r="P115" s="56"/>
      <c r="Q115" s="56"/>
      <c r="R115" s="56"/>
      <c r="S115" s="56"/>
      <c r="T115" s="56"/>
      <c r="U115" s="56"/>
      <c r="V115" s="56"/>
      <c r="W115" s="56"/>
      <c r="X115" s="56"/>
      <c r="Y115" s="56"/>
      <c r="Z115" s="56"/>
      <c r="AA115" s="56"/>
      <c r="AB115" s="56"/>
    </row>
    <row r="116" ht="15.75" customHeight="1">
      <c r="A116" s="57" t="str">
        <f t="shared" si="1"/>
        <v/>
      </c>
      <c r="B116" s="51"/>
      <c r="C116" s="52">
        <v>44278.0</v>
      </c>
      <c r="D116" s="38"/>
      <c r="E116" s="53"/>
      <c r="F116" s="54"/>
      <c r="G116" s="54"/>
      <c r="H116" s="54"/>
      <c r="I116" s="54"/>
      <c r="J116" s="54"/>
      <c r="K116" s="54"/>
      <c r="L116" s="55"/>
      <c r="M116" s="56"/>
      <c r="N116" s="56"/>
      <c r="O116" s="56"/>
      <c r="P116" s="56"/>
      <c r="Q116" s="56"/>
      <c r="R116" s="56"/>
      <c r="S116" s="56"/>
      <c r="T116" s="56"/>
      <c r="U116" s="56"/>
      <c r="V116" s="56"/>
      <c r="W116" s="56"/>
      <c r="X116" s="56"/>
      <c r="Y116" s="56"/>
      <c r="Z116" s="56"/>
      <c r="AA116" s="56"/>
      <c r="AB116" s="56"/>
    </row>
    <row r="117" ht="15.75" customHeight="1">
      <c r="A117" s="57" t="str">
        <f t="shared" si="1"/>
        <v>5fde0f873587c39ed452dd53</v>
      </c>
      <c r="B117" s="58" t="s">
        <v>4827</v>
      </c>
      <c r="C117" s="56" t="s">
        <v>66</v>
      </c>
      <c r="D117" s="62" t="s">
        <v>654</v>
      </c>
      <c r="E117" s="60" t="s">
        <v>3933</v>
      </c>
      <c r="F117" s="60" t="s">
        <v>3934</v>
      </c>
      <c r="G117" s="61">
        <v>0.375</v>
      </c>
      <c r="H117" s="59" t="s">
        <v>5055</v>
      </c>
      <c r="I117" s="59" t="s">
        <v>5056</v>
      </c>
      <c r="J117" s="67"/>
      <c r="K117" s="68"/>
      <c r="L117" s="38">
        <v>55.0</v>
      </c>
      <c r="M117" s="56">
        <f>VLOOKUP(E117,'Hedef Liste'!A:I,9,false)</f>
        <v>26</v>
      </c>
      <c r="N117" s="56" t="b">
        <v>0</v>
      </c>
      <c r="O117" s="56" t="b">
        <v>0</v>
      </c>
      <c r="P117" s="56"/>
      <c r="Q117" s="56"/>
      <c r="R117" s="56"/>
      <c r="S117" s="56"/>
      <c r="T117" s="56"/>
      <c r="U117" s="56"/>
      <c r="V117" s="56"/>
      <c r="W117" s="56"/>
      <c r="X117" s="56"/>
      <c r="Y117" s="56"/>
      <c r="Z117" s="56"/>
      <c r="AA117" s="56"/>
      <c r="AB117" s="56"/>
    </row>
    <row r="118" ht="15.75" customHeight="1">
      <c r="A118" s="57" t="str">
        <f t="shared" si="1"/>
        <v>5fde0193e8c6244f711ef0a1</v>
      </c>
      <c r="B118" s="63"/>
      <c r="C118" s="56" t="s">
        <v>66</v>
      </c>
      <c r="D118" s="62" t="s">
        <v>654</v>
      </c>
      <c r="E118" s="60" t="s">
        <v>3938</v>
      </c>
      <c r="F118" s="60" t="s">
        <v>3939</v>
      </c>
      <c r="G118" s="61">
        <v>0.4583333333333333</v>
      </c>
      <c r="H118" s="59" t="s">
        <v>5055</v>
      </c>
      <c r="I118" s="59" t="s">
        <v>5057</v>
      </c>
      <c r="J118" s="67"/>
      <c r="K118" s="68"/>
      <c r="L118" s="38">
        <v>88.0</v>
      </c>
      <c r="M118" s="56">
        <f>VLOOKUP(E118,'Hedef Liste'!A:I,9,false)</f>
        <v>83</v>
      </c>
      <c r="N118" s="56" t="b">
        <v>0</v>
      </c>
      <c r="O118" s="56" t="b">
        <v>0</v>
      </c>
      <c r="P118" s="56"/>
      <c r="Q118" s="56"/>
      <c r="R118" s="56"/>
      <c r="S118" s="56"/>
      <c r="T118" s="56"/>
      <c r="U118" s="56"/>
      <c r="V118" s="56"/>
      <c r="W118" s="56"/>
      <c r="X118" s="56"/>
      <c r="Y118" s="56"/>
      <c r="Z118" s="56"/>
      <c r="AA118" s="56"/>
      <c r="AB118" s="56"/>
    </row>
    <row r="119" ht="15.75" customHeight="1">
      <c r="A119" s="57" t="str">
        <f t="shared" si="1"/>
        <v>5fddf4dee8c62468d21eefd9</v>
      </c>
      <c r="B119" s="63"/>
      <c r="C119" s="56" t="s">
        <v>66</v>
      </c>
      <c r="D119" s="62" t="s">
        <v>654</v>
      </c>
      <c r="E119" s="60" t="s">
        <v>3942</v>
      </c>
      <c r="F119" s="60" t="s">
        <v>3943</v>
      </c>
      <c r="G119" s="72">
        <v>0.5416666666666666</v>
      </c>
      <c r="H119" s="62" t="s">
        <v>5058</v>
      </c>
      <c r="I119" s="59" t="s">
        <v>5059</v>
      </c>
      <c r="J119" s="67"/>
      <c r="K119" s="38"/>
      <c r="L119" s="38">
        <v>103.0</v>
      </c>
      <c r="M119" s="56">
        <f>VLOOKUP(E119,'Hedef Liste'!A:I,9,false)</f>
        <v>86</v>
      </c>
      <c r="N119" s="56" t="b">
        <v>0</v>
      </c>
      <c r="O119" s="56" t="b">
        <v>0</v>
      </c>
      <c r="P119" s="56"/>
      <c r="Q119" s="56"/>
      <c r="R119" s="56"/>
      <c r="S119" s="56"/>
      <c r="T119" s="56"/>
      <c r="U119" s="56"/>
      <c r="V119" s="56"/>
      <c r="W119" s="56"/>
      <c r="X119" s="56"/>
      <c r="Y119" s="56"/>
      <c r="Z119" s="56"/>
      <c r="AA119" s="56"/>
      <c r="AB119" s="56"/>
    </row>
    <row r="120" ht="15.75" customHeight="1">
      <c r="A120" s="57" t="str">
        <f t="shared" si="1"/>
        <v>5fde06a8909a7245afbce97e</v>
      </c>
      <c r="B120" s="63"/>
      <c r="C120" s="56" t="s">
        <v>66</v>
      </c>
      <c r="D120" s="62" t="s">
        <v>654</v>
      </c>
      <c r="E120" s="60" t="s">
        <v>3946</v>
      </c>
      <c r="F120" s="60" t="s">
        <v>3947</v>
      </c>
      <c r="G120" s="73" t="s">
        <v>4892</v>
      </c>
      <c r="H120" s="62" t="s">
        <v>4908</v>
      </c>
      <c r="I120" s="59" t="s">
        <v>5060</v>
      </c>
      <c r="J120" s="67"/>
      <c r="K120" s="38"/>
      <c r="L120" s="38">
        <v>88.0</v>
      </c>
      <c r="M120" s="56">
        <f>VLOOKUP(E120,'Hedef Liste'!A:I,9,false)</f>
        <v>83</v>
      </c>
      <c r="N120" s="56" t="b">
        <v>0</v>
      </c>
      <c r="O120" s="56" t="b">
        <v>0</v>
      </c>
      <c r="P120" s="56"/>
      <c r="Q120" s="56"/>
      <c r="R120" s="56"/>
      <c r="S120" s="56"/>
      <c r="T120" s="56"/>
      <c r="U120" s="56"/>
      <c r="V120" s="56"/>
      <c r="W120" s="56"/>
      <c r="X120" s="56"/>
      <c r="Y120" s="56"/>
      <c r="Z120" s="56"/>
      <c r="AA120" s="56"/>
      <c r="AB120" s="56"/>
    </row>
    <row r="121" ht="15.75" customHeight="1">
      <c r="A121" s="57" t="str">
        <f t="shared" si="1"/>
        <v>5fddfcebfdea33cacbdec299</v>
      </c>
      <c r="B121" s="63"/>
      <c r="C121" s="56" t="s">
        <v>66</v>
      </c>
      <c r="D121" s="62" t="s">
        <v>654</v>
      </c>
      <c r="E121" s="60" t="s">
        <v>5061</v>
      </c>
      <c r="F121" s="60" t="s">
        <v>3951</v>
      </c>
      <c r="G121" s="73" t="s">
        <v>4899</v>
      </c>
      <c r="H121" s="62" t="s">
        <v>4971</v>
      </c>
      <c r="I121" s="59" t="s">
        <v>5062</v>
      </c>
      <c r="J121" s="38"/>
      <c r="K121" s="68"/>
      <c r="L121" s="38">
        <v>55.0</v>
      </c>
      <c r="M121" s="56"/>
      <c r="N121" s="56" t="b">
        <v>0</v>
      </c>
      <c r="O121" s="56" t="b">
        <v>0</v>
      </c>
      <c r="P121" s="56"/>
      <c r="Q121" s="56"/>
      <c r="R121" s="56"/>
      <c r="S121" s="56"/>
      <c r="T121" s="56"/>
      <c r="U121" s="56"/>
      <c r="V121" s="56"/>
      <c r="W121" s="56"/>
      <c r="X121" s="56"/>
      <c r="Y121" s="56"/>
      <c r="Z121" s="56"/>
      <c r="AA121" s="56"/>
      <c r="AB121" s="56"/>
    </row>
    <row r="122" ht="15.75" customHeight="1">
      <c r="A122" s="57" t="str">
        <f t="shared" si="1"/>
        <v/>
      </c>
      <c r="B122" s="69"/>
      <c r="C122" s="56"/>
      <c r="D122" s="38"/>
      <c r="E122" s="38"/>
      <c r="F122" s="65"/>
      <c r="G122" s="66"/>
      <c r="H122" s="38"/>
      <c r="I122" s="38"/>
      <c r="J122" s="38"/>
      <c r="K122" s="38"/>
      <c r="L122" s="38"/>
      <c r="M122" s="56"/>
      <c r="N122" s="56" t="b">
        <v>0</v>
      </c>
      <c r="O122" s="56" t="b">
        <v>0</v>
      </c>
      <c r="P122" s="56"/>
      <c r="Q122" s="56"/>
      <c r="R122" s="56"/>
      <c r="S122" s="56"/>
      <c r="T122" s="56"/>
      <c r="U122" s="56"/>
      <c r="V122" s="56"/>
      <c r="W122" s="56"/>
      <c r="X122" s="56"/>
      <c r="Y122" s="56"/>
      <c r="Z122" s="56"/>
      <c r="AA122" s="56"/>
      <c r="AB122" s="56"/>
    </row>
    <row r="123" ht="15.75" customHeight="1">
      <c r="A123" s="57" t="str">
        <f t="shared" si="1"/>
        <v>5fdf715da8b06d2229a4860f</v>
      </c>
      <c r="B123" s="58" t="s">
        <v>4836</v>
      </c>
      <c r="C123" s="56" t="s">
        <v>53</v>
      </c>
      <c r="D123" s="38" t="s">
        <v>133</v>
      </c>
      <c r="E123" s="67" t="s">
        <v>1897</v>
      </c>
      <c r="F123" s="67" t="s">
        <v>1898</v>
      </c>
      <c r="G123" s="79">
        <v>0.4166666666666667</v>
      </c>
      <c r="H123" s="38" t="s">
        <v>5063</v>
      </c>
      <c r="I123" s="56" t="s">
        <v>5064</v>
      </c>
      <c r="J123" s="67" t="s">
        <v>1900</v>
      </c>
      <c r="K123" s="68"/>
      <c r="L123" s="38"/>
      <c r="M123" s="56">
        <f>VLOOKUP(E123,'Hedef Liste'!A:I,9,false)</f>
        <v>75</v>
      </c>
      <c r="N123" s="56" t="b">
        <v>0</v>
      </c>
      <c r="O123" s="56" t="b">
        <v>0</v>
      </c>
      <c r="P123" s="56"/>
      <c r="Q123" s="56"/>
      <c r="R123" s="56"/>
      <c r="S123" s="56"/>
      <c r="T123" s="56"/>
      <c r="U123" s="56"/>
      <c r="V123" s="56"/>
      <c r="W123" s="56"/>
      <c r="X123" s="56"/>
      <c r="Y123" s="56"/>
      <c r="Z123" s="56"/>
      <c r="AA123" s="56"/>
      <c r="AB123" s="56"/>
    </row>
    <row r="124" ht="15.75" customHeight="1">
      <c r="A124" s="57" t="str">
        <f t="shared" si="1"/>
        <v>5ffde4f165ba5209202caad8</v>
      </c>
      <c r="B124" s="63"/>
      <c r="C124" s="56" t="s">
        <v>53</v>
      </c>
      <c r="D124" s="62" t="s">
        <v>52</v>
      </c>
      <c r="E124" s="60" t="s">
        <v>1151</v>
      </c>
      <c r="F124" s="60" t="s">
        <v>1152</v>
      </c>
      <c r="G124" s="61">
        <v>0.5208333333333334</v>
      </c>
      <c r="H124" s="62" t="s">
        <v>4900</v>
      </c>
      <c r="I124" s="59" t="s">
        <v>5065</v>
      </c>
      <c r="J124" s="60" t="s">
        <v>1154</v>
      </c>
      <c r="K124" s="68"/>
      <c r="L124" s="38"/>
      <c r="M124" s="56">
        <f>VLOOKUP(E124,'Hedef Liste'!A:I,9,false)</f>
        <v>60</v>
      </c>
      <c r="N124" s="56" t="b">
        <v>0</v>
      </c>
      <c r="O124" s="56" t="b">
        <v>0</v>
      </c>
      <c r="P124" s="56"/>
      <c r="Q124" s="56"/>
      <c r="R124" s="56"/>
      <c r="S124" s="56"/>
      <c r="T124" s="56"/>
      <c r="U124" s="56"/>
      <c r="V124" s="56"/>
      <c r="W124" s="56"/>
      <c r="X124" s="56"/>
      <c r="Y124" s="56"/>
      <c r="Z124" s="56"/>
      <c r="AA124" s="56"/>
      <c r="AB124" s="56"/>
    </row>
    <row r="125" ht="15.75" customHeight="1">
      <c r="A125" s="57" t="str">
        <f t="shared" si="1"/>
        <v>602422366fcc5ca048832b87</v>
      </c>
      <c r="B125" s="63"/>
      <c r="C125" s="56" t="s">
        <v>53</v>
      </c>
      <c r="D125" s="62" t="s">
        <v>133</v>
      </c>
      <c r="E125" s="60" t="s">
        <v>4516</v>
      </c>
      <c r="F125" s="84" t="s">
        <v>4517</v>
      </c>
      <c r="G125" s="72">
        <v>0.5833333333333334</v>
      </c>
      <c r="H125" s="62" t="s">
        <v>5066</v>
      </c>
      <c r="I125" s="62" t="s">
        <v>5067</v>
      </c>
      <c r="J125" s="60" t="s">
        <v>4519</v>
      </c>
      <c r="K125" s="68"/>
      <c r="L125" s="38"/>
      <c r="M125" s="56">
        <f>VLOOKUP(E125,'Hedef Liste'!A:I,9,false)</f>
        <v>21</v>
      </c>
      <c r="N125" s="56" t="b">
        <v>0</v>
      </c>
      <c r="O125" s="56" t="b">
        <v>0</v>
      </c>
      <c r="P125" s="56"/>
      <c r="Q125" s="56"/>
      <c r="R125" s="56"/>
      <c r="S125" s="56"/>
      <c r="T125" s="56"/>
      <c r="U125" s="56"/>
      <c r="V125" s="56"/>
      <c r="W125" s="56"/>
      <c r="X125" s="56"/>
      <c r="Y125" s="56"/>
      <c r="Z125" s="56"/>
      <c r="AA125" s="56"/>
      <c r="AB125" s="56"/>
    </row>
    <row r="126" ht="15.75" customHeight="1">
      <c r="A126" s="57" t="str">
        <f t="shared" si="1"/>
        <v>601a70035ad05126c49863cd</v>
      </c>
      <c r="B126" s="63"/>
      <c r="C126" s="56" t="s">
        <v>53</v>
      </c>
      <c r="D126" s="38"/>
      <c r="E126" s="110" t="s">
        <v>2513</v>
      </c>
      <c r="F126" s="110" t="s">
        <v>5068</v>
      </c>
      <c r="G126" s="66" t="s">
        <v>5069</v>
      </c>
      <c r="H126" s="38" t="s">
        <v>5070</v>
      </c>
      <c r="I126" s="89" t="s">
        <v>5071</v>
      </c>
      <c r="J126" s="111" t="s">
        <v>5072</v>
      </c>
      <c r="K126" s="38" t="s">
        <v>5073</v>
      </c>
      <c r="L126" s="38"/>
      <c r="M126" s="56">
        <f>VLOOKUP(E126,'Hedef Liste'!A:I,9,false)</f>
        <v>6</v>
      </c>
      <c r="N126" s="56" t="b">
        <v>0</v>
      </c>
      <c r="O126" s="56" t="b">
        <v>0</v>
      </c>
      <c r="P126" s="56"/>
      <c r="Q126" s="56"/>
      <c r="R126" s="56"/>
      <c r="S126" s="56"/>
      <c r="T126" s="56"/>
      <c r="U126" s="56"/>
      <c r="V126" s="56"/>
      <c r="W126" s="56"/>
      <c r="X126" s="56"/>
      <c r="Y126" s="56"/>
      <c r="Z126" s="56"/>
      <c r="AA126" s="56"/>
      <c r="AB126" s="56"/>
    </row>
    <row r="127" ht="15.75" customHeight="1">
      <c r="A127" s="57" t="str">
        <f t="shared" si="1"/>
        <v/>
      </c>
      <c r="B127" s="63"/>
      <c r="C127" s="56"/>
      <c r="D127" s="64"/>
      <c r="E127" s="64"/>
      <c r="F127" s="65"/>
      <c r="G127" s="66"/>
      <c r="H127" s="38"/>
      <c r="I127" s="38"/>
      <c r="J127" s="38"/>
      <c r="K127" s="68"/>
      <c r="L127" s="38"/>
      <c r="M127" s="56"/>
      <c r="N127" s="56" t="b">
        <v>0</v>
      </c>
      <c r="O127" s="56" t="b">
        <v>0</v>
      </c>
      <c r="P127" s="56"/>
      <c r="Q127" s="56"/>
      <c r="R127" s="56"/>
      <c r="S127" s="56"/>
      <c r="T127" s="56"/>
      <c r="U127" s="56"/>
      <c r="V127" s="56"/>
      <c r="W127" s="56"/>
      <c r="X127" s="56"/>
      <c r="Y127" s="56"/>
      <c r="Z127" s="56"/>
      <c r="AA127" s="56"/>
      <c r="AB127" s="56"/>
    </row>
    <row r="128" ht="15.75" customHeight="1">
      <c r="A128" s="57" t="str">
        <f t="shared" si="1"/>
        <v/>
      </c>
      <c r="B128" s="69"/>
      <c r="C128" s="56"/>
      <c r="D128" s="38"/>
      <c r="E128" s="38"/>
      <c r="F128" s="65"/>
      <c r="G128" s="66"/>
      <c r="H128" s="38"/>
      <c r="I128" s="38"/>
      <c r="J128" s="38"/>
      <c r="K128" s="38"/>
      <c r="L128" s="38"/>
      <c r="M128" s="56"/>
      <c r="N128" s="56" t="b">
        <v>0</v>
      </c>
      <c r="O128" s="56" t="b">
        <v>0</v>
      </c>
      <c r="P128" s="56"/>
      <c r="Q128" s="56"/>
      <c r="R128" s="56"/>
      <c r="S128" s="56"/>
      <c r="T128" s="56"/>
      <c r="U128" s="56"/>
      <c r="V128" s="56"/>
      <c r="W128" s="56"/>
      <c r="X128" s="56"/>
      <c r="Y128" s="56"/>
      <c r="Z128" s="56"/>
      <c r="AA128" s="56"/>
      <c r="AB128" s="56"/>
    </row>
    <row r="129" ht="15.75" customHeight="1">
      <c r="A129" s="57" t="str">
        <f t="shared" si="1"/>
        <v/>
      </c>
      <c r="B129" s="58" t="s">
        <v>4850</v>
      </c>
      <c r="C129" s="38" t="s">
        <v>278</v>
      </c>
      <c r="D129" s="38"/>
      <c r="E129" s="38"/>
      <c r="F129" s="110"/>
      <c r="G129" s="66"/>
      <c r="H129" s="67"/>
      <c r="I129" s="67"/>
      <c r="J129" s="67"/>
      <c r="K129" s="38"/>
      <c r="L129" s="38"/>
      <c r="M129" s="56"/>
      <c r="N129" s="56" t="b">
        <v>0</v>
      </c>
      <c r="O129" s="56" t="b">
        <v>0</v>
      </c>
      <c r="P129" s="56"/>
      <c r="Q129" s="56"/>
      <c r="R129" s="56"/>
      <c r="S129" s="56"/>
      <c r="T129" s="56"/>
      <c r="U129" s="56"/>
      <c r="V129" s="56"/>
      <c r="W129" s="56"/>
      <c r="X129" s="56"/>
      <c r="Y129" s="56"/>
      <c r="Z129" s="56"/>
      <c r="AA129" s="56"/>
      <c r="AB129" s="56"/>
    </row>
    <row r="130" ht="15.75" customHeight="1">
      <c r="A130" s="57" t="str">
        <f t="shared" si="1"/>
        <v>600b1918fb76e32d4a2e062d</v>
      </c>
      <c r="B130" s="63"/>
      <c r="C130" s="38" t="s">
        <v>278</v>
      </c>
      <c r="D130" s="62" t="s">
        <v>654</v>
      </c>
      <c r="E130" s="60" t="s">
        <v>3829</v>
      </c>
      <c r="F130" s="60" t="s">
        <v>3830</v>
      </c>
      <c r="G130" s="61">
        <v>0.4375</v>
      </c>
      <c r="H130" s="62" t="s">
        <v>5074</v>
      </c>
      <c r="I130" s="59" t="s">
        <v>4999</v>
      </c>
      <c r="J130" s="60" t="s">
        <v>3832</v>
      </c>
      <c r="K130" s="67" t="s">
        <v>4830</v>
      </c>
      <c r="L130" s="38">
        <v>8.0</v>
      </c>
      <c r="M130" s="56">
        <f>VLOOKUP(E130,'Hedef Liste'!A:I,9,false)</f>
        <v>16</v>
      </c>
      <c r="N130" s="56" t="b">
        <v>0</v>
      </c>
      <c r="O130" s="56" t="b">
        <v>0</v>
      </c>
      <c r="P130" s="56"/>
      <c r="Q130" s="56"/>
      <c r="R130" s="56"/>
      <c r="S130" s="56"/>
      <c r="T130" s="56"/>
      <c r="U130" s="56"/>
      <c r="V130" s="56"/>
      <c r="W130" s="56"/>
      <c r="X130" s="56"/>
      <c r="Y130" s="56"/>
      <c r="Z130" s="56"/>
      <c r="AA130" s="56"/>
      <c r="AB130" s="56"/>
    </row>
    <row r="131" ht="15.75" customHeight="1">
      <c r="A131" s="57" t="str">
        <f t="shared" si="1"/>
        <v>6008a3e6e4ab4e7da4924aca</v>
      </c>
      <c r="B131" s="63"/>
      <c r="C131" s="38" t="s">
        <v>278</v>
      </c>
      <c r="D131" s="38" t="s">
        <v>133</v>
      </c>
      <c r="E131" s="67" t="s">
        <v>3977</v>
      </c>
      <c r="F131" s="67" t="s">
        <v>3978</v>
      </c>
      <c r="G131" s="66" t="s">
        <v>4856</v>
      </c>
      <c r="H131" s="38" t="s">
        <v>5074</v>
      </c>
      <c r="I131" s="38" t="s">
        <v>5075</v>
      </c>
      <c r="J131" s="38" t="s">
        <v>3980</v>
      </c>
      <c r="K131" s="112" t="s">
        <v>5076</v>
      </c>
      <c r="L131" s="38"/>
      <c r="M131" s="56">
        <f>VLOOKUP(E131,'Hedef Liste'!A:I,9,false)</f>
        <v>38</v>
      </c>
      <c r="N131" s="56" t="b">
        <v>0</v>
      </c>
      <c r="O131" s="56" t="b">
        <v>0</v>
      </c>
      <c r="P131" s="56"/>
      <c r="Q131" s="56"/>
      <c r="R131" s="56"/>
      <c r="S131" s="56"/>
      <c r="T131" s="56"/>
      <c r="U131" s="56"/>
      <c r="V131" s="56"/>
      <c r="W131" s="56"/>
      <c r="X131" s="56"/>
      <c r="Y131" s="56"/>
      <c r="Z131" s="56"/>
      <c r="AA131" s="56"/>
      <c r="AB131" s="56"/>
    </row>
    <row r="132" ht="15.75" customHeight="1">
      <c r="A132" s="57" t="str">
        <f t="shared" si="1"/>
        <v>6008629de4ab4e729b924769</v>
      </c>
      <c r="B132" s="63"/>
      <c r="C132" s="38" t="s">
        <v>278</v>
      </c>
      <c r="D132" s="38" t="s">
        <v>133</v>
      </c>
      <c r="E132" s="67" t="s">
        <v>1093</v>
      </c>
      <c r="F132" s="67" t="s">
        <v>1094</v>
      </c>
      <c r="G132" s="66" t="s">
        <v>4858</v>
      </c>
      <c r="H132" s="38" t="s">
        <v>5077</v>
      </c>
      <c r="I132" s="38" t="s">
        <v>5078</v>
      </c>
      <c r="J132" s="67" t="s">
        <v>1096</v>
      </c>
      <c r="K132" s="38" t="s">
        <v>4830</v>
      </c>
      <c r="L132" s="38">
        <v>3.0</v>
      </c>
      <c r="M132" s="56">
        <f>VLOOKUP(E132,'Hedef Liste'!A:I,9,false)</f>
        <v>11</v>
      </c>
      <c r="N132" s="56" t="b">
        <v>0</v>
      </c>
      <c r="O132" s="56" t="b">
        <v>0</v>
      </c>
      <c r="P132" s="56"/>
      <c r="Q132" s="56"/>
      <c r="R132" s="56"/>
      <c r="S132" s="56"/>
      <c r="T132" s="56"/>
      <c r="U132" s="56"/>
      <c r="V132" s="56"/>
      <c r="W132" s="56"/>
      <c r="X132" s="56"/>
      <c r="Y132" s="56"/>
      <c r="Z132" s="56"/>
      <c r="AA132" s="56"/>
      <c r="AB132" s="56"/>
    </row>
    <row r="133" ht="15.75" customHeight="1">
      <c r="A133" s="57" t="str">
        <f t="shared" si="1"/>
        <v>5fea1e8b0e63feda60cae951</v>
      </c>
      <c r="B133" s="63"/>
      <c r="C133" s="38" t="s">
        <v>278</v>
      </c>
      <c r="D133" s="38" t="s">
        <v>133</v>
      </c>
      <c r="E133" s="38" t="s">
        <v>5079</v>
      </c>
      <c r="F133" s="89" t="s">
        <v>5080</v>
      </c>
      <c r="G133" s="66" t="s">
        <v>4854</v>
      </c>
      <c r="H133" s="38" t="s">
        <v>5081</v>
      </c>
      <c r="I133" s="38" t="s">
        <v>5082</v>
      </c>
      <c r="J133" s="38" t="s">
        <v>5083</v>
      </c>
      <c r="K133" s="38" t="s">
        <v>4830</v>
      </c>
      <c r="L133" s="38">
        <v>9.0</v>
      </c>
      <c r="M133" s="56" t="str">
        <f>VLOOKUP(E133,'Hedef Liste'!A:I,9,false)</f>
        <v>#N/A</v>
      </c>
      <c r="N133" s="56" t="b">
        <v>0</v>
      </c>
      <c r="O133" s="56" t="b">
        <v>0</v>
      </c>
      <c r="P133" s="56"/>
      <c r="Q133" s="56"/>
      <c r="R133" s="56"/>
      <c r="S133" s="56"/>
      <c r="T133" s="56"/>
      <c r="U133" s="56"/>
      <c r="V133" s="56"/>
      <c r="W133" s="56"/>
      <c r="X133" s="56"/>
      <c r="Y133" s="56"/>
      <c r="Z133" s="56"/>
      <c r="AA133" s="56"/>
      <c r="AB133" s="56"/>
    </row>
    <row r="134" ht="15.75" customHeight="1">
      <c r="A134" s="57" t="str">
        <f t="shared" si="1"/>
        <v/>
      </c>
      <c r="B134" s="69"/>
      <c r="C134" s="56"/>
      <c r="D134" s="38"/>
      <c r="E134" s="38"/>
      <c r="F134" s="65"/>
      <c r="G134" s="66"/>
      <c r="H134" s="38"/>
      <c r="I134" s="38"/>
      <c r="J134" s="38"/>
      <c r="K134" s="38"/>
      <c r="L134" s="38"/>
      <c r="M134" s="56"/>
      <c r="N134" s="56" t="b">
        <v>0</v>
      </c>
      <c r="O134" s="56" t="b">
        <v>0</v>
      </c>
      <c r="P134" s="56"/>
      <c r="Q134" s="56"/>
      <c r="R134" s="56"/>
      <c r="S134" s="56"/>
      <c r="T134" s="56"/>
      <c r="U134" s="56"/>
      <c r="V134" s="56"/>
      <c r="W134" s="56"/>
      <c r="X134" s="56"/>
      <c r="Y134" s="56"/>
      <c r="Z134" s="56"/>
      <c r="AA134" s="56"/>
      <c r="AB134" s="56"/>
    </row>
    <row r="135" ht="15.75" customHeight="1">
      <c r="A135" s="57" t="str">
        <f t="shared" si="1"/>
        <v/>
      </c>
      <c r="B135" s="51"/>
      <c r="C135" s="52">
        <v>44279.0</v>
      </c>
      <c r="D135" s="38"/>
      <c r="E135" s="53"/>
      <c r="F135" s="54"/>
      <c r="G135" s="54"/>
      <c r="H135" s="54"/>
      <c r="I135" s="54"/>
      <c r="J135" s="54"/>
      <c r="K135" s="54"/>
      <c r="L135" s="55"/>
      <c r="M135" s="56"/>
      <c r="N135" s="56"/>
      <c r="O135" s="56"/>
      <c r="P135" s="56"/>
      <c r="Q135" s="56"/>
      <c r="R135" s="56"/>
      <c r="S135" s="56"/>
      <c r="T135" s="56"/>
      <c r="U135" s="56"/>
      <c r="V135" s="56"/>
      <c r="W135" s="56"/>
      <c r="X135" s="56"/>
      <c r="Y135" s="56"/>
      <c r="Z135" s="56"/>
      <c r="AA135" s="56"/>
      <c r="AB135" s="56"/>
    </row>
    <row r="136" ht="15.75" customHeight="1">
      <c r="A136" s="57" t="str">
        <f t="shared" si="1"/>
        <v>603b5dfe33826773a9401a91</v>
      </c>
      <c r="B136" s="58" t="s">
        <v>4827</v>
      </c>
      <c r="C136" s="56" t="s">
        <v>66</v>
      </c>
      <c r="D136" s="62" t="s">
        <v>133</v>
      </c>
      <c r="E136" s="62" t="s">
        <v>1600</v>
      </c>
      <c r="F136" s="84" t="s">
        <v>1601</v>
      </c>
      <c r="G136" s="61">
        <v>0.5416666666666666</v>
      </c>
      <c r="H136" s="59" t="s">
        <v>5063</v>
      </c>
      <c r="I136" s="59" t="s">
        <v>5084</v>
      </c>
      <c r="J136" s="60" t="s">
        <v>1603</v>
      </c>
      <c r="K136" s="68"/>
      <c r="L136" s="38"/>
      <c r="M136" s="56">
        <f>VLOOKUP(E136,'Hedef Liste'!A:I,9,false)</f>
        <v>16</v>
      </c>
      <c r="N136" s="56" t="b">
        <v>0</v>
      </c>
      <c r="O136" s="56" t="b">
        <v>0</v>
      </c>
      <c r="P136" s="56"/>
      <c r="Q136" s="56"/>
      <c r="R136" s="56"/>
      <c r="S136" s="56"/>
      <c r="T136" s="56"/>
      <c r="U136" s="56"/>
      <c r="V136" s="56"/>
      <c r="W136" s="56"/>
      <c r="X136" s="56"/>
      <c r="Y136" s="56"/>
      <c r="Z136" s="56"/>
      <c r="AA136" s="56"/>
      <c r="AB136" s="56"/>
    </row>
    <row r="137" ht="15.75" customHeight="1">
      <c r="A137" s="57" t="str">
        <f t="shared" si="1"/>
        <v>5fdf1bc539426cb82d623eb7</v>
      </c>
      <c r="B137" s="63"/>
      <c r="C137" s="56" t="s">
        <v>66</v>
      </c>
      <c r="D137" s="62" t="s">
        <v>133</v>
      </c>
      <c r="E137" s="62" t="s">
        <v>3000</v>
      </c>
      <c r="F137" s="84" t="s">
        <v>3001</v>
      </c>
      <c r="G137" s="61">
        <v>0.6041666666666666</v>
      </c>
      <c r="H137" s="62" t="s">
        <v>5085</v>
      </c>
      <c r="I137" s="59" t="s">
        <v>5086</v>
      </c>
      <c r="J137" s="60" t="s">
        <v>3003</v>
      </c>
      <c r="K137" s="68"/>
      <c r="L137" s="38"/>
      <c r="M137" s="56">
        <f>VLOOKUP(E137,'Hedef Liste'!A:I,9,false)</f>
        <v>7</v>
      </c>
      <c r="N137" s="56" t="b">
        <v>0</v>
      </c>
      <c r="O137" s="56" t="b">
        <v>0</v>
      </c>
      <c r="P137" s="56"/>
      <c r="Q137" s="56"/>
      <c r="R137" s="56"/>
      <c r="S137" s="56"/>
      <c r="T137" s="56"/>
      <c r="U137" s="56"/>
      <c r="V137" s="56"/>
      <c r="W137" s="56"/>
      <c r="X137" s="56"/>
      <c r="Y137" s="56"/>
      <c r="Z137" s="56"/>
      <c r="AA137" s="56"/>
      <c r="AB137" s="56"/>
    </row>
    <row r="138" ht="15.75" customHeight="1">
      <c r="A138" s="57" t="str">
        <f t="shared" si="1"/>
        <v>5fe4f6804743e1ced351b244</v>
      </c>
      <c r="B138" s="63"/>
      <c r="C138" s="56" t="s">
        <v>66</v>
      </c>
      <c r="D138" s="62" t="s">
        <v>133</v>
      </c>
      <c r="E138" s="60" t="s">
        <v>853</v>
      </c>
      <c r="F138" s="60" t="s">
        <v>854</v>
      </c>
      <c r="G138" s="72">
        <v>0.6875</v>
      </c>
      <c r="H138" s="62" t="s">
        <v>5087</v>
      </c>
      <c r="I138" s="62" t="s">
        <v>5088</v>
      </c>
      <c r="J138" s="60" t="s">
        <v>856</v>
      </c>
      <c r="K138" s="38"/>
      <c r="L138" s="38"/>
      <c r="M138" s="56">
        <f>VLOOKUP(E138,'Hedef Liste'!A:I,9,false)</f>
        <v>26</v>
      </c>
      <c r="N138" s="56" t="b">
        <v>0</v>
      </c>
      <c r="O138" s="56" t="b">
        <v>0</v>
      </c>
      <c r="P138" s="56"/>
      <c r="Q138" s="56"/>
      <c r="R138" s="56"/>
      <c r="S138" s="56"/>
      <c r="T138" s="56"/>
      <c r="U138" s="56"/>
      <c r="V138" s="56"/>
      <c r="W138" s="56"/>
      <c r="X138" s="56"/>
      <c r="Y138" s="56"/>
      <c r="Z138" s="56"/>
      <c r="AA138" s="56"/>
      <c r="AB138" s="56"/>
    </row>
    <row r="139" ht="15.75" customHeight="1">
      <c r="A139" s="57" t="str">
        <f t="shared" si="1"/>
        <v>5feb753e630a76f4e9ff16c5</v>
      </c>
      <c r="B139" s="63"/>
      <c r="C139" s="56" t="s">
        <v>66</v>
      </c>
      <c r="D139" s="62" t="s">
        <v>133</v>
      </c>
      <c r="E139" s="62" t="s">
        <v>2329</v>
      </c>
      <c r="F139" s="84" t="s">
        <v>2330</v>
      </c>
      <c r="G139" s="73" t="s">
        <v>5089</v>
      </c>
      <c r="H139" s="62" t="s">
        <v>5085</v>
      </c>
      <c r="I139" s="62" t="s">
        <v>5090</v>
      </c>
      <c r="J139" s="60" t="s">
        <v>2332</v>
      </c>
      <c r="K139" s="38"/>
      <c r="L139" s="38"/>
      <c r="M139" s="56">
        <f>VLOOKUP(E139,'Hedef Liste'!A:I,9,false)</f>
        <v>17</v>
      </c>
      <c r="N139" s="56" t="b">
        <v>0</v>
      </c>
      <c r="O139" s="56" t="b">
        <v>0</v>
      </c>
      <c r="P139" s="56"/>
      <c r="Q139" s="56"/>
      <c r="R139" s="56"/>
      <c r="S139" s="56"/>
      <c r="T139" s="56"/>
      <c r="U139" s="56"/>
      <c r="V139" s="56"/>
      <c r="W139" s="56"/>
      <c r="X139" s="56"/>
      <c r="Y139" s="56"/>
      <c r="Z139" s="56"/>
      <c r="AA139" s="56"/>
      <c r="AB139" s="56"/>
    </row>
    <row r="140" ht="15.75" customHeight="1">
      <c r="A140" s="57" t="str">
        <f t="shared" si="1"/>
        <v>6019aa8e4fbe5c660859b068</v>
      </c>
      <c r="B140" s="63"/>
      <c r="C140" s="56" t="s">
        <v>66</v>
      </c>
      <c r="D140" s="38" t="s">
        <v>654</v>
      </c>
      <c r="E140" s="67" t="s">
        <v>5091</v>
      </c>
      <c r="F140" s="67" t="s">
        <v>5092</v>
      </c>
      <c r="G140" s="66" t="s">
        <v>4899</v>
      </c>
      <c r="H140" s="56" t="s">
        <v>5063</v>
      </c>
      <c r="I140" s="38" t="s">
        <v>5093</v>
      </c>
      <c r="J140" s="67" t="s">
        <v>5094</v>
      </c>
      <c r="K140" s="68"/>
      <c r="L140" s="38"/>
      <c r="M140" s="56"/>
      <c r="N140" s="56" t="b">
        <v>0</v>
      </c>
      <c r="O140" s="56" t="b">
        <v>0</v>
      </c>
      <c r="P140" s="56"/>
      <c r="Q140" s="56"/>
      <c r="R140" s="56"/>
      <c r="S140" s="56"/>
      <c r="T140" s="56"/>
      <c r="U140" s="56"/>
      <c r="V140" s="56"/>
      <c r="W140" s="56"/>
      <c r="X140" s="56"/>
      <c r="Y140" s="56"/>
      <c r="Z140" s="56"/>
      <c r="AA140" s="56"/>
      <c r="AB140" s="56"/>
    </row>
    <row r="141" ht="15.75" customHeight="1">
      <c r="A141" s="57" t="str">
        <f t="shared" si="1"/>
        <v/>
      </c>
      <c r="B141" s="69"/>
      <c r="C141" s="56"/>
      <c r="D141" s="38"/>
      <c r="E141" s="38"/>
      <c r="F141" s="65"/>
      <c r="G141" s="66"/>
      <c r="H141" s="38"/>
      <c r="I141" s="38"/>
      <c r="J141" s="38"/>
      <c r="K141" s="38"/>
      <c r="L141" s="38"/>
      <c r="M141" s="56"/>
      <c r="N141" s="56" t="b">
        <v>0</v>
      </c>
      <c r="O141" s="56" t="b">
        <v>0</v>
      </c>
      <c r="P141" s="56"/>
      <c r="Q141" s="56"/>
      <c r="R141" s="56"/>
      <c r="S141" s="56"/>
      <c r="T141" s="56"/>
      <c r="U141" s="56"/>
      <c r="V141" s="56"/>
      <c r="W141" s="56"/>
      <c r="X141" s="56"/>
      <c r="Y141" s="56"/>
      <c r="Z141" s="56"/>
      <c r="AA141" s="56"/>
      <c r="AB141" s="56"/>
    </row>
    <row r="142" ht="15.75" customHeight="1">
      <c r="A142" s="57" t="str">
        <f t="shared" si="1"/>
        <v/>
      </c>
      <c r="B142" s="58" t="s">
        <v>4836</v>
      </c>
      <c r="C142" s="56"/>
      <c r="D142" s="38"/>
      <c r="E142" s="38"/>
      <c r="F142" s="65"/>
      <c r="G142" s="79"/>
      <c r="H142" s="38"/>
      <c r="I142" s="56"/>
      <c r="J142" s="38"/>
      <c r="K142" s="68"/>
      <c r="L142" s="38"/>
      <c r="M142" s="56" t="str">
        <f>VLOOKUP(E142,'Hedef Liste'!A:I,9,false)</f>
        <v>#N/A</v>
      </c>
      <c r="N142" s="56" t="b">
        <v>0</v>
      </c>
      <c r="O142" s="56" t="b">
        <v>0</v>
      </c>
      <c r="P142" s="56"/>
      <c r="Q142" s="56"/>
      <c r="R142" s="56"/>
      <c r="S142" s="56"/>
      <c r="T142" s="56"/>
      <c r="U142" s="56"/>
      <c r="V142" s="56"/>
      <c r="W142" s="56"/>
      <c r="X142" s="56"/>
      <c r="Y142" s="56"/>
      <c r="Z142" s="56"/>
      <c r="AA142" s="56"/>
      <c r="AB142" s="56"/>
    </row>
    <row r="143" ht="15.75" customHeight="1">
      <c r="A143" s="57" t="str">
        <f t="shared" si="1"/>
        <v>602d54e425e3a672b9ec875f        </v>
      </c>
      <c r="B143" s="63"/>
      <c r="C143" s="56" t="s">
        <v>53</v>
      </c>
      <c r="D143" s="62" t="s">
        <v>52</v>
      </c>
      <c r="E143" s="62" t="s">
        <v>4987</v>
      </c>
      <c r="F143" s="84" t="s">
        <v>4227</v>
      </c>
      <c r="G143" s="61">
        <v>0.5625</v>
      </c>
      <c r="H143" s="62" t="s">
        <v>4984</v>
      </c>
      <c r="I143" s="59" t="s">
        <v>4988</v>
      </c>
      <c r="J143" s="62" t="s">
        <v>4229</v>
      </c>
      <c r="K143" s="68"/>
      <c r="L143" s="38"/>
      <c r="M143" s="56" t="str">
        <f>VLOOKUP(E143,'Hedef Liste'!A:I,9,false)</f>
        <v>#N/A</v>
      </c>
      <c r="N143" s="56" t="b">
        <v>0</v>
      </c>
      <c r="O143" s="56" t="b">
        <v>0</v>
      </c>
      <c r="P143" s="56"/>
      <c r="Q143" s="56"/>
      <c r="R143" s="56"/>
      <c r="S143" s="56"/>
      <c r="T143" s="56"/>
      <c r="U143" s="56"/>
      <c r="V143" s="56"/>
      <c r="W143" s="56"/>
      <c r="X143" s="56"/>
      <c r="Y143" s="56"/>
      <c r="Z143" s="56"/>
      <c r="AA143" s="56"/>
      <c r="AB143" s="56"/>
    </row>
    <row r="144" ht="15.75" customHeight="1">
      <c r="A144" s="57" t="str">
        <f t="shared" si="1"/>
        <v>603030261794319eb5076cd9        </v>
      </c>
      <c r="B144" s="63"/>
      <c r="C144" s="56" t="s">
        <v>53</v>
      </c>
      <c r="D144" s="76" t="s">
        <v>133</v>
      </c>
      <c r="E144" s="77" t="s">
        <v>5095</v>
      </c>
      <c r="F144" s="99" t="s">
        <v>3293</v>
      </c>
      <c r="G144" s="78">
        <v>0.625</v>
      </c>
      <c r="H144" s="76" t="s">
        <v>5096</v>
      </c>
      <c r="I144" s="76" t="s">
        <v>5097</v>
      </c>
      <c r="J144" s="77" t="s">
        <v>5098</v>
      </c>
      <c r="K144" s="38" t="s">
        <v>5099</v>
      </c>
      <c r="L144" s="38"/>
      <c r="M144" s="56" t="str">
        <f>VLOOKUP(E144,'Hedef Liste'!A:I,9,false)</f>
        <v>#N/A</v>
      </c>
      <c r="N144" s="56" t="b">
        <v>0</v>
      </c>
      <c r="O144" s="56" t="b">
        <v>0</v>
      </c>
      <c r="P144" s="56"/>
      <c r="Q144" s="56"/>
      <c r="R144" s="56"/>
      <c r="S144" s="56"/>
      <c r="T144" s="56"/>
      <c r="U144" s="56"/>
      <c r="V144" s="56"/>
      <c r="W144" s="56"/>
      <c r="X144" s="56"/>
      <c r="Y144" s="56"/>
      <c r="Z144" s="56"/>
      <c r="AA144" s="56"/>
      <c r="AB144" s="56"/>
    </row>
    <row r="145" ht="15.75" customHeight="1">
      <c r="A145" s="57" t="str">
        <f t="shared" si="1"/>
        <v>5fff6b4837b181f7af07eb2c</v>
      </c>
      <c r="B145" s="63"/>
      <c r="C145" s="56" t="s">
        <v>53</v>
      </c>
      <c r="D145" s="76" t="s">
        <v>52</v>
      </c>
      <c r="E145" s="77" t="s">
        <v>3776</v>
      </c>
      <c r="F145" s="77" t="s">
        <v>3777</v>
      </c>
      <c r="G145" s="82" t="s">
        <v>4899</v>
      </c>
      <c r="H145" s="76" t="s">
        <v>5001</v>
      </c>
      <c r="I145" s="88" t="s">
        <v>5100</v>
      </c>
      <c r="J145" s="77" t="s">
        <v>3779</v>
      </c>
      <c r="K145" s="38" t="s">
        <v>5101</v>
      </c>
      <c r="L145" s="38"/>
      <c r="M145" s="56">
        <f>VLOOKUP(E145,'Hedef Liste'!A:I,9,false)</f>
        <v>55</v>
      </c>
      <c r="N145" s="56" t="b">
        <v>0</v>
      </c>
      <c r="O145" s="56" t="b">
        <v>0</v>
      </c>
      <c r="P145" s="56"/>
      <c r="Q145" s="56"/>
      <c r="R145" s="56"/>
      <c r="S145" s="56"/>
      <c r="T145" s="56"/>
      <c r="U145" s="56"/>
      <c r="V145" s="56"/>
      <c r="W145" s="56"/>
      <c r="X145" s="56"/>
      <c r="Y145" s="56"/>
      <c r="Z145" s="56"/>
      <c r="AA145" s="56"/>
      <c r="AB145" s="56"/>
    </row>
    <row r="146" ht="15.75" customHeight="1">
      <c r="A146" s="57" t="str">
        <f t="shared" si="1"/>
        <v>600c5aaf0354af3ca8848c8e        </v>
      </c>
      <c r="B146" s="63"/>
      <c r="C146" s="56" t="s">
        <v>53</v>
      </c>
      <c r="D146" s="83" t="s">
        <v>133</v>
      </c>
      <c r="E146" s="83" t="s">
        <v>5102</v>
      </c>
      <c r="F146" s="84" t="s">
        <v>646</v>
      </c>
      <c r="G146" s="73" t="s">
        <v>4997</v>
      </c>
      <c r="H146" s="62" t="s">
        <v>5103</v>
      </c>
      <c r="I146" s="62" t="s">
        <v>5104</v>
      </c>
      <c r="J146" s="62" t="s">
        <v>649</v>
      </c>
      <c r="K146" s="68"/>
      <c r="L146" s="38"/>
      <c r="M146" s="56"/>
      <c r="N146" s="56" t="b">
        <v>0</v>
      </c>
      <c r="O146" s="56" t="b">
        <v>0</v>
      </c>
      <c r="P146" s="56"/>
      <c r="Q146" s="56"/>
      <c r="R146" s="56"/>
      <c r="S146" s="56"/>
      <c r="T146" s="56"/>
      <c r="U146" s="56"/>
      <c r="V146" s="56"/>
      <c r="W146" s="56"/>
      <c r="X146" s="56"/>
      <c r="Y146" s="56"/>
      <c r="Z146" s="56"/>
      <c r="AA146" s="56"/>
      <c r="AB146" s="56"/>
    </row>
    <row r="147" ht="15.75" customHeight="1">
      <c r="A147" s="57" t="str">
        <f t="shared" si="1"/>
        <v>5fff5a19f73b332316d19748</v>
      </c>
      <c r="B147" s="69"/>
      <c r="C147" s="56"/>
      <c r="D147" s="38"/>
      <c r="E147" s="60" t="s">
        <v>4172</v>
      </c>
      <c r="F147" s="60" t="s">
        <v>4173</v>
      </c>
      <c r="G147" s="73" t="s">
        <v>4892</v>
      </c>
      <c r="H147" s="62" t="s">
        <v>4984</v>
      </c>
      <c r="I147" s="62" t="s">
        <v>5105</v>
      </c>
      <c r="J147" s="62" t="s">
        <v>5106</v>
      </c>
      <c r="K147" s="38"/>
      <c r="L147" s="38"/>
      <c r="M147" s="56"/>
      <c r="N147" s="56" t="b">
        <v>0</v>
      </c>
      <c r="O147" s="56" t="b">
        <v>0</v>
      </c>
      <c r="P147" s="56"/>
      <c r="Q147" s="56"/>
      <c r="R147" s="56"/>
      <c r="S147" s="56"/>
      <c r="T147" s="56"/>
      <c r="U147" s="56"/>
      <c r="V147" s="56"/>
      <c r="W147" s="56"/>
      <c r="X147" s="56"/>
      <c r="Y147" s="56"/>
      <c r="Z147" s="56"/>
      <c r="AA147" s="56"/>
      <c r="AB147" s="56"/>
    </row>
    <row r="148" ht="15.75" customHeight="1">
      <c r="A148" s="57" t="str">
        <f t="shared" si="1"/>
        <v/>
      </c>
      <c r="B148" s="58" t="s">
        <v>4850</v>
      </c>
      <c r="C148" s="38" t="s">
        <v>278</v>
      </c>
      <c r="D148" s="38" t="s">
        <v>133</v>
      </c>
      <c r="E148" s="38"/>
      <c r="F148" s="110"/>
      <c r="G148" s="66"/>
      <c r="H148" s="67"/>
      <c r="I148" s="67"/>
      <c r="J148" s="67"/>
      <c r="K148" s="38"/>
      <c r="L148" s="38"/>
      <c r="M148" s="56"/>
      <c r="N148" s="56" t="b">
        <v>0</v>
      </c>
      <c r="O148" s="56" t="b">
        <v>0</v>
      </c>
      <c r="P148" s="56"/>
      <c r="Q148" s="56"/>
      <c r="R148" s="56"/>
      <c r="S148" s="56"/>
      <c r="T148" s="56"/>
      <c r="U148" s="56"/>
      <c r="V148" s="56"/>
      <c r="W148" s="56"/>
      <c r="X148" s="56"/>
      <c r="Y148" s="56"/>
      <c r="Z148" s="56"/>
      <c r="AA148" s="56"/>
      <c r="AB148" s="56"/>
    </row>
    <row r="149" ht="15.75" customHeight="1">
      <c r="A149" s="57" t="str">
        <f t="shared" si="1"/>
        <v>5fe4df22d75b1db94c0bbf1a</v>
      </c>
      <c r="B149" s="63"/>
      <c r="C149" s="38" t="s">
        <v>278</v>
      </c>
      <c r="D149" s="62" t="s">
        <v>133</v>
      </c>
      <c r="E149" s="62" t="s">
        <v>4261</v>
      </c>
      <c r="F149" s="84" t="s">
        <v>4262</v>
      </c>
      <c r="G149" s="73" t="s">
        <v>4960</v>
      </c>
      <c r="H149" s="62" t="s">
        <v>5107</v>
      </c>
      <c r="I149" s="62" t="s">
        <v>5108</v>
      </c>
      <c r="J149" s="60" t="s">
        <v>1006</v>
      </c>
      <c r="K149" s="38" t="s">
        <v>5109</v>
      </c>
      <c r="L149" s="38">
        <v>12.0</v>
      </c>
      <c r="M149" s="56">
        <f>VLOOKUP(E149,'Hedef Liste'!A:I,9,false)</f>
        <v>16</v>
      </c>
      <c r="N149" s="56" t="b">
        <v>0</v>
      </c>
      <c r="O149" s="56" t="b">
        <v>0</v>
      </c>
      <c r="P149" s="56"/>
      <c r="Q149" s="56"/>
      <c r="R149" s="56"/>
      <c r="S149" s="56"/>
      <c r="T149" s="56"/>
      <c r="U149" s="56"/>
      <c r="V149" s="56"/>
      <c r="W149" s="56"/>
      <c r="X149" s="56"/>
      <c r="Y149" s="56"/>
      <c r="Z149" s="56"/>
      <c r="AA149" s="56"/>
      <c r="AB149" s="56"/>
    </row>
    <row r="150" ht="15.75" customHeight="1">
      <c r="A150" s="57" t="str">
        <f t="shared" si="1"/>
        <v>603fd87e4366fc3c88c8eaf5</v>
      </c>
      <c r="B150" s="63"/>
      <c r="C150" s="38" t="s">
        <v>278</v>
      </c>
      <c r="D150" s="60" t="s">
        <v>133</v>
      </c>
      <c r="E150" s="60" t="s">
        <v>3127</v>
      </c>
      <c r="F150" s="84" t="s">
        <v>3128</v>
      </c>
      <c r="G150" s="72">
        <v>0.625</v>
      </c>
      <c r="H150" s="62" t="s">
        <v>5110</v>
      </c>
      <c r="I150" s="62" t="s">
        <v>5111</v>
      </c>
      <c r="J150" s="60" t="s">
        <v>3130</v>
      </c>
      <c r="K150" s="38" t="s">
        <v>5109</v>
      </c>
      <c r="L150" s="38">
        <v>12.0</v>
      </c>
      <c r="M150" s="56">
        <f>VLOOKUP(E150,'Hedef Liste'!A:I,9,false)</f>
        <v>8</v>
      </c>
      <c r="N150" s="56" t="b">
        <v>0</v>
      </c>
      <c r="O150" s="56" t="b">
        <v>0</v>
      </c>
      <c r="P150" s="56"/>
      <c r="Q150" s="56"/>
      <c r="R150" s="56"/>
      <c r="S150" s="56"/>
      <c r="T150" s="56"/>
      <c r="U150" s="56"/>
      <c r="V150" s="56"/>
      <c r="W150" s="56"/>
      <c r="X150" s="56"/>
      <c r="Y150" s="56"/>
      <c r="Z150" s="56"/>
      <c r="AA150" s="56"/>
      <c r="AB150" s="56"/>
    </row>
    <row r="151" ht="15.75" customHeight="1">
      <c r="A151" s="57" t="str">
        <f t="shared" si="1"/>
        <v>6002f99f38f1fb243d79f6ab</v>
      </c>
      <c r="B151" s="63"/>
      <c r="C151" s="38" t="s">
        <v>278</v>
      </c>
      <c r="D151" s="38" t="s">
        <v>133</v>
      </c>
      <c r="E151" s="67" t="s">
        <v>5112</v>
      </c>
      <c r="F151" s="85" t="s">
        <v>5113</v>
      </c>
      <c r="G151" s="66" t="s">
        <v>4847</v>
      </c>
      <c r="H151" s="38" t="s">
        <v>5114</v>
      </c>
      <c r="I151" s="38" t="s">
        <v>5115</v>
      </c>
      <c r="J151" s="67" t="s">
        <v>5116</v>
      </c>
      <c r="K151" s="112" t="s">
        <v>5117</v>
      </c>
      <c r="L151" s="38"/>
      <c r="M151" s="56" t="str">
        <f>VLOOKUP(E151,'Hedef Liste'!A:I,9,false)</f>
        <v>#N/A</v>
      </c>
      <c r="N151" s="56" t="b">
        <v>0</v>
      </c>
      <c r="O151" s="56" t="b">
        <v>0</v>
      </c>
      <c r="P151" s="56"/>
      <c r="Q151" s="56"/>
      <c r="R151" s="56"/>
      <c r="S151" s="56"/>
      <c r="T151" s="56"/>
      <c r="U151" s="56"/>
      <c r="V151" s="56"/>
      <c r="W151" s="56"/>
      <c r="X151" s="56"/>
      <c r="Y151" s="56"/>
      <c r="Z151" s="56"/>
      <c r="AA151" s="56"/>
      <c r="AB151" s="56"/>
    </row>
    <row r="152" ht="15.75" customHeight="1">
      <c r="A152" s="57" t="str">
        <f t="shared" si="1"/>
        <v>5fdf25b3a8ae9331d9b9fb9f</v>
      </c>
      <c r="B152" s="63"/>
      <c r="C152" s="38" t="s">
        <v>278</v>
      </c>
      <c r="D152" s="62" t="s">
        <v>133</v>
      </c>
      <c r="E152" s="62" t="s">
        <v>5118</v>
      </c>
      <c r="F152" s="84" t="s">
        <v>5119</v>
      </c>
      <c r="G152" s="73" t="s">
        <v>4997</v>
      </c>
      <c r="H152" s="62" t="s">
        <v>5120</v>
      </c>
      <c r="I152" s="62" t="s">
        <v>5121</v>
      </c>
      <c r="J152" s="62" t="s">
        <v>5122</v>
      </c>
      <c r="K152" s="38" t="s">
        <v>5109</v>
      </c>
      <c r="L152" s="38">
        <v>22.0</v>
      </c>
      <c r="M152" s="56" t="str">
        <f>VLOOKUP(E152,'Hedef Liste'!A:I,9,false)</f>
        <v>#N/A</v>
      </c>
      <c r="N152" s="56" t="b">
        <v>0</v>
      </c>
      <c r="O152" s="56" t="b">
        <v>0</v>
      </c>
      <c r="P152" s="56"/>
      <c r="Q152" s="56"/>
      <c r="R152" s="56"/>
      <c r="S152" s="56"/>
      <c r="T152" s="56"/>
      <c r="U152" s="56"/>
      <c r="V152" s="56"/>
      <c r="W152" s="56"/>
      <c r="X152" s="56"/>
      <c r="Y152" s="56"/>
      <c r="Z152" s="56"/>
      <c r="AA152" s="56"/>
      <c r="AB152" s="56"/>
    </row>
    <row r="153" ht="15.75" customHeight="1">
      <c r="A153" s="57" t="str">
        <f t="shared" si="1"/>
        <v/>
      </c>
      <c r="B153" s="69"/>
      <c r="C153" s="56"/>
      <c r="D153" s="38"/>
      <c r="E153" s="38"/>
      <c r="F153" s="65"/>
      <c r="G153" s="66"/>
      <c r="H153" s="38"/>
      <c r="I153" s="38"/>
      <c r="J153" s="38"/>
      <c r="K153" s="38"/>
      <c r="L153" s="38"/>
      <c r="M153" s="56"/>
      <c r="N153" s="56" t="b">
        <v>0</v>
      </c>
      <c r="O153" s="56" t="b">
        <v>0</v>
      </c>
      <c r="P153" s="56"/>
      <c r="Q153" s="56"/>
      <c r="R153" s="56"/>
      <c r="S153" s="56"/>
      <c r="T153" s="56"/>
      <c r="U153" s="56"/>
      <c r="V153" s="56"/>
      <c r="W153" s="56"/>
      <c r="X153" s="56"/>
      <c r="Y153" s="56"/>
      <c r="Z153" s="56"/>
      <c r="AA153" s="56"/>
      <c r="AB153" s="56"/>
    </row>
    <row r="154" ht="15.75" customHeight="1">
      <c r="A154" s="57" t="str">
        <f t="shared" si="1"/>
        <v/>
      </c>
      <c r="B154" s="51"/>
      <c r="C154" s="52">
        <v>44280.0</v>
      </c>
      <c r="D154" s="38"/>
      <c r="E154" s="53"/>
      <c r="F154" s="54"/>
      <c r="G154" s="54"/>
      <c r="H154" s="54"/>
      <c r="I154" s="54"/>
      <c r="J154" s="54"/>
      <c r="K154" s="54"/>
      <c r="L154" s="55"/>
      <c r="M154" s="56"/>
      <c r="N154" s="56"/>
      <c r="O154" s="56"/>
      <c r="P154" s="56"/>
      <c r="Q154" s="56"/>
      <c r="R154" s="56"/>
      <c r="S154" s="56"/>
      <c r="T154" s="56"/>
      <c r="U154" s="56"/>
      <c r="V154" s="56"/>
      <c r="W154" s="56"/>
      <c r="X154" s="56"/>
      <c r="Y154" s="56"/>
      <c r="Z154" s="56"/>
      <c r="AA154" s="56"/>
      <c r="AB154" s="56"/>
    </row>
    <row r="155" ht="15.75" customHeight="1">
      <c r="A155" s="57" t="str">
        <f t="shared" si="1"/>
        <v>5feb69f987a63becfc3273b2</v>
      </c>
      <c r="B155" s="58" t="s">
        <v>4827</v>
      </c>
      <c r="C155" s="56" t="s">
        <v>66</v>
      </c>
      <c r="D155" s="62" t="s">
        <v>52</v>
      </c>
      <c r="E155" s="60" t="s">
        <v>3078</v>
      </c>
      <c r="F155" s="60" t="s">
        <v>3079</v>
      </c>
      <c r="G155" s="61">
        <v>0.5</v>
      </c>
      <c r="H155" s="62" t="s">
        <v>4828</v>
      </c>
      <c r="I155" s="59" t="s">
        <v>5123</v>
      </c>
      <c r="J155" s="60" t="s">
        <v>3081</v>
      </c>
      <c r="K155" s="38"/>
      <c r="L155" s="38"/>
      <c r="M155" s="56">
        <v>16.0</v>
      </c>
      <c r="N155" s="56" t="b">
        <v>0</v>
      </c>
      <c r="O155" s="56" t="b">
        <v>0</v>
      </c>
      <c r="P155" s="56"/>
      <c r="Q155" s="56"/>
      <c r="R155" s="56"/>
      <c r="S155" s="56"/>
      <c r="T155" s="56"/>
      <c r="U155" s="56"/>
      <c r="V155" s="56"/>
      <c r="W155" s="56"/>
      <c r="X155" s="56"/>
      <c r="Y155" s="56"/>
      <c r="Z155" s="56"/>
      <c r="AA155" s="56"/>
      <c r="AB155" s="56"/>
    </row>
    <row r="156" ht="15.75" customHeight="1">
      <c r="A156" s="57" t="str">
        <f t="shared" si="1"/>
        <v>6009daafe13dbd048f5c9655        </v>
      </c>
      <c r="B156" s="63"/>
      <c r="C156" s="56" t="s">
        <v>66</v>
      </c>
      <c r="D156" s="102" t="s">
        <v>133</v>
      </c>
      <c r="E156" s="102" t="s">
        <v>5124</v>
      </c>
      <c r="F156" s="103" t="s">
        <v>5125</v>
      </c>
      <c r="G156" s="113">
        <v>0.5833333333333334</v>
      </c>
      <c r="H156" s="105" t="s">
        <v>5126</v>
      </c>
      <c r="I156" s="105" t="s">
        <v>5127</v>
      </c>
      <c r="J156" s="114" t="s">
        <v>5128</v>
      </c>
      <c r="K156" s="102" t="s">
        <v>5129</v>
      </c>
      <c r="L156" s="38"/>
      <c r="M156" s="56">
        <v>0.0</v>
      </c>
      <c r="N156" s="56" t="b">
        <v>0</v>
      </c>
      <c r="O156" s="56" t="b">
        <v>0</v>
      </c>
      <c r="P156" s="56"/>
      <c r="Q156" s="56"/>
      <c r="R156" s="56"/>
      <c r="S156" s="56"/>
      <c r="T156" s="56"/>
      <c r="U156" s="56"/>
      <c r="V156" s="56"/>
      <c r="W156" s="56"/>
      <c r="X156" s="56"/>
      <c r="Y156" s="56"/>
      <c r="Z156" s="56"/>
      <c r="AA156" s="56"/>
      <c r="AB156" s="56"/>
    </row>
    <row r="157" ht="15.75" customHeight="1">
      <c r="A157" s="57" t="str">
        <f t="shared" si="1"/>
        <v>5fe885ffac60e870386ccc1c</v>
      </c>
      <c r="B157" s="63"/>
      <c r="C157" s="56" t="s">
        <v>66</v>
      </c>
      <c r="D157" s="38" t="s">
        <v>52</v>
      </c>
      <c r="E157" s="67" t="s">
        <v>2934</v>
      </c>
      <c r="F157" s="67" t="s">
        <v>5130</v>
      </c>
      <c r="G157" s="66" t="s">
        <v>4858</v>
      </c>
      <c r="H157" s="38" t="s">
        <v>4908</v>
      </c>
      <c r="I157" s="38" t="s">
        <v>5131</v>
      </c>
      <c r="J157" s="67" t="s">
        <v>2937</v>
      </c>
      <c r="K157" s="38"/>
      <c r="L157" s="38"/>
      <c r="M157" s="56">
        <v>16.0</v>
      </c>
      <c r="N157" s="56" t="b">
        <v>0</v>
      </c>
      <c r="O157" s="56" t="b">
        <v>0</v>
      </c>
      <c r="P157" s="56"/>
      <c r="Q157" s="56"/>
      <c r="R157" s="56"/>
      <c r="S157" s="56"/>
      <c r="T157" s="56"/>
      <c r="U157" s="56"/>
      <c r="V157" s="56"/>
      <c r="W157" s="56"/>
      <c r="X157" s="56"/>
      <c r="Y157" s="56"/>
      <c r="Z157" s="56"/>
      <c r="AA157" s="56"/>
      <c r="AB157" s="56"/>
    </row>
    <row r="158" ht="15.75" customHeight="1">
      <c r="A158" s="57" t="str">
        <f t="shared" si="1"/>
        <v>6024335e799d210ac6c27674</v>
      </c>
      <c r="B158" s="63"/>
      <c r="C158" s="56" t="s">
        <v>66</v>
      </c>
      <c r="D158" s="62" t="s">
        <v>52</v>
      </c>
      <c r="E158" s="60" t="s">
        <v>2257</v>
      </c>
      <c r="F158" s="60" t="s">
        <v>2258</v>
      </c>
      <c r="G158" s="73" t="s">
        <v>4847</v>
      </c>
      <c r="H158" s="59" t="s">
        <v>4910</v>
      </c>
      <c r="I158" s="59" t="s">
        <v>5132</v>
      </c>
      <c r="J158" s="60" t="s">
        <v>2260</v>
      </c>
      <c r="K158" s="56"/>
      <c r="L158" s="38"/>
      <c r="M158" s="56">
        <v>11.0</v>
      </c>
      <c r="N158" s="56" t="b">
        <v>0</v>
      </c>
      <c r="O158" s="56" t="b">
        <v>0</v>
      </c>
      <c r="P158" s="56"/>
      <c r="Q158" s="56"/>
      <c r="R158" s="56"/>
      <c r="S158" s="56"/>
      <c r="T158" s="56"/>
      <c r="U158" s="56"/>
      <c r="V158" s="56"/>
      <c r="W158" s="56"/>
      <c r="X158" s="56"/>
      <c r="Y158" s="56"/>
      <c r="Z158" s="56"/>
      <c r="AA158" s="56"/>
      <c r="AB158" s="56"/>
    </row>
    <row r="159" ht="15.75" customHeight="1">
      <c r="A159" s="57" t="str">
        <f t="shared" si="1"/>
        <v>5fe889c8333ef5db00aec28f</v>
      </c>
      <c r="B159" s="63"/>
      <c r="C159" s="56" t="s">
        <v>66</v>
      </c>
      <c r="D159" s="62" t="s">
        <v>654</v>
      </c>
      <c r="E159" s="60" t="s">
        <v>2939</v>
      </c>
      <c r="F159" s="60" t="s">
        <v>2940</v>
      </c>
      <c r="G159" s="61">
        <v>0.7916666666666666</v>
      </c>
      <c r="H159" s="62" t="s">
        <v>5133</v>
      </c>
      <c r="I159" s="62" t="s">
        <v>5131</v>
      </c>
      <c r="J159" s="60" t="s">
        <v>2941</v>
      </c>
      <c r="K159" s="68"/>
      <c r="L159" s="38"/>
      <c r="M159" s="56">
        <v>16.0</v>
      </c>
      <c r="N159" s="56" t="b">
        <v>0</v>
      </c>
      <c r="O159" s="56" t="b">
        <v>0</v>
      </c>
      <c r="P159" s="56"/>
      <c r="Q159" s="56"/>
      <c r="R159" s="56"/>
      <c r="S159" s="56"/>
      <c r="T159" s="56"/>
      <c r="U159" s="56"/>
      <c r="V159" s="56"/>
      <c r="W159" s="56"/>
      <c r="X159" s="56"/>
      <c r="Y159" s="56"/>
      <c r="Z159" s="56"/>
      <c r="AA159" s="56"/>
      <c r="AB159" s="56"/>
    </row>
    <row r="160" ht="15.75" customHeight="1">
      <c r="A160" s="57" t="str">
        <f t="shared" si="1"/>
        <v/>
      </c>
      <c r="B160" s="69"/>
      <c r="C160" s="56"/>
      <c r="D160" s="38"/>
      <c r="E160" s="64"/>
      <c r="F160" s="65"/>
      <c r="G160" s="90"/>
      <c r="H160" s="38"/>
      <c r="I160" s="38"/>
      <c r="J160" s="56"/>
      <c r="K160" s="38"/>
      <c r="L160" s="38"/>
      <c r="M160" s="56"/>
      <c r="N160" s="56" t="b">
        <v>0</v>
      </c>
      <c r="O160" s="56" t="b">
        <v>0</v>
      </c>
      <c r="P160" s="56"/>
      <c r="Q160" s="56"/>
      <c r="R160" s="56"/>
      <c r="S160" s="56"/>
      <c r="T160" s="56"/>
      <c r="U160" s="56"/>
      <c r="V160" s="56"/>
      <c r="W160" s="56"/>
      <c r="X160" s="56"/>
      <c r="Y160" s="56"/>
      <c r="Z160" s="56"/>
      <c r="AA160" s="56"/>
      <c r="AB160" s="56"/>
    </row>
    <row r="161" ht="15.75" customHeight="1">
      <c r="A161" s="57" t="str">
        <f t="shared" si="1"/>
        <v>601447e6d9ee3c144a041a1e</v>
      </c>
      <c r="B161" s="58" t="s">
        <v>4836</v>
      </c>
      <c r="C161" s="56" t="s">
        <v>53</v>
      </c>
      <c r="D161" s="62" t="s">
        <v>52</v>
      </c>
      <c r="E161" s="74" t="s">
        <v>2971</v>
      </c>
      <c r="F161" s="115" t="s">
        <v>2972</v>
      </c>
      <c r="G161" s="73" t="s">
        <v>5134</v>
      </c>
      <c r="H161" s="62" t="s">
        <v>5135</v>
      </c>
      <c r="I161" s="62" t="s">
        <v>5136</v>
      </c>
      <c r="J161" s="60" t="s">
        <v>2974</v>
      </c>
      <c r="K161" s="68"/>
      <c r="L161" s="38"/>
      <c r="M161" s="56" t="str">
        <f>VLOOKUP(E162,'Hedef Liste'!A:I,9,false)</f>
        <v>#N/A</v>
      </c>
      <c r="N161" s="56" t="b">
        <v>0</v>
      </c>
      <c r="O161" s="56" t="b">
        <v>0</v>
      </c>
      <c r="P161" s="56"/>
      <c r="Q161" s="56"/>
      <c r="R161" s="56"/>
      <c r="S161" s="56"/>
      <c r="T161" s="56"/>
      <c r="U161" s="56"/>
      <c r="V161" s="56"/>
      <c r="W161" s="56"/>
      <c r="X161" s="56"/>
      <c r="Y161" s="56"/>
      <c r="Z161" s="56"/>
      <c r="AA161" s="56"/>
      <c r="AB161" s="56"/>
    </row>
    <row r="162" ht="15.75" customHeight="1">
      <c r="A162" s="57" t="str">
        <f t="shared" si="1"/>
        <v>5ff33e7f71e89c59b597db89</v>
      </c>
      <c r="B162" s="63"/>
      <c r="C162" s="56" t="s">
        <v>53</v>
      </c>
      <c r="D162" s="62" t="s">
        <v>52</v>
      </c>
      <c r="E162" s="60" t="s">
        <v>5137</v>
      </c>
      <c r="F162" s="60" t="s">
        <v>450</v>
      </c>
      <c r="G162" s="61">
        <v>0.5833333333333334</v>
      </c>
      <c r="H162" s="62" t="s">
        <v>5029</v>
      </c>
      <c r="I162" s="59" t="s">
        <v>5138</v>
      </c>
      <c r="J162" s="60" t="s">
        <v>453</v>
      </c>
      <c r="K162" s="38"/>
      <c r="L162" s="38"/>
      <c r="M162" s="56" t="str">
        <f>VLOOKUP(#REF!,'Hedef Liste'!A:I,9,false)</f>
        <v>#REF!</v>
      </c>
      <c r="N162" s="56" t="b">
        <v>0</v>
      </c>
      <c r="O162" s="56" t="b">
        <v>0</v>
      </c>
      <c r="P162" s="56"/>
      <c r="Q162" s="56"/>
      <c r="R162" s="56"/>
      <c r="S162" s="56"/>
      <c r="T162" s="56"/>
      <c r="U162" s="56"/>
      <c r="V162" s="56"/>
      <c r="W162" s="56"/>
      <c r="X162" s="56"/>
      <c r="Y162" s="56"/>
      <c r="Z162" s="56"/>
      <c r="AA162" s="56"/>
      <c r="AB162" s="56"/>
    </row>
    <row r="163" ht="15.75" customHeight="1">
      <c r="A163" s="57" t="str">
        <f t="shared" si="1"/>
        <v>601a70035ad05126c49863cd                     </v>
      </c>
      <c r="B163" s="63"/>
      <c r="C163" s="56" t="s">
        <v>53</v>
      </c>
      <c r="D163" s="76" t="s">
        <v>52</v>
      </c>
      <c r="E163" s="99" t="s">
        <v>5139</v>
      </c>
      <c r="F163" s="99" t="s">
        <v>5068</v>
      </c>
      <c r="G163" s="82" t="s">
        <v>4896</v>
      </c>
      <c r="H163" s="76" t="s">
        <v>5070</v>
      </c>
      <c r="I163" s="88" t="s">
        <v>5071</v>
      </c>
      <c r="J163" s="116" t="s">
        <v>5072</v>
      </c>
      <c r="K163" s="117"/>
      <c r="L163" s="38"/>
      <c r="M163" s="56" t="str">
        <f>VLOOKUP(E164,'Hedef Liste'!A:I,9,false)</f>
        <v>#N/A</v>
      </c>
      <c r="N163" s="56" t="b">
        <v>0</v>
      </c>
      <c r="O163" s="56" t="b">
        <v>0</v>
      </c>
      <c r="P163" s="56"/>
      <c r="Q163" s="56"/>
      <c r="R163" s="56"/>
      <c r="S163" s="56"/>
      <c r="T163" s="56"/>
      <c r="U163" s="56"/>
      <c r="V163" s="56"/>
      <c r="W163" s="56"/>
      <c r="X163" s="56"/>
      <c r="Y163" s="56"/>
      <c r="Z163" s="56"/>
      <c r="AA163" s="56"/>
      <c r="AB163" s="56"/>
    </row>
    <row r="164" ht="15.75" customHeight="1">
      <c r="A164" s="57" t="str">
        <f t="shared" si="1"/>
        <v>5ffe083368b4947be98f395d</v>
      </c>
      <c r="B164" s="63"/>
      <c r="C164" s="56" t="s">
        <v>53</v>
      </c>
      <c r="D164" s="76" t="s">
        <v>52</v>
      </c>
      <c r="E164" s="77" t="s">
        <v>5140</v>
      </c>
      <c r="F164" s="77" t="s">
        <v>5141</v>
      </c>
      <c r="G164" s="78">
        <v>0.7083333333333334</v>
      </c>
      <c r="H164" s="76" t="s">
        <v>5142</v>
      </c>
      <c r="I164" s="76" t="s">
        <v>5143</v>
      </c>
      <c r="J164" s="77" t="s">
        <v>5144</v>
      </c>
      <c r="K164" s="38" t="s">
        <v>5145</v>
      </c>
      <c r="L164" s="38"/>
      <c r="M164" s="56" t="str">
        <f>VLOOKUP(#REF!,'Hedef Liste'!A:I,9,false)</f>
        <v>#REF!</v>
      </c>
      <c r="N164" s="56" t="b">
        <v>0</v>
      </c>
      <c r="O164" s="56" t="b">
        <v>0</v>
      </c>
      <c r="P164" s="56"/>
      <c r="Q164" s="56"/>
      <c r="R164" s="56"/>
      <c r="S164" s="56"/>
      <c r="T164" s="56"/>
      <c r="U164" s="56"/>
      <c r="V164" s="56"/>
      <c r="W164" s="56"/>
      <c r="X164" s="56"/>
      <c r="Y164" s="56"/>
      <c r="Z164" s="56"/>
      <c r="AA164" s="56"/>
      <c r="AB164" s="56"/>
    </row>
    <row r="165" ht="15.75" customHeight="1">
      <c r="A165" s="57" t="str">
        <f t="shared" si="1"/>
        <v>603d33d69c50f5de86a0c4d7</v>
      </c>
      <c r="B165" s="63"/>
      <c r="C165" s="56" t="s">
        <v>53</v>
      </c>
      <c r="D165" s="64"/>
      <c r="E165" s="60" t="s">
        <v>2427</v>
      </c>
      <c r="F165" s="60" t="s">
        <v>2428</v>
      </c>
      <c r="G165" s="73" t="s">
        <v>4997</v>
      </c>
      <c r="H165" s="62" t="s">
        <v>5142</v>
      </c>
      <c r="I165" s="62" t="s">
        <v>5146</v>
      </c>
      <c r="J165" s="60" t="s">
        <v>2430</v>
      </c>
      <c r="K165" s="68"/>
      <c r="L165" s="38"/>
      <c r="M165" s="56"/>
      <c r="N165" s="56" t="b">
        <v>0</v>
      </c>
      <c r="O165" s="56" t="b">
        <v>0</v>
      </c>
      <c r="P165" s="56"/>
      <c r="Q165" s="56"/>
      <c r="R165" s="56"/>
      <c r="S165" s="56"/>
      <c r="T165" s="56"/>
      <c r="U165" s="56"/>
      <c r="V165" s="56"/>
      <c r="W165" s="56"/>
      <c r="X165" s="56"/>
      <c r="Y165" s="56"/>
      <c r="Z165" s="56"/>
      <c r="AA165" s="56"/>
      <c r="AB165" s="56"/>
    </row>
    <row r="166" ht="15.75" customHeight="1">
      <c r="A166" s="57" t="str">
        <f t="shared" si="1"/>
        <v/>
      </c>
      <c r="B166" s="69"/>
      <c r="C166" s="56"/>
      <c r="D166" s="38"/>
      <c r="E166" s="38"/>
      <c r="F166" s="65"/>
      <c r="G166" s="66"/>
      <c r="H166" s="38"/>
      <c r="I166" s="38"/>
      <c r="J166" s="38"/>
      <c r="K166" s="38"/>
      <c r="L166" s="38"/>
      <c r="M166" s="56"/>
      <c r="N166" s="56" t="b">
        <v>0</v>
      </c>
      <c r="O166" s="56" t="b">
        <v>0</v>
      </c>
      <c r="P166" s="56"/>
      <c r="Q166" s="56"/>
      <c r="R166" s="56"/>
      <c r="S166" s="56"/>
      <c r="T166" s="56"/>
      <c r="U166" s="56"/>
      <c r="V166" s="56"/>
      <c r="W166" s="56"/>
      <c r="X166" s="56"/>
      <c r="Y166" s="56"/>
      <c r="Z166" s="56"/>
      <c r="AA166" s="56"/>
      <c r="AB166" s="56"/>
    </row>
    <row r="167" ht="15.75" customHeight="1">
      <c r="A167" s="57" t="str">
        <f t="shared" si="1"/>
        <v>602ae1f6f37683535e9d8589</v>
      </c>
      <c r="B167" s="58" t="s">
        <v>4850</v>
      </c>
      <c r="C167" s="38" t="s">
        <v>278</v>
      </c>
      <c r="D167" s="62" t="s">
        <v>52</v>
      </c>
      <c r="E167" s="60" t="s">
        <v>2067</v>
      </c>
      <c r="F167" s="60" t="s">
        <v>2068</v>
      </c>
      <c r="G167" s="61">
        <v>0.4583333333333333</v>
      </c>
      <c r="H167" s="59" t="s">
        <v>4971</v>
      </c>
      <c r="I167" s="59" t="s">
        <v>5147</v>
      </c>
      <c r="J167" s="60" t="s">
        <v>2070</v>
      </c>
      <c r="K167" s="38" t="s">
        <v>4830</v>
      </c>
      <c r="L167" s="38">
        <v>6.0</v>
      </c>
      <c r="M167" s="56"/>
      <c r="N167" s="56" t="b">
        <v>0</v>
      </c>
      <c r="O167" s="56" t="b">
        <v>0</v>
      </c>
      <c r="P167" s="56"/>
      <c r="Q167" s="56"/>
      <c r="R167" s="56"/>
      <c r="S167" s="56"/>
      <c r="T167" s="56"/>
      <c r="U167" s="56"/>
      <c r="V167" s="56"/>
      <c r="W167" s="56"/>
      <c r="X167" s="56"/>
      <c r="Y167" s="56"/>
      <c r="Z167" s="56"/>
      <c r="AA167" s="56"/>
      <c r="AB167" s="56"/>
    </row>
    <row r="168" ht="15.75" customHeight="1">
      <c r="A168" s="57" t="str">
        <f t="shared" si="1"/>
        <v>603fe12391adfcf9f7a5ff5d</v>
      </c>
      <c r="B168" s="63"/>
      <c r="C168" s="38" t="s">
        <v>278</v>
      </c>
      <c r="D168" s="38" t="s">
        <v>52</v>
      </c>
      <c r="E168" s="67" t="s">
        <v>5148</v>
      </c>
      <c r="F168" s="67" t="s">
        <v>2076</v>
      </c>
      <c r="G168" s="79">
        <v>0.5416666666666666</v>
      </c>
      <c r="H168" s="56" t="s">
        <v>4971</v>
      </c>
      <c r="I168" s="56" t="s">
        <v>5149</v>
      </c>
      <c r="J168" s="67" t="s">
        <v>2078</v>
      </c>
      <c r="K168" s="56" t="s">
        <v>4830</v>
      </c>
      <c r="L168" s="38">
        <v>16.0</v>
      </c>
      <c r="M168" s="56" t="str">
        <f>VLOOKUP(E163,'Hedef Liste'!A:I,9,false)</f>
        <v>#N/A</v>
      </c>
      <c r="N168" s="56" t="b">
        <v>0</v>
      </c>
      <c r="O168" s="56" t="b">
        <v>0</v>
      </c>
      <c r="P168" s="56"/>
      <c r="Q168" s="56"/>
      <c r="R168" s="56"/>
      <c r="S168" s="56"/>
      <c r="T168" s="56"/>
      <c r="U168" s="56"/>
      <c r="V168" s="56"/>
      <c r="W168" s="56"/>
      <c r="X168" s="56"/>
      <c r="Y168" s="56"/>
      <c r="Z168" s="56"/>
      <c r="AA168" s="56"/>
      <c r="AB168" s="56"/>
    </row>
    <row r="169" ht="15.75" customHeight="1">
      <c r="A169" s="57" t="str">
        <f t="shared" si="1"/>
        <v>6009d0dc99244e4444064901</v>
      </c>
      <c r="B169" s="63"/>
      <c r="C169" s="38" t="s">
        <v>278</v>
      </c>
      <c r="D169" s="93" t="s">
        <v>52</v>
      </c>
      <c r="E169" s="77" t="s">
        <v>5150</v>
      </c>
      <c r="F169" s="77" t="s">
        <v>5151</v>
      </c>
      <c r="G169" s="92">
        <v>0.6041666666666666</v>
      </c>
      <c r="H169" s="93" t="s">
        <v>4971</v>
      </c>
      <c r="I169" s="93" t="s">
        <v>5152</v>
      </c>
      <c r="J169" s="77" t="s">
        <v>5153</v>
      </c>
      <c r="K169" s="112" t="s">
        <v>5154</v>
      </c>
      <c r="L169" s="38"/>
      <c r="M169" s="56" t="str">
        <f>VLOOKUP(#REF!,'Hedef Liste'!A:I,9,false)</f>
        <v>#REF!</v>
      </c>
      <c r="N169" s="56" t="b">
        <v>0</v>
      </c>
      <c r="O169" s="56" t="b">
        <v>0</v>
      </c>
      <c r="P169" s="56"/>
      <c r="Q169" s="56"/>
      <c r="R169" s="56"/>
      <c r="S169" s="56"/>
      <c r="T169" s="56"/>
      <c r="U169" s="56"/>
      <c r="V169" s="56"/>
      <c r="W169" s="56"/>
      <c r="X169" s="56"/>
      <c r="Y169" s="56"/>
      <c r="Z169" s="56"/>
      <c r="AA169" s="56"/>
      <c r="AB169" s="56"/>
    </row>
    <row r="170" ht="15.75" customHeight="1">
      <c r="A170" s="57" t="str">
        <f t="shared" si="1"/>
        <v>6013098f998c13d18586d711        </v>
      </c>
      <c r="B170" s="63"/>
      <c r="C170" s="38" t="s">
        <v>278</v>
      </c>
      <c r="D170" s="76" t="s">
        <v>133</v>
      </c>
      <c r="E170" s="76" t="s">
        <v>5155</v>
      </c>
      <c r="F170" s="99" t="s">
        <v>3825</v>
      </c>
      <c r="G170" s="82" t="s">
        <v>4858</v>
      </c>
      <c r="H170" s="77" t="s">
        <v>5156</v>
      </c>
      <c r="I170" s="77" t="s">
        <v>5157</v>
      </c>
      <c r="J170" s="77" t="s">
        <v>3827</v>
      </c>
      <c r="K170" s="112" t="s">
        <v>5158</v>
      </c>
      <c r="L170" s="38"/>
      <c r="M170" s="56" t="str">
        <f>VLOOKUP(#REF!,'Hedef Liste'!A:I,9,false)</f>
        <v>#REF!</v>
      </c>
      <c r="N170" s="56" t="b">
        <v>0</v>
      </c>
      <c r="O170" s="56" t="b">
        <v>0</v>
      </c>
      <c r="P170" s="56"/>
      <c r="Q170" s="56"/>
      <c r="R170" s="56"/>
      <c r="S170" s="56"/>
      <c r="T170" s="56"/>
      <c r="U170" s="56"/>
      <c r="V170" s="56"/>
      <c r="W170" s="56"/>
      <c r="X170" s="56"/>
      <c r="Y170" s="56"/>
      <c r="Z170" s="56"/>
      <c r="AA170" s="56"/>
      <c r="AB170" s="56"/>
    </row>
    <row r="171" ht="15.75" customHeight="1">
      <c r="A171" s="57" t="str">
        <f t="shared" si="1"/>
        <v>60139c0fbb98bb5216377bb6</v>
      </c>
      <c r="B171" s="63"/>
      <c r="C171" s="38" t="s">
        <v>278</v>
      </c>
      <c r="D171" s="62" t="s">
        <v>52</v>
      </c>
      <c r="E171" s="60" t="s">
        <v>274</v>
      </c>
      <c r="F171" s="60" t="s">
        <v>5159</v>
      </c>
      <c r="G171" s="73" t="s">
        <v>5160</v>
      </c>
      <c r="H171" s="62" t="s">
        <v>4971</v>
      </c>
      <c r="I171" s="62" t="s">
        <v>5161</v>
      </c>
      <c r="J171" s="60" t="s">
        <v>277</v>
      </c>
      <c r="K171" s="38" t="s">
        <v>4830</v>
      </c>
      <c r="L171" s="38">
        <v>7.0</v>
      </c>
      <c r="M171" s="56">
        <f>VLOOKUP(E171,'Hedef Liste'!A:I,9,false)</f>
        <v>11</v>
      </c>
      <c r="N171" s="56" t="b">
        <v>0</v>
      </c>
      <c r="O171" s="56" t="b">
        <v>0</v>
      </c>
      <c r="P171" s="56"/>
      <c r="Q171" s="56"/>
      <c r="R171" s="56"/>
      <c r="S171" s="56"/>
      <c r="T171" s="56"/>
      <c r="U171" s="56"/>
      <c r="V171" s="56"/>
      <c r="W171" s="56"/>
      <c r="X171" s="56"/>
      <c r="Y171" s="56"/>
      <c r="Z171" s="56"/>
      <c r="AA171" s="56"/>
      <c r="AB171" s="56"/>
    </row>
    <row r="172" ht="15.75" customHeight="1">
      <c r="A172" s="57" t="str">
        <f t="shared" si="1"/>
        <v>600d94530909cf3f715809e7</v>
      </c>
      <c r="B172" s="63"/>
      <c r="C172" s="38" t="s">
        <v>278</v>
      </c>
      <c r="D172" s="62" t="s">
        <v>52</v>
      </c>
      <c r="E172" s="60" t="s">
        <v>3157</v>
      </c>
      <c r="F172" s="60" t="s">
        <v>3158</v>
      </c>
      <c r="G172" s="73" t="s">
        <v>4858</v>
      </c>
      <c r="H172" s="62" t="s">
        <v>4971</v>
      </c>
      <c r="I172" s="62" t="s">
        <v>5162</v>
      </c>
      <c r="J172" s="60" t="s">
        <v>3160</v>
      </c>
      <c r="K172" s="38" t="s">
        <v>4830</v>
      </c>
      <c r="L172" s="38">
        <v>15.0</v>
      </c>
      <c r="M172" s="56"/>
      <c r="N172" s="56" t="b">
        <v>0</v>
      </c>
      <c r="O172" s="56" t="b">
        <v>0</v>
      </c>
      <c r="P172" s="56"/>
      <c r="Q172" s="56"/>
      <c r="R172" s="56"/>
      <c r="S172" s="56"/>
      <c r="T172" s="56"/>
      <c r="U172" s="56"/>
      <c r="V172" s="56"/>
      <c r="W172" s="56"/>
      <c r="X172" s="56"/>
      <c r="Y172" s="56"/>
      <c r="Z172" s="56"/>
      <c r="AA172" s="56"/>
      <c r="AB172" s="56"/>
    </row>
    <row r="173" ht="15.75" customHeight="1">
      <c r="A173" s="57" t="str">
        <f t="shared" si="1"/>
        <v/>
      </c>
      <c r="B173" s="69"/>
      <c r="C173" s="56"/>
      <c r="D173" s="38"/>
      <c r="E173" s="38"/>
      <c r="F173" s="65"/>
      <c r="G173" s="66"/>
      <c r="H173" s="38"/>
      <c r="I173" s="38"/>
      <c r="J173" s="38"/>
      <c r="K173" s="38"/>
      <c r="L173" s="38"/>
      <c r="M173" s="56"/>
      <c r="N173" s="56" t="b">
        <v>0</v>
      </c>
      <c r="O173" s="56" t="b">
        <v>0</v>
      </c>
      <c r="P173" s="56"/>
      <c r="Q173" s="56"/>
      <c r="R173" s="56"/>
      <c r="S173" s="56"/>
      <c r="T173" s="56"/>
      <c r="U173" s="56"/>
      <c r="V173" s="56"/>
      <c r="W173" s="56"/>
      <c r="X173" s="56"/>
      <c r="Y173" s="56"/>
      <c r="Z173" s="56"/>
      <c r="AA173" s="56"/>
      <c r="AB173" s="56"/>
    </row>
    <row r="174" ht="15.75" customHeight="1">
      <c r="A174" s="57" t="str">
        <f t="shared" si="1"/>
        <v/>
      </c>
      <c r="B174" s="51"/>
      <c r="C174" s="52">
        <v>44281.0</v>
      </c>
      <c r="D174" s="38"/>
      <c r="E174" s="53"/>
      <c r="F174" s="54"/>
      <c r="G174" s="54"/>
      <c r="H174" s="54"/>
      <c r="I174" s="54"/>
      <c r="J174" s="54"/>
      <c r="K174" s="54"/>
      <c r="L174" s="55"/>
      <c r="M174" s="56"/>
      <c r="N174" s="56"/>
      <c r="O174" s="56"/>
      <c r="P174" s="56"/>
      <c r="Q174" s="56"/>
      <c r="R174" s="56"/>
      <c r="S174" s="56"/>
      <c r="T174" s="56"/>
      <c r="U174" s="56"/>
      <c r="V174" s="56"/>
      <c r="W174" s="56"/>
      <c r="X174" s="56"/>
      <c r="Y174" s="56"/>
      <c r="Z174" s="56"/>
      <c r="AA174" s="56"/>
      <c r="AB174" s="56"/>
    </row>
    <row r="175" ht="15.75" customHeight="1">
      <c r="A175" s="57" t="str">
        <f t="shared" si="1"/>
        <v>6033a5938653ef28dbd2bb41</v>
      </c>
      <c r="B175" s="58" t="s">
        <v>4827</v>
      </c>
      <c r="C175" s="56" t="s">
        <v>66</v>
      </c>
      <c r="D175" s="38" t="s">
        <v>654</v>
      </c>
      <c r="E175" s="67" t="s">
        <v>2670</v>
      </c>
      <c r="F175" s="67" t="s">
        <v>2671</v>
      </c>
      <c r="G175" s="79">
        <v>0.5208333333333334</v>
      </c>
      <c r="H175" s="56" t="s">
        <v>5163</v>
      </c>
      <c r="I175" s="56" t="s">
        <v>5164</v>
      </c>
      <c r="J175" s="67" t="s">
        <v>2673</v>
      </c>
      <c r="K175" s="68"/>
      <c r="L175" s="38"/>
      <c r="M175" s="56">
        <v>35.0</v>
      </c>
      <c r="N175" s="56" t="b">
        <v>0</v>
      </c>
      <c r="O175" s="56" t="b">
        <v>0</v>
      </c>
      <c r="P175" s="56"/>
      <c r="Q175" s="56"/>
      <c r="R175" s="56"/>
      <c r="S175" s="56"/>
      <c r="T175" s="56"/>
      <c r="U175" s="56"/>
      <c r="V175" s="56"/>
      <c r="W175" s="56"/>
      <c r="X175" s="56"/>
      <c r="Y175" s="56"/>
      <c r="Z175" s="56"/>
      <c r="AA175" s="56"/>
      <c r="AB175" s="56"/>
    </row>
    <row r="176" ht="15.75" customHeight="1">
      <c r="A176" s="57" t="str">
        <f t="shared" si="1"/>
        <v>5ff8a740def5a025a455d3ae</v>
      </c>
      <c r="B176" s="63"/>
      <c r="C176" s="56" t="s">
        <v>66</v>
      </c>
      <c r="D176" s="76" t="s">
        <v>654</v>
      </c>
      <c r="E176" s="77" t="s">
        <v>626</v>
      </c>
      <c r="F176" s="77" t="s">
        <v>627</v>
      </c>
      <c r="G176" s="92">
        <v>0.5833333333333334</v>
      </c>
      <c r="H176" s="76" t="s">
        <v>5165</v>
      </c>
      <c r="I176" s="77" t="s">
        <v>5166</v>
      </c>
      <c r="J176" s="77" t="s">
        <v>629</v>
      </c>
      <c r="K176" s="38" t="s">
        <v>5167</v>
      </c>
      <c r="L176" s="38"/>
      <c r="M176" s="56"/>
      <c r="N176" s="56" t="b">
        <v>0</v>
      </c>
      <c r="O176" s="56" t="b">
        <v>0</v>
      </c>
      <c r="P176" s="56"/>
      <c r="Q176" s="56"/>
      <c r="R176" s="56"/>
      <c r="S176" s="56"/>
      <c r="T176" s="56"/>
      <c r="U176" s="56"/>
      <c r="V176" s="56"/>
      <c r="W176" s="56"/>
      <c r="X176" s="56"/>
      <c r="Y176" s="56"/>
      <c r="Z176" s="56"/>
      <c r="AA176" s="56"/>
      <c r="AB176" s="56"/>
    </row>
    <row r="177" ht="15.75" customHeight="1">
      <c r="A177" s="57" t="str">
        <f t="shared" si="1"/>
        <v>5fe79918ad8a3856f9251ffb</v>
      </c>
      <c r="B177" s="63"/>
      <c r="C177" s="56" t="s">
        <v>66</v>
      </c>
      <c r="D177" s="38" t="s">
        <v>654</v>
      </c>
      <c r="E177" s="67" t="s">
        <v>3107</v>
      </c>
      <c r="F177" s="67" t="s">
        <v>3108</v>
      </c>
      <c r="G177" s="86">
        <v>0.7083333333333334</v>
      </c>
      <c r="H177" s="67" t="s">
        <v>5168</v>
      </c>
      <c r="I177" s="67" t="s">
        <v>5169</v>
      </c>
      <c r="J177" s="67" t="s">
        <v>3110</v>
      </c>
      <c r="K177" s="38"/>
      <c r="L177" s="38"/>
      <c r="M177" s="56">
        <v>18.0</v>
      </c>
      <c r="N177" s="56" t="b">
        <v>0</v>
      </c>
      <c r="O177" s="56" t="b">
        <v>0</v>
      </c>
      <c r="P177" s="56"/>
      <c r="Q177" s="56"/>
      <c r="R177" s="56"/>
      <c r="S177" s="56"/>
      <c r="T177" s="56"/>
      <c r="U177" s="56"/>
      <c r="V177" s="56"/>
      <c r="W177" s="56"/>
      <c r="X177" s="56"/>
      <c r="Y177" s="56"/>
      <c r="Z177" s="56"/>
      <c r="AA177" s="56"/>
      <c r="AB177" s="56"/>
    </row>
    <row r="178" ht="15.75" customHeight="1">
      <c r="A178" s="57" t="str">
        <f t="shared" si="1"/>
        <v>602ad87d17a3764230354e89</v>
      </c>
      <c r="B178" s="63"/>
      <c r="C178" s="56" t="s">
        <v>66</v>
      </c>
      <c r="D178" s="38" t="s">
        <v>654</v>
      </c>
      <c r="E178" s="67" t="s">
        <v>5170</v>
      </c>
      <c r="F178" s="67" t="s">
        <v>5171</v>
      </c>
      <c r="G178" s="66" t="s">
        <v>4896</v>
      </c>
      <c r="H178" s="38" t="s">
        <v>5172</v>
      </c>
      <c r="I178" s="38" t="s">
        <v>5173</v>
      </c>
      <c r="J178" s="67" t="s">
        <v>5174</v>
      </c>
      <c r="K178" s="38"/>
      <c r="L178" s="38"/>
      <c r="M178" s="56">
        <v>42.0</v>
      </c>
      <c r="N178" s="56" t="b">
        <v>0</v>
      </c>
      <c r="O178" s="56" t="b">
        <v>0</v>
      </c>
      <c r="P178" s="56"/>
      <c r="Q178" s="56"/>
      <c r="R178" s="56"/>
      <c r="S178" s="56"/>
      <c r="T178" s="56"/>
      <c r="U178" s="56"/>
      <c r="V178" s="56"/>
      <c r="W178" s="56"/>
      <c r="X178" s="56"/>
      <c r="Y178" s="56"/>
      <c r="Z178" s="56"/>
      <c r="AA178" s="56"/>
      <c r="AB178" s="56"/>
    </row>
    <row r="179" ht="15.75" customHeight="1">
      <c r="A179" s="57" t="str">
        <f t="shared" si="1"/>
        <v>5fdf53a0a8ae934007b9fcc1        </v>
      </c>
      <c r="B179" s="63"/>
      <c r="C179" s="56" t="s">
        <v>66</v>
      </c>
      <c r="D179" s="38" t="s">
        <v>654</v>
      </c>
      <c r="E179" s="64" t="s">
        <v>5175</v>
      </c>
      <c r="F179" s="85" t="s">
        <v>2046</v>
      </c>
      <c r="G179" s="66" t="s">
        <v>4851</v>
      </c>
      <c r="H179" s="38" t="s">
        <v>5172</v>
      </c>
      <c r="I179" s="38" t="s">
        <v>5176</v>
      </c>
      <c r="J179" s="38" t="s">
        <v>2048</v>
      </c>
      <c r="K179" s="68"/>
      <c r="L179" s="38"/>
      <c r="M179" s="56">
        <v>20.0</v>
      </c>
      <c r="N179" s="56" t="b">
        <v>0</v>
      </c>
      <c r="O179" s="56" t="b">
        <v>0</v>
      </c>
      <c r="P179" s="56"/>
      <c r="Q179" s="56"/>
      <c r="R179" s="56"/>
      <c r="S179" s="56"/>
      <c r="T179" s="56"/>
      <c r="U179" s="56"/>
      <c r="V179" s="56"/>
      <c r="W179" s="56"/>
      <c r="X179" s="56"/>
      <c r="Y179" s="56"/>
      <c r="Z179" s="56"/>
      <c r="AA179" s="56"/>
      <c r="AB179" s="56"/>
    </row>
    <row r="180" ht="15.75" customHeight="1">
      <c r="A180" s="57" t="str">
        <f t="shared" si="1"/>
        <v>60369b99aa28127d4b71aa0c</v>
      </c>
      <c r="B180" s="69"/>
      <c r="C180" s="56" t="s">
        <v>66</v>
      </c>
      <c r="D180" s="38" t="s">
        <v>545</v>
      </c>
      <c r="E180" s="67" t="s">
        <v>5177</v>
      </c>
      <c r="F180" s="67" t="s">
        <v>5178</v>
      </c>
      <c r="G180" s="66" t="s">
        <v>4967</v>
      </c>
      <c r="H180" s="38" t="s">
        <v>5179</v>
      </c>
      <c r="I180" s="38" t="s">
        <v>5180</v>
      </c>
      <c r="J180" s="67" t="s">
        <v>5181</v>
      </c>
      <c r="K180" s="38"/>
      <c r="L180" s="38"/>
      <c r="M180" s="56">
        <v>13.0</v>
      </c>
      <c r="N180" s="56" t="b">
        <v>0</v>
      </c>
      <c r="O180" s="56" t="b">
        <v>0</v>
      </c>
      <c r="P180" s="56"/>
      <c r="Q180" s="56"/>
      <c r="R180" s="56"/>
      <c r="S180" s="56"/>
      <c r="T180" s="56"/>
      <c r="U180" s="56"/>
      <c r="V180" s="56"/>
      <c r="W180" s="56"/>
      <c r="X180" s="56"/>
      <c r="Y180" s="56"/>
      <c r="Z180" s="56"/>
      <c r="AA180" s="56"/>
      <c r="AB180" s="56"/>
    </row>
    <row r="181" ht="15.75" customHeight="1">
      <c r="A181" s="57" t="str">
        <f t="shared" si="1"/>
        <v/>
      </c>
      <c r="B181" s="118"/>
      <c r="C181" s="56"/>
      <c r="D181" s="38"/>
      <c r="E181" s="38"/>
      <c r="F181" s="65"/>
      <c r="G181" s="66"/>
      <c r="H181" s="38"/>
      <c r="I181" s="38"/>
      <c r="J181" s="38"/>
      <c r="K181" s="38"/>
      <c r="L181" s="38"/>
      <c r="M181" s="56"/>
      <c r="N181" s="56" t="b">
        <v>0</v>
      </c>
      <c r="O181" s="56" t="b">
        <v>0</v>
      </c>
      <c r="P181" s="56"/>
      <c r="Q181" s="56"/>
      <c r="R181" s="56"/>
      <c r="S181" s="56"/>
      <c r="T181" s="56"/>
      <c r="U181" s="56"/>
      <c r="V181" s="56"/>
      <c r="W181" s="56"/>
      <c r="X181" s="56"/>
      <c r="Y181" s="56"/>
      <c r="Z181" s="56"/>
      <c r="AA181" s="56"/>
      <c r="AB181" s="56"/>
    </row>
    <row r="182" ht="15.75" customHeight="1">
      <c r="A182" s="57" t="str">
        <f t="shared" si="1"/>
        <v>60089a0ee4ab4eb865924a4b</v>
      </c>
      <c r="B182" s="58" t="s">
        <v>4836</v>
      </c>
      <c r="C182" s="56" t="s">
        <v>53</v>
      </c>
      <c r="D182" s="62" t="s">
        <v>654</v>
      </c>
      <c r="E182" s="60" t="s">
        <v>650</v>
      </c>
      <c r="F182" s="60" t="s">
        <v>651</v>
      </c>
      <c r="G182" s="61">
        <v>0.4583333333333333</v>
      </c>
      <c r="H182" s="62" t="s">
        <v>5182</v>
      </c>
      <c r="I182" s="59" t="s">
        <v>5183</v>
      </c>
      <c r="J182" s="62" t="s">
        <v>653</v>
      </c>
      <c r="K182" s="68"/>
      <c r="L182" s="38"/>
      <c r="M182" s="56">
        <f>VLOOKUP(E182,'Hedef Liste'!A:I,9,false)</f>
        <v>5</v>
      </c>
      <c r="N182" s="56" t="b">
        <v>0</v>
      </c>
      <c r="O182" s="56" t="b">
        <v>0</v>
      </c>
      <c r="P182" s="56"/>
      <c r="Q182" s="56"/>
      <c r="R182" s="56"/>
      <c r="S182" s="56"/>
      <c r="T182" s="56"/>
      <c r="U182" s="56"/>
      <c r="V182" s="56"/>
      <c r="W182" s="56"/>
      <c r="X182" s="56"/>
      <c r="Y182" s="56"/>
      <c r="Z182" s="56"/>
      <c r="AA182" s="56"/>
      <c r="AB182" s="56"/>
    </row>
    <row r="183" ht="15.75" customHeight="1">
      <c r="A183" s="57" t="str">
        <f t="shared" si="1"/>
        <v>5ff0b9295118f15e328deccd</v>
      </c>
      <c r="B183" s="63"/>
      <c r="C183" s="56" t="s">
        <v>53</v>
      </c>
      <c r="D183" s="62" t="s">
        <v>654</v>
      </c>
      <c r="E183" s="60" t="s">
        <v>946</v>
      </c>
      <c r="F183" s="60" t="s">
        <v>947</v>
      </c>
      <c r="G183" s="61">
        <v>0.5416666666666666</v>
      </c>
      <c r="H183" s="62" t="s">
        <v>5184</v>
      </c>
      <c r="I183" s="59" t="s">
        <v>5185</v>
      </c>
      <c r="J183" s="62" t="s">
        <v>950</v>
      </c>
      <c r="K183" s="68"/>
      <c r="L183" s="38"/>
      <c r="M183" s="56">
        <f>VLOOKUP(E183,'Hedef Liste'!A:I,9,false)</f>
        <v>20</v>
      </c>
      <c r="N183" s="56" t="b">
        <v>0</v>
      </c>
      <c r="O183" s="56" t="b">
        <v>0</v>
      </c>
      <c r="P183" s="56"/>
      <c r="Q183" s="56"/>
      <c r="R183" s="56"/>
      <c r="S183" s="56"/>
      <c r="T183" s="56"/>
      <c r="U183" s="56"/>
      <c r="V183" s="56"/>
      <c r="W183" s="56"/>
      <c r="X183" s="56"/>
      <c r="Y183" s="56"/>
      <c r="Z183" s="56"/>
      <c r="AA183" s="56"/>
      <c r="AB183" s="56"/>
    </row>
    <row r="184" ht="15.75" customHeight="1">
      <c r="A184" s="57" t="str">
        <f t="shared" si="1"/>
        <v>5fe63c3571e89c393095c2fa</v>
      </c>
      <c r="B184" s="63"/>
      <c r="C184" s="56" t="s">
        <v>53</v>
      </c>
      <c r="D184" s="62" t="s">
        <v>52</v>
      </c>
      <c r="E184" s="60" t="s">
        <v>178</v>
      </c>
      <c r="F184" s="60" t="s">
        <v>179</v>
      </c>
      <c r="G184" s="72">
        <v>0.625</v>
      </c>
      <c r="H184" s="62" t="s">
        <v>5186</v>
      </c>
      <c r="I184" s="62" t="s">
        <v>5187</v>
      </c>
      <c r="J184" s="60" t="s">
        <v>182</v>
      </c>
      <c r="K184" s="68"/>
      <c r="L184" s="38"/>
      <c r="M184" s="56">
        <f>VLOOKUP(E184,'Hedef Liste'!A:I,9,false)</f>
        <v>13</v>
      </c>
      <c r="N184" s="56" t="b">
        <v>0</v>
      </c>
      <c r="O184" s="56" t="b">
        <v>0</v>
      </c>
      <c r="P184" s="56"/>
      <c r="Q184" s="56"/>
      <c r="R184" s="56"/>
      <c r="S184" s="56"/>
      <c r="T184" s="56"/>
      <c r="U184" s="56"/>
      <c r="V184" s="56"/>
      <c r="W184" s="56"/>
      <c r="X184" s="56"/>
      <c r="Y184" s="56"/>
      <c r="Z184" s="56"/>
      <c r="AA184" s="56"/>
      <c r="AB184" s="56"/>
    </row>
    <row r="185" ht="15.75" customHeight="1">
      <c r="A185" s="57" t="str">
        <f t="shared" si="1"/>
        <v>5fff6b4837b181f7af07eb2c</v>
      </c>
      <c r="B185" s="63"/>
      <c r="C185" s="56" t="s">
        <v>53</v>
      </c>
      <c r="D185" s="62" t="s">
        <v>52</v>
      </c>
      <c r="E185" s="74" t="s">
        <v>3776</v>
      </c>
      <c r="F185" s="115" t="s">
        <v>3777</v>
      </c>
      <c r="G185" s="73" t="s">
        <v>4899</v>
      </c>
      <c r="H185" s="62" t="s">
        <v>5001</v>
      </c>
      <c r="I185" s="62" t="s">
        <v>5100</v>
      </c>
      <c r="J185" s="74" t="s">
        <v>3779</v>
      </c>
      <c r="K185" s="38"/>
      <c r="L185" s="38"/>
      <c r="M185" s="56">
        <f>VLOOKUP(E185,'Hedef Liste'!A:I,9,false)</f>
        <v>55</v>
      </c>
      <c r="N185" s="56" t="b">
        <v>0</v>
      </c>
      <c r="O185" s="56" t="b">
        <v>0</v>
      </c>
      <c r="P185" s="56"/>
      <c r="Q185" s="56"/>
      <c r="R185" s="56"/>
      <c r="S185" s="56"/>
      <c r="T185" s="56"/>
      <c r="U185" s="56"/>
      <c r="V185" s="56"/>
      <c r="W185" s="56"/>
      <c r="X185" s="56"/>
      <c r="Y185" s="56"/>
      <c r="Z185" s="56"/>
      <c r="AA185" s="56"/>
      <c r="AB185" s="56"/>
    </row>
    <row r="186" ht="15.75" customHeight="1">
      <c r="A186" s="57" t="str">
        <f t="shared" si="1"/>
        <v>602e1c318364b8297f98c137</v>
      </c>
      <c r="B186" s="63"/>
      <c r="C186" s="56" t="s">
        <v>53</v>
      </c>
      <c r="D186" s="64" t="s">
        <v>654</v>
      </c>
      <c r="E186" s="67" t="s">
        <v>2689</v>
      </c>
      <c r="F186" s="67" t="s">
        <v>2690</v>
      </c>
      <c r="G186" s="66" t="s">
        <v>4858</v>
      </c>
      <c r="H186" s="38" t="s">
        <v>5188</v>
      </c>
      <c r="I186" s="38" t="s">
        <v>5189</v>
      </c>
      <c r="J186" s="67" t="s">
        <v>2692</v>
      </c>
      <c r="K186" s="68"/>
      <c r="L186" s="38"/>
      <c r="M186" s="56"/>
      <c r="N186" s="56" t="b">
        <v>0</v>
      </c>
      <c r="O186" s="56" t="b">
        <v>0</v>
      </c>
      <c r="P186" s="56"/>
      <c r="Q186" s="56"/>
      <c r="R186" s="56"/>
      <c r="S186" s="56"/>
      <c r="T186" s="56"/>
      <c r="U186" s="56"/>
      <c r="V186" s="56"/>
      <c r="W186" s="56"/>
      <c r="X186" s="56"/>
      <c r="Y186" s="56"/>
      <c r="Z186" s="56"/>
      <c r="AA186" s="56"/>
      <c r="AB186" s="56"/>
    </row>
    <row r="187" ht="15.75" customHeight="1">
      <c r="A187" s="57" t="str">
        <f t="shared" si="1"/>
        <v>Farklı İş Planlarımdan Dolayı Tüm Gün Müsait Değilim.... Teşekkür Ederim...</v>
      </c>
      <c r="B187" s="69"/>
      <c r="C187" s="56"/>
      <c r="D187" s="38"/>
      <c r="E187" s="38" t="s">
        <v>5190</v>
      </c>
      <c r="F187" s="65"/>
      <c r="G187" s="66"/>
      <c r="H187" s="38"/>
      <c r="I187" s="38"/>
      <c r="J187" s="38"/>
      <c r="K187" s="38"/>
      <c r="L187" s="38"/>
      <c r="M187" s="56"/>
      <c r="N187" s="56" t="b">
        <v>0</v>
      </c>
      <c r="O187" s="56" t="b">
        <v>0</v>
      </c>
      <c r="P187" s="56"/>
      <c r="Q187" s="56"/>
      <c r="R187" s="56"/>
      <c r="S187" s="56"/>
      <c r="T187" s="56"/>
      <c r="U187" s="56"/>
      <c r="V187" s="56"/>
      <c r="W187" s="56"/>
      <c r="X187" s="56"/>
      <c r="Y187" s="56"/>
      <c r="Z187" s="56"/>
      <c r="AA187" s="56"/>
      <c r="AB187" s="56"/>
    </row>
    <row r="188" ht="15.75" customHeight="1">
      <c r="A188" s="57" t="str">
        <f t="shared" si="1"/>
        <v/>
      </c>
      <c r="B188" s="58" t="s">
        <v>4850</v>
      </c>
      <c r="C188" s="38" t="s">
        <v>278</v>
      </c>
      <c r="D188" s="38"/>
      <c r="E188" s="38"/>
      <c r="F188" s="110"/>
      <c r="G188" s="66"/>
      <c r="H188" s="67"/>
      <c r="I188" s="67"/>
      <c r="J188" s="67"/>
      <c r="K188" s="38"/>
      <c r="L188" s="38"/>
      <c r="M188" s="56"/>
      <c r="N188" s="56" t="b">
        <v>0</v>
      </c>
      <c r="O188" s="56" t="b">
        <v>0</v>
      </c>
      <c r="P188" s="56"/>
      <c r="Q188" s="56"/>
      <c r="R188" s="56"/>
      <c r="S188" s="56"/>
      <c r="T188" s="56"/>
      <c r="U188" s="56"/>
      <c r="V188" s="56"/>
      <c r="W188" s="56"/>
      <c r="X188" s="56"/>
      <c r="Y188" s="56"/>
      <c r="Z188" s="56"/>
      <c r="AA188" s="56"/>
      <c r="AB188" s="56"/>
    </row>
    <row r="189" ht="15.75" customHeight="1">
      <c r="A189" s="57" t="str">
        <f t="shared" si="1"/>
        <v/>
      </c>
      <c r="B189" s="63"/>
      <c r="C189" s="38" t="s">
        <v>278</v>
      </c>
      <c r="D189" s="38"/>
      <c r="E189" s="38"/>
      <c r="F189" s="110"/>
      <c r="G189" s="66"/>
      <c r="H189" s="38"/>
      <c r="I189" s="38"/>
      <c r="J189" s="67"/>
      <c r="K189" s="38"/>
      <c r="L189" s="38"/>
      <c r="M189" s="56" t="str">
        <f>VLOOKUP(E189,'Hedef Liste'!A:I,9,false)</f>
        <v>#N/A</v>
      </c>
      <c r="N189" s="56" t="b">
        <v>0</v>
      </c>
      <c r="O189" s="56" t="b">
        <v>0</v>
      </c>
      <c r="P189" s="56"/>
      <c r="Q189" s="56"/>
      <c r="R189" s="56"/>
      <c r="S189" s="56"/>
      <c r="T189" s="56"/>
      <c r="U189" s="56"/>
      <c r="V189" s="56"/>
      <c r="W189" s="56"/>
      <c r="X189" s="56"/>
      <c r="Y189" s="56"/>
      <c r="Z189" s="56"/>
      <c r="AA189" s="56"/>
      <c r="AB189" s="56"/>
    </row>
    <row r="190" ht="15.75" customHeight="1">
      <c r="A190" s="57" t="str">
        <f t="shared" si="1"/>
        <v/>
      </c>
      <c r="B190" s="63"/>
      <c r="C190" s="38" t="s">
        <v>278</v>
      </c>
      <c r="D190" s="38"/>
      <c r="E190" s="38"/>
      <c r="F190" s="110"/>
      <c r="G190" s="66"/>
      <c r="H190" s="38"/>
      <c r="I190" s="38"/>
      <c r="J190" s="38"/>
      <c r="K190" s="38"/>
      <c r="L190" s="38"/>
      <c r="M190" s="56" t="str">
        <f>VLOOKUP(E190,'Hedef Liste'!A:I,9,false)</f>
        <v>#N/A</v>
      </c>
      <c r="N190" s="56" t="b">
        <v>0</v>
      </c>
      <c r="O190" s="56" t="b">
        <v>0</v>
      </c>
      <c r="P190" s="56"/>
      <c r="Q190" s="56"/>
      <c r="R190" s="56"/>
      <c r="S190" s="56"/>
      <c r="T190" s="56"/>
      <c r="U190" s="56"/>
      <c r="V190" s="56"/>
      <c r="W190" s="56"/>
      <c r="X190" s="56"/>
      <c r="Y190" s="56"/>
      <c r="Z190" s="56"/>
      <c r="AA190" s="56"/>
      <c r="AB190" s="56"/>
    </row>
    <row r="191" ht="15.75" customHeight="1">
      <c r="A191" s="57" t="str">
        <f t="shared" si="1"/>
        <v/>
      </c>
      <c r="B191" s="63"/>
      <c r="C191" s="38" t="s">
        <v>278</v>
      </c>
      <c r="D191" s="38"/>
      <c r="E191" s="67"/>
      <c r="F191" s="67"/>
      <c r="G191" s="66"/>
      <c r="H191" s="38"/>
      <c r="I191" s="38"/>
      <c r="J191" s="67"/>
      <c r="K191" s="38"/>
      <c r="L191" s="38"/>
      <c r="M191" s="56" t="str">
        <f>VLOOKUP(E191,'Hedef Liste'!A:I,9,false)</f>
        <v>#N/A</v>
      </c>
      <c r="N191" s="56" t="b">
        <v>0</v>
      </c>
      <c r="O191" s="56" t="b">
        <v>0</v>
      </c>
      <c r="P191" s="56"/>
      <c r="Q191" s="56"/>
      <c r="R191" s="56"/>
      <c r="S191" s="56"/>
      <c r="T191" s="56"/>
      <c r="U191" s="56"/>
      <c r="V191" s="56"/>
      <c r="W191" s="56"/>
      <c r="X191" s="56"/>
      <c r="Y191" s="56"/>
      <c r="Z191" s="56"/>
      <c r="AA191" s="56"/>
      <c r="AB191" s="56"/>
    </row>
    <row r="192" ht="15.75" customHeight="1">
      <c r="A192" s="57" t="str">
        <f t="shared" si="1"/>
        <v/>
      </c>
      <c r="B192" s="63"/>
      <c r="C192" s="38"/>
      <c r="D192" s="38"/>
      <c r="E192" s="38"/>
      <c r="F192" s="65"/>
      <c r="G192" s="66"/>
      <c r="H192" s="38"/>
      <c r="I192" s="38"/>
      <c r="J192" s="38"/>
      <c r="K192" s="38"/>
      <c r="L192" s="38"/>
      <c r="M192" s="56" t="str">
        <f>VLOOKUP(E192,'Hedef Liste'!A:I,9,false)</f>
        <v>#N/A</v>
      </c>
      <c r="N192" s="56" t="b">
        <v>0</v>
      </c>
      <c r="O192" s="56" t="b">
        <v>0</v>
      </c>
      <c r="P192" s="56"/>
      <c r="Q192" s="56"/>
      <c r="R192" s="56"/>
      <c r="S192" s="56"/>
      <c r="T192" s="56"/>
      <c r="U192" s="56"/>
      <c r="V192" s="56"/>
      <c r="W192" s="56"/>
      <c r="X192" s="56"/>
      <c r="Y192" s="56"/>
      <c r="Z192" s="56"/>
      <c r="AA192" s="56"/>
      <c r="AB192" s="56"/>
    </row>
    <row r="193" ht="15.75" customHeight="1">
      <c r="A193" s="57" t="str">
        <f t="shared" si="1"/>
        <v/>
      </c>
      <c r="B193" s="69"/>
      <c r="C193" s="56"/>
      <c r="D193" s="38"/>
      <c r="E193" s="38"/>
      <c r="F193" s="65"/>
      <c r="G193" s="66"/>
      <c r="H193" s="38"/>
      <c r="I193" s="38"/>
      <c r="J193" s="38"/>
      <c r="K193" s="38"/>
      <c r="L193" s="38"/>
      <c r="M193" s="56"/>
      <c r="N193" s="56" t="b">
        <v>0</v>
      </c>
      <c r="O193" s="56" t="b">
        <v>0</v>
      </c>
      <c r="P193" s="56"/>
      <c r="Q193" s="56"/>
      <c r="R193" s="56"/>
      <c r="S193" s="56"/>
      <c r="T193" s="56"/>
      <c r="U193" s="56"/>
      <c r="V193" s="56"/>
      <c r="W193" s="56"/>
      <c r="X193" s="56"/>
      <c r="Y193" s="56"/>
      <c r="Z193" s="56"/>
      <c r="AA193" s="56"/>
      <c r="AB193" s="56"/>
    </row>
    <row r="194" ht="15.75" customHeight="1">
      <c r="A194" s="57" t="str">
        <f t="shared" si="1"/>
        <v/>
      </c>
      <c r="B194" s="51"/>
      <c r="C194" s="52">
        <v>44284.0</v>
      </c>
      <c r="D194" s="38"/>
      <c r="E194" s="53"/>
      <c r="F194" s="54"/>
      <c r="G194" s="54"/>
      <c r="H194" s="54"/>
      <c r="I194" s="54"/>
      <c r="J194" s="54"/>
      <c r="K194" s="54"/>
      <c r="L194" s="55"/>
      <c r="M194" s="56"/>
      <c r="N194" s="56"/>
      <c r="O194" s="56"/>
      <c r="P194" s="56"/>
      <c r="Q194" s="56"/>
      <c r="R194" s="56"/>
      <c r="S194" s="56"/>
      <c r="T194" s="56"/>
      <c r="U194" s="56"/>
      <c r="V194" s="56"/>
      <c r="W194" s="56"/>
      <c r="X194" s="56"/>
      <c r="Y194" s="56"/>
      <c r="Z194" s="56"/>
      <c r="AA194" s="56"/>
      <c r="AB194" s="56"/>
    </row>
    <row r="195" ht="15.75" customHeight="1">
      <c r="A195" s="57" t="str">
        <f t="shared" si="1"/>
        <v>5fdfd39120df6e0601c18440</v>
      </c>
      <c r="B195" s="58" t="s">
        <v>4827</v>
      </c>
      <c r="C195" s="56" t="s">
        <v>66</v>
      </c>
      <c r="D195" s="38" t="s">
        <v>545</v>
      </c>
      <c r="E195" s="67" t="s">
        <v>1253</v>
      </c>
      <c r="F195" s="67" t="s">
        <v>1254</v>
      </c>
      <c r="G195" s="79">
        <v>0.4583333333333333</v>
      </c>
      <c r="H195" s="56" t="s">
        <v>5191</v>
      </c>
      <c r="I195" s="56" t="s">
        <v>5192</v>
      </c>
      <c r="J195" s="67" t="s">
        <v>5193</v>
      </c>
      <c r="K195" s="68"/>
      <c r="L195" s="38"/>
      <c r="M195" s="56">
        <f>VLOOKUP(E195,'Hedef Liste'!A:I,9,false)</f>
        <v>11</v>
      </c>
      <c r="N195" s="56" t="b">
        <v>0</v>
      </c>
      <c r="O195" s="56" t="b">
        <v>0</v>
      </c>
      <c r="P195" s="56"/>
      <c r="Q195" s="56"/>
      <c r="R195" s="56"/>
      <c r="S195" s="56"/>
      <c r="T195" s="56"/>
      <c r="U195" s="56"/>
      <c r="V195" s="56"/>
      <c r="W195" s="56"/>
      <c r="X195" s="56"/>
      <c r="Y195" s="56"/>
      <c r="Z195" s="56"/>
      <c r="AA195" s="56"/>
      <c r="AB195" s="56"/>
    </row>
    <row r="196" ht="15.75" customHeight="1">
      <c r="A196" s="57" t="str">
        <f t="shared" si="1"/>
        <v>5fe77f49ce622f84becb7272       </v>
      </c>
      <c r="B196" s="63"/>
      <c r="C196" s="56" t="s">
        <v>66</v>
      </c>
      <c r="D196" s="76" t="s">
        <v>654</v>
      </c>
      <c r="E196" s="77" t="s">
        <v>5194</v>
      </c>
      <c r="F196" s="99" t="s">
        <v>5195</v>
      </c>
      <c r="G196" s="119" t="s">
        <v>5196</v>
      </c>
      <c r="H196" s="76" t="s">
        <v>5197</v>
      </c>
      <c r="I196" s="77" t="s">
        <v>5198</v>
      </c>
      <c r="J196" s="77" t="s">
        <v>5199</v>
      </c>
      <c r="K196" s="38" t="s">
        <v>5200</v>
      </c>
      <c r="L196" s="38"/>
      <c r="M196" s="56" t="str">
        <f>VLOOKUP(E196,'Hedef Liste'!A:I,9,false)</f>
        <v>#N/A</v>
      </c>
      <c r="N196" s="56" t="b">
        <v>0</v>
      </c>
      <c r="O196" s="56" t="b">
        <v>0</v>
      </c>
      <c r="P196" s="56"/>
      <c r="Q196" s="56"/>
      <c r="R196" s="56"/>
      <c r="S196" s="56"/>
      <c r="T196" s="56"/>
      <c r="U196" s="56"/>
      <c r="V196" s="56"/>
      <c r="W196" s="56"/>
      <c r="X196" s="56"/>
      <c r="Y196" s="56"/>
      <c r="Z196" s="56"/>
      <c r="AA196" s="56"/>
      <c r="AB196" s="56"/>
    </row>
    <row r="197" ht="15.75" customHeight="1">
      <c r="A197" s="57" t="str">
        <f t="shared" si="1"/>
        <v>5fe38989d3f42bc1c2af4329	Hacıbaba Concept, Mezitli (Yenimahalle Mah.)</v>
      </c>
      <c r="B197" s="63"/>
      <c r="C197" s="56" t="s">
        <v>66</v>
      </c>
      <c r="D197" s="38" t="s">
        <v>258</v>
      </c>
      <c r="E197" s="67" t="s">
        <v>5201</v>
      </c>
      <c r="F197" s="67"/>
      <c r="G197" s="79">
        <v>0.5833333333333334</v>
      </c>
      <c r="H197" s="38" t="s">
        <v>5202</v>
      </c>
      <c r="I197" s="67" t="s">
        <v>5203</v>
      </c>
      <c r="J197" s="67" t="s">
        <v>2185</v>
      </c>
      <c r="K197" s="38">
        <v>127.0</v>
      </c>
      <c r="L197" s="38"/>
      <c r="M197" s="56" t="str">
        <f>VLOOKUP(E197,'Hedef Liste'!A:I,9,false)</f>
        <v>#N/A</v>
      </c>
      <c r="N197" s="56" t="b">
        <v>0</v>
      </c>
      <c r="O197" s="56" t="b">
        <v>0</v>
      </c>
      <c r="P197" s="56"/>
      <c r="Q197" s="56"/>
      <c r="R197" s="56"/>
      <c r="S197" s="56"/>
      <c r="T197" s="56"/>
      <c r="U197" s="56"/>
      <c r="V197" s="56"/>
      <c r="W197" s="56"/>
      <c r="X197" s="56"/>
      <c r="Y197" s="56"/>
      <c r="Z197" s="56"/>
      <c r="AA197" s="56"/>
      <c r="AB197" s="56"/>
    </row>
    <row r="198" ht="15.75" customHeight="1">
      <c r="A198" s="57" t="str">
        <f t="shared" si="1"/>
        <v>601453ec4492cd32afb7b79e</v>
      </c>
      <c r="B198" s="63"/>
      <c r="C198" s="56" t="s">
        <v>66</v>
      </c>
      <c r="D198" s="38" t="s">
        <v>654</v>
      </c>
      <c r="E198" s="67" t="s">
        <v>752</v>
      </c>
      <c r="F198" s="67" t="s">
        <v>753</v>
      </c>
      <c r="G198" s="66" t="s">
        <v>4896</v>
      </c>
      <c r="H198" s="38" t="s">
        <v>47</v>
      </c>
      <c r="I198" s="38" t="s">
        <v>5204</v>
      </c>
      <c r="J198" s="67" t="s">
        <v>757</v>
      </c>
      <c r="K198" s="38">
        <v>19.0</v>
      </c>
      <c r="L198" s="38"/>
      <c r="M198" s="56">
        <f>VLOOKUP(E198,'Hedef Liste'!A:I,9,false)</f>
        <v>13</v>
      </c>
      <c r="N198" s="56" t="b">
        <v>0</v>
      </c>
      <c r="O198" s="56" t="b">
        <v>0</v>
      </c>
      <c r="P198" s="56"/>
      <c r="Q198" s="56"/>
      <c r="R198" s="56"/>
      <c r="S198" s="56"/>
      <c r="T198" s="56"/>
      <c r="U198" s="56"/>
      <c r="V198" s="56"/>
      <c r="W198" s="56"/>
      <c r="X198" s="56"/>
      <c r="Y198" s="56"/>
      <c r="Z198" s="56"/>
      <c r="AA198" s="56"/>
      <c r="AB198" s="56"/>
    </row>
    <row r="199" ht="15.75" customHeight="1">
      <c r="A199" s="57" t="str">
        <f t="shared" si="1"/>
        <v>5fe38ce222f5bd539ad77ad7</v>
      </c>
      <c r="B199" s="63"/>
      <c r="C199" s="56" t="s">
        <v>66</v>
      </c>
      <c r="D199" s="38" t="s">
        <v>654</v>
      </c>
      <c r="E199" s="67" t="s">
        <v>2178</v>
      </c>
      <c r="F199" s="67" t="s">
        <v>2179</v>
      </c>
      <c r="G199" s="66" t="s">
        <v>4899</v>
      </c>
      <c r="H199" s="38" t="s">
        <v>5205</v>
      </c>
      <c r="I199" s="38" t="s">
        <v>5206</v>
      </c>
      <c r="J199" s="67" t="s">
        <v>2181</v>
      </c>
      <c r="K199" s="38">
        <v>127.0</v>
      </c>
      <c r="L199" s="38"/>
      <c r="M199" s="56"/>
      <c r="N199" s="56" t="b">
        <v>0</v>
      </c>
      <c r="O199" s="56" t="b">
        <v>0</v>
      </c>
      <c r="P199" s="56"/>
      <c r="Q199" s="56"/>
      <c r="R199" s="56"/>
      <c r="S199" s="56"/>
      <c r="T199" s="56"/>
      <c r="U199" s="56"/>
      <c r="V199" s="56"/>
      <c r="W199" s="56"/>
      <c r="X199" s="56"/>
      <c r="Y199" s="56"/>
      <c r="Z199" s="56"/>
      <c r="AA199" s="56"/>
      <c r="AB199" s="56"/>
    </row>
    <row r="200" ht="15.75" customHeight="1">
      <c r="A200" s="57" t="str">
        <f t="shared" si="1"/>
        <v/>
      </c>
      <c r="B200" s="69"/>
      <c r="C200" s="56"/>
      <c r="D200" s="38"/>
      <c r="E200" s="38"/>
      <c r="F200" s="65"/>
      <c r="G200" s="66"/>
      <c r="H200" s="38"/>
      <c r="I200" s="38"/>
      <c r="J200" s="38"/>
      <c r="K200" s="38"/>
      <c r="L200" s="38"/>
      <c r="M200" s="56"/>
      <c r="N200" s="56" t="b">
        <v>0</v>
      </c>
      <c r="O200" s="56" t="b">
        <v>0</v>
      </c>
      <c r="P200" s="56"/>
      <c r="Q200" s="56"/>
      <c r="R200" s="56"/>
      <c r="S200" s="56"/>
      <c r="T200" s="56"/>
      <c r="U200" s="56"/>
      <c r="V200" s="56"/>
      <c r="W200" s="56"/>
      <c r="X200" s="56"/>
      <c r="Y200" s="56"/>
      <c r="Z200" s="56"/>
      <c r="AA200" s="56"/>
      <c r="AB200" s="56"/>
    </row>
    <row r="201" ht="15.75" customHeight="1">
      <c r="A201" s="57" t="str">
        <f t="shared" si="1"/>
        <v>6037fee4451e5004167970bb        </v>
      </c>
      <c r="B201" s="58" t="s">
        <v>4836</v>
      </c>
      <c r="C201" s="56" t="s">
        <v>53</v>
      </c>
      <c r="D201" s="38" t="s">
        <v>258</v>
      </c>
      <c r="E201" s="67" t="s">
        <v>5207</v>
      </c>
      <c r="F201" s="85" t="s">
        <v>5208</v>
      </c>
      <c r="G201" s="79">
        <v>0.4583333333333333</v>
      </c>
      <c r="H201" s="38" t="s">
        <v>5209</v>
      </c>
      <c r="I201" s="56" t="s">
        <v>5210</v>
      </c>
      <c r="J201" s="38" t="s">
        <v>614</v>
      </c>
      <c r="K201" s="38">
        <v>18.0</v>
      </c>
      <c r="L201" s="38"/>
      <c r="M201" s="56" t="str">
        <f>VLOOKUP(E201,'Hedef Liste'!A:I,9,false)</f>
        <v>#N/A</v>
      </c>
      <c r="N201" s="56" t="b">
        <v>0</v>
      </c>
      <c r="O201" s="56" t="b">
        <v>0</v>
      </c>
      <c r="P201" s="56"/>
      <c r="Q201" s="56"/>
      <c r="R201" s="56"/>
      <c r="S201" s="56"/>
      <c r="T201" s="56"/>
      <c r="U201" s="56"/>
      <c r="V201" s="56"/>
      <c r="W201" s="56"/>
      <c r="X201" s="56"/>
      <c r="Y201" s="56"/>
      <c r="Z201" s="56"/>
      <c r="AA201" s="56"/>
      <c r="AB201" s="56"/>
    </row>
    <row r="202" ht="15.75" customHeight="1">
      <c r="A202" s="57" t="str">
        <f t="shared" si="1"/>
        <v>6053300dae18d77b5b6eeb5a</v>
      </c>
      <c r="B202" s="63"/>
      <c r="C202" s="56" t="s">
        <v>53</v>
      </c>
      <c r="D202" s="76" t="s">
        <v>654</v>
      </c>
      <c r="E202" s="77" t="s">
        <v>2345</v>
      </c>
      <c r="F202" s="77" t="s">
        <v>2346</v>
      </c>
      <c r="G202" s="119" t="s">
        <v>4975</v>
      </c>
      <c r="H202" s="76" t="s">
        <v>5211</v>
      </c>
      <c r="I202" s="93" t="s">
        <v>5212</v>
      </c>
      <c r="J202" s="77" t="s">
        <v>2348</v>
      </c>
      <c r="K202" s="38" t="s">
        <v>5213</v>
      </c>
      <c r="L202" s="38"/>
      <c r="M202" s="56">
        <f>VLOOKUP(E202,'Hedef Liste'!A:I,9,false)</f>
        <v>58</v>
      </c>
      <c r="N202" s="56" t="b">
        <v>0</v>
      </c>
      <c r="O202" s="56" t="b">
        <v>0</v>
      </c>
      <c r="P202" s="56"/>
      <c r="Q202" s="56"/>
      <c r="R202" s="56"/>
      <c r="S202" s="56"/>
      <c r="T202" s="56"/>
      <c r="U202" s="56"/>
      <c r="V202" s="56"/>
      <c r="W202" s="56"/>
      <c r="X202" s="56"/>
      <c r="Y202" s="56"/>
      <c r="Z202" s="56"/>
      <c r="AA202" s="56"/>
      <c r="AB202" s="56"/>
    </row>
    <row r="203" ht="15.75" customHeight="1">
      <c r="A203" s="57" t="str">
        <f t="shared" si="1"/>
        <v>603d3bdf41ca7f765c6dc120        </v>
      </c>
      <c r="B203" s="63"/>
      <c r="C203" s="56" t="s">
        <v>53</v>
      </c>
      <c r="D203" s="62" t="s">
        <v>654</v>
      </c>
      <c r="E203" s="60" t="s">
        <v>5214</v>
      </c>
      <c r="F203" s="84" t="s">
        <v>2912</v>
      </c>
      <c r="G203" s="72">
        <v>0.625</v>
      </c>
      <c r="H203" s="62" t="s">
        <v>5215</v>
      </c>
      <c r="I203" s="62" t="s">
        <v>5216</v>
      </c>
      <c r="J203" s="60" t="s">
        <v>2914</v>
      </c>
      <c r="K203" s="38">
        <v>31.0</v>
      </c>
      <c r="L203" s="38"/>
      <c r="M203" s="56" t="str">
        <f>VLOOKUP(E203,'Hedef Liste'!A:I,9,false)</f>
        <v>#N/A</v>
      </c>
      <c r="N203" s="56" t="b">
        <v>0</v>
      </c>
      <c r="O203" s="56" t="b">
        <v>0</v>
      </c>
      <c r="P203" s="56"/>
      <c r="Q203" s="56"/>
      <c r="R203" s="56"/>
      <c r="S203" s="56"/>
      <c r="T203" s="56"/>
      <c r="U203" s="56"/>
      <c r="V203" s="56"/>
      <c r="W203" s="56"/>
      <c r="X203" s="56"/>
      <c r="Y203" s="56"/>
      <c r="Z203" s="56"/>
      <c r="AA203" s="56"/>
      <c r="AB203" s="56"/>
    </row>
    <row r="204" ht="15.75" customHeight="1">
      <c r="A204" s="57" t="str">
        <f t="shared" si="1"/>
        <v>6022c4c30737d6cfa910f66a        </v>
      </c>
      <c r="B204" s="63"/>
      <c r="C204" s="56" t="s">
        <v>53</v>
      </c>
      <c r="D204" s="62" t="s">
        <v>52</v>
      </c>
      <c r="E204" s="60" t="s">
        <v>5217</v>
      </c>
      <c r="F204" s="84" t="s">
        <v>2132</v>
      </c>
      <c r="G204" s="73" t="s">
        <v>4967</v>
      </c>
      <c r="H204" s="62" t="s">
        <v>5218</v>
      </c>
      <c r="I204" s="60" t="s">
        <v>5219</v>
      </c>
      <c r="J204" s="60" t="s">
        <v>2134</v>
      </c>
      <c r="K204" s="38">
        <v>65.0</v>
      </c>
      <c r="L204" s="38"/>
      <c r="M204" s="67"/>
      <c r="N204" s="56" t="b">
        <v>0</v>
      </c>
      <c r="O204" s="56" t="b">
        <v>0</v>
      </c>
      <c r="P204" s="56"/>
      <c r="Q204" s="56"/>
      <c r="R204" s="56"/>
      <c r="S204" s="56"/>
      <c r="T204" s="56"/>
      <c r="U204" s="56"/>
      <c r="V204" s="56"/>
      <c r="W204" s="56"/>
      <c r="X204" s="56"/>
      <c r="Y204" s="56"/>
      <c r="Z204" s="56"/>
      <c r="AA204" s="56"/>
      <c r="AB204" s="56"/>
    </row>
    <row r="205" ht="15.75" customHeight="1">
      <c r="A205" s="57" t="str">
        <f t="shared" si="1"/>
        <v>60156b363a7478ddc760b657        </v>
      </c>
      <c r="B205" s="63"/>
      <c r="C205" s="56" t="s">
        <v>53</v>
      </c>
      <c r="D205" s="83" t="s">
        <v>258</v>
      </c>
      <c r="E205" s="83" t="s">
        <v>5220</v>
      </c>
      <c r="F205" s="84" t="s">
        <v>773</v>
      </c>
      <c r="G205" s="73" t="s">
        <v>4997</v>
      </c>
      <c r="H205" s="62" t="s">
        <v>5221</v>
      </c>
      <c r="I205" s="62" t="s">
        <v>5222</v>
      </c>
      <c r="J205" s="62" t="s">
        <v>672</v>
      </c>
      <c r="K205" s="38">
        <v>34.0</v>
      </c>
      <c r="L205" s="38"/>
      <c r="M205" s="56"/>
      <c r="N205" s="56" t="b">
        <v>0</v>
      </c>
      <c r="O205" s="56" t="b">
        <v>0</v>
      </c>
      <c r="P205" s="56"/>
      <c r="Q205" s="56"/>
      <c r="R205" s="56"/>
      <c r="S205" s="56"/>
      <c r="T205" s="56"/>
      <c r="U205" s="56"/>
      <c r="V205" s="56"/>
      <c r="W205" s="56"/>
      <c r="X205" s="56"/>
      <c r="Y205" s="56"/>
      <c r="Z205" s="56"/>
      <c r="AA205" s="56"/>
      <c r="AB205" s="56"/>
    </row>
    <row r="206" ht="15.75" customHeight="1">
      <c r="A206" s="57" t="str">
        <f t="shared" si="1"/>
        <v/>
      </c>
      <c r="B206" s="69"/>
      <c r="C206" s="56"/>
      <c r="D206" s="38"/>
      <c r="E206" s="38"/>
      <c r="F206" s="65"/>
      <c r="G206" s="66"/>
      <c r="H206" s="38"/>
      <c r="I206" s="38"/>
      <c r="J206" s="38"/>
      <c r="K206" s="38"/>
      <c r="L206" s="38"/>
      <c r="M206" s="56"/>
      <c r="N206" s="56" t="b">
        <v>0</v>
      </c>
      <c r="O206" s="56" t="b">
        <v>0</v>
      </c>
      <c r="P206" s="56"/>
      <c r="Q206" s="56"/>
      <c r="R206" s="56"/>
      <c r="S206" s="56"/>
      <c r="T206" s="56"/>
      <c r="U206" s="56"/>
      <c r="V206" s="56"/>
      <c r="W206" s="56"/>
      <c r="X206" s="56"/>
      <c r="Y206" s="56"/>
      <c r="Z206" s="56"/>
      <c r="AA206" s="56"/>
      <c r="AB206" s="56"/>
    </row>
    <row r="207" ht="15.75" customHeight="1">
      <c r="A207" s="57" t="str">
        <f t="shared" si="1"/>
        <v>603d294d41ca7f817b6dba7c</v>
      </c>
      <c r="B207" s="58" t="s">
        <v>4850</v>
      </c>
      <c r="C207" s="38" t="s">
        <v>278</v>
      </c>
      <c r="D207" s="38" t="s">
        <v>133</v>
      </c>
      <c r="E207" s="67" t="s">
        <v>5223</v>
      </c>
      <c r="F207" s="67" t="s">
        <v>5224</v>
      </c>
      <c r="G207" s="66" t="s">
        <v>4892</v>
      </c>
      <c r="H207" s="67" t="s">
        <v>5225</v>
      </c>
      <c r="I207" s="67" t="s">
        <v>5226</v>
      </c>
      <c r="J207" s="67" t="s">
        <v>5227</v>
      </c>
      <c r="K207" s="38" t="s">
        <v>4830</v>
      </c>
      <c r="L207" s="38">
        <v>24.0</v>
      </c>
      <c r="M207" s="56" t="str">
        <f>VLOOKUP(E207,'Hedef Liste'!A:I,9,false)</f>
        <v>#N/A</v>
      </c>
      <c r="N207" s="56" t="b">
        <v>0</v>
      </c>
      <c r="O207" s="56" t="b">
        <v>0</v>
      </c>
      <c r="P207" s="56"/>
      <c r="Q207" s="56"/>
      <c r="R207" s="56"/>
      <c r="S207" s="56"/>
      <c r="T207" s="56"/>
      <c r="U207" s="56"/>
      <c r="V207" s="56"/>
      <c r="W207" s="56"/>
      <c r="X207" s="56"/>
      <c r="Y207" s="56"/>
      <c r="Z207" s="56"/>
      <c r="AA207" s="56"/>
      <c r="AB207" s="56"/>
    </row>
    <row r="208" ht="15.75" customHeight="1">
      <c r="A208" s="57" t="str">
        <f t="shared" si="1"/>
        <v>5fef4789f351dc261c67ae8f</v>
      </c>
      <c r="B208" s="63"/>
      <c r="C208" s="38" t="s">
        <v>278</v>
      </c>
      <c r="D208" s="38" t="s">
        <v>545</v>
      </c>
      <c r="E208" s="67" t="s">
        <v>598</v>
      </c>
      <c r="F208" s="67" t="s">
        <v>599</v>
      </c>
      <c r="G208" s="66" t="s">
        <v>4967</v>
      </c>
      <c r="H208" s="38" t="s">
        <v>5228</v>
      </c>
      <c r="I208" s="38" t="s">
        <v>5229</v>
      </c>
      <c r="J208" s="67" t="s">
        <v>600</v>
      </c>
      <c r="K208" s="38" t="s">
        <v>4830</v>
      </c>
      <c r="L208" s="38">
        <v>13.0</v>
      </c>
      <c r="M208" s="56">
        <f>VLOOKUP(E208,'Hedef Liste'!A:I,9,false)</f>
        <v>22</v>
      </c>
      <c r="N208" s="56" t="b">
        <v>0</v>
      </c>
      <c r="O208" s="56" t="b">
        <v>0</v>
      </c>
      <c r="P208" s="56"/>
      <c r="Q208" s="56"/>
      <c r="R208" s="56"/>
      <c r="S208" s="56"/>
      <c r="T208" s="56"/>
      <c r="U208" s="56"/>
      <c r="V208" s="56"/>
      <c r="W208" s="56"/>
      <c r="X208" s="56"/>
      <c r="Y208" s="56"/>
      <c r="Z208" s="56"/>
      <c r="AA208" s="56"/>
      <c r="AB208" s="56"/>
    </row>
    <row r="209" ht="15.75" customHeight="1">
      <c r="A209" s="57" t="str">
        <f t="shared" si="1"/>
        <v>600094f25f2349fae0749e70</v>
      </c>
      <c r="B209" s="63"/>
      <c r="C209" s="38" t="s">
        <v>278</v>
      </c>
      <c r="D209" s="62" t="s">
        <v>654</v>
      </c>
      <c r="E209" s="62" t="s">
        <v>3263</v>
      </c>
      <c r="F209" s="84" t="s">
        <v>3264</v>
      </c>
      <c r="G209" s="73" t="s">
        <v>4851</v>
      </c>
      <c r="H209" s="62" t="s">
        <v>5230</v>
      </c>
      <c r="I209" s="62" t="s">
        <v>5231</v>
      </c>
      <c r="J209" s="62" t="s">
        <v>3266</v>
      </c>
      <c r="K209" s="38" t="s">
        <v>4830</v>
      </c>
      <c r="L209" s="38">
        <v>16.0</v>
      </c>
      <c r="M209" s="56">
        <f>VLOOKUP(E209,'Hedef Liste'!A:I,9,false)</f>
        <v>83</v>
      </c>
      <c r="N209" s="56" t="b">
        <v>0</v>
      </c>
      <c r="O209" s="56" t="b">
        <v>0</v>
      </c>
      <c r="P209" s="56"/>
      <c r="Q209" s="56"/>
      <c r="R209" s="56"/>
      <c r="S209" s="56"/>
      <c r="T209" s="56"/>
      <c r="U209" s="56"/>
      <c r="V209" s="56"/>
      <c r="W209" s="56"/>
      <c r="X209" s="56"/>
      <c r="Y209" s="56"/>
      <c r="Z209" s="56"/>
      <c r="AA209" s="56"/>
      <c r="AB209" s="56"/>
    </row>
    <row r="210" ht="15.75" customHeight="1">
      <c r="A210" s="57" t="str">
        <f t="shared" si="1"/>
        <v>602d3418e77af67cdb145446</v>
      </c>
      <c r="B210" s="63"/>
      <c r="C210" s="38" t="s">
        <v>278</v>
      </c>
      <c r="D210" s="38" t="s">
        <v>654</v>
      </c>
      <c r="E210" s="67" t="s">
        <v>692</v>
      </c>
      <c r="F210" s="67" t="s">
        <v>693</v>
      </c>
      <c r="G210" s="66" t="s">
        <v>4887</v>
      </c>
      <c r="H210" s="38" t="s">
        <v>5232</v>
      </c>
      <c r="I210" s="38" t="s">
        <v>5233</v>
      </c>
      <c r="J210" s="67" t="s">
        <v>695</v>
      </c>
      <c r="K210" s="38" t="s">
        <v>4830</v>
      </c>
      <c r="L210" s="38">
        <v>11.0</v>
      </c>
      <c r="M210" s="56">
        <f>VLOOKUP(E210,'Hedef Liste'!A:I,9,false)</f>
        <v>22</v>
      </c>
      <c r="N210" s="56" t="b">
        <v>0</v>
      </c>
      <c r="O210" s="56" t="b">
        <v>0</v>
      </c>
      <c r="P210" s="56"/>
      <c r="Q210" s="56"/>
      <c r="R210" s="56"/>
      <c r="S210" s="56"/>
      <c r="T210" s="56"/>
      <c r="U210" s="56"/>
      <c r="V210" s="56"/>
      <c r="W210" s="56"/>
      <c r="X210" s="56"/>
      <c r="Y210" s="56"/>
      <c r="Z210" s="56"/>
      <c r="AA210" s="56"/>
      <c r="AB210" s="56"/>
    </row>
    <row r="211" ht="15.75" customHeight="1">
      <c r="A211" s="57" t="str">
        <f t="shared" si="1"/>
        <v>6005c1e8f69aa46b8c467b03</v>
      </c>
      <c r="B211" s="63"/>
      <c r="C211" s="38" t="s">
        <v>278</v>
      </c>
      <c r="D211" s="38" t="s">
        <v>654</v>
      </c>
      <c r="E211" s="67" t="s">
        <v>5234</v>
      </c>
      <c r="F211" s="67" t="s">
        <v>5235</v>
      </c>
      <c r="G211" s="66" t="s">
        <v>4997</v>
      </c>
      <c r="H211" s="38" t="s">
        <v>5232</v>
      </c>
      <c r="I211" s="38" t="s">
        <v>5236</v>
      </c>
      <c r="J211" s="67" t="s">
        <v>4075</v>
      </c>
      <c r="K211" s="38" t="s">
        <v>4830</v>
      </c>
      <c r="L211" s="38">
        <v>11.0</v>
      </c>
      <c r="M211" s="56" t="str">
        <f>VLOOKUP(E211,'Hedef Liste'!A:I,9,false)</f>
        <v>#N/A</v>
      </c>
      <c r="N211" s="56" t="b">
        <v>0</v>
      </c>
      <c r="O211" s="56" t="b">
        <v>0</v>
      </c>
      <c r="P211" s="56"/>
      <c r="Q211" s="56"/>
      <c r="R211" s="56"/>
      <c r="S211" s="56"/>
      <c r="T211" s="56"/>
      <c r="U211" s="56"/>
      <c r="V211" s="56"/>
      <c r="W211" s="56"/>
      <c r="X211" s="56"/>
      <c r="Y211" s="56"/>
      <c r="Z211" s="56"/>
      <c r="AA211" s="56"/>
      <c r="AB211" s="56"/>
    </row>
    <row r="212" ht="15.75" customHeight="1">
      <c r="A212" s="57" t="str">
        <f t="shared" si="1"/>
        <v/>
      </c>
      <c r="B212" s="69"/>
      <c r="C212" s="56"/>
      <c r="D212" s="38"/>
      <c r="E212" s="38"/>
      <c r="F212" s="65"/>
      <c r="G212" s="66"/>
      <c r="H212" s="38"/>
      <c r="I212" s="38"/>
      <c r="J212" s="38"/>
      <c r="K212" s="38"/>
      <c r="L212" s="38"/>
      <c r="M212" s="56"/>
      <c r="N212" s="56" t="b">
        <v>0</v>
      </c>
      <c r="O212" s="56" t="b">
        <v>0</v>
      </c>
      <c r="P212" s="56"/>
      <c r="Q212" s="56"/>
      <c r="R212" s="56"/>
      <c r="S212" s="56"/>
      <c r="T212" s="56"/>
      <c r="U212" s="56"/>
      <c r="V212" s="56"/>
      <c r="W212" s="56"/>
      <c r="X212" s="56"/>
      <c r="Y212" s="56"/>
      <c r="Z212" s="56"/>
      <c r="AA212" s="56"/>
      <c r="AB212" s="56"/>
    </row>
    <row r="213" ht="15.75" customHeight="1">
      <c r="A213" s="57" t="str">
        <f t="shared" si="1"/>
        <v/>
      </c>
      <c r="B213" s="51"/>
      <c r="C213" s="52">
        <v>44285.0</v>
      </c>
      <c r="D213" s="38"/>
      <c r="E213" s="53"/>
      <c r="F213" s="54"/>
      <c r="G213" s="54"/>
      <c r="H213" s="54"/>
      <c r="I213" s="54"/>
      <c r="J213" s="54"/>
      <c r="K213" s="54"/>
      <c r="L213" s="55"/>
      <c r="M213" s="56"/>
      <c r="N213" s="56"/>
      <c r="O213" s="56"/>
      <c r="P213" s="56"/>
      <c r="Q213" s="56"/>
      <c r="R213" s="56"/>
      <c r="S213" s="56"/>
      <c r="T213" s="56"/>
      <c r="U213" s="56"/>
      <c r="V213" s="56"/>
      <c r="W213" s="56"/>
      <c r="X213" s="56"/>
      <c r="Y213" s="56"/>
      <c r="Z213" s="56"/>
      <c r="AA213" s="56"/>
      <c r="AB213" s="56"/>
    </row>
    <row r="214" ht="15.75" customHeight="1">
      <c r="A214" s="57" t="str">
        <f t="shared" si="1"/>
        <v>600d8c9b12a3f1000d264670        </v>
      </c>
      <c r="B214" s="58" t="s">
        <v>4827</v>
      </c>
      <c r="C214" s="56" t="s">
        <v>66</v>
      </c>
      <c r="D214" s="76" t="s">
        <v>654</v>
      </c>
      <c r="E214" s="77" t="s">
        <v>5237</v>
      </c>
      <c r="F214" s="99" t="s">
        <v>563</v>
      </c>
      <c r="G214" s="92">
        <v>0.4583333333333333</v>
      </c>
      <c r="H214" s="93" t="s">
        <v>5197</v>
      </c>
      <c r="I214" s="93" t="s">
        <v>5238</v>
      </c>
      <c r="J214" s="77" t="s">
        <v>567</v>
      </c>
      <c r="K214" s="56" t="s">
        <v>5239</v>
      </c>
      <c r="L214" s="38"/>
      <c r="M214" s="56" t="str">
        <f>VLOOKUP(E214,'Hedef Liste'!A:I,9,false)</f>
        <v>#N/A</v>
      </c>
      <c r="N214" s="56" t="b">
        <v>0</v>
      </c>
      <c r="O214" s="56" t="b">
        <v>0</v>
      </c>
      <c r="P214" s="56"/>
      <c r="Q214" s="56"/>
      <c r="R214" s="56"/>
      <c r="S214" s="56"/>
      <c r="T214" s="56"/>
      <c r="U214" s="56"/>
      <c r="V214" s="56"/>
      <c r="W214" s="56"/>
      <c r="X214" s="56"/>
      <c r="Y214" s="56"/>
      <c r="Z214" s="56"/>
      <c r="AA214" s="56"/>
      <c r="AB214" s="56"/>
    </row>
    <row r="215" ht="15.75" customHeight="1">
      <c r="A215" s="57" t="str">
        <f t="shared" si="1"/>
        <v>5ff4c5e6f351dcb550689d91</v>
      </c>
      <c r="B215" s="63"/>
      <c r="C215" s="56" t="s">
        <v>66</v>
      </c>
      <c r="D215" s="38" t="s">
        <v>654</v>
      </c>
      <c r="E215" s="67" t="s">
        <v>3060</v>
      </c>
      <c r="F215" s="67" t="s">
        <v>3061</v>
      </c>
      <c r="G215" s="79">
        <v>0.5</v>
      </c>
      <c r="H215" s="38" t="s">
        <v>5197</v>
      </c>
      <c r="I215" s="67" t="s">
        <v>5240</v>
      </c>
      <c r="J215" s="67" t="s">
        <v>3063</v>
      </c>
      <c r="K215" s="68"/>
      <c r="L215" s="38"/>
      <c r="M215" s="56">
        <f>VLOOKUP(E215,'Hedef Liste'!A:I,9,false)</f>
        <v>16</v>
      </c>
      <c r="N215" s="56" t="b">
        <v>0</v>
      </c>
      <c r="O215" s="56" t="b">
        <v>0</v>
      </c>
      <c r="P215" s="56"/>
      <c r="Q215" s="56"/>
      <c r="R215" s="56"/>
      <c r="S215" s="56"/>
      <c r="T215" s="56"/>
      <c r="U215" s="56"/>
      <c r="V215" s="56"/>
      <c r="W215" s="56"/>
      <c r="X215" s="56"/>
      <c r="Y215" s="56"/>
      <c r="Z215" s="56"/>
      <c r="AA215" s="56"/>
      <c r="AB215" s="56"/>
    </row>
    <row r="216" ht="15.75" customHeight="1">
      <c r="A216" s="57" t="str">
        <f t="shared" si="1"/>
        <v>6009daafe13dbd048f5c9655</v>
      </c>
      <c r="B216" s="63"/>
      <c r="C216" s="56" t="s">
        <v>66</v>
      </c>
      <c r="D216" s="38" t="s">
        <v>654</v>
      </c>
      <c r="E216" s="67" t="s">
        <v>5241</v>
      </c>
      <c r="F216" s="67" t="s">
        <v>5125</v>
      </c>
      <c r="G216" s="86">
        <v>0.5416666666666666</v>
      </c>
      <c r="H216" s="67" t="s">
        <v>5242</v>
      </c>
      <c r="I216" s="67" t="s">
        <v>5243</v>
      </c>
      <c r="J216" s="67" t="s">
        <v>5128</v>
      </c>
      <c r="K216" s="38"/>
      <c r="L216" s="38"/>
      <c r="M216" s="56" t="str">
        <f>VLOOKUP(E216,'Hedef Liste'!A:I,9,false)</f>
        <v>#N/A</v>
      </c>
      <c r="N216" s="56" t="b">
        <v>0</v>
      </c>
      <c r="O216" s="56" t="b">
        <v>0</v>
      </c>
      <c r="P216" s="56"/>
      <c r="Q216" s="56"/>
      <c r="R216" s="56"/>
      <c r="S216" s="56"/>
      <c r="T216" s="56"/>
      <c r="U216" s="56"/>
      <c r="V216" s="56"/>
      <c r="W216" s="56"/>
      <c r="X216" s="56"/>
      <c r="Y216" s="56"/>
      <c r="Z216" s="56"/>
      <c r="AA216" s="56"/>
      <c r="AB216" s="56"/>
    </row>
    <row r="217" ht="15.75" customHeight="1">
      <c r="A217" s="57" t="str">
        <f t="shared" si="1"/>
        <v>600f133b0909cf310d585537</v>
      </c>
      <c r="B217" s="63"/>
      <c r="C217" s="56" t="s">
        <v>66</v>
      </c>
      <c r="D217" s="76" t="s">
        <v>133</v>
      </c>
      <c r="E217" s="77" t="s">
        <v>2059</v>
      </c>
      <c r="F217" s="77" t="s">
        <v>2060</v>
      </c>
      <c r="G217" s="92">
        <v>0.6041666666666666</v>
      </c>
      <c r="H217" s="76" t="s">
        <v>5244</v>
      </c>
      <c r="I217" s="93" t="s">
        <v>5245</v>
      </c>
      <c r="J217" s="77" t="s">
        <v>2062</v>
      </c>
      <c r="K217" s="38" t="s">
        <v>5246</v>
      </c>
      <c r="L217" s="38"/>
      <c r="M217" s="56">
        <f>VLOOKUP(E217,'Hedef Liste'!A:I,9,false)</f>
        <v>13</v>
      </c>
      <c r="N217" s="56" t="b">
        <v>0</v>
      </c>
      <c r="O217" s="56" t="b">
        <v>0</v>
      </c>
      <c r="P217" s="56"/>
      <c r="Q217" s="56"/>
      <c r="R217" s="56"/>
      <c r="S217" s="56"/>
      <c r="T217" s="56"/>
      <c r="U217" s="56"/>
      <c r="V217" s="56"/>
      <c r="W217" s="56"/>
      <c r="X217" s="56"/>
      <c r="Y217" s="56"/>
      <c r="Z217" s="56"/>
      <c r="AA217" s="56"/>
      <c r="AB217" s="56"/>
    </row>
    <row r="218" ht="15.75" customHeight="1">
      <c r="A218" s="57" t="str">
        <f t="shared" si="1"/>
        <v/>
      </c>
      <c r="B218" s="63"/>
      <c r="C218" s="56"/>
      <c r="D218" s="38"/>
      <c r="E218" s="67"/>
      <c r="F218" s="67"/>
      <c r="G218" s="66"/>
      <c r="H218" s="38"/>
      <c r="I218" s="38"/>
      <c r="J218" s="38"/>
      <c r="K218" s="68"/>
      <c r="L218" s="38"/>
      <c r="M218" s="56"/>
      <c r="N218" s="56" t="b">
        <v>0</v>
      </c>
      <c r="O218" s="56" t="b">
        <v>0</v>
      </c>
      <c r="P218" s="56"/>
      <c r="Q218" s="56"/>
      <c r="R218" s="56"/>
      <c r="S218" s="56"/>
      <c r="T218" s="56"/>
      <c r="U218" s="56"/>
      <c r="V218" s="56"/>
      <c r="W218" s="56"/>
      <c r="X218" s="56"/>
      <c r="Y218" s="56"/>
      <c r="Z218" s="56"/>
      <c r="AA218" s="56"/>
      <c r="AB218" s="56"/>
    </row>
    <row r="219" ht="15.75" customHeight="1">
      <c r="A219" s="57" t="str">
        <f t="shared" si="1"/>
        <v/>
      </c>
      <c r="B219" s="63"/>
      <c r="C219" s="56"/>
      <c r="D219" s="38"/>
      <c r="E219" s="64"/>
      <c r="F219" s="85"/>
      <c r="G219" s="66"/>
      <c r="H219" s="38"/>
      <c r="I219" s="38"/>
      <c r="J219" s="38"/>
      <c r="K219" s="68"/>
      <c r="L219" s="38"/>
      <c r="M219" s="56"/>
      <c r="N219" s="56" t="b">
        <v>0</v>
      </c>
      <c r="O219" s="56" t="b">
        <v>0</v>
      </c>
      <c r="P219" s="56"/>
      <c r="Q219" s="56"/>
      <c r="R219" s="56"/>
      <c r="S219" s="56"/>
      <c r="T219" s="56"/>
      <c r="U219" s="56"/>
      <c r="V219" s="56"/>
      <c r="W219" s="56"/>
      <c r="X219" s="56"/>
      <c r="Y219" s="56"/>
      <c r="Z219" s="56"/>
      <c r="AA219" s="56"/>
      <c r="AB219" s="56"/>
    </row>
    <row r="220" ht="15.75" customHeight="1">
      <c r="A220" s="57" t="str">
        <f t="shared" si="1"/>
        <v>6053300dae18d77b5b6eeb5a</v>
      </c>
      <c r="B220" s="69"/>
      <c r="C220" s="56" t="s">
        <v>53</v>
      </c>
      <c r="D220" s="38" t="s">
        <v>654</v>
      </c>
      <c r="E220" s="67" t="s">
        <v>2345</v>
      </c>
      <c r="F220" s="67" t="s">
        <v>2346</v>
      </c>
      <c r="G220" s="79">
        <v>0.3541666666666667</v>
      </c>
      <c r="H220" s="38" t="s">
        <v>5211</v>
      </c>
      <c r="I220" s="56" t="s">
        <v>5212</v>
      </c>
      <c r="J220" s="67" t="s">
        <v>2348</v>
      </c>
      <c r="K220" s="38"/>
      <c r="L220" s="38"/>
      <c r="M220" s="56"/>
      <c r="N220" s="56" t="b">
        <v>0</v>
      </c>
      <c r="O220" s="56" t="b">
        <v>0</v>
      </c>
      <c r="P220" s="56"/>
      <c r="Q220" s="56"/>
      <c r="R220" s="56"/>
      <c r="S220" s="56"/>
      <c r="T220" s="56"/>
      <c r="U220" s="56"/>
      <c r="V220" s="56"/>
      <c r="W220" s="56"/>
      <c r="X220" s="56"/>
      <c r="Y220" s="56"/>
      <c r="Z220" s="56"/>
      <c r="AA220" s="56"/>
      <c r="AB220" s="56"/>
    </row>
    <row r="221" ht="15.75" customHeight="1">
      <c r="A221" s="57" t="str">
        <f t="shared" si="1"/>
        <v>5fe030d3798e59498934701f</v>
      </c>
      <c r="B221" s="58" t="s">
        <v>4836</v>
      </c>
      <c r="C221" s="56" t="s">
        <v>53</v>
      </c>
      <c r="D221" s="76" t="s">
        <v>545</v>
      </c>
      <c r="E221" s="77" t="s">
        <v>1495</v>
      </c>
      <c r="F221" s="77" t="s">
        <v>1496</v>
      </c>
      <c r="G221" s="82" t="s">
        <v>5247</v>
      </c>
      <c r="H221" s="77" t="s">
        <v>4880</v>
      </c>
      <c r="I221" s="77" t="s">
        <v>5248</v>
      </c>
      <c r="J221" s="77" t="s">
        <v>1498</v>
      </c>
      <c r="K221" s="38" t="s">
        <v>5249</v>
      </c>
      <c r="L221" s="38"/>
      <c r="M221" s="56">
        <f>VLOOKUP(E221,'Hedef Liste'!A:I,9,false)</f>
        <v>34</v>
      </c>
      <c r="N221" s="56" t="b">
        <v>0</v>
      </c>
      <c r="O221" s="56" t="b">
        <v>0</v>
      </c>
      <c r="P221" s="56"/>
      <c r="Q221" s="56"/>
      <c r="R221" s="56"/>
      <c r="S221" s="56"/>
      <c r="T221" s="56"/>
      <c r="U221" s="56"/>
      <c r="V221" s="56"/>
      <c r="W221" s="56"/>
      <c r="X221" s="56"/>
      <c r="Y221" s="56"/>
      <c r="Z221" s="56"/>
      <c r="AA221" s="56"/>
      <c r="AB221" s="56"/>
    </row>
    <row r="222" ht="15.75" customHeight="1">
      <c r="A222" s="57" t="str">
        <f t="shared" si="1"/>
        <v>5ffe01024a4dfa0712aba0a5</v>
      </c>
      <c r="B222" s="63"/>
      <c r="C222" s="56" t="s">
        <v>53</v>
      </c>
      <c r="D222" s="38" t="s">
        <v>545</v>
      </c>
      <c r="E222" s="67" t="s">
        <v>2864</v>
      </c>
      <c r="F222" s="67" t="s">
        <v>2865</v>
      </c>
      <c r="G222" s="66" t="s">
        <v>4938</v>
      </c>
      <c r="H222" s="38" t="s">
        <v>4880</v>
      </c>
      <c r="I222" s="38" t="s">
        <v>5250</v>
      </c>
      <c r="J222" s="67" t="s">
        <v>2867</v>
      </c>
      <c r="K222" s="68"/>
      <c r="L222" s="38"/>
      <c r="M222" s="56" t="str">
        <f>VLOOKUP(G222,'Hedef Liste'!A:I,9,false)</f>
        <v>#N/A</v>
      </c>
      <c r="N222" s="56" t="b">
        <v>0</v>
      </c>
      <c r="O222" s="56" t="b">
        <v>0</v>
      </c>
      <c r="P222" s="56"/>
      <c r="Q222" s="56"/>
      <c r="R222" s="56"/>
      <c r="S222" s="56"/>
      <c r="T222" s="56"/>
      <c r="U222" s="56"/>
      <c r="V222" s="56"/>
      <c r="W222" s="56"/>
      <c r="X222" s="56"/>
      <c r="Y222" s="56"/>
      <c r="Z222" s="56"/>
      <c r="AA222" s="56"/>
      <c r="AB222" s="56"/>
    </row>
    <row r="223" ht="15.75" customHeight="1">
      <c r="A223" s="57" t="str">
        <f t="shared" si="1"/>
        <v>6021716650118c0747ab87f0</v>
      </c>
      <c r="B223" s="63"/>
      <c r="C223" s="56" t="s">
        <v>53</v>
      </c>
      <c r="D223" s="38" t="s">
        <v>545</v>
      </c>
      <c r="E223" s="67" t="s">
        <v>965</v>
      </c>
      <c r="F223" s="67" t="s">
        <v>966</v>
      </c>
      <c r="G223" s="66" t="s">
        <v>4940</v>
      </c>
      <c r="H223" s="38" t="s">
        <v>4880</v>
      </c>
      <c r="I223" s="56" t="s">
        <v>5251</v>
      </c>
      <c r="J223" s="67" t="s">
        <v>968</v>
      </c>
      <c r="K223" s="68"/>
      <c r="L223" s="38"/>
      <c r="M223" s="56">
        <f>VLOOKUP(E223,'Hedef Liste'!A:I,9,false)</f>
        <v>85</v>
      </c>
      <c r="N223" s="56" t="b">
        <v>0</v>
      </c>
      <c r="O223" s="56" t="b">
        <v>0</v>
      </c>
      <c r="P223" s="56"/>
      <c r="Q223" s="56"/>
      <c r="R223" s="56"/>
      <c r="S223" s="56"/>
      <c r="T223" s="56"/>
      <c r="U223" s="56"/>
      <c r="V223" s="56"/>
      <c r="W223" s="56"/>
      <c r="X223" s="56"/>
      <c r="Y223" s="56"/>
      <c r="Z223" s="56"/>
      <c r="AA223" s="56"/>
      <c r="AB223" s="56"/>
    </row>
    <row r="224" ht="15.75" customHeight="1">
      <c r="A224" s="57" t="str">
        <f t="shared" si="1"/>
        <v>5fe6511d630a769e7ffe6968</v>
      </c>
      <c r="B224" s="63"/>
      <c r="C224" s="56" t="s">
        <v>53</v>
      </c>
      <c r="D224" s="76" t="s">
        <v>545</v>
      </c>
      <c r="E224" s="77" t="s">
        <v>5252</v>
      </c>
      <c r="F224" s="77" t="s">
        <v>2655</v>
      </c>
      <c r="G224" s="82" t="s">
        <v>4899</v>
      </c>
      <c r="H224" s="76" t="s">
        <v>4880</v>
      </c>
      <c r="I224" s="76" t="s">
        <v>5253</v>
      </c>
      <c r="J224" s="77" t="s">
        <v>5254</v>
      </c>
      <c r="K224" s="38" t="s">
        <v>5255</v>
      </c>
      <c r="L224" s="38"/>
      <c r="M224" s="56" t="str">
        <f>VLOOKUP(E224,'Hedef Liste'!A:I,9,false)</f>
        <v>#N/A</v>
      </c>
      <c r="N224" s="56" t="b">
        <v>0</v>
      </c>
      <c r="O224" s="56" t="b">
        <v>0</v>
      </c>
      <c r="P224" s="56"/>
      <c r="Q224" s="56"/>
      <c r="R224" s="56"/>
      <c r="S224" s="56"/>
      <c r="T224" s="56"/>
      <c r="U224" s="56"/>
      <c r="V224" s="56"/>
      <c r="W224" s="56"/>
      <c r="X224" s="56"/>
      <c r="Y224" s="56"/>
      <c r="Z224" s="56"/>
      <c r="AA224" s="56"/>
      <c r="AB224" s="56"/>
    </row>
    <row r="225" ht="15.75" customHeight="1">
      <c r="A225" s="57" t="str">
        <f t="shared" si="1"/>
        <v>601af201499bfc3d0aab2620</v>
      </c>
      <c r="B225" s="63"/>
      <c r="C225" s="56" t="s">
        <v>53</v>
      </c>
      <c r="D225" s="62" t="s">
        <v>52</v>
      </c>
      <c r="E225" s="60" t="s">
        <v>78</v>
      </c>
      <c r="F225" s="60" t="s">
        <v>79</v>
      </c>
      <c r="G225" s="73" t="s">
        <v>4899</v>
      </c>
      <c r="H225" s="62" t="s">
        <v>4880</v>
      </c>
      <c r="I225" s="62" t="s">
        <v>5256</v>
      </c>
      <c r="J225" s="60" t="s">
        <v>83</v>
      </c>
      <c r="K225" s="38"/>
      <c r="L225" s="38"/>
      <c r="M225" s="56"/>
      <c r="N225" s="56" t="b">
        <v>0</v>
      </c>
      <c r="O225" s="56" t="b">
        <v>0</v>
      </c>
      <c r="P225" s="56"/>
      <c r="Q225" s="56"/>
      <c r="R225" s="56"/>
      <c r="S225" s="56"/>
      <c r="T225" s="56"/>
      <c r="U225" s="56"/>
      <c r="V225" s="56"/>
      <c r="W225" s="56"/>
      <c r="X225" s="56"/>
      <c r="Y225" s="56"/>
      <c r="Z225" s="56"/>
      <c r="AA225" s="56"/>
      <c r="AB225" s="56"/>
    </row>
    <row r="226" ht="15.75" customHeight="1">
      <c r="A226" s="57" t="str">
        <f t="shared" si="1"/>
        <v/>
      </c>
      <c r="B226" s="63"/>
      <c r="C226" s="56"/>
      <c r="D226" s="64"/>
      <c r="E226" s="64"/>
      <c r="F226" s="65"/>
      <c r="G226" s="66"/>
      <c r="H226" s="38"/>
      <c r="I226" s="38"/>
      <c r="J226" s="38"/>
      <c r="K226" s="68"/>
      <c r="L226" s="38"/>
      <c r="M226" s="56"/>
      <c r="N226" s="56" t="b">
        <v>0</v>
      </c>
      <c r="O226" s="56" t="b">
        <v>0</v>
      </c>
      <c r="P226" s="56"/>
      <c r="Q226" s="56"/>
      <c r="R226" s="56"/>
      <c r="S226" s="56"/>
      <c r="T226" s="56"/>
      <c r="U226" s="56"/>
      <c r="V226" s="56"/>
      <c r="W226" s="56"/>
      <c r="X226" s="56"/>
      <c r="Y226" s="56"/>
      <c r="Z226" s="56"/>
      <c r="AA226" s="56"/>
      <c r="AB226" s="56"/>
    </row>
    <row r="227" ht="15.75" customHeight="1">
      <c r="A227" s="57" t="str">
        <f t="shared" si="1"/>
        <v>602e9dd1fbe50517b3a9750e</v>
      </c>
      <c r="B227" s="69"/>
      <c r="C227" s="38" t="s">
        <v>278</v>
      </c>
      <c r="D227" s="76" t="s">
        <v>133</v>
      </c>
      <c r="E227" s="77" t="s">
        <v>4640</v>
      </c>
      <c r="F227" s="77" t="s">
        <v>4641</v>
      </c>
      <c r="G227" s="120">
        <v>0.5</v>
      </c>
      <c r="H227" s="76" t="s">
        <v>5257</v>
      </c>
      <c r="I227" s="93" t="s">
        <v>5258</v>
      </c>
      <c r="J227" s="76" t="s">
        <v>4643</v>
      </c>
      <c r="K227" s="38"/>
      <c r="L227" s="38"/>
      <c r="M227" s="56">
        <f>VLOOKUP(E227,'Hedef Liste'!A:I,9,false)</f>
        <v>13</v>
      </c>
      <c r="N227" s="56" t="b">
        <v>0</v>
      </c>
      <c r="O227" s="56" t="b">
        <v>0</v>
      </c>
      <c r="P227" s="56"/>
      <c r="Q227" s="56"/>
      <c r="R227" s="56"/>
      <c r="S227" s="56"/>
      <c r="T227" s="56"/>
      <c r="U227" s="56"/>
      <c r="V227" s="56"/>
      <c r="W227" s="56"/>
      <c r="X227" s="56"/>
      <c r="Y227" s="56"/>
      <c r="Z227" s="56"/>
      <c r="AA227" s="56"/>
      <c r="AB227" s="56"/>
    </row>
    <row r="228" ht="15.75" customHeight="1">
      <c r="A228" s="57" t="str">
        <f t="shared" si="1"/>
        <v>5fe02b88cd276002e49fa003</v>
      </c>
      <c r="B228" s="58" t="s">
        <v>4850</v>
      </c>
      <c r="C228" s="38" t="s">
        <v>278</v>
      </c>
      <c r="D228" s="38" t="s">
        <v>545</v>
      </c>
      <c r="E228" s="67" t="s">
        <v>2812</v>
      </c>
      <c r="F228" s="67" t="s">
        <v>2813</v>
      </c>
      <c r="G228" s="66" t="s">
        <v>4975</v>
      </c>
      <c r="H228" s="67" t="s">
        <v>5259</v>
      </c>
      <c r="I228" s="67" t="s">
        <v>5260</v>
      </c>
      <c r="J228" s="67" t="s">
        <v>2815</v>
      </c>
      <c r="K228" s="112" t="s">
        <v>5261</v>
      </c>
      <c r="L228" s="38"/>
      <c r="M228" s="56">
        <f>VLOOKUP(E228,'Hedef Liste'!A:I,9,false)</f>
        <v>6</v>
      </c>
      <c r="N228" s="56" t="b">
        <v>0</v>
      </c>
      <c r="O228" s="56" t="b">
        <v>0</v>
      </c>
      <c r="P228" s="56"/>
      <c r="Q228" s="56"/>
      <c r="R228" s="56"/>
      <c r="S228" s="56"/>
      <c r="T228" s="56"/>
      <c r="U228" s="56"/>
      <c r="V228" s="56"/>
      <c r="W228" s="56"/>
      <c r="X228" s="56"/>
      <c r="Y228" s="56"/>
      <c r="Z228" s="56"/>
      <c r="AA228" s="56"/>
      <c r="AB228" s="56"/>
    </row>
    <row r="229" ht="15.75" customHeight="1">
      <c r="A229" s="57" t="str">
        <f t="shared" si="1"/>
        <v>5ffb10805f0ab42d4ae7a104</v>
      </c>
      <c r="B229" s="63"/>
      <c r="C229" s="38" t="s">
        <v>278</v>
      </c>
      <c r="D229" s="38" t="s">
        <v>133</v>
      </c>
      <c r="E229" s="67" t="s">
        <v>5262</v>
      </c>
      <c r="F229" s="67" t="s">
        <v>5263</v>
      </c>
      <c r="G229" s="66" t="s">
        <v>4892</v>
      </c>
      <c r="H229" s="67" t="s">
        <v>5107</v>
      </c>
      <c r="I229" s="67" t="s">
        <v>5264</v>
      </c>
      <c r="J229" s="67" t="s">
        <v>5265</v>
      </c>
      <c r="K229" s="38" t="s">
        <v>4830</v>
      </c>
      <c r="L229" s="38">
        <v>14.0</v>
      </c>
      <c r="M229" s="56" t="str">
        <f>VLOOKUP(E229,'Hedef Liste'!A:I,9,false)</f>
        <v>#N/A</v>
      </c>
      <c r="N229" s="56" t="b">
        <v>0</v>
      </c>
      <c r="O229" s="56" t="b">
        <v>0</v>
      </c>
      <c r="P229" s="56"/>
      <c r="Q229" s="56"/>
      <c r="R229" s="56"/>
      <c r="S229" s="56"/>
      <c r="T229" s="56"/>
      <c r="U229" s="56"/>
      <c r="V229" s="56"/>
      <c r="W229" s="56"/>
      <c r="X229" s="56"/>
      <c r="Y229" s="56"/>
      <c r="Z229" s="56"/>
      <c r="AA229" s="56"/>
      <c r="AB229" s="56"/>
    </row>
    <row r="230" ht="15.75" customHeight="1">
      <c r="A230" s="57" t="str">
        <f t="shared" si="1"/>
        <v>5fde286ebf67ee8869770c01</v>
      </c>
      <c r="B230" s="63"/>
      <c r="C230" s="38" t="s">
        <v>278</v>
      </c>
      <c r="D230" s="38" t="s">
        <v>133</v>
      </c>
      <c r="E230" s="67" t="s">
        <v>1003</v>
      </c>
      <c r="F230" s="67" t="s">
        <v>1004</v>
      </c>
      <c r="G230" s="66" t="s">
        <v>5266</v>
      </c>
      <c r="H230" s="38" t="s">
        <v>5120</v>
      </c>
      <c r="I230" s="56" t="s">
        <v>5267</v>
      </c>
      <c r="J230" s="67" t="s">
        <v>1006</v>
      </c>
      <c r="K230" s="38" t="s">
        <v>4830</v>
      </c>
      <c r="L230" s="38">
        <v>39.0</v>
      </c>
      <c r="M230" s="56">
        <f>VLOOKUP(E230,'Hedef Liste'!A:I,9,false)</f>
        <v>60</v>
      </c>
      <c r="N230" s="56" t="b">
        <v>0</v>
      </c>
      <c r="O230" s="56" t="b">
        <v>0</v>
      </c>
      <c r="P230" s="56"/>
      <c r="Q230" s="56"/>
      <c r="R230" s="56"/>
      <c r="S230" s="56"/>
      <c r="T230" s="56"/>
      <c r="U230" s="56"/>
      <c r="V230" s="56"/>
      <c r="W230" s="56"/>
      <c r="X230" s="56"/>
      <c r="Y230" s="56"/>
      <c r="Z230" s="56"/>
      <c r="AA230" s="56"/>
      <c r="AB230" s="56"/>
    </row>
    <row r="231" ht="15.75" customHeight="1">
      <c r="A231" s="57" t="str">
        <f t="shared" si="1"/>
        <v>5fe39b7035987abb215f3a21</v>
      </c>
      <c r="B231" s="63"/>
      <c r="C231" s="38" t="s">
        <v>278</v>
      </c>
      <c r="D231" s="38"/>
      <c r="E231" s="67" t="s">
        <v>2807</v>
      </c>
      <c r="F231" s="67" t="s">
        <v>2808</v>
      </c>
      <c r="G231" s="66" t="s">
        <v>4947</v>
      </c>
      <c r="H231" s="38" t="s">
        <v>5026</v>
      </c>
      <c r="I231" s="56" t="s">
        <v>5268</v>
      </c>
      <c r="J231" s="67" t="s">
        <v>2810</v>
      </c>
      <c r="K231" s="38" t="s">
        <v>4830</v>
      </c>
      <c r="L231" s="38">
        <v>58.0</v>
      </c>
      <c r="M231" s="56"/>
      <c r="N231" s="56" t="b">
        <v>0</v>
      </c>
      <c r="O231" s="56" t="b">
        <v>0</v>
      </c>
      <c r="P231" s="56"/>
      <c r="Q231" s="56"/>
      <c r="R231" s="56"/>
      <c r="S231" s="56"/>
      <c r="T231" s="56"/>
      <c r="U231" s="56"/>
      <c r="V231" s="56"/>
      <c r="W231" s="56"/>
      <c r="X231" s="56"/>
      <c r="Y231" s="56"/>
      <c r="Z231" s="56"/>
      <c r="AA231" s="56"/>
      <c r="AB231" s="56"/>
    </row>
    <row r="232" ht="15.75" customHeight="1">
      <c r="A232" s="57" t="str">
        <f t="shared" si="1"/>
        <v/>
      </c>
      <c r="B232" s="63"/>
      <c r="C232" s="38"/>
      <c r="D232" s="38"/>
      <c r="E232" s="67"/>
      <c r="F232" s="67"/>
      <c r="G232" s="66"/>
      <c r="H232" s="38"/>
      <c r="I232" s="38"/>
      <c r="J232" s="67"/>
      <c r="K232" s="38"/>
      <c r="L232" s="38"/>
      <c r="M232" s="56" t="str">
        <f>VLOOKUP(E232,'Hedef Liste'!A:I,9,false)</f>
        <v>#N/A</v>
      </c>
      <c r="N232" s="56" t="b">
        <v>0</v>
      </c>
      <c r="O232" s="56" t="b">
        <v>0</v>
      </c>
      <c r="P232" s="56"/>
      <c r="Q232" s="56"/>
      <c r="R232" s="56"/>
      <c r="S232" s="56"/>
      <c r="T232" s="56"/>
      <c r="U232" s="56"/>
      <c r="V232" s="56"/>
      <c r="W232" s="56"/>
      <c r="X232" s="56"/>
      <c r="Y232" s="56"/>
      <c r="Z232" s="56"/>
      <c r="AA232" s="56"/>
      <c r="AB232" s="56"/>
    </row>
    <row r="233" ht="15.75" customHeight="1">
      <c r="A233" s="57" t="str">
        <f t="shared" si="1"/>
        <v/>
      </c>
      <c r="B233" s="63"/>
      <c r="C233" s="38"/>
      <c r="D233" s="38"/>
      <c r="E233" s="38"/>
      <c r="F233" s="65"/>
      <c r="G233" s="66"/>
      <c r="H233" s="38"/>
      <c r="I233" s="38"/>
      <c r="J233" s="38"/>
      <c r="K233" s="38"/>
      <c r="L233" s="38"/>
      <c r="M233" s="56" t="str">
        <f>VLOOKUP(E233,'Hedef Liste'!A:I,9,false)</f>
        <v>#N/A</v>
      </c>
      <c r="N233" s="56" t="b">
        <v>0</v>
      </c>
      <c r="O233" s="56" t="b">
        <v>0</v>
      </c>
      <c r="P233" s="56"/>
      <c r="Q233" s="56"/>
      <c r="R233" s="56"/>
      <c r="S233" s="56"/>
      <c r="T233" s="56"/>
      <c r="U233" s="56"/>
      <c r="V233" s="56"/>
      <c r="W233" s="56"/>
      <c r="X233" s="56"/>
      <c r="Y233" s="56"/>
      <c r="Z233" s="56"/>
      <c r="AA233" s="56"/>
      <c r="AB233" s="56"/>
    </row>
    <row r="234" ht="15.75" customHeight="1">
      <c r="A234" s="57" t="str">
        <f t="shared" si="1"/>
        <v/>
      </c>
      <c r="B234" s="69"/>
      <c r="C234" s="56"/>
      <c r="D234" s="38"/>
      <c r="E234" s="38"/>
      <c r="F234" s="65"/>
      <c r="G234" s="66"/>
      <c r="H234" s="38"/>
      <c r="I234" s="38"/>
      <c r="J234" s="38"/>
      <c r="K234" s="38"/>
      <c r="L234" s="38"/>
      <c r="M234" s="56"/>
      <c r="N234" s="56" t="b">
        <v>0</v>
      </c>
      <c r="O234" s="56" t="b">
        <v>0</v>
      </c>
      <c r="P234" s="56"/>
      <c r="Q234" s="56"/>
      <c r="R234" s="56"/>
      <c r="S234" s="56"/>
      <c r="T234" s="56"/>
      <c r="U234" s="56"/>
      <c r="V234" s="56"/>
      <c r="W234" s="56"/>
      <c r="X234" s="56"/>
      <c r="Y234" s="56"/>
      <c r="Z234" s="56"/>
      <c r="AA234" s="56"/>
      <c r="AB234" s="56"/>
    </row>
    <row r="235" ht="15.75" customHeight="1">
      <c r="A235" s="57" t="str">
        <f t="shared" si="1"/>
        <v/>
      </c>
      <c r="B235" s="51"/>
      <c r="C235" s="52">
        <v>44286.0</v>
      </c>
      <c r="D235" s="38"/>
      <c r="E235" s="53"/>
      <c r="F235" s="54"/>
      <c r="G235" s="54"/>
      <c r="H235" s="54"/>
      <c r="I235" s="54"/>
      <c r="J235" s="54"/>
      <c r="K235" s="54"/>
      <c r="L235" s="55"/>
      <c r="M235" s="56"/>
      <c r="N235" s="56"/>
      <c r="O235" s="56"/>
      <c r="P235" s="56"/>
      <c r="Q235" s="56"/>
      <c r="R235" s="56"/>
      <c r="S235" s="56"/>
      <c r="T235" s="56"/>
      <c r="U235" s="56"/>
      <c r="V235" s="56"/>
      <c r="W235" s="56"/>
      <c r="X235" s="56"/>
      <c r="Y235" s="56"/>
      <c r="Z235" s="56"/>
      <c r="AA235" s="56"/>
      <c r="AB235" s="56"/>
    </row>
    <row r="236" ht="15.75" customHeight="1">
      <c r="A236" s="57" t="str">
        <f t="shared" si="1"/>
        <v/>
      </c>
      <c r="B236" s="58" t="s">
        <v>4827</v>
      </c>
      <c r="C236" s="56" t="s">
        <v>66</v>
      </c>
      <c r="D236" s="38"/>
      <c r="E236" s="67"/>
      <c r="F236" s="121" t="s">
        <v>5269</v>
      </c>
      <c r="G236" s="79"/>
      <c r="H236" s="56"/>
      <c r="I236" s="56"/>
      <c r="J236" s="67"/>
      <c r="K236" s="68"/>
      <c r="L236" s="38"/>
      <c r="M236" s="56" t="str">
        <f>VLOOKUP(E236,'Hedef Liste'!A:I,9,false)</f>
        <v>#N/A</v>
      </c>
      <c r="N236" s="56" t="b">
        <v>0</v>
      </c>
      <c r="O236" s="56" t="b">
        <v>0</v>
      </c>
      <c r="P236" s="56"/>
      <c r="Q236" s="56"/>
      <c r="R236" s="56"/>
      <c r="S236" s="56"/>
      <c r="T236" s="56"/>
      <c r="U236" s="56"/>
      <c r="V236" s="56"/>
      <c r="W236" s="56"/>
      <c r="X236" s="56"/>
      <c r="Y236" s="56"/>
      <c r="Z236" s="56"/>
      <c r="AA236" s="56"/>
      <c r="AB236" s="56"/>
    </row>
    <row r="237" ht="15.75" customHeight="1">
      <c r="A237" s="57" t="str">
        <f t="shared" si="1"/>
        <v/>
      </c>
      <c r="B237" s="63"/>
      <c r="C237" s="56" t="s">
        <v>66</v>
      </c>
      <c r="D237" s="38"/>
      <c r="E237" s="67"/>
      <c r="F237" s="121" t="s">
        <v>5269</v>
      </c>
      <c r="G237" s="79"/>
      <c r="H237" s="38"/>
      <c r="I237" s="67"/>
      <c r="J237" s="67"/>
      <c r="K237" s="68"/>
      <c r="L237" s="38"/>
      <c r="M237" s="56" t="str">
        <f>VLOOKUP(E237,'Hedef Liste'!A:I,9,false)</f>
        <v>#N/A</v>
      </c>
      <c r="N237" s="56" t="b">
        <v>0</v>
      </c>
      <c r="O237" s="56" t="b">
        <v>0</v>
      </c>
      <c r="P237" s="56"/>
      <c r="Q237" s="56"/>
      <c r="R237" s="56"/>
      <c r="S237" s="56"/>
      <c r="T237" s="56"/>
      <c r="U237" s="56"/>
      <c r="V237" s="56"/>
      <c r="W237" s="56"/>
      <c r="X237" s="56"/>
      <c r="Y237" s="56"/>
      <c r="Z237" s="56"/>
      <c r="AA237" s="56"/>
      <c r="AB237" s="56"/>
    </row>
    <row r="238" ht="15.75" customHeight="1">
      <c r="A238" s="57" t="str">
        <f t="shared" si="1"/>
        <v/>
      </c>
      <c r="B238" s="63"/>
      <c r="C238" s="56" t="s">
        <v>66</v>
      </c>
      <c r="D238" s="38"/>
      <c r="E238" s="67"/>
      <c r="F238" s="121" t="s">
        <v>5269</v>
      </c>
      <c r="G238" s="86"/>
      <c r="H238" s="67"/>
      <c r="I238" s="67"/>
      <c r="J238" s="67"/>
      <c r="K238" s="38"/>
      <c r="L238" s="38"/>
      <c r="M238" s="56" t="str">
        <f>VLOOKUP(E238,'Hedef Liste'!A:I,9,false)</f>
        <v>#N/A</v>
      </c>
      <c r="N238" s="56" t="b">
        <v>0</v>
      </c>
      <c r="O238" s="56" t="b">
        <v>0</v>
      </c>
      <c r="P238" s="56"/>
      <c r="Q238" s="56"/>
      <c r="R238" s="56"/>
      <c r="S238" s="56"/>
      <c r="T238" s="56"/>
      <c r="U238" s="56"/>
      <c r="V238" s="56"/>
      <c r="W238" s="56"/>
      <c r="X238" s="56"/>
      <c r="Y238" s="56"/>
      <c r="Z238" s="56"/>
      <c r="AA238" s="56"/>
      <c r="AB238" s="56"/>
    </row>
    <row r="239" ht="15.75" customHeight="1">
      <c r="A239" s="57" t="str">
        <f t="shared" si="1"/>
        <v/>
      </c>
      <c r="B239" s="63"/>
      <c r="C239" s="56" t="s">
        <v>66</v>
      </c>
      <c r="D239" s="38"/>
      <c r="E239" s="67"/>
      <c r="F239" s="121" t="s">
        <v>5269</v>
      </c>
      <c r="G239" s="66"/>
      <c r="H239" s="38"/>
      <c r="I239" s="38"/>
      <c r="J239" s="67"/>
      <c r="K239" s="38"/>
      <c r="L239" s="38"/>
      <c r="M239" s="56" t="str">
        <f>VLOOKUP(E239,'Hedef Liste'!A:I,9,false)</f>
        <v>#N/A</v>
      </c>
      <c r="N239" s="56" t="b">
        <v>0</v>
      </c>
      <c r="O239" s="56" t="b">
        <v>0</v>
      </c>
      <c r="P239" s="56"/>
      <c r="Q239" s="56"/>
      <c r="R239" s="56"/>
      <c r="S239" s="56"/>
      <c r="T239" s="56"/>
      <c r="U239" s="56"/>
      <c r="V239" s="56"/>
      <c r="W239" s="56"/>
      <c r="X239" s="56"/>
      <c r="Y239" s="56"/>
      <c r="Z239" s="56"/>
      <c r="AA239" s="56"/>
      <c r="AB239" s="56"/>
    </row>
    <row r="240" ht="15.75" customHeight="1">
      <c r="A240" s="57" t="str">
        <f t="shared" si="1"/>
        <v/>
      </c>
      <c r="B240" s="63"/>
      <c r="C240" s="56"/>
      <c r="D240" s="38"/>
      <c r="E240" s="64"/>
      <c r="F240" s="85"/>
      <c r="G240" s="66"/>
      <c r="H240" s="38"/>
      <c r="I240" s="38"/>
      <c r="J240" s="38"/>
      <c r="K240" s="68"/>
      <c r="L240" s="38"/>
      <c r="M240" s="56"/>
      <c r="N240" s="56" t="b">
        <v>0</v>
      </c>
      <c r="O240" s="56" t="b">
        <v>0</v>
      </c>
      <c r="P240" s="56"/>
      <c r="Q240" s="56"/>
      <c r="R240" s="56"/>
      <c r="S240" s="56"/>
      <c r="T240" s="56"/>
      <c r="U240" s="56"/>
      <c r="V240" s="56"/>
      <c r="W240" s="56"/>
      <c r="X240" s="56"/>
      <c r="Y240" s="56"/>
      <c r="Z240" s="56"/>
      <c r="AA240" s="56"/>
      <c r="AB240" s="56"/>
    </row>
    <row r="241" ht="15.75" customHeight="1">
      <c r="A241" s="57" t="str">
        <f t="shared" si="1"/>
        <v/>
      </c>
      <c r="B241" s="69"/>
      <c r="C241" s="56"/>
      <c r="D241" s="38"/>
      <c r="E241" s="38"/>
      <c r="F241" s="65"/>
      <c r="G241" s="66"/>
      <c r="H241" s="38"/>
      <c r="I241" s="38"/>
      <c r="J241" s="38"/>
      <c r="K241" s="38"/>
      <c r="L241" s="38"/>
      <c r="M241" s="56"/>
      <c r="N241" s="56" t="b">
        <v>0</v>
      </c>
      <c r="O241" s="56" t="b">
        <v>0</v>
      </c>
      <c r="P241" s="56"/>
      <c r="Q241" s="56"/>
      <c r="R241" s="56"/>
      <c r="S241" s="56"/>
      <c r="T241" s="56"/>
      <c r="U241" s="56"/>
      <c r="V241" s="56"/>
      <c r="W241" s="56"/>
      <c r="X241" s="56"/>
      <c r="Y241" s="56"/>
      <c r="Z241" s="56"/>
      <c r="AA241" s="56"/>
      <c r="AB241" s="56"/>
    </row>
    <row r="242" ht="15.75" customHeight="1">
      <c r="A242" s="57" t="str">
        <f t="shared" si="1"/>
        <v>604a212c89a2c58dcd7e6274</v>
      </c>
      <c r="B242" s="58" t="s">
        <v>4836</v>
      </c>
      <c r="C242" s="56" t="s">
        <v>53</v>
      </c>
      <c r="D242" s="38" t="s">
        <v>1218</v>
      </c>
      <c r="E242" s="67" t="s">
        <v>5270</v>
      </c>
      <c r="F242" s="67" t="s">
        <v>5271</v>
      </c>
      <c r="G242" s="90" t="s">
        <v>4926</v>
      </c>
      <c r="H242" s="38" t="s">
        <v>5272</v>
      </c>
      <c r="I242" s="56" t="s">
        <v>5273</v>
      </c>
      <c r="J242" s="67" t="s">
        <v>614</v>
      </c>
      <c r="K242" s="38">
        <v>21.0</v>
      </c>
      <c r="L242" s="38"/>
      <c r="M242" s="56" t="str">
        <f>VLOOKUP(E242,'Hedef Liste'!A:I,9,false)</f>
        <v>#N/A</v>
      </c>
      <c r="N242" s="56" t="b">
        <v>0</v>
      </c>
      <c r="O242" s="56" t="b">
        <v>0</v>
      </c>
      <c r="P242" s="56"/>
      <c r="Q242" s="56"/>
      <c r="R242" s="56"/>
      <c r="S242" s="56"/>
      <c r="T242" s="56"/>
      <c r="U242" s="56"/>
      <c r="V242" s="56"/>
      <c r="W242" s="56"/>
      <c r="X242" s="56"/>
      <c r="Y242" s="56"/>
      <c r="Z242" s="56"/>
      <c r="AA242" s="56"/>
      <c r="AB242" s="56"/>
    </row>
    <row r="243" ht="15.75" customHeight="1">
      <c r="A243" s="57" t="str">
        <f t="shared" si="1"/>
        <v>603a6e9ab84783bf900ebf35</v>
      </c>
      <c r="B243" s="63"/>
      <c r="C243" s="56" t="s">
        <v>53</v>
      </c>
      <c r="D243" s="38" t="s">
        <v>1218</v>
      </c>
      <c r="E243" s="67" t="s">
        <v>5274</v>
      </c>
      <c r="F243" s="67" t="s">
        <v>5275</v>
      </c>
      <c r="G243" s="90" t="s">
        <v>4938</v>
      </c>
      <c r="H243" s="38" t="s">
        <v>5276</v>
      </c>
      <c r="I243" s="56" t="s">
        <v>5277</v>
      </c>
      <c r="J243" s="67" t="s">
        <v>5278</v>
      </c>
      <c r="K243" s="38">
        <v>23.0</v>
      </c>
      <c r="L243" s="38"/>
      <c r="M243" s="56" t="str">
        <f>VLOOKUP(E243,'Hedef Liste'!A:I,9,false)</f>
        <v>#N/A</v>
      </c>
      <c r="N243" s="56" t="b">
        <v>0</v>
      </c>
      <c r="O243" s="56" t="b">
        <v>0</v>
      </c>
      <c r="P243" s="56"/>
      <c r="Q243" s="56"/>
      <c r="R243" s="56"/>
      <c r="S243" s="56"/>
      <c r="T243" s="56"/>
      <c r="U243" s="56"/>
      <c r="V243" s="56"/>
      <c r="W243" s="56"/>
      <c r="X243" s="56"/>
      <c r="Y243" s="56"/>
      <c r="Z243" s="56"/>
      <c r="AA243" s="56"/>
      <c r="AB243" s="56"/>
    </row>
    <row r="244" ht="15.75" customHeight="1">
      <c r="A244" s="57" t="str">
        <f t="shared" si="1"/>
        <v>601ed51398337b025a4d3318        </v>
      </c>
      <c r="B244" s="63"/>
      <c r="C244" s="56" t="s">
        <v>53</v>
      </c>
      <c r="D244" s="76" t="s">
        <v>52</v>
      </c>
      <c r="E244" s="77" t="s">
        <v>5279</v>
      </c>
      <c r="F244" s="99" t="s">
        <v>583</v>
      </c>
      <c r="G244" s="92">
        <v>0.625</v>
      </c>
      <c r="H244" s="76" t="s">
        <v>5280</v>
      </c>
      <c r="I244" s="93" t="s">
        <v>5281</v>
      </c>
      <c r="J244" s="76" t="s">
        <v>5282</v>
      </c>
      <c r="K244" s="38" t="s">
        <v>5283</v>
      </c>
      <c r="L244" s="38"/>
      <c r="M244" s="56" t="str">
        <f>VLOOKUP(E244,'Hedef Liste'!A:I,9,false)</f>
        <v>#N/A</v>
      </c>
      <c r="N244" s="56" t="b">
        <v>0</v>
      </c>
      <c r="O244" s="56" t="b">
        <v>0</v>
      </c>
      <c r="P244" s="56"/>
      <c r="Q244" s="56"/>
      <c r="R244" s="56"/>
      <c r="S244" s="56"/>
      <c r="T244" s="56"/>
      <c r="U244" s="56"/>
      <c r="V244" s="56"/>
      <c r="W244" s="56"/>
      <c r="X244" s="56"/>
      <c r="Y244" s="56"/>
      <c r="Z244" s="56"/>
      <c r="AA244" s="56"/>
      <c r="AB244" s="56"/>
    </row>
    <row r="245" ht="15.75" customHeight="1">
      <c r="A245" s="57" t="str">
        <f t="shared" si="1"/>
        <v>6036aa1b05dd29c17cfede64</v>
      </c>
      <c r="B245" s="63"/>
      <c r="C245" s="56" t="s">
        <v>53</v>
      </c>
      <c r="D245" s="38" t="s">
        <v>133</v>
      </c>
      <c r="E245" s="67" t="s">
        <v>212</v>
      </c>
      <c r="F245" s="67" t="s">
        <v>213</v>
      </c>
      <c r="G245" s="86">
        <v>0.7083333333333334</v>
      </c>
      <c r="H245" s="38" t="s">
        <v>5284</v>
      </c>
      <c r="I245" s="38" t="s">
        <v>5285</v>
      </c>
      <c r="J245" s="67" t="s">
        <v>217</v>
      </c>
      <c r="K245" s="38"/>
      <c r="L245" s="67">
        <v>17.0</v>
      </c>
      <c r="M245" s="67"/>
      <c r="N245" s="86"/>
      <c r="O245" s="38"/>
      <c r="P245" s="38"/>
      <c r="Q245" s="67"/>
      <c r="R245" s="68"/>
      <c r="S245" s="56"/>
      <c r="T245" s="56"/>
      <c r="U245" s="56"/>
      <c r="V245" s="56"/>
      <c r="W245" s="56"/>
      <c r="X245" s="56"/>
      <c r="Y245" s="56"/>
      <c r="Z245" s="56"/>
      <c r="AA245" s="56"/>
      <c r="AB245" s="56"/>
    </row>
    <row r="246" ht="15.75" customHeight="1">
      <c r="A246" s="57" t="str">
        <f t="shared" si="1"/>
        <v/>
      </c>
      <c r="B246" s="63"/>
      <c r="C246" s="56"/>
      <c r="D246" s="64"/>
      <c r="E246" s="67"/>
      <c r="F246" s="67"/>
      <c r="G246" s="66"/>
      <c r="H246" s="38"/>
      <c r="I246" s="38"/>
      <c r="J246" s="38"/>
      <c r="K246" s="68"/>
      <c r="L246" s="38"/>
      <c r="M246" s="56"/>
      <c r="N246" s="56" t="b">
        <v>0</v>
      </c>
      <c r="O246" s="56" t="b">
        <v>0</v>
      </c>
      <c r="P246" s="56"/>
      <c r="Q246" s="56"/>
      <c r="R246" s="56"/>
      <c r="S246" s="56"/>
      <c r="T246" s="56"/>
      <c r="U246" s="56"/>
      <c r="V246" s="56"/>
      <c r="W246" s="56"/>
      <c r="X246" s="56"/>
      <c r="Y246" s="56"/>
      <c r="Z246" s="56"/>
      <c r="AA246" s="56"/>
      <c r="AB246" s="56"/>
    </row>
    <row r="247" ht="15.75" customHeight="1">
      <c r="A247" s="57" t="str">
        <f t="shared" si="1"/>
        <v/>
      </c>
      <c r="B247" s="69"/>
      <c r="C247" s="56"/>
      <c r="D247" s="38"/>
      <c r="E247" s="38"/>
      <c r="F247" s="65"/>
      <c r="G247" s="66"/>
      <c r="H247" s="38"/>
      <c r="I247" s="38"/>
      <c r="J247" s="38"/>
      <c r="K247" s="38"/>
      <c r="L247" s="38"/>
      <c r="M247" s="56"/>
      <c r="N247" s="56" t="b">
        <v>0</v>
      </c>
      <c r="O247" s="56" t="b">
        <v>0</v>
      </c>
      <c r="P247" s="56"/>
      <c r="Q247" s="56"/>
      <c r="R247" s="56"/>
      <c r="S247" s="56"/>
      <c r="T247" s="56"/>
      <c r="U247" s="56"/>
      <c r="V247" s="56"/>
      <c r="W247" s="56"/>
      <c r="X247" s="56"/>
      <c r="Y247" s="56"/>
      <c r="Z247" s="56"/>
      <c r="AA247" s="56"/>
      <c r="AB247" s="56"/>
    </row>
    <row r="248" ht="15.75" customHeight="1">
      <c r="A248" s="57" t="str">
        <f t="shared" si="1"/>
        <v>5fe6590c4f55ab4bbd9c73b5</v>
      </c>
      <c r="B248" s="58" t="s">
        <v>4850</v>
      </c>
      <c r="C248" s="38" t="s">
        <v>278</v>
      </c>
      <c r="D248" s="38" t="s">
        <v>1218</v>
      </c>
      <c r="E248" s="67" t="s">
        <v>970</v>
      </c>
      <c r="F248" s="67" t="s">
        <v>971</v>
      </c>
      <c r="G248" s="122">
        <v>0.4583333333333333</v>
      </c>
      <c r="H248" s="67" t="s">
        <v>5228</v>
      </c>
      <c r="I248" s="67" t="s">
        <v>5286</v>
      </c>
      <c r="J248" s="67" t="s">
        <v>973</v>
      </c>
      <c r="K248" s="38" t="s">
        <v>4830</v>
      </c>
      <c r="L248" s="38">
        <v>33.0</v>
      </c>
      <c r="M248" s="56"/>
      <c r="N248" s="56" t="b">
        <v>0</v>
      </c>
      <c r="O248" s="56" t="b">
        <v>0</v>
      </c>
      <c r="P248" s="56"/>
      <c r="Q248" s="56"/>
      <c r="R248" s="56"/>
      <c r="S248" s="56"/>
      <c r="T248" s="56"/>
      <c r="U248" s="56"/>
      <c r="V248" s="56"/>
      <c r="W248" s="56"/>
      <c r="X248" s="56"/>
      <c r="Y248" s="56"/>
      <c r="Z248" s="56"/>
      <c r="AA248" s="56"/>
      <c r="AB248" s="56"/>
    </row>
    <row r="249" ht="15.75" customHeight="1">
      <c r="A249" s="57" t="str">
        <f t="shared" si="1"/>
        <v>6058fc9ba95ea6d1752f1dca</v>
      </c>
      <c r="B249" s="63"/>
      <c r="C249" s="38" t="s">
        <v>278</v>
      </c>
      <c r="D249" s="80" t="s">
        <v>258</v>
      </c>
      <c r="E249" s="67" t="s">
        <v>5287</v>
      </c>
      <c r="F249" s="67" t="s">
        <v>5288</v>
      </c>
      <c r="G249" s="123">
        <v>0.5416666666666666</v>
      </c>
      <c r="H249" s="109" t="s">
        <v>5289</v>
      </c>
      <c r="I249" s="80" t="s">
        <v>5290</v>
      </c>
      <c r="J249" s="109" t="s">
        <v>5291</v>
      </c>
      <c r="K249" s="38" t="s">
        <v>4830</v>
      </c>
      <c r="L249" s="38">
        <v>13.0</v>
      </c>
      <c r="M249" s="56" t="str">
        <f>VLOOKUP(G249,'Hedef Liste'!A:I,9,false)</f>
        <v>#N/A</v>
      </c>
      <c r="N249" s="56" t="b">
        <v>0</v>
      </c>
      <c r="O249" s="56" t="b">
        <v>0</v>
      </c>
      <c r="P249" s="56"/>
      <c r="Q249" s="56"/>
      <c r="R249" s="56"/>
      <c r="S249" s="56"/>
      <c r="T249" s="56"/>
      <c r="U249" s="56"/>
      <c r="V249" s="56"/>
      <c r="W249" s="56"/>
      <c r="X249" s="56"/>
      <c r="Y249" s="56"/>
      <c r="Z249" s="56"/>
      <c r="AA249" s="56"/>
      <c r="AB249" s="56"/>
    </row>
    <row r="250" ht="15.75" customHeight="1">
      <c r="A250" s="57" t="str">
        <f t="shared" si="1"/>
        <v>5fe9691871e89c6c8b95fb8d</v>
      </c>
      <c r="B250" s="63"/>
      <c r="C250" s="38" t="s">
        <v>278</v>
      </c>
      <c r="D250" s="38" t="s">
        <v>1218</v>
      </c>
      <c r="E250" s="67" t="s">
        <v>1376</v>
      </c>
      <c r="F250" s="67" t="s">
        <v>1377</v>
      </c>
      <c r="G250" s="66" t="s">
        <v>4892</v>
      </c>
      <c r="H250" s="38" t="s">
        <v>4880</v>
      </c>
      <c r="I250" s="38" t="s">
        <v>5292</v>
      </c>
      <c r="J250" s="67" t="s">
        <v>1379</v>
      </c>
      <c r="K250" s="38" t="s">
        <v>4830</v>
      </c>
      <c r="L250" s="38">
        <v>18.0</v>
      </c>
      <c r="M250" s="56">
        <f>VLOOKUP(E250,'Hedef Liste'!A:I,9,false)</f>
        <v>38</v>
      </c>
      <c r="N250" s="56" t="b">
        <v>0</v>
      </c>
      <c r="O250" s="56" t="b">
        <v>0</v>
      </c>
      <c r="P250" s="56"/>
      <c r="Q250" s="56"/>
      <c r="R250" s="56"/>
      <c r="S250" s="56"/>
      <c r="T250" s="56"/>
      <c r="U250" s="56"/>
      <c r="V250" s="56"/>
      <c r="W250" s="56"/>
      <c r="X250" s="56"/>
      <c r="Y250" s="56"/>
      <c r="Z250" s="56"/>
      <c r="AA250" s="56"/>
      <c r="AB250" s="56"/>
    </row>
    <row r="251" ht="15.75" customHeight="1">
      <c r="A251" s="57" t="str">
        <f t="shared" si="1"/>
        <v>600f1ce09dceb6b42008b362</v>
      </c>
      <c r="B251" s="63"/>
      <c r="C251" s="38" t="s">
        <v>278</v>
      </c>
      <c r="D251" s="38" t="s">
        <v>1218</v>
      </c>
      <c r="E251" s="67" t="s">
        <v>5293</v>
      </c>
      <c r="F251" s="67" t="s">
        <v>5294</v>
      </c>
      <c r="G251" s="66" t="s">
        <v>4899</v>
      </c>
      <c r="H251" s="38" t="s">
        <v>5295</v>
      </c>
      <c r="I251" s="38" t="s">
        <v>5296</v>
      </c>
      <c r="J251" s="67" t="s">
        <v>5297</v>
      </c>
      <c r="K251" s="38" t="s">
        <v>4830</v>
      </c>
      <c r="L251" s="38">
        <v>19.0</v>
      </c>
      <c r="M251" s="56" t="str">
        <f>VLOOKUP(E251,'Hedef Liste'!A:I,9,false)</f>
        <v>#N/A</v>
      </c>
      <c r="N251" s="56" t="b">
        <v>0</v>
      </c>
      <c r="O251" s="56" t="b">
        <v>0</v>
      </c>
      <c r="P251" s="56"/>
      <c r="Q251" s="56"/>
      <c r="R251" s="56"/>
      <c r="S251" s="56"/>
      <c r="T251" s="56"/>
      <c r="U251" s="56"/>
      <c r="V251" s="56"/>
      <c r="W251" s="56"/>
      <c r="X251" s="56"/>
      <c r="Y251" s="56"/>
      <c r="Z251" s="56"/>
      <c r="AA251" s="56"/>
      <c r="AB251" s="56"/>
    </row>
    <row r="252" ht="15.75" customHeight="1">
      <c r="A252" s="57" t="str">
        <f t="shared" si="1"/>
        <v/>
      </c>
      <c r="B252" s="63"/>
      <c r="C252" s="38"/>
      <c r="D252" s="38"/>
      <c r="E252" s="38"/>
      <c r="F252" s="65"/>
      <c r="G252" s="66"/>
      <c r="H252" s="38"/>
      <c r="I252" s="38"/>
      <c r="J252" s="38"/>
      <c r="K252" s="38"/>
      <c r="L252" s="38"/>
      <c r="M252" s="56" t="str">
        <f>VLOOKUP(E252,'Hedef Liste'!A:I,9,false)</f>
        <v>#N/A</v>
      </c>
      <c r="N252" s="56" t="b">
        <v>0</v>
      </c>
      <c r="O252" s="56" t="b">
        <v>0</v>
      </c>
      <c r="P252" s="56"/>
      <c r="Q252" s="56"/>
      <c r="R252" s="56"/>
      <c r="S252" s="56"/>
      <c r="T252" s="56"/>
      <c r="U252" s="56"/>
      <c r="V252" s="56"/>
      <c r="W252" s="56"/>
      <c r="X252" s="56"/>
      <c r="Y252" s="56"/>
      <c r="Z252" s="56"/>
      <c r="AA252" s="56"/>
      <c r="AB252" s="56"/>
    </row>
    <row r="253" ht="15.75" customHeight="1">
      <c r="A253" s="57" t="str">
        <f t="shared" si="1"/>
        <v/>
      </c>
      <c r="B253" s="69"/>
      <c r="C253" s="56"/>
      <c r="D253" s="38"/>
      <c r="E253" s="38"/>
      <c r="F253" s="65"/>
      <c r="G253" s="66"/>
      <c r="H253" s="38"/>
      <c r="I253" s="38"/>
      <c r="J253" s="38"/>
      <c r="K253" s="38"/>
      <c r="L253" s="38"/>
      <c r="M253" s="56"/>
      <c r="N253" s="56" t="b">
        <v>0</v>
      </c>
      <c r="O253" s="56" t="b">
        <v>0</v>
      </c>
      <c r="P253" s="56"/>
      <c r="Q253" s="56"/>
      <c r="R253" s="56"/>
      <c r="S253" s="56"/>
      <c r="T253" s="56"/>
      <c r="U253" s="56"/>
      <c r="V253" s="56"/>
      <c r="W253" s="56"/>
      <c r="X253" s="56"/>
      <c r="Y253" s="56"/>
      <c r="Z253" s="56"/>
      <c r="AA253" s="56"/>
      <c r="AB253" s="56"/>
    </row>
    <row r="254" ht="15.75" customHeight="1">
      <c r="A254" s="57" t="str">
        <f t="shared" si="1"/>
        <v/>
      </c>
      <c r="B254" s="51"/>
      <c r="C254" s="52">
        <v>44287.0</v>
      </c>
      <c r="D254" s="38"/>
      <c r="E254" s="53"/>
      <c r="F254" s="54"/>
      <c r="G254" s="54"/>
      <c r="H254" s="54"/>
      <c r="I254" s="54"/>
      <c r="J254" s="54"/>
      <c r="K254" s="54"/>
      <c r="L254" s="55"/>
      <c r="M254" s="56"/>
      <c r="N254" s="56"/>
      <c r="O254" s="56"/>
      <c r="P254" s="56"/>
      <c r="Q254" s="56"/>
      <c r="R254" s="56"/>
      <c r="S254" s="56"/>
      <c r="T254" s="56"/>
      <c r="U254" s="56"/>
      <c r="V254" s="56"/>
      <c r="W254" s="56"/>
      <c r="X254" s="56"/>
      <c r="Y254" s="56"/>
      <c r="Z254" s="56"/>
      <c r="AA254" s="56"/>
      <c r="AB254" s="56"/>
    </row>
    <row r="255" ht="15.75" customHeight="1">
      <c r="A255" s="57" t="str">
        <f t="shared" si="1"/>
        <v>6012ca9ebb98bb26f8373051</v>
      </c>
      <c r="B255" s="58" t="s">
        <v>4827</v>
      </c>
      <c r="C255" s="56" t="s">
        <v>66</v>
      </c>
      <c r="D255" s="38" t="s">
        <v>545</v>
      </c>
      <c r="E255" s="67" t="s">
        <v>3757</v>
      </c>
      <c r="F255" s="67" t="s">
        <v>3758</v>
      </c>
      <c r="G255" s="122">
        <v>0.4583333333333333</v>
      </c>
      <c r="H255" s="56" t="s">
        <v>5179</v>
      </c>
      <c r="I255" s="56" t="s">
        <v>5298</v>
      </c>
      <c r="J255" s="67" t="s">
        <v>3759</v>
      </c>
      <c r="K255" s="38">
        <v>30.0</v>
      </c>
      <c r="L255" s="38"/>
      <c r="M255" s="56">
        <f>VLOOKUP(E255,'Hedef Liste'!A:I,9,false)</f>
        <v>83</v>
      </c>
      <c r="N255" s="56" t="b">
        <v>0</v>
      </c>
      <c r="O255" s="56" t="b">
        <v>0</v>
      </c>
      <c r="P255" s="56"/>
      <c r="Q255" s="56"/>
      <c r="R255" s="56"/>
      <c r="S255" s="56"/>
      <c r="T255" s="56"/>
      <c r="U255" s="56"/>
      <c r="V255" s="56"/>
      <c r="W255" s="56"/>
      <c r="X255" s="56"/>
      <c r="Y255" s="56"/>
      <c r="Z255" s="56"/>
      <c r="AA255" s="56"/>
      <c r="AB255" s="56"/>
    </row>
    <row r="256" ht="15.75" customHeight="1">
      <c r="A256" s="57" t="str">
        <f t="shared" si="1"/>
        <v>602437da1bfca355d6e67e0d</v>
      </c>
      <c r="B256" s="63"/>
      <c r="C256" s="56" t="s">
        <v>66</v>
      </c>
      <c r="D256" s="38" t="s">
        <v>545</v>
      </c>
      <c r="E256" s="67" t="s">
        <v>5299</v>
      </c>
      <c r="F256" s="67" t="s">
        <v>5300</v>
      </c>
      <c r="G256" s="122">
        <v>0.5416666666666666</v>
      </c>
      <c r="H256" s="56" t="s">
        <v>5179</v>
      </c>
      <c r="I256" s="56" t="s">
        <v>5298</v>
      </c>
      <c r="J256" s="67" t="s">
        <v>5301</v>
      </c>
      <c r="K256" s="38">
        <v>16.0</v>
      </c>
      <c r="L256" s="38"/>
      <c r="M256" s="56" t="str">
        <f>VLOOKUP(E256,'Hedef Liste'!A:I,9,false)</f>
        <v>#N/A</v>
      </c>
      <c r="N256" s="56" t="b">
        <v>0</v>
      </c>
      <c r="O256" s="56" t="b">
        <v>0</v>
      </c>
      <c r="P256" s="56"/>
      <c r="Q256" s="56"/>
      <c r="R256" s="56"/>
      <c r="S256" s="56"/>
      <c r="T256" s="56"/>
      <c r="U256" s="56"/>
      <c r="V256" s="56"/>
      <c r="W256" s="56"/>
      <c r="X256" s="56"/>
      <c r="Y256" s="56"/>
      <c r="Z256" s="56"/>
      <c r="AA256" s="56"/>
      <c r="AB256" s="56"/>
    </row>
    <row r="257" ht="15.75" customHeight="1">
      <c r="A257" s="57" t="str">
        <f t="shared" si="1"/>
        <v>5fdfd39120df6e0601c18440</v>
      </c>
      <c r="B257" s="63"/>
      <c r="C257" s="56" t="s">
        <v>66</v>
      </c>
      <c r="D257" s="38" t="s">
        <v>1218</v>
      </c>
      <c r="E257" s="114" t="s">
        <v>1253</v>
      </c>
      <c r="F257" s="114" t="s">
        <v>1254</v>
      </c>
      <c r="G257" s="113">
        <v>0.5833333333333334</v>
      </c>
      <c r="H257" s="105" t="s">
        <v>5191</v>
      </c>
      <c r="I257" s="105" t="s">
        <v>5192</v>
      </c>
      <c r="J257" s="114" t="s">
        <v>5193</v>
      </c>
      <c r="K257" s="68"/>
      <c r="L257" s="38"/>
      <c r="M257" s="56">
        <f>VLOOKUP(E257,'Hedef Liste'!A:I,9,false)</f>
        <v>11</v>
      </c>
      <c r="N257" s="56" t="b">
        <v>0</v>
      </c>
      <c r="O257" s="56" t="b">
        <v>0</v>
      </c>
      <c r="P257" s="56"/>
      <c r="Q257" s="56"/>
      <c r="R257" s="56"/>
      <c r="S257" s="56"/>
      <c r="T257" s="56"/>
      <c r="U257" s="56"/>
      <c r="V257" s="56"/>
      <c r="W257" s="56"/>
      <c r="X257" s="56"/>
      <c r="Y257" s="56"/>
      <c r="Z257" s="56"/>
      <c r="AA257" s="56"/>
      <c r="AB257" s="56"/>
    </row>
    <row r="258" ht="15.75" customHeight="1">
      <c r="A258" s="57" t="str">
        <f t="shared" si="1"/>
        <v>5fdf470361e7ff7ac8fbccf4</v>
      </c>
      <c r="B258" s="63"/>
      <c r="C258" s="56" t="s">
        <v>66</v>
      </c>
      <c r="D258" s="38" t="s">
        <v>258</v>
      </c>
      <c r="E258" s="67" t="s">
        <v>868</v>
      </c>
      <c r="F258" s="67" t="s">
        <v>869</v>
      </c>
      <c r="G258" s="66" t="s">
        <v>4896</v>
      </c>
      <c r="H258" s="38" t="s">
        <v>4968</v>
      </c>
      <c r="I258" s="38" t="s">
        <v>5302</v>
      </c>
      <c r="J258" s="67" t="s">
        <v>871</v>
      </c>
      <c r="K258" s="38">
        <v>17.0</v>
      </c>
      <c r="L258" s="38"/>
      <c r="M258" s="56">
        <f>VLOOKUP(E258,'Hedef Liste'!A:I,9,false)</f>
        <v>61</v>
      </c>
      <c r="N258" s="56" t="b">
        <v>0</v>
      </c>
      <c r="O258" s="56" t="b">
        <v>0</v>
      </c>
      <c r="P258" s="56"/>
      <c r="Q258" s="56"/>
      <c r="R258" s="56"/>
      <c r="S258" s="56"/>
      <c r="T258" s="56"/>
      <c r="U258" s="56"/>
      <c r="V258" s="56"/>
      <c r="W258" s="56"/>
      <c r="X258" s="56"/>
      <c r="Y258" s="56"/>
      <c r="Z258" s="56"/>
      <c r="AA258" s="56"/>
      <c r="AB258" s="56"/>
    </row>
    <row r="259" ht="15.75" customHeight="1">
      <c r="A259" s="57" t="str">
        <f t="shared" si="1"/>
        <v>5fe64deb58f3ac1ea7e4c7ea</v>
      </c>
      <c r="B259" s="63"/>
      <c r="C259" s="56" t="s">
        <v>66</v>
      </c>
      <c r="D259" s="38" t="s">
        <v>52</v>
      </c>
      <c r="E259" s="67" t="s">
        <v>4000</v>
      </c>
      <c r="F259" s="67" t="s">
        <v>4001</v>
      </c>
      <c r="G259" s="66" t="s">
        <v>4847</v>
      </c>
      <c r="H259" s="38" t="s">
        <v>4968</v>
      </c>
      <c r="I259" s="38" t="s">
        <v>5303</v>
      </c>
      <c r="J259" s="67" t="s">
        <v>4003</v>
      </c>
      <c r="K259" s="68"/>
      <c r="L259" s="38"/>
      <c r="M259" s="56"/>
      <c r="N259" s="56" t="b">
        <v>0</v>
      </c>
      <c r="O259" s="56" t="b">
        <v>0</v>
      </c>
      <c r="P259" s="56"/>
      <c r="Q259" s="56"/>
      <c r="R259" s="56"/>
      <c r="S259" s="56"/>
      <c r="T259" s="56"/>
      <c r="U259" s="56"/>
      <c r="V259" s="56"/>
      <c r="W259" s="56"/>
      <c r="X259" s="56"/>
      <c r="Y259" s="56"/>
      <c r="Z259" s="56"/>
      <c r="AA259" s="56"/>
      <c r="AB259" s="56"/>
    </row>
    <row r="260" ht="15.75" customHeight="1">
      <c r="A260" s="57" t="str">
        <f t="shared" si="1"/>
        <v/>
      </c>
      <c r="B260" s="69"/>
      <c r="C260" s="56"/>
      <c r="D260" s="38"/>
      <c r="E260" s="38"/>
      <c r="F260" s="65"/>
      <c r="G260" s="66"/>
      <c r="H260" s="38"/>
      <c r="I260" s="38"/>
      <c r="J260" s="38"/>
      <c r="K260" s="38"/>
      <c r="L260" s="38"/>
      <c r="M260" s="56"/>
      <c r="N260" s="56" t="b">
        <v>0</v>
      </c>
      <c r="O260" s="56" t="b">
        <v>0</v>
      </c>
      <c r="P260" s="56"/>
      <c r="Q260" s="56"/>
      <c r="R260" s="56"/>
      <c r="S260" s="56"/>
      <c r="T260" s="56"/>
      <c r="U260" s="56"/>
      <c r="V260" s="56"/>
      <c r="W260" s="56"/>
      <c r="X260" s="56"/>
      <c r="Y260" s="56"/>
      <c r="Z260" s="56"/>
      <c r="AA260" s="56"/>
      <c r="AB260" s="56"/>
    </row>
    <row r="261" ht="15.75" customHeight="1">
      <c r="A261" s="57" t="str">
        <f t="shared" si="1"/>
        <v>6009e3d9b4fcb4246d76285d	Cadde 33 Tantuni &amp; Döner, Akdeniz (Çankaya Mah.-Çarşı)</v>
      </c>
      <c r="B261" s="58" t="s">
        <v>4836</v>
      </c>
      <c r="C261" s="56" t="s">
        <v>53</v>
      </c>
      <c r="D261" s="38" t="s">
        <v>258</v>
      </c>
      <c r="E261" s="67" t="s">
        <v>5304</v>
      </c>
      <c r="F261" s="67"/>
      <c r="G261" s="122">
        <v>0.4583333333333333</v>
      </c>
      <c r="H261" s="38" t="s">
        <v>5305</v>
      </c>
      <c r="I261" s="56" t="s">
        <v>5306</v>
      </c>
      <c r="J261" s="38" t="s">
        <v>954</v>
      </c>
      <c r="K261" s="38">
        <v>26.0</v>
      </c>
      <c r="L261" s="38"/>
      <c r="M261" s="56" t="str">
        <f>VLOOKUP(E261,'Hedef Liste'!A:I,9,false)</f>
        <v>#N/A</v>
      </c>
      <c r="N261" s="56" t="b">
        <v>0</v>
      </c>
      <c r="O261" s="56" t="b">
        <v>0</v>
      </c>
      <c r="P261" s="56"/>
      <c r="Q261" s="56"/>
      <c r="R261" s="56"/>
      <c r="S261" s="56"/>
      <c r="T261" s="56"/>
      <c r="U261" s="56"/>
      <c r="V261" s="56"/>
      <c r="W261" s="56"/>
      <c r="X261" s="56"/>
      <c r="Y261" s="56"/>
      <c r="Z261" s="56"/>
      <c r="AA261" s="56"/>
      <c r="AB261" s="56"/>
    </row>
    <row r="262" ht="15.75" customHeight="1">
      <c r="A262" s="57" t="str">
        <f t="shared" si="1"/>
        <v>60089558f9bae48434535aa8</v>
      </c>
      <c r="B262" s="63"/>
      <c r="C262" s="56" t="s">
        <v>53</v>
      </c>
      <c r="D262" s="62" t="s">
        <v>258</v>
      </c>
      <c r="E262" s="60" t="s">
        <v>254</v>
      </c>
      <c r="F262" s="60" t="s">
        <v>255</v>
      </c>
      <c r="G262" s="124">
        <v>0.5833333333333334</v>
      </c>
      <c r="H262" s="62" t="s">
        <v>5307</v>
      </c>
      <c r="I262" s="59" t="s">
        <v>5308</v>
      </c>
      <c r="J262" s="60" t="s">
        <v>257</v>
      </c>
      <c r="K262" s="38">
        <v>15.0</v>
      </c>
      <c r="L262" s="38"/>
      <c r="M262" s="56">
        <f>VLOOKUP(E262,'Hedef Liste'!A:I,9,false)</f>
        <v>12</v>
      </c>
      <c r="N262" s="56" t="b">
        <v>0</v>
      </c>
      <c r="O262" s="56" t="b">
        <v>0</v>
      </c>
      <c r="P262" s="56"/>
      <c r="Q262" s="56"/>
      <c r="R262" s="56"/>
      <c r="S262" s="56"/>
      <c r="T262" s="56"/>
      <c r="U262" s="56"/>
      <c r="V262" s="56"/>
      <c r="W262" s="56"/>
      <c r="X262" s="56"/>
      <c r="Y262" s="56"/>
      <c r="Z262" s="56"/>
      <c r="AA262" s="56"/>
      <c r="AB262" s="56"/>
    </row>
    <row r="263" ht="15.75" customHeight="1">
      <c r="A263" s="57" t="str">
        <f t="shared" si="1"/>
        <v>60570e7604fe53d3e2562520</v>
      </c>
      <c r="B263" s="63"/>
      <c r="C263" s="56" t="s">
        <v>53</v>
      </c>
      <c r="D263" s="38" t="s">
        <v>258</v>
      </c>
      <c r="E263" s="67" t="s">
        <v>5309</v>
      </c>
      <c r="F263" s="67" t="s">
        <v>5310</v>
      </c>
      <c r="G263" s="66" t="s">
        <v>4858</v>
      </c>
      <c r="H263" s="38" t="s">
        <v>5311</v>
      </c>
      <c r="I263" s="125" t="s">
        <v>5312</v>
      </c>
      <c r="J263" s="56" t="s">
        <v>5313</v>
      </c>
      <c r="K263" s="38">
        <v>47.0</v>
      </c>
      <c r="L263" s="38"/>
      <c r="M263" s="56" t="str">
        <f>VLOOKUP(E263,'Hedef Liste'!A:I,9,false)</f>
        <v>#N/A</v>
      </c>
      <c r="N263" s="56" t="b">
        <v>0</v>
      </c>
      <c r="O263" s="56" t="b">
        <v>0</v>
      </c>
      <c r="P263" s="56"/>
      <c r="Q263" s="56"/>
      <c r="R263" s="56"/>
      <c r="S263" s="56"/>
      <c r="T263" s="56"/>
      <c r="U263" s="56"/>
      <c r="V263" s="56"/>
      <c r="W263" s="56"/>
      <c r="X263" s="56"/>
      <c r="Y263" s="56"/>
      <c r="Z263" s="56"/>
      <c r="AA263" s="56"/>
      <c r="AB263" s="56"/>
    </row>
    <row r="264" ht="15.75" customHeight="1">
      <c r="A264" s="57" t="str">
        <f t="shared" si="1"/>
        <v>602d4f1b17a376375836012a</v>
      </c>
      <c r="B264" s="63"/>
      <c r="C264" s="56" t="s">
        <v>53</v>
      </c>
      <c r="D264" s="38" t="s">
        <v>1218</v>
      </c>
      <c r="E264" s="67" t="s">
        <v>5050</v>
      </c>
      <c r="F264" s="67" t="s">
        <v>5051</v>
      </c>
      <c r="G264" s="66" t="s">
        <v>4997</v>
      </c>
      <c r="H264" s="38" t="s">
        <v>5046</v>
      </c>
      <c r="I264" s="38" t="s">
        <v>5052</v>
      </c>
      <c r="J264" s="67" t="s">
        <v>5053</v>
      </c>
      <c r="K264" s="38">
        <v>18.0</v>
      </c>
      <c r="L264" s="38"/>
      <c r="M264" s="56" t="str">
        <f>VLOOKUP(E264,'Hedef Liste'!A:I,9,false)</f>
        <v>#N/A</v>
      </c>
      <c r="N264" s="56" t="b">
        <v>0</v>
      </c>
      <c r="O264" s="56" t="b">
        <v>0</v>
      </c>
      <c r="P264" s="56"/>
      <c r="Q264" s="56"/>
      <c r="R264" s="56"/>
      <c r="S264" s="56"/>
      <c r="T264" s="56"/>
      <c r="U264" s="56"/>
      <c r="V264" s="56"/>
      <c r="W264" s="56"/>
      <c r="X264" s="56"/>
      <c r="Y264" s="56"/>
      <c r="Z264" s="56"/>
      <c r="AA264" s="56"/>
      <c r="AB264" s="56"/>
    </row>
    <row r="265" ht="15.75" customHeight="1">
      <c r="A265" s="57" t="str">
        <f t="shared" si="1"/>
        <v>60279fb77cc399aae05545ef</v>
      </c>
      <c r="B265" s="63"/>
      <c r="C265" s="56" t="s">
        <v>53</v>
      </c>
      <c r="D265" s="64" t="s">
        <v>76</v>
      </c>
      <c r="E265" s="67" t="s">
        <v>782</v>
      </c>
      <c r="F265" s="67" t="s">
        <v>783</v>
      </c>
      <c r="G265" s="66" t="s">
        <v>5314</v>
      </c>
      <c r="H265" s="38" t="s">
        <v>5315</v>
      </c>
      <c r="I265" s="38" t="s">
        <v>5316</v>
      </c>
      <c r="J265" s="67" t="s">
        <v>785</v>
      </c>
      <c r="K265" s="38">
        <v>12.0</v>
      </c>
      <c r="L265" s="38"/>
      <c r="M265" s="56"/>
      <c r="N265" s="56" t="b">
        <v>0</v>
      </c>
      <c r="O265" s="56" t="b">
        <v>0</v>
      </c>
      <c r="P265" s="56"/>
      <c r="Q265" s="56"/>
      <c r="R265" s="56"/>
      <c r="S265" s="56"/>
      <c r="T265" s="56"/>
      <c r="U265" s="56"/>
      <c r="V265" s="56"/>
      <c r="W265" s="56"/>
      <c r="X265" s="56"/>
      <c r="Y265" s="56"/>
      <c r="Z265" s="56"/>
      <c r="AA265" s="56"/>
      <c r="AB265" s="56"/>
    </row>
    <row r="266" ht="15.75" customHeight="1">
      <c r="A266" s="57" t="str">
        <f t="shared" si="1"/>
        <v/>
      </c>
      <c r="B266" s="69"/>
      <c r="C266" s="56"/>
      <c r="D266" s="38"/>
      <c r="E266" s="38"/>
      <c r="F266" s="65"/>
      <c r="G266" s="66"/>
      <c r="H266" s="38"/>
      <c r="I266" s="38"/>
      <c r="J266" s="38"/>
      <c r="K266" s="38"/>
      <c r="L266" s="38"/>
      <c r="M266" s="56"/>
      <c r="N266" s="56" t="b">
        <v>0</v>
      </c>
      <c r="O266" s="56" t="b">
        <v>0</v>
      </c>
      <c r="P266" s="56"/>
      <c r="Q266" s="56"/>
      <c r="R266" s="56"/>
      <c r="S266" s="56"/>
      <c r="T266" s="56"/>
      <c r="U266" s="56"/>
      <c r="V266" s="56"/>
      <c r="W266" s="56"/>
      <c r="X266" s="56"/>
      <c r="Y266" s="56"/>
      <c r="Z266" s="56"/>
      <c r="AA266" s="56"/>
      <c r="AB266" s="56"/>
    </row>
    <row r="267" ht="15.75" customHeight="1">
      <c r="A267" s="57" t="str">
        <f t="shared" si="1"/>
        <v>600f133b0909cf310d585537</v>
      </c>
      <c r="B267" s="58" t="s">
        <v>4850</v>
      </c>
      <c r="C267" s="38" t="s">
        <v>278</v>
      </c>
      <c r="D267" s="38" t="s">
        <v>133</v>
      </c>
      <c r="E267" s="109" t="s">
        <v>2059</v>
      </c>
      <c r="F267" s="109" t="s">
        <v>2060</v>
      </c>
      <c r="G267" s="122">
        <v>0.5</v>
      </c>
      <c r="H267" s="67" t="s">
        <v>5317</v>
      </c>
      <c r="I267" s="67" t="s">
        <v>5318</v>
      </c>
      <c r="J267" s="109" t="s">
        <v>2062</v>
      </c>
      <c r="K267" s="38" t="s">
        <v>4830</v>
      </c>
      <c r="L267" s="38">
        <v>8.0</v>
      </c>
      <c r="M267" s="56"/>
      <c r="N267" s="56" t="b">
        <v>0</v>
      </c>
      <c r="O267" s="56" t="b">
        <v>0</v>
      </c>
      <c r="P267" s="56"/>
      <c r="Q267" s="56"/>
      <c r="R267" s="56"/>
      <c r="S267" s="56"/>
      <c r="T267" s="56"/>
      <c r="U267" s="56"/>
      <c r="V267" s="56"/>
      <c r="W267" s="56"/>
      <c r="X267" s="56"/>
      <c r="Y267" s="56"/>
      <c r="Z267" s="56"/>
      <c r="AA267" s="56"/>
      <c r="AB267" s="56"/>
    </row>
    <row r="268" ht="15.75" customHeight="1">
      <c r="A268" s="57" t="str">
        <f t="shared" si="1"/>
        <v>6021843e5993bfa8f98fb83f</v>
      </c>
      <c r="B268" s="63"/>
      <c r="C268" s="38" t="s">
        <v>278</v>
      </c>
      <c r="D268" s="38" t="s">
        <v>258</v>
      </c>
      <c r="E268" s="67" t="s">
        <v>2442</v>
      </c>
      <c r="F268" s="67" t="s">
        <v>2443</v>
      </c>
      <c r="G268" s="79">
        <v>0.375</v>
      </c>
      <c r="H268" s="67" t="s">
        <v>5319</v>
      </c>
      <c r="I268" s="67" t="s">
        <v>5320</v>
      </c>
      <c r="J268" s="67" t="s">
        <v>2445</v>
      </c>
      <c r="K268" s="38" t="s">
        <v>4830</v>
      </c>
      <c r="L268" s="38">
        <v>17.0</v>
      </c>
      <c r="M268" s="56">
        <f>VLOOKUP(E268,'Hedef Liste'!A:I,9,false)</f>
        <v>14</v>
      </c>
      <c r="N268" s="56" t="b">
        <v>0</v>
      </c>
      <c r="O268" s="56" t="b">
        <v>0</v>
      </c>
      <c r="P268" s="56"/>
      <c r="Q268" s="56"/>
      <c r="R268" s="56"/>
      <c r="S268" s="56"/>
      <c r="T268" s="56"/>
      <c r="U268" s="56"/>
      <c r="V268" s="56"/>
      <c r="W268" s="56"/>
      <c r="X268" s="56"/>
      <c r="Y268" s="56"/>
      <c r="Z268" s="56"/>
      <c r="AA268" s="56"/>
      <c r="AB268" s="56"/>
    </row>
    <row r="269" ht="15.75" customHeight="1">
      <c r="A269" s="57" t="str">
        <f t="shared" si="1"/>
        <v>604a247d60f6a2b577b46b63</v>
      </c>
      <c r="B269" s="63"/>
      <c r="C269" s="38" t="s">
        <v>278</v>
      </c>
      <c r="D269" s="38" t="s">
        <v>1218</v>
      </c>
      <c r="E269" s="67" t="s">
        <v>1214</v>
      </c>
      <c r="F269" s="67" t="s">
        <v>1215</v>
      </c>
      <c r="G269" s="66" t="s">
        <v>4896</v>
      </c>
      <c r="H269" s="38" t="s">
        <v>5321</v>
      </c>
      <c r="I269" s="38" t="s">
        <v>5322</v>
      </c>
      <c r="J269" s="67" t="s">
        <v>1217</v>
      </c>
      <c r="K269" s="38" t="s">
        <v>4830</v>
      </c>
      <c r="L269" s="38">
        <v>10.0</v>
      </c>
      <c r="M269" s="56">
        <f>VLOOKUP(E269,'Hedef Liste'!A:I,9,false)</f>
        <v>10</v>
      </c>
      <c r="N269" s="56" t="b">
        <v>0</v>
      </c>
      <c r="O269" s="56" t="b">
        <v>0</v>
      </c>
      <c r="P269" s="56"/>
      <c r="Q269" s="56"/>
      <c r="R269" s="56"/>
      <c r="S269" s="56"/>
      <c r="T269" s="56"/>
      <c r="U269" s="56"/>
      <c r="V269" s="56"/>
      <c r="W269" s="56"/>
      <c r="X269" s="56"/>
      <c r="Y269" s="56"/>
      <c r="Z269" s="56"/>
      <c r="AA269" s="56"/>
      <c r="AB269" s="56"/>
    </row>
    <row r="270" ht="15.75" customHeight="1">
      <c r="A270" s="57" t="str">
        <f t="shared" si="1"/>
        <v>6047751e8aa12166f670ebc0</v>
      </c>
      <c r="B270" s="63"/>
      <c r="C270" s="38" t="s">
        <v>278</v>
      </c>
      <c r="D270" s="38" t="s">
        <v>258</v>
      </c>
      <c r="E270" s="67" t="s">
        <v>2210</v>
      </c>
      <c r="F270" s="67" t="s">
        <v>2211</v>
      </c>
      <c r="G270" s="66" t="s">
        <v>4899</v>
      </c>
      <c r="H270" s="38" t="s">
        <v>5323</v>
      </c>
      <c r="I270" s="80" t="s">
        <v>5324</v>
      </c>
      <c r="J270" s="67" t="s">
        <v>2213</v>
      </c>
      <c r="K270" s="38" t="s">
        <v>4830</v>
      </c>
      <c r="L270" s="38">
        <v>15.0</v>
      </c>
      <c r="M270" s="56">
        <f>VLOOKUP(E270,'Hedef Liste'!A:I,9,false)</f>
        <v>17</v>
      </c>
      <c r="N270" s="56" t="b">
        <v>0</v>
      </c>
      <c r="O270" s="56" t="b">
        <v>0</v>
      </c>
      <c r="P270" s="56"/>
      <c r="Q270" s="56"/>
      <c r="R270" s="56"/>
      <c r="S270" s="56"/>
      <c r="T270" s="56"/>
      <c r="U270" s="56"/>
      <c r="V270" s="56"/>
      <c r="W270" s="56"/>
      <c r="X270" s="56"/>
      <c r="Y270" s="56"/>
      <c r="Z270" s="56"/>
      <c r="AA270" s="56"/>
      <c r="AB270" s="56"/>
    </row>
    <row r="271" ht="15.75" customHeight="1">
      <c r="A271" s="57" t="str">
        <f t="shared" si="1"/>
        <v/>
      </c>
      <c r="B271" s="63"/>
      <c r="C271" s="38"/>
      <c r="D271" s="38"/>
      <c r="E271" s="38"/>
      <c r="F271" s="65"/>
      <c r="G271" s="66"/>
      <c r="H271" s="38"/>
      <c r="I271" s="38"/>
      <c r="J271" s="38"/>
      <c r="K271" s="38"/>
      <c r="L271" s="38"/>
      <c r="M271" s="56" t="str">
        <f>VLOOKUP(E271,'Hedef Liste'!A:I,9,false)</f>
        <v>#N/A</v>
      </c>
      <c r="N271" s="56" t="b">
        <v>0</v>
      </c>
      <c r="O271" s="56" t="b">
        <v>0</v>
      </c>
      <c r="P271" s="56"/>
      <c r="Q271" s="56"/>
      <c r="R271" s="56"/>
      <c r="S271" s="56"/>
      <c r="T271" s="56"/>
      <c r="U271" s="56"/>
      <c r="V271" s="56"/>
      <c r="W271" s="56"/>
      <c r="X271" s="56"/>
      <c r="Y271" s="56"/>
      <c r="Z271" s="56"/>
      <c r="AA271" s="56"/>
      <c r="AB271" s="56"/>
    </row>
    <row r="272" ht="15.75" customHeight="1">
      <c r="A272" s="57" t="str">
        <f t="shared" si="1"/>
        <v/>
      </c>
      <c r="B272" s="69"/>
      <c r="C272" s="56"/>
      <c r="D272" s="38"/>
      <c r="E272" s="38"/>
      <c r="F272" s="65"/>
      <c r="G272" s="66"/>
      <c r="H272" s="38"/>
      <c r="I272" s="38"/>
      <c r="J272" s="38"/>
      <c r="K272" s="38"/>
      <c r="L272" s="38"/>
      <c r="M272" s="56"/>
      <c r="N272" s="56" t="b">
        <v>0</v>
      </c>
      <c r="O272" s="56" t="b">
        <v>0</v>
      </c>
      <c r="P272" s="56"/>
      <c r="Q272" s="56"/>
      <c r="R272" s="56"/>
      <c r="S272" s="56"/>
      <c r="T272" s="56"/>
      <c r="U272" s="56"/>
      <c r="V272" s="56"/>
      <c r="W272" s="56"/>
      <c r="X272" s="56"/>
      <c r="Y272" s="56"/>
      <c r="Z272" s="56"/>
      <c r="AA272" s="56"/>
      <c r="AB272" s="56"/>
    </row>
    <row r="273" ht="15.75" customHeight="1">
      <c r="A273" s="57" t="str">
        <f t="shared" si="1"/>
        <v/>
      </c>
      <c r="B273" s="51"/>
      <c r="C273" s="52">
        <v>44288.0</v>
      </c>
      <c r="D273" s="38"/>
      <c r="E273" s="53"/>
      <c r="F273" s="54"/>
      <c r="G273" s="54"/>
      <c r="H273" s="54"/>
      <c r="I273" s="54"/>
      <c r="J273" s="54"/>
      <c r="K273" s="54"/>
      <c r="L273" s="55"/>
      <c r="M273" s="56"/>
      <c r="N273" s="56"/>
      <c r="O273" s="56"/>
      <c r="P273" s="56"/>
      <c r="Q273" s="56"/>
      <c r="R273" s="56"/>
      <c r="S273" s="56"/>
      <c r="T273" s="56"/>
      <c r="U273" s="56"/>
      <c r="V273" s="56"/>
      <c r="W273" s="56"/>
      <c r="X273" s="56"/>
      <c r="Y273" s="56"/>
      <c r="Z273" s="56"/>
      <c r="AA273" s="56"/>
      <c r="AB273" s="56"/>
    </row>
    <row r="274" ht="15.75" customHeight="1">
      <c r="A274" s="57" t="str">
        <f t="shared" si="1"/>
        <v>601304a54e3bdf491366b10f</v>
      </c>
      <c r="B274" s="58" t="s">
        <v>4827</v>
      </c>
      <c r="C274" s="56" t="s">
        <v>66</v>
      </c>
      <c r="D274" s="38" t="s">
        <v>545</v>
      </c>
      <c r="E274" s="67" t="s">
        <v>848</v>
      </c>
      <c r="F274" s="67" t="s">
        <v>849</v>
      </c>
      <c r="G274" s="122">
        <v>0.4583333333333333</v>
      </c>
      <c r="H274" s="56" t="s">
        <v>4884</v>
      </c>
      <c r="I274" s="56" t="s">
        <v>5325</v>
      </c>
      <c r="J274" s="67" t="s">
        <v>851</v>
      </c>
      <c r="K274" s="38">
        <v>37.0</v>
      </c>
      <c r="L274" s="38"/>
      <c r="M274" s="56">
        <f>VLOOKUP(E274,'Hedef Liste'!A:I,9,false)</f>
        <v>84</v>
      </c>
      <c r="N274" s="56" t="b">
        <v>0</v>
      </c>
      <c r="O274" s="56" t="b">
        <v>0</v>
      </c>
      <c r="P274" s="56"/>
      <c r="Q274" s="56"/>
      <c r="R274" s="56"/>
      <c r="S274" s="56"/>
      <c r="T274" s="56"/>
      <c r="U274" s="56"/>
      <c r="V274" s="56"/>
      <c r="W274" s="56"/>
      <c r="X274" s="56"/>
      <c r="Y274" s="56"/>
      <c r="Z274" s="56"/>
      <c r="AA274" s="56"/>
      <c r="AB274" s="56"/>
    </row>
    <row r="275" ht="15.75" customHeight="1">
      <c r="A275" s="57" t="str">
        <f t="shared" si="1"/>
        <v>60130e750a16ee0591e0f108</v>
      </c>
      <c r="B275" s="63"/>
      <c r="C275" s="56" t="s">
        <v>66</v>
      </c>
      <c r="D275" s="38" t="s">
        <v>545</v>
      </c>
      <c r="E275" s="67" t="s">
        <v>1072</v>
      </c>
      <c r="F275" s="67" t="s">
        <v>1073</v>
      </c>
      <c r="G275" s="122">
        <v>0.5416666666666666</v>
      </c>
      <c r="H275" s="38" t="s">
        <v>5228</v>
      </c>
      <c r="I275" s="67" t="s">
        <v>5326</v>
      </c>
      <c r="J275" s="67" t="s">
        <v>1075</v>
      </c>
      <c r="K275" s="38">
        <v>21.0</v>
      </c>
      <c r="L275" s="38"/>
      <c r="M275" s="56">
        <f>VLOOKUP(E275,'Hedef Liste'!A:I,9,false)</f>
        <v>46</v>
      </c>
      <c r="N275" s="56" t="b">
        <v>0</v>
      </c>
      <c r="O275" s="56" t="b">
        <v>0</v>
      </c>
      <c r="P275" s="56"/>
      <c r="Q275" s="56"/>
      <c r="R275" s="56"/>
      <c r="S275" s="56"/>
      <c r="T275" s="56"/>
      <c r="U275" s="56"/>
      <c r="V275" s="56"/>
      <c r="W275" s="56"/>
      <c r="X275" s="56"/>
      <c r="Y275" s="56"/>
      <c r="Z275" s="56"/>
      <c r="AA275" s="56"/>
      <c r="AB275" s="56"/>
    </row>
    <row r="276" ht="15.75" customHeight="1">
      <c r="A276" s="57" t="str">
        <f t="shared" si="1"/>
        <v>6009d0dc99244e4444064901</v>
      </c>
      <c r="B276" s="63"/>
      <c r="C276" s="56" t="s">
        <v>66</v>
      </c>
      <c r="D276" s="38" t="s">
        <v>545</v>
      </c>
      <c r="E276" s="67" t="s">
        <v>5150</v>
      </c>
      <c r="F276" s="67" t="s">
        <v>5151</v>
      </c>
      <c r="G276" s="66" t="s">
        <v>4892</v>
      </c>
      <c r="H276" s="67" t="s">
        <v>4968</v>
      </c>
      <c r="I276" s="67" t="s">
        <v>5327</v>
      </c>
      <c r="J276" s="67" t="s">
        <v>5153</v>
      </c>
      <c r="K276" s="38"/>
      <c r="L276" s="38"/>
      <c r="M276" s="56" t="str">
        <f>VLOOKUP(E276,'Hedef Liste'!A:I,9,false)</f>
        <v>#N/A</v>
      </c>
      <c r="N276" s="56" t="b">
        <v>0</v>
      </c>
      <c r="O276" s="56" t="b">
        <v>0</v>
      </c>
      <c r="P276" s="56"/>
      <c r="Q276" s="56"/>
      <c r="R276" s="56"/>
      <c r="S276" s="56"/>
      <c r="T276" s="56"/>
      <c r="U276" s="56"/>
      <c r="V276" s="56"/>
      <c r="W276" s="56"/>
      <c r="X276" s="56"/>
      <c r="Y276" s="56"/>
      <c r="Z276" s="56"/>
      <c r="AA276" s="56"/>
      <c r="AB276" s="56"/>
    </row>
    <row r="277" ht="15.75" customHeight="1">
      <c r="A277" s="57" t="str">
        <f t="shared" si="1"/>
        <v>60313ab5b868aa2d0ef7c3d4</v>
      </c>
      <c r="B277" s="63"/>
      <c r="C277" s="56" t="s">
        <v>66</v>
      </c>
      <c r="D277" s="38" t="s">
        <v>545</v>
      </c>
      <c r="E277" s="67" t="s">
        <v>5328</v>
      </c>
      <c r="F277" s="67" t="s">
        <v>4563</v>
      </c>
      <c r="G277" s="66" t="s">
        <v>4967</v>
      </c>
      <c r="H277" s="38" t="s">
        <v>5179</v>
      </c>
      <c r="I277" s="38" t="s">
        <v>5329</v>
      </c>
      <c r="J277" s="67" t="s">
        <v>5330</v>
      </c>
      <c r="K277" s="38">
        <v>23.0</v>
      </c>
      <c r="L277" s="38"/>
      <c r="M277" s="56" t="str">
        <f>VLOOKUP(E277,'Hedef Liste'!A:I,9,false)</f>
        <v>#N/A</v>
      </c>
      <c r="N277" s="56" t="b">
        <v>0</v>
      </c>
      <c r="O277" s="56" t="b">
        <v>0</v>
      </c>
      <c r="P277" s="56"/>
      <c r="Q277" s="56"/>
      <c r="R277" s="56"/>
      <c r="S277" s="56"/>
      <c r="T277" s="56"/>
      <c r="U277" s="56"/>
      <c r="V277" s="56"/>
      <c r="W277" s="56"/>
      <c r="X277" s="56"/>
      <c r="Y277" s="56"/>
      <c r="Z277" s="56"/>
      <c r="AA277" s="56"/>
      <c r="AB277" s="56"/>
    </row>
    <row r="278" ht="15.75" customHeight="1">
      <c r="A278" s="57" t="str">
        <f t="shared" si="1"/>
        <v/>
      </c>
      <c r="B278" s="63"/>
      <c r="C278" s="56"/>
      <c r="D278" s="38"/>
      <c r="E278" s="64"/>
      <c r="F278" s="85"/>
      <c r="G278" s="66"/>
      <c r="H278" s="38"/>
      <c r="I278" s="38"/>
      <c r="J278" s="38"/>
      <c r="K278" s="68"/>
      <c r="L278" s="38"/>
      <c r="M278" s="56"/>
      <c r="N278" s="56" t="b">
        <v>0</v>
      </c>
      <c r="O278" s="56" t="b">
        <v>0</v>
      </c>
      <c r="P278" s="56"/>
      <c r="Q278" s="56"/>
      <c r="R278" s="56"/>
      <c r="S278" s="56"/>
      <c r="T278" s="56"/>
      <c r="U278" s="56"/>
      <c r="V278" s="56"/>
      <c r="W278" s="56"/>
      <c r="X278" s="56"/>
      <c r="Y278" s="56"/>
      <c r="Z278" s="56"/>
      <c r="AA278" s="56"/>
      <c r="AB278" s="56"/>
    </row>
    <row r="279" ht="15.75" customHeight="1">
      <c r="A279" s="57" t="str">
        <f t="shared" si="1"/>
        <v/>
      </c>
      <c r="B279" s="69"/>
      <c r="C279" s="56"/>
      <c r="D279" s="38"/>
      <c r="E279" s="38"/>
      <c r="F279" s="65"/>
      <c r="G279" s="66"/>
      <c r="H279" s="38"/>
      <c r="I279" s="38"/>
      <c r="J279" s="38"/>
      <c r="K279" s="38"/>
      <c r="L279" s="38"/>
      <c r="M279" s="56"/>
      <c r="N279" s="56" t="b">
        <v>0</v>
      </c>
      <c r="O279" s="56" t="b">
        <v>0</v>
      </c>
      <c r="P279" s="56"/>
      <c r="Q279" s="56"/>
      <c r="R279" s="56"/>
      <c r="S279" s="56"/>
      <c r="T279" s="56"/>
      <c r="U279" s="56"/>
      <c r="V279" s="56"/>
      <c r="W279" s="56"/>
      <c r="X279" s="56"/>
      <c r="Y279" s="56"/>
      <c r="Z279" s="56"/>
      <c r="AA279" s="56"/>
      <c r="AB279" s="56"/>
    </row>
    <row r="280" ht="15.75" customHeight="1">
      <c r="A280" s="57" t="str">
        <f t="shared" si="1"/>
        <v/>
      </c>
      <c r="B280" s="58" t="s">
        <v>4836</v>
      </c>
      <c r="C280" s="56" t="s">
        <v>53</v>
      </c>
      <c r="D280" s="38"/>
      <c r="E280" s="67"/>
      <c r="F280" s="85" t="s">
        <v>5331</v>
      </c>
      <c r="G280" s="122">
        <v>0.4583333333333333</v>
      </c>
      <c r="H280" s="38"/>
      <c r="I280" s="56"/>
      <c r="J280" s="38"/>
      <c r="K280" s="68"/>
      <c r="L280" s="38"/>
      <c r="M280" s="56" t="str">
        <f>VLOOKUP(E280,'Hedef Liste'!A:I,9,false)</f>
        <v>#N/A</v>
      </c>
      <c r="N280" s="56" t="b">
        <v>0</v>
      </c>
      <c r="O280" s="56" t="b">
        <v>0</v>
      </c>
      <c r="P280" s="56"/>
      <c r="Q280" s="56"/>
      <c r="R280" s="56"/>
      <c r="S280" s="56"/>
      <c r="T280" s="56"/>
      <c r="U280" s="56"/>
      <c r="V280" s="56"/>
      <c r="W280" s="56"/>
      <c r="X280" s="56"/>
      <c r="Y280" s="56"/>
      <c r="Z280" s="56"/>
      <c r="AA280" s="56"/>
      <c r="AB280" s="56"/>
    </row>
    <row r="281" ht="15.75" customHeight="1">
      <c r="A281" s="57" t="str">
        <f t="shared" si="1"/>
        <v/>
      </c>
      <c r="B281" s="63"/>
      <c r="C281" s="56" t="s">
        <v>53</v>
      </c>
      <c r="D281" s="38"/>
      <c r="E281" s="67"/>
      <c r="F281" s="67"/>
      <c r="G281" s="122">
        <v>0.5416666666666666</v>
      </c>
      <c r="H281" s="38"/>
      <c r="I281" s="56"/>
      <c r="J281" s="38"/>
      <c r="K281" s="68"/>
      <c r="L281" s="38"/>
      <c r="M281" s="56" t="str">
        <f>VLOOKUP(E281,'Hedef Liste'!A:I,9,false)</f>
        <v>#N/A</v>
      </c>
      <c r="N281" s="56" t="b">
        <v>0</v>
      </c>
      <c r="O281" s="56" t="b">
        <v>0</v>
      </c>
      <c r="P281" s="56"/>
      <c r="Q281" s="56"/>
      <c r="R281" s="56"/>
      <c r="S281" s="56"/>
      <c r="T281" s="56"/>
      <c r="U281" s="56"/>
      <c r="V281" s="56"/>
      <c r="W281" s="56"/>
      <c r="X281" s="56"/>
      <c r="Y281" s="56"/>
      <c r="Z281" s="56"/>
      <c r="AA281" s="56"/>
      <c r="AB281" s="56"/>
    </row>
    <row r="282" ht="15.75" customHeight="1">
      <c r="A282" s="57" t="str">
        <f t="shared" si="1"/>
        <v/>
      </c>
      <c r="B282" s="63"/>
      <c r="C282" s="56" t="s">
        <v>53</v>
      </c>
      <c r="D282" s="38"/>
      <c r="E282" s="67"/>
      <c r="F282" s="67" t="s">
        <v>5332</v>
      </c>
      <c r="G282" s="66" t="s">
        <v>4892</v>
      </c>
      <c r="H282" s="38"/>
      <c r="I282" s="38"/>
      <c r="J282" s="67"/>
      <c r="K282" s="68"/>
      <c r="L282" s="38"/>
      <c r="M282" s="56" t="str">
        <f>VLOOKUP(E282,'Hedef Liste'!A:I,9,false)</f>
        <v>#N/A</v>
      </c>
      <c r="N282" s="56" t="b">
        <v>0</v>
      </c>
      <c r="O282" s="56" t="b">
        <v>0</v>
      </c>
      <c r="P282" s="56"/>
      <c r="Q282" s="56"/>
      <c r="R282" s="56"/>
      <c r="S282" s="56"/>
      <c r="T282" s="56"/>
      <c r="U282" s="56"/>
      <c r="V282" s="56"/>
      <c r="W282" s="56"/>
      <c r="X282" s="56"/>
      <c r="Y282" s="56"/>
      <c r="Z282" s="56"/>
      <c r="AA282" s="56"/>
      <c r="AB282" s="56"/>
    </row>
    <row r="283" ht="15.75" customHeight="1">
      <c r="A283" s="57" t="str">
        <f t="shared" si="1"/>
        <v/>
      </c>
      <c r="B283" s="63"/>
      <c r="C283" s="56" t="s">
        <v>53</v>
      </c>
      <c r="D283" s="38"/>
      <c r="E283" s="57"/>
      <c r="F283" s="126"/>
      <c r="G283" s="66" t="s">
        <v>4899</v>
      </c>
      <c r="H283" s="38"/>
      <c r="I283" s="38"/>
      <c r="J283" s="57"/>
      <c r="K283" s="38"/>
      <c r="L283" s="38"/>
      <c r="M283" s="56" t="str">
        <f>VLOOKUP(E283,'Hedef Liste'!A:I,9,false)</f>
        <v>#N/A</v>
      </c>
      <c r="N283" s="56" t="b">
        <v>0</v>
      </c>
      <c r="O283" s="56" t="b">
        <v>0</v>
      </c>
      <c r="P283" s="56"/>
      <c r="Q283" s="56"/>
      <c r="R283" s="56"/>
      <c r="S283" s="56"/>
      <c r="T283" s="56"/>
      <c r="U283" s="56"/>
      <c r="V283" s="56"/>
      <c r="W283" s="56"/>
      <c r="X283" s="56"/>
      <c r="Y283" s="56"/>
      <c r="Z283" s="56"/>
      <c r="AA283" s="56"/>
      <c r="AB283" s="56"/>
    </row>
    <row r="284" ht="15.75" customHeight="1">
      <c r="A284" s="57" t="str">
        <f t="shared" si="1"/>
        <v/>
      </c>
      <c r="B284" s="63"/>
      <c r="C284" s="56"/>
      <c r="D284" s="64"/>
      <c r="E284" s="64"/>
      <c r="F284" s="65"/>
      <c r="G284" s="66"/>
      <c r="H284" s="38"/>
      <c r="I284" s="38"/>
      <c r="J284" s="38"/>
      <c r="K284" s="68"/>
      <c r="L284" s="38"/>
      <c r="M284" s="56"/>
      <c r="N284" s="56" t="b">
        <v>0</v>
      </c>
      <c r="O284" s="56" t="b">
        <v>0</v>
      </c>
      <c r="P284" s="56"/>
      <c r="Q284" s="56"/>
      <c r="R284" s="56"/>
      <c r="S284" s="56"/>
      <c r="T284" s="56"/>
      <c r="U284" s="56"/>
      <c r="V284" s="56"/>
      <c r="W284" s="56"/>
      <c r="X284" s="56"/>
      <c r="Y284" s="56"/>
      <c r="Z284" s="56"/>
      <c r="AA284" s="56"/>
      <c r="AB284" s="56"/>
    </row>
    <row r="285" ht="15.75" customHeight="1">
      <c r="A285" s="57" t="str">
        <f t="shared" si="1"/>
        <v/>
      </c>
      <c r="B285" s="69"/>
      <c r="C285" s="56"/>
      <c r="D285" s="38"/>
      <c r="E285" s="38"/>
      <c r="F285" s="65"/>
      <c r="G285" s="66"/>
      <c r="H285" s="38"/>
      <c r="I285" s="38"/>
      <c r="J285" s="38"/>
      <c r="K285" s="38"/>
      <c r="L285" s="38"/>
      <c r="M285" s="56"/>
      <c r="N285" s="56" t="b">
        <v>0</v>
      </c>
      <c r="O285" s="56" t="b">
        <v>0</v>
      </c>
      <c r="P285" s="56"/>
      <c r="Q285" s="56"/>
      <c r="R285" s="56"/>
      <c r="S285" s="56"/>
      <c r="T285" s="56"/>
      <c r="U285" s="56"/>
      <c r="V285" s="56"/>
      <c r="W285" s="56"/>
      <c r="X285" s="56"/>
      <c r="Y285" s="56"/>
      <c r="Z285" s="56"/>
      <c r="AA285" s="56"/>
      <c r="AB285" s="56"/>
    </row>
    <row r="286" ht="15.75" customHeight="1">
      <c r="A286" s="57" t="str">
        <f t="shared" si="1"/>
        <v>5fdf223085630236fc551592</v>
      </c>
      <c r="B286" s="58" t="s">
        <v>4850</v>
      </c>
      <c r="C286" s="38" t="s">
        <v>278</v>
      </c>
      <c r="D286" s="38" t="s">
        <v>545</v>
      </c>
      <c r="E286" s="67" t="s">
        <v>5333</v>
      </c>
      <c r="F286" s="67" t="s">
        <v>5334</v>
      </c>
      <c r="G286" s="122">
        <v>0.4583333333333333</v>
      </c>
      <c r="H286" s="56" t="s">
        <v>4884</v>
      </c>
      <c r="I286" s="56" t="s">
        <v>5335</v>
      </c>
      <c r="J286" s="67" t="s">
        <v>5336</v>
      </c>
      <c r="K286" s="112" t="s">
        <v>5337</v>
      </c>
      <c r="L286" s="38"/>
      <c r="M286" s="56"/>
      <c r="N286" s="56" t="b">
        <v>0</v>
      </c>
      <c r="O286" s="56" t="b">
        <v>0</v>
      </c>
      <c r="P286" s="56"/>
      <c r="Q286" s="56"/>
      <c r="R286" s="56"/>
      <c r="S286" s="56"/>
      <c r="T286" s="56"/>
      <c r="U286" s="56"/>
      <c r="V286" s="56"/>
      <c r="W286" s="56"/>
      <c r="X286" s="56"/>
      <c r="Y286" s="56"/>
      <c r="Z286" s="56"/>
      <c r="AA286" s="56"/>
      <c r="AB286" s="56"/>
    </row>
    <row r="287" ht="15.75" customHeight="1">
      <c r="A287" s="57" t="str">
        <f t="shared" si="1"/>
        <v>5fdf715da8b06d2229a4860f</v>
      </c>
      <c r="B287" s="63"/>
      <c r="C287" s="38" t="s">
        <v>278</v>
      </c>
      <c r="D287" s="38" t="s">
        <v>133</v>
      </c>
      <c r="E287" s="67" t="s">
        <v>1897</v>
      </c>
      <c r="F287" s="67" t="s">
        <v>1898</v>
      </c>
      <c r="G287" s="122">
        <v>0.5416666666666666</v>
      </c>
      <c r="H287" s="38" t="s">
        <v>5338</v>
      </c>
      <c r="I287" s="67" t="s">
        <v>5339</v>
      </c>
      <c r="J287" s="67" t="s">
        <v>1900</v>
      </c>
      <c r="K287" s="38" t="s">
        <v>4830</v>
      </c>
      <c r="L287" s="38">
        <v>46.0</v>
      </c>
      <c r="M287" s="56">
        <f>VLOOKUP(E287,'Hedef Liste'!A:I,9,false)</f>
        <v>75</v>
      </c>
      <c r="N287" s="56" t="b">
        <v>0</v>
      </c>
      <c r="O287" s="56" t="b">
        <v>0</v>
      </c>
      <c r="P287" s="56"/>
      <c r="Q287" s="56"/>
      <c r="R287" s="56"/>
      <c r="S287" s="56"/>
      <c r="T287" s="56"/>
      <c r="U287" s="56"/>
      <c r="V287" s="56"/>
      <c r="W287" s="56"/>
      <c r="X287" s="56"/>
      <c r="Y287" s="56"/>
      <c r="Z287" s="56"/>
      <c r="AA287" s="56"/>
      <c r="AB287" s="56"/>
    </row>
    <row r="288" ht="15.75" customHeight="1">
      <c r="A288" s="57" t="str">
        <f t="shared" si="1"/>
        <v>5fe234e88795624899ccc4b8</v>
      </c>
      <c r="B288" s="63"/>
      <c r="C288" s="38" t="s">
        <v>278</v>
      </c>
      <c r="D288" s="38" t="s">
        <v>545</v>
      </c>
      <c r="E288" s="67" t="s">
        <v>3963</v>
      </c>
      <c r="F288" s="67" t="s">
        <v>3964</v>
      </c>
      <c r="G288" s="66" t="s">
        <v>4892</v>
      </c>
      <c r="H288" s="67" t="s">
        <v>4884</v>
      </c>
      <c r="I288" s="67" t="s">
        <v>5340</v>
      </c>
      <c r="J288" s="67" t="s">
        <v>5341</v>
      </c>
      <c r="K288" s="38" t="s">
        <v>4830</v>
      </c>
      <c r="L288" s="38">
        <v>27.0</v>
      </c>
      <c r="M288" s="56">
        <f>VLOOKUP(E288,'Hedef Liste'!A:I,9,false)</f>
        <v>44</v>
      </c>
      <c r="N288" s="56" t="b">
        <v>0</v>
      </c>
      <c r="O288" s="56" t="b">
        <v>0</v>
      </c>
      <c r="P288" s="56"/>
      <c r="Q288" s="56"/>
      <c r="R288" s="56"/>
      <c r="S288" s="56"/>
      <c r="T288" s="56"/>
      <c r="U288" s="56"/>
      <c r="V288" s="56"/>
      <c r="W288" s="56"/>
      <c r="X288" s="56"/>
      <c r="Y288" s="56"/>
      <c r="Z288" s="56"/>
      <c r="AA288" s="56"/>
      <c r="AB288" s="56"/>
    </row>
    <row r="289" ht="15.75" customHeight="1">
      <c r="A289" s="57" t="str">
        <f t="shared" si="1"/>
        <v>604c813fcc98d71d93a662aa</v>
      </c>
      <c r="B289" s="63"/>
      <c r="C289" s="38" t="s">
        <v>278</v>
      </c>
      <c r="D289" s="38" t="s">
        <v>545</v>
      </c>
      <c r="E289" s="67" t="s">
        <v>125</v>
      </c>
      <c r="F289" s="67" t="s">
        <v>126</v>
      </c>
      <c r="G289" s="66" t="s">
        <v>4899</v>
      </c>
      <c r="H289" s="38" t="s">
        <v>5342</v>
      </c>
      <c r="I289" s="38" t="s">
        <v>5343</v>
      </c>
      <c r="J289" s="67" t="s">
        <v>129</v>
      </c>
      <c r="K289" s="38" t="s">
        <v>4830</v>
      </c>
      <c r="L289" s="38">
        <v>8.0</v>
      </c>
      <c r="M289" s="56">
        <f>VLOOKUP(E289,'Hedef Liste'!A:I,9,false)</f>
        <v>16</v>
      </c>
      <c r="N289" s="56" t="b">
        <v>0</v>
      </c>
      <c r="O289" s="56" t="b">
        <v>0</v>
      </c>
      <c r="P289" s="56"/>
      <c r="Q289" s="56"/>
      <c r="R289" s="56"/>
      <c r="S289" s="56"/>
      <c r="T289" s="56"/>
      <c r="U289" s="56"/>
      <c r="V289" s="56"/>
      <c r="W289" s="56"/>
      <c r="X289" s="56"/>
      <c r="Y289" s="56"/>
      <c r="Z289" s="56"/>
      <c r="AA289" s="56"/>
      <c r="AB289" s="56"/>
    </row>
    <row r="290" ht="15.75" customHeight="1">
      <c r="A290" s="57" t="str">
        <f t="shared" si="1"/>
        <v/>
      </c>
      <c r="B290" s="63"/>
      <c r="C290" s="38"/>
      <c r="D290" s="38"/>
      <c r="E290" s="38"/>
      <c r="F290" s="65"/>
      <c r="G290" s="66"/>
      <c r="H290" s="38"/>
      <c r="I290" s="38"/>
      <c r="J290" s="38"/>
      <c r="K290" s="38"/>
      <c r="L290" s="38"/>
      <c r="M290" s="56" t="str">
        <f>VLOOKUP(E290,'Hedef Liste'!A:I,9,false)</f>
        <v>#N/A</v>
      </c>
      <c r="N290" s="56" t="b">
        <v>0</v>
      </c>
      <c r="O290" s="56" t="b">
        <v>0</v>
      </c>
      <c r="P290" s="56"/>
      <c r="Q290" s="56"/>
      <c r="R290" s="56"/>
      <c r="S290" s="56"/>
      <c r="T290" s="56"/>
      <c r="U290" s="56"/>
      <c r="V290" s="56"/>
      <c r="W290" s="56"/>
      <c r="X290" s="56"/>
      <c r="Y290" s="56"/>
      <c r="Z290" s="56"/>
      <c r="AA290" s="56"/>
      <c r="AB290" s="56"/>
    </row>
    <row r="291" ht="15.75" customHeight="1">
      <c r="A291" s="57" t="str">
        <f t="shared" si="1"/>
        <v/>
      </c>
      <c r="B291" s="69"/>
      <c r="C291" s="56"/>
      <c r="D291" s="38"/>
      <c r="E291" s="38"/>
      <c r="F291" s="65"/>
      <c r="G291" s="66"/>
      <c r="H291" s="38"/>
      <c r="I291" s="38"/>
      <c r="J291" s="38"/>
      <c r="K291" s="38"/>
      <c r="L291" s="38"/>
      <c r="M291" s="56"/>
      <c r="N291" s="56" t="b">
        <v>0</v>
      </c>
      <c r="O291" s="56" t="b">
        <v>0</v>
      </c>
      <c r="P291" s="56"/>
      <c r="Q291" s="56"/>
      <c r="R291" s="56"/>
      <c r="S291" s="56"/>
      <c r="T291" s="56"/>
      <c r="U291" s="56"/>
      <c r="V291" s="56"/>
      <c r="W291" s="56"/>
      <c r="X291" s="56"/>
      <c r="Y291" s="56"/>
      <c r="Z291" s="56"/>
      <c r="AA291" s="56"/>
      <c r="AB291" s="56"/>
    </row>
    <row r="292" ht="15.75" customHeight="1">
      <c r="A292" s="57" t="str">
        <f t="shared" si="1"/>
        <v/>
      </c>
      <c r="B292" s="51"/>
      <c r="C292" s="52">
        <v>44291.0</v>
      </c>
      <c r="D292" s="38"/>
      <c r="E292" s="53"/>
      <c r="F292" s="54"/>
      <c r="G292" s="54"/>
      <c r="H292" s="54"/>
      <c r="I292" s="54"/>
      <c r="J292" s="54"/>
      <c r="K292" s="54"/>
      <c r="L292" s="55"/>
      <c r="M292" s="56"/>
      <c r="N292" s="56"/>
      <c r="O292" s="56"/>
      <c r="P292" s="56"/>
      <c r="Q292" s="56"/>
      <c r="R292" s="56"/>
      <c r="S292" s="56"/>
      <c r="T292" s="56"/>
      <c r="U292" s="56"/>
      <c r="V292" s="56"/>
      <c r="W292" s="56"/>
      <c r="X292" s="56"/>
      <c r="Y292" s="56"/>
      <c r="Z292" s="56"/>
      <c r="AA292" s="56"/>
      <c r="AB292" s="56"/>
    </row>
    <row r="293" ht="15.75" customHeight="1">
      <c r="A293" s="57" t="str">
        <f t="shared" si="1"/>
        <v>5ffdef8d35e580d24e4526d6</v>
      </c>
      <c r="B293" s="58" t="s">
        <v>4827</v>
      </c>
      <c r="C293" s="56" t="s">
        <v>66</v>
      </c>
      <c r="D293" s="38" t="s">
        <v>1218</v>
      </c>
      <c r="E293" s="67" t="s">
        <v>2287</v>
      </c>
      <c r="F293" s="67" t="s">
        <v>2288</v>
      </c>
      <c r="G293" s="122">
        <v>0.4583333333333333</v>
      </c>
      <c r="H293" s="56" t="s">
        <v>5344</v>
      </c>
      <c r="I293" s="56" t="s">
        <v>5345</v>
      </c>
      <c r="J293" s="67" t="s">
        <v>2290</v>
      </c>
      <c r="K293" s="68"/>
      <c r="L293" s="38">
        <v>9.0</v>
      </c>
      <c r="M293" s="56">
        <f>VLOOKUP(E293,'Hedef Liste'!A:I,9,false)</f>
        <v>11</v>
      </c>
      <c r="N293" s="56" t="b">
        <v>0</v>
      </c>
      <c r="O293" s="56" t="b">
        <v>0</v>
      </c>
      <c r="P293" s="56"/>
      <c r="Q293" s="56"/>
      <c r="R293" s="56"/>
      <c r="S293" s="56"/>
      <c r="T293" s="56"/>
      <c r="U293" s="56"/>
      <c r="V293" s="56"/>
      <c r="W293" s="56"/>
      <c r="X293" s="56"/>
      <c r="Y293" s="56"/>
      <c r="Z293" s="56"/>
      <c r="AA293" s="56"/>
      <c r="AB293" s="56"/>
    </row>
    <row r="294" ht="15.75" customHeight="1">
      <c r="A294" s="57" t="str">
        <f t="shared" si="1"/>
        <v>5fe3af060654ee79e4e913a1</v>
      </c>
      <c r="B294" s="63"/>
      <c r="C294" s="56" t="s">
        <v>66</v>
      </c>
      <c r="D294" s="38" t="s">
        <v>1218</v>
      </c>
      <c r="E294" s="67" t="s">
        <v>2063</v>
      </c>
      <c r="F294" s="67" t="s">
        <v>2064</v>
      </c>
      <c r="G294" s="122">
        <v>0.5416666666666666</v>
      </c>
      <c r="H294" s="38" t="s">
        <v>5346</v>
      </c>
      <c r="I294" s="67" t="s">
        <v>5347</v>
      </c>
      <c r="J294" s="67" t="s">
        <v>2066</v>
      </c>
      <c r="K294" s="68"/>
      <c r="L294" s="38">
        <v>13.0</v>
      </c>
      <c r="M294" s="56">
        <f>VLOOKUP(E294,'Hedef Liste'!A:I,9,false)</f>
        <v>11</v>
      </c>
      <c r="N294" s="56" t="b">
        <v>0</v>
      </c>
      <c r="O294" s="56" t="b">
        <v>0</v>
      </c>
      <c r="P294" s="56"/>
      <c r="Q294" s="56"/>
      <c r="R294" s="56"/>
      <c r="S294" s="56"/>
      <c r="T294" s="56"/>
      <c r="U294" s="56"/>
      <c r="V294" s="56"/>
      <c r="W294" s="56"/>
      <c r="X294" s="56"/>
      <c r="Y294" s="56"/>
      <c r="Z294" s="56"/>
      <c r="AA294" s="56"/>
      <c r="AB294" s="56"/>
    </row>
    <row r="295" ht="15.75" customHeight="1">
      <c r="A295" s="57" t="str">
        <f t="shared" si="1"/>
        <v>6026d24621f176443d3a1334</v>
      </c>
      <c r="B295" s="63"/>
      <c r="C295" s="56" t="s">
        <v>66</v>
      </c>
      <c r="D295" s="38" t="s">
        <v>1218</v>
      </c>
      <c r="E295" s="67" t="s">
        <v>5348</v>
      </c>
      <c r="F295" s="67" t="s">
        <v>5349</v>
      </c>
      <c r="G295" s="66" t="s">
        <v>4892</v>
      </c>
      <c r="H295" s="67" t="s">
        <v>5228</v>
      </c>
      <c r="I295" s="67" t="s">
        <v>5350</v>
      </c>
      <c r="J295" s="67" t="s">
        <v>5351</v>
      </c>
      <c r="K295" s="38"/>
      <c r="L295" s="38">
        <v>24.0</v>
      </c>
      <c r="M295" s="56" t="str">
        <f>VLOOKUP(E295,'Hedef Liste'!A:I,9,false)</f>
        <v>#N/A</v>
      </c>
      <c r="N295" s="56" t="b">
        <v>0</v>
      </c>
      <c r="O295" s="56" t="b">
        <v>0</v>
      </c>
      <c r="P295" s="56"/>
      <c r="Q295" s="56"/>
      <c r="R295" s="56"/>
      <c r="S295" s="56"/>
      <c r="T295" s="56"/>
      <c r="U295" s="56"/>
      <c r="V295" s="56"/>
      <c r="W295" s="56"/>
      <c r="X295" s="56"/>
      <c r="Y295" s="56"/>
      <c r="Z295" s="56"/>
      <c r="AA295" s="56"/>
      <c r="AB295" s="56"/>
    </row>
    <row r="296" ht="15.75" customHeight="1">
      <c r="A296" s="57" t="str">
        <f t="shared" si="1"/>
        <v>5ff8cc0cbd264d3a6652b3e1</v>
      </c>
      <c r="B296" s="63"/>
      <c r="C296" s="56" t="s">
        <v>66</v>
      </c>
      <c r="D296" s="38" t="s">
        <v>1218</v>
      </c>
      <c r="E296" s="67" t="s">
        <v>4557</v>
      </c>
      <c r="F296" s="67" t="s">
        <v>4558</v>
      </c>
      <c r="G296" s="66" t="s">
        <v>4899</v>
      </c>
      <c r="H296" s="38" t="s">
        <v>5228</v>
      </c>
      <c r="I296" s="38" t="s">
        <v>5352</v>
      </c>
      <c r="J296" s="67" t="s">
        <v>4560</v>
      </c>
      <c r="K296" s="38"/>
      <c r="L296" s="38">
        <v>41.0</v>
      </c>
      <c r="M296" s="56">
        <f>VLOOKUP(E296,'Hedef Liste'!A:I,9,false)</f>
        <v>66</v>
      </c>
      <c r="N296" s="56" t="b">
        <v>0</v>
      </c>
      <c r="O296" s="56" t="b">
        <v>0</v>
      </c>
      <c r="P296" s="56"/>
      <c r="Q296" s="56"/>
      <c r="R296" s="56"/>
      <c r="S296" s="56"/>
      <c r="T296" s="56"/>
      <c r="U296" s="56"/>
      <c r="V296" s="56"/>
      <c r="W296" s="56"/>
      <c r="X296" s="56"/>
      <c r="Y296" s="56"/>
      <c r="Z296" s="56"/>
      <c r="AA296" s="56"/>
      <c r="AB296" s="56"/>
    </row>
    <row r="297" ht="15.75" customHeight="1">
      <c r="A297" s="57" t="str">
        <f t="shared" si="1"/>
        <v/>
      </c>
      <c r="B297" s="63"/>
      <c r="C297" s="56"/>
      <c r="D297" s="38"/>
      <c r="E297" s="64"/>
      <c r="F297" s="85"/>
      <c r="G297" s="66"/>
      <c r="H297" s="38"/>
      <c r="I297" s="38"/>
      <c r="J297" s="38"/>
      <c r="K297" s="68"/>
      <c r="L297" s="38"/>
      <c r="M297" s="56"/>
      <c r="N297" s="56" t="b">
        <v>0</v>
      </c>
      <c r="O297" s="56" t="b">
        <v>0</v>
      </c>
      <c r="P297" s="56"/>
      <c r="Q297" s="56"/>
      <c r="R297" s="56"/>
      <c r="S297" s="56"/>
      <c r="T297" s="56"/>
      <c r="U297" s="56"/>
      <c r="V297" s="56"/>
      <c r="W297" s="56"/>
      <c r="X297" s="56"/>
      <c r="Y297" s="56"/>
      <c r="Z297" s="56"/>
      <c r="AA297" s="56"/>
      <c r="AB297" s="56"/>
    </row>
    <row r="298" ht="15.75" customHeight="1">
      <c r="A298" s="57" t="str">
        <f t="shared" si="1"/>
        <v/>
      </c>
      <c r="B298" s="69"/>
      <c r="C298" s="56"/>
      <c r="D298" s="38"/>
      <c r="E298" s="38"/>
      <c r="F298" s="65"/>
      <c r="G298" s="66"/>
      <c r="H298" s="38"/>
      <c r="I298" s="38"/>
      <c r="J298" s="38"/>
      <c r="K298" s="38"/>
      <c r="L298" s="38"/>
      <c r="M298" s="56"/>
      <c r="N298" s="56" t="b">
        <v>0</v>
      </c>
      <c r="O298" s="56" t="b">
        <v>0</v>
      </c>
      <c r="P298" s="56"/>
      <c r="Q298" s="56"/>
      <c r="R298" s="56"/>
      <c r="S298" s="56"/>
      <c r="T298" s="56"/>
      <c r="U298" s="56"/>
      <c r="V298" s="56"/>
      <c r="W298" s="56"/>
      <c r="X298" s="56"/>
      <c r="Y298" s="56"/>
      <c r="Z298" s="56"/>
      <c r="AA298" s="56"/>
      <c r="AB298" s="56"/>
    </row>
    <row r="299" ht="15.75" customHeight="1">
      <c r="A299" s="57" t="str">
        <f t="shared" si="1"/>
        <v>6019c43c7d417626103a7c28</v>
      </c>
      <c r="B299" s="58" t="s">
        <v>4836</v>
      </c>
      <c r="C299" s="56" t="s">
        <v>53</v>
      </c>
      <c r="D299" s="38" t="s">
        <v>1218</v>
      </c>
      <c r="E299" s="67" t="s">
        <v>5353</v>
      </c>
      <c r="F299" s="67" t="s">
        <v>5354</v>
      </c>
      <c r="G299" s="122">
        <v>0.4791666666666667</v>
      </c>
      <c r="H299" s="38" t="s">
        <v>5355</v>
      </c>
      <c r="I299" s="56" t="s">
        <v>5356</v>
      </c>
      <c r="J299" s="67" t="s">
        <v>5357</v>
      </c>
      <c r="K299" s="68"/>
      <c r="L299" s="38">
        <v>10.0</v>
      </c>
      <c r="M299" s="56" t="str">
        <f>VLOOKUP(E299,'Hedef Liste'!A:I,9,false)</f>
        <v>#N/A</v>
      </c>
      <c r="N299" s="56" t="b">
        <v>0</v>
      </c>
      <c r="O299" s="56" t="b">
        <v>0</v>
      </c>
      <c r="P299" s="56"/>
      <c r="Q299" s="56"/>
      <c r="R299" s="56"/>
      <c r="S299" s="56"/>
      <c r="T299" s="56"/>
      <c r="U299" s="56"/>
      <c r="V299" s="56"/>
      <c r="W299" s="56"/>
      <c r="X299" s="56"/>
      <c r="Y299" s="56"/>
      <c r="Z299" s="56"/>
      <c r="AA299" s="56"/>
      <c r="AB299" s="56"/>
    </row>
    <row r="300" ht="15.75" customHeight="1">
      <c r="A300" s="57" t="str">
        <f t="shared" si="1"/>
        <v>5fe65f4ccf33764b3fb351c7</v>
      </c>
      <c r="B300" s="63"/>
      <c r="C300" s="56" t="s">
        <v>53</v>
      </c>
      <c r="D300" s="38" t="s">
        <v>1218</v>
      </c>
      <c r="E300" s="67" t="s">
        <v>2552</v>
      </c>
      <c r="F300" s="67" t="s">
        <v>2553</v>
      </c>
      <c r="G300" s="122">
        <v>0.5416666666666666</v>
      </c>
      <c r="H300" s="38" t="s">
        <v>4880</v>
      </c>
      <c r="I300" s="56" t="s">
        <v>5358</v>
      </c>
      <c r="J300" s="67" t="s">
        <v>2555</v>
      </c>
      <c r="K300" s="68"/>
      <c r="L300" s="38">
        <v>57.0</v>
      </c>
      <c r="M300" s="56">
        <f>VLOOKUP(E300,'Hedef Liste'!A:I,9,false)</f>
        <v>68</v>
      </c>
      <c r="N300" s="56" t="b">
        <v>0</v>
      </c>
      <c r="O300" s="56" t="b">
        <v>0</v>
      </c>
      <c r="P300" s="56"/>
      <c r="Q300" s="56"/>
      <c r="R300" s="56"/>
      <c r="S300" s="56"/>
      <c r="T300" s="56"/>
      <c r="U300" s="56"/>
      <c r="V300" s="56"/>
      <c r="W300" s="56"/>
      <c r="X300" s="56"/>
      <c r="Y300" s="56"/>
      <c r="Z300" s="56"/>
      <c r="AA300" s="56"/>
      <c r="AB300" s="56"/>
    </row>
    <row r="301" ht="15.75" customHeight="1">
      <c r="A301" s="57" t="str">
        <f t="shared" si="1"/>
        <v>5ff16664f351dc4322681a97</v>
      </c>
      <c r="B301" s="63"/>
      <c r="C301" s="56" t="s">
        <v>53</v>
      </c>
      <c r="D301" s="62" t="s">
        <v>1218</v>
      </c>
      <c r="E301" s="60" t="s">
        <v>3844</v>
      </c>
      <c r="F301" s="60" t="s">
        <v>3845</v>
      </c>
      <c r="G301" s="73" t="s">
        <v>4892</v>
      </c>
      <c r="H301" s="62" t="s">
        <v>4880</v>
      </c>
      <c r="I301" s="62" t="s">
        <v>5359</v>
      </c>
      <c r="J301" s="60" t="s">
        <v>3847</v>
      </c>
      <c r="K301" s="68"/>
      <c r="L301" s="38">
        <v>41.0</v>
      </c>
      <c r="M301" s="56">
        <f>VLOOKUP(E301,'Hedef Liste'!A:I,9,false)</f>
        <v>46</v>
      </c>
      <c r="N301" s="56" t="b">
        <v>0</v>
      </c>
      <c r="O301" s="56" t="b">
        <v>0</v>
      </c>
      <c r="P301" s="56"/>
      <c r="Q301" s="56"/>
      <c r="R301" s="56"/>
      <c r="S301" s="56"/>
      <c r="T301" s="56"/>
      <c r="U301" s="56"/>
      <c r="V301" s="56"/>
      <c r="W301" s="56"/>
      <c r="X301" s="56"/>
      <c r="Y301" s="56"/>
      <c r="Z301" s="56"/>
      <c r="AA301" s="56"/>
      <c r="AB301" s="56"/>
    </row>
    <row r="302" ht="15.75" customHeight="1">
      <c r="A302" s="57" t="str">
        <f t="shared" si="1"/>
        <v>60086c97b2ab7d7fdb61ff63</v>
      </c>
      <c r="B302" s="63"/>
      <c r="C302" s="56" t="s">
        <v>53</v>
      </c>
      <c r="D302" s="38" t="s">
        <v>1218</v>
      </c>
      <c r="E302" s="67" t="s">
        <v>5360</v>
      </c>
      <c r="F302" s="67" t="s">
        <v>5361</v>
      </c>
      <c r="G302" s="66" t="s">
        <v>4899</v>
      </c>
      <c r="H302" s="38" t="s">
        <v>5228</v>
      </c>
      <c r="I302" s="38" t="s">
        <v>5362</v>
      </c>
      <c r="J302" s="67" t="s">
        <v>5363</v>
      </c>
      <c r="K302" s="38"/>
      <c r="L302" s="38">
        <v>10.0</v>
      </c>
      <c r="M302" s="56" t="str">
        <f>VLOOKUP(E302,'Hedef Liste'!A:I,9,false)</f>
        <v>#N/A</v>
      </c>
      <c r="N302" s="56" t="b">
        <v>0</v>
      </c>
      <c r="O302" s="56" t="b">
        <v>0</v>
      </c>
      <c r="P302" s="56"/>
      <c r="Q302" s="56"/>
      <c r="R302" s="56"/>
      <c r="S302" s="56"/>
      <c r="T302" s="56"/>
      <c r="U302" s="56"/>
      <c r="V302" s="56"/>
      <c r="W302" s="56"/>
      <c r="X302" s="56"/>
      <c r="Y302" s="56"/>
      <c r="Z302" s="56"/>
      <c r="AA302" s="56"/>
      <c r="AB302" s="56"/>
    </row>
    <row r="303" ht="15.75" customHeight="1">
      <c r="A303" s="57" t="str">
        <f t="shared" si="1"/>
        <v/>
      </c>
      <c r="B303" s="63"/>
      <c r="C303" s="56"/>
      <c r="D303" s="64"/>
      <c r="E303" s="64"/>
      <c r="F303" s="65"/>
      <c r="G303" s="66"/>
      <c r="H303" s="38"/>
      <c r="I303" s="38"/>
      <c r="J303" s="38"/>
      <c r="K303" s="68"/>
      <c r="L303" s="38"/>
      <c r="M303" s="56"/>
      <c r="N303" s="56" t="b">
        <v>0</v>
      </c>
      <c r="O303" s="56" t="b">
        <v>0</v>
      </c>
      <c r="P303" s="56"/>
      <c r="Q303" s="56"/>
      <c r="R303" s="56"/>
      <c r="S303" s="56"/>
      <c r="T303" s="56"/>
      <c r="U303" s="56"/>
      <c r="V303" s="56"/>
      <c r="W303" s="56"/>
      <c r="X303" s="56"/>
      <c r="Y303" s="56"/>
      <c r="Z303" s="56"/>
      <c r="AA303" s="56"/>
      <c r="AB303" s="56"/>
    </row>
    <row r="304" ht="15.75" customHeight="1">
      <c r="A304" s="57" t="str">
        <f t="shared" si="1"/>
        <v/>
      </c>
      <c r="B304" s="69"/>
      <c r="C304" s="56"/>
      <c r="D304" s="38"/>
      <c r="E304" s="38"/>
      <c r="F304" s="65"/>
      <c r="G304" s="66"/>
      <c r="H304" s="38"/>
      <c r="I304" s="38"/>
      <c r="J304" s="38"/>
      <c r="K304" s="38"/>
      <c r="L304" s="38"/>
      <c r="M304" s="56"/>
      <c r="N304" s="56" t="b">
        <v>0</v>
      </c>
      <c r="O304" s="56" t="b">
        <v>0</v>
      </c>
      <c r="P304" s="56"/>
      <c r="Q304" s="56"/>
      <c r="R304" s="56"/>
      <c r="S304" s="56"/>
      <c r="T304" s="56"/>
      <c r="U304" s="56"/>
      <c r="V304" s="56"/>
      <c r="W304" s="56"/>
      <c r="X304" s="56"/>
      <c r="Y304" s="56"/>
      <c r="Z304" s="56"/>
      <c r="AA304" s="56"/>
      <c r="AB304" s="56"/>
    </row>
    <row r="305" ht="15.75" customHeight="1">
      <c r="A305" s="57" t="str">
        <f t="shared" si="1"/>
        <v>6058ea7b63464df43bf369ad</v>
      </c>
      <c r="B305" s="58" t="s">
        <v>4850</v>
      </c>
      <c r="C305" s="38" t="s">
        <v>278</v>
      </c>
      <c r="D305" s="62" t="s">
        <v>1218</v>
      </c>
      <c r="E305" s="60" t="s">
        <v>3188</v>
      </c>
      <c r="F305" s="60" t="s">
        <v>3189</v>
      </c>
      <c r="G305" s="124">
        <v>0.4583333333333333</v>
      </c>
      <c r="H305" s="59" t="s">
        <v>5228</v>
      </c>
      <c r="I305" s="59" t="s">
        <v>5364</v>
      </c>
      <c r="J305" s="60" t="s">
        <v>3191</v>
      </c>
      <c r="K305" s="38" t="s">
        <v>4830</v>
      </c>
      <c r="L305" s="38">
        <v>2.0</v>
      </c>
      <c r="M305" s="56">
        <f>VLOOKUP(E305,'Hedef Liste'!A:I,9,false)</f>
        <v>7</v>
      </c>
      <c r="N305" s="56" t="b">
        <v>0</v>
      </c>
      <c r="O305" s="56" t="b">
        <v>0</v>
      </c>
      <c r="P305" s="56"/>
      <c r="Q305" s="56"/>
      <c r="R305" s="56"/>
      <c r="S305" s="56"/>
      <c r="T305" s="56"/>
      <c r="U305" s="56"/>
      <c r="V305" s="56"/>
      <c r="W305" s="56"/>
      <c r="X305" s="56"/>
      <c r="Y305" s="56"/>
      <c r="Z305" s="56"/>
      <c r="AA305" s="56"/>
      <c r="AB305" s="56"/>
    </row>
    <row r="306" ht="15.75" customHeight="1">
      <c r="A306" s="57" t="str">
        <f t="shared" si="1"/>
        <v>6047640795464abc5885727c</v>
      </c>
      <c r="B306" s="63"/>
      <c r="C306" s="38" t="s">
        <v>278</v>
      </c>
      <c r="D306" s="38" t="s">
        <v>1218</v>
      </c>
      <c r="E306" s="67" t="s">
        <v>5365</v>
      </c>
      <c r="F306" s="67" t="s">
        <v>5366</v>
      </c>
      <c r="G306" s="122">
        <v>0.5416666666666666</v>
      </c>
      <c r="H306" s="38" t="s">
        <v>5367</v>
      </c>
      <c r="I306" s="67" t="s">
        <v>5368</v>
      </c>
      <c r="J306" s="67" t="s">
        <v>5369</v>
      </c>
      <c r="K306" s="112" t="s">
        <v>5370</v>
      </c>
      <c r="L306" s="38"/>
      <c r="M306" s="56"/>
      <c r="N306" s="56" t="b">
        <v>0</v>
      </c>
      <c r="O306" s="56" t="b">
        <v>0</v>
      </c>
      <c r="P306" s="56"/>
      <c r="Q306" s="56"/>
      <c r="R306" s="56"/>
      <c r="S306" s="56"/>
      <c r="T306" s="56"/>
      <c r="U306" s="56"/>
      <c r="V306" s="56"/>
      <c r="W306" s="56"/>
      <c r="X306" s="56"/>
      <c r="Y306" s="56"/>
      <c r="Z306" s="56"/>
      <c r="AA306" s="56"/>
      <c r="AB306" s="56"/>
    </row>
    <row r="307" ht="15.75" customHeight="1">
      <c r="A307" s="57" t="str">
        <f t="shared" si="1"/>
        <v>5fdf9ee624561e482d95d566</v>
      </c>
      <c r="B307" s="63"/>
      <c r="C307" s="38" t="s">
        <v>278</v>
      </c>
      <c r="D307" s="38" t="s">
        <v>1218</v>
      </c>
      <c r="E307" s="67" t="s">
        <v>2562</v>
      </c>
      <c r="F307" s="67" t="s">
        <v>2563</v>
      </c>
      <c r="G307" s="66" t="s">
        <v>4892</v>
      </c>
      <c r="H307" s="67" t="s">
        <v>4880</v>
      </c>
      <c r="I307" s="67" t="s">
        <v>5371</v>
      </c>
      <c r="J307" s="67" t="s">
        <v>2565</v>
      </c>
      <c r="K307" s="38" t="s">
        <v>4830</v>
      </c>
      <c r="L307" s="38">
        <v>18.0</v>
      </c>
      <c r="M307" s="56">
        <f>VLOOKUP(E307,'Hedef Liste'!A:I,9,false)</f>
        <v>30</v>
      </c>
      <c r="N307" s="56" t="b">
        <v>0</v>
      </c>
      <c r="O307" s="56" t="b">
        <v>0</v>
      </c>
      <c r="P307" s="56"/>
      <c r="Q307" s="56"/>
      <c r="R307" s="56"/>
      <c r="S307" s="56"/>
      <c r="T307" s="56"/>
      <c r="U307" s="56"/>
      <c r="V307" s="56"/>
      <c r="W307" s="56"/>
      <c r="X307" s="56"/>
      <c r="Y307" s="56"/>
      <c r="Z307" s="56"/>
      <c r="AA307" s="56"/>
      <c r="AB307" s="56"/>
    </row>
    <row r="308" ht="15.75" customHeight="1">
      <c r="A308" s="57" t="str">
        <f t="shared" si="1"/>
        <v>604f1eaf2a6e315650d8d815</v>
      </c>
      <c r="B308" s="63"/>
      <c r="C308" s="38" t="s">
        <v>278</v>
      </c>
      <c r="D308" s="38" t="s">
        <v>1218</v>
      </c>
      <c r="E308" s="77" t="s">
        <v>3064</v>
      </c>
      <c r="F308" s="77" t="s">
        <v>3065</v>
      </c>
      <c r="G308" s="82" t="s">
        <v>4899</v>
      </c>
      <c r="H308" s="76" t="s">
        <v>5372</v>
      </c>
      <c r="I308" s="76" t="s">
        <v>5373</v>
      </c>
      <c r="J308" s="114" t="s">
        <v>3067</v>
      </c>
      <c r="K308" s="38" t="s">
        <v>5374</v>
      </c>
      <c r="L308" s="38"/>
      <c r="M308" s="56">
        <f>VLOOKUP(E308,'Hedef Liste'!A:I,9,false)</f>
        <v>24</v>
      </c>
      <c r="N308" s="56" t="b">
        <v>0</v>
      </c>
      <c r="O308" s="56" t="b">
        <v>0</v>
      </c>
      <c r="P308" s="56"/>
      <c r="Q308" s="56"/>
      <c r="R308" s="56"/>
      <c r="S308" s="56"/>
      <c r="T308" s="56"/>
      <c r="U308" s="56"/>
      <c r="V308" s="56"/>
      <c r="W308" s="56"/>
      <c r="X308" s="56"/>
      <c r="Y308" s="56"/>
      <c r="Z308" s="56"/>
      <c r="AA308" s="56"/>
      <c r="AB308" s="56"/>
    </row>
    <row r="309" ht="15.75" customHeight="1">
      <c r="A309" s="57" t="str">
        <f t="shared" si="1"/>
        <v>602d3c287491a96048064111</v>
      </c>
      <c r="B309" s="63"/>
      <c r="C309" s="38" t="s">
        <v>278</v>
      </c>
      <c r="D309" s="38" t="s">
        <v>52</v>
      </c>
      <c r="E309" s="67" t="s">
        <v>4145</v>
      </c>
      <c r="F309" s="67" t="s">
        <v>4146</v>
      </c>
      <c r="G309" s="66" t="s">
        <v>4899</v>
      </c>
      <c r="H309" s="38" t="s">
        <v>5029</v>
      </c>
      <c r="I309" s="38" t="s">
        <v>5375</v>
      </c>
      <c r="J309" s="67" t="s">
        <v>4148</v>
      </c>
      <c r="K309" s="38" t="s">
        <v>4830</v>
      </c>
      <c r="L309" s="38">
        <v>71.0</v>
      </c>
      <c r="M309" s="56">
        <f>VLOOKUP(E309,'Hedef Liste'!A:I,9,false)</f>
        <v>51</v>
      </c>
      <c r="N309" s="56" t="b">
        <v>0</v>
      </c>
      <c r="O309" s="56" t="b">
        <v>0</v>
      </c>
      <c r="P309" s="56"/>
      <c r="Q309" s="56"/>
      <c r="R309" s="56"/>
      <c r="S309" s="56"/>
      <c r="T309" s="56"/>
      <c r="U309" s="56"/>
      <c r="V309" s="56"/>
      <c r="W309" s="56"/>
      <c r="X309" s="56"/>
      <c r="Y309" s="56"/>
      <c r="Z309" s="56"/>
      <c r="AA309" s="56"/>
      <c r="AB309" s="56"/>
    </row>
    <row r="310" ht="15.75" customHeight="1">
      <c r="A310" s="57" t="str">
        <f t="shared" si="1"/>
        <v/>
      </c>
      <c r="B310" s="69"/>
      <c r="C310" s="56"/>
      <c r="D310" s="38"/>
      <c r="E310" s="38"/>
      <c r="F310" s="65"/>
      <c r="G310" s="66"/>
      <c r="H310" s="38"/>
      <c r="I310" s="38"/>
      <c r="J310" s="38"/>
      <c r="K310" s="38"/>
      <c r="L310" s="38"/>
      <c r="M310" s="56"/>
      <c r="N310" s="56" t="b">
        <v>0</v>
      </c>
      <c r="O310" s="56" t="b">
        <v>0</v>
      </c>
      <c r="P310" s="56"/>
      <c r="Q310" s="56"/>
      <c r="R310" s="56"/>
      <c r="S310" s="56"/>
      <c r="T310" s="56"/>
      <c r="U310" s="56"/>
      <c r="V310" s="56"/>
      <c r="W310" s="56"/>
      <c r="X310" s="56"/>
      <c r="Y310" s="56"/>
      <c r="Z310" s="56"/>
      <c r="AA310" s="56"/>
      <c r="AB310" s="56"/>
    </row>
    <row r="311" ht="15.75" customHeight="1">
      <c r="A311" s="57" t="str">
        <f t="shared" si="1"/>
        <v/>
      </c>
      <c r="B311" s="51"/>
      <c r="C311" s="52">
        <v>44292.0</v>
      </c>
      <c r="D311" s="38"/>
      <c r="E311" s="53"/>
      <c r="F311" s="54"/>
      <c r="G311" s="54"/>
      <c r="H311" s="54"/>
      <c r="I311" s="54"/>
      <c r="J311" s="54"/>
      <c r="K311" s="54"/>
      <c r="L311" s="55"/>
      <c r="M311" s="56"/>
      <c r="N311" s="56"/>
      <c r="O311" s="56"/>
      <c r="P311" s="56"/>
      <c r="Q311" s="56"/>
      <c r="R311" s="56"/>
      <c r="S311" s="56"/>
      <c r="T311" s="56"/>
      <c r="U311" s="56"/>
      <c r="V311" s="56"/>
      <c r="W311" s="56"/>
      <c r="X311" s="56"/>
      <c r="Y311" s="56"/>
      <c r="Z311" s="56"/>
      <c r="AA311" s="56"/>
      <c r="AB311" s="56"/>
    </row>
    <row r="312" ht="15.75" customHeight="1">
      <c r="A312" s="57" t="str">
        <f t="shared" si="1"/>
        <v>5fe373e523ff89158ea7b6b4</v>
      </c>
      <c r="B312" s="58" t="s">
        <v>4827</v>
      </c>
      <c r="C312" s="56" t="s">
        <v>66</v>
      </c>
      <c r="D312" s="38" t="s">
        <v>258</v>
      </c>
      <c r="E312" s="67" t="s">
        <v>1381</v>
      </c>
      <c r="F312" s="67" t="s">
        <v>1382</v>
      </c>
      <c r="G312" s="122">
        <v>0.4583333333333333</v>
      </c>
      <c r="H312" s="56" t="s">
        <v>5205</v>
      </c>
      <c r="I312" s="56" t="s">
        <v>5376</v>
      </c>
      <c r="J312" s="67" t="s">
        <v>1384</v>
      </c>
      <c r="K312" s="68"/>
      <c r="L312" s="38">
        <v>8.0</v>
      </c>
      <c r="M312" s="56">
        <f>VLOOKUP(E312,'Hedef Liste'!A:I,9,false)</f>
        <v>46</v>
      </c>
      <c r="N312" s="56" t="b">
        <v>0</v>
      </c>
      <c r="O312" s="56" t="b">
        <v>0</v>
      </c>
      <c r="P312" s="56"/>
      <c r="Q312" s="56"/>
      <c r="R312" s="56"/>
      <c r="S312" s="56"/>
      <c r="T312" s="56"/>
      <c r="U312" s="56"/>
      <c r="V312" s="56"/>
      <c r="W312" s="56"/>
      <c r="X312" s="56"/>
      <c r="Y312" s="56"/>
      <c r="Z312" s="56"/>
      <c r="AA312" s="56"/>
      <c r="AB312" s="56"/>
    </row>
    <row r="313" ht="15.75" customHeight="1">
      <c r="A313" s="57" t="str">
        <f t="shared" si="1"/>
        <v>603e835960cc467924887114</v>
      </c>
      <c r="B313" s="63"/>
      <c r="C313" s="56" t="s">
        <v>66</v>
      </c>
      <c r="D313" s="38" t="s">
        <v>258</v>
      </c>
      <c r="E313" s="67" t="s">
        <v>1887</v>
      </c>
      <c r="F313" s="67" t="s">
        <v>1888</v>
      </c>
      <c r="G313" s="122">
        <v>0.5416666666666666</v>
      </c>
      <c r="H313" s="38" t="s">
        <v>5026</v>
      </c>
      <c r="I313" s="67" t="s">
        <v>5377</v>
      </c>
      <c r="J313" s="67" t="s">
        <v>1890</v>
      </c>
      <c r="K313" s="68"/>
      <c r="L313" s="38">
        <v>21.0</v>
      </c>
      <c r="M313" s="56">
        <f>VLOOKUP(E313,'Hedef Liste'!A:I,9,false)</f>
        <v>27</v>
      </c>
      <c r="N313" s="56" t="b">
        <v>0</v>
      </c>
      <c r="O313" s="56" t="b">
        <v>0</v>
      </c>
      <c r="P313" s="56"/>
      <c r="Q313" s="56"/>
      <c r="R313" s="56"/>
      <c r="S313" s="56"/>
      <c r="T313" s="56"/>
      <c r="U313" s="56"/>
      <c r="V313" s="56"/>
      <c r="W313" s="56"/>
      <c r="X313" s="56"/>
      <c r="Y313" s="56"/>
      <c r="Z313" s="56"/>
      <c r="AA313" s="56"/>
      <c r="AB313" s="56"/>
    </row>
    <row r="314" ht="15.75" customHeight="1">
      <c r="A314" s="57" t="str">
        <f t="shared" si="1"/>
        <v>5ff8ad273b0c6d0d6a0de500</v>
      </c>
      <c r="B314" s="63"/>
      <c r="C314" s="56" t="s">
        <v>66</v>
      </c>
      <c r="D314" s="38" t="s">
        <v>258</v>
      </c>
      <c r="E314" s="67" t="s">
        <v>987</v>
      </c>
      <c r="F314" s="67" t="s">
        <v>988</v>
      </c>
      <c r="G314" s="66" t="s">
        <v>4892</v>
      </c>
      <c r="H314" s="67" t="s">
        <v>5378</v>
      </c>
      <c r="I314" s="67" t="s">
        <v>5379</v>
      </c>
      <c r="J314" s="67" t="s">
        <v>990</v>
      </c>
      <c r="K314" s="38"/>
      <c r="L314" s="38">
        <v>47.0</v>
      </c>
      <c r="M314" s="56">
        <f>VLOOKUP(E314,'Hedef Liste'!A:I,9,false)</f>
        <v>64</v>
      </c>
      <c r="N314" s="56" t="b">
        <v>0</v>
      </c>
      <c r="O314" s="56" t="b">
        <v>0</v>
      </c>
      <c r="P314" s="56"/>
      <c r="Q314" s="56"/>
      <c r="R314" s="56"/>
      <c r="S314" s="56"/>
      <c r="T314" s="56"/>
      <c r="U314" s="56"/>
      <c r="V314" s="56"/>
      <c r="W314" s="56"/>
      <c r="X314" s="56"/>
      <c r="Y314" s="56"/>
      <c r="Z314" s="56"/>
      <c r="AA314" s="56"/>
      <c r="AB314" s="56"/>
    </row>
    <row r="315" ht="15.75" customHeight="1">
      <c r="A315" s="57" t="str">
        <f t="shared" si="1"/>
        <v>6021883198337bc1cb4ecc75</v>
      </c>
      <c r="B315" s="63"/>
      <c r="C315" s="56" t="s">
        <v>66</v>
      </c>
      <c r="D315" s="38" t="s">
        <v>258</v>
      </c>
      <c r="E315" s="77" t="s">
        <v>5380</v>
      </c>
      <c r="F315" s="77" t="s">
        <v>5381</v>
      </c>
      <c r="G315" s="82" t="s">
        <v>4899</v>
      </c>
      <c r="H315" s="76" t="s">
        <v>5205</v>
      </c>
      <c r="I315" s="76" t="s">
        <v>5382</v>
      </c>
      <c r="J315" s="77" t="s">
        <v>5383</v>
      </c>
      <c r="K315" s="38" t="s">
        <v>5384</v>
      </c>
      <c r="L315" s="38"/>
      <c r="M315" s="56" t="str">
        <f>VLOOKUP(E315,'Hedef Liste'!A:I,9,false)</f>
        <v>#N/A</v>
      </c>
      <c r="N315" s="56" t="b">
        <v>0</v>
      </c>
      <c r="O315" s="56" t="b">
        <v>0</v>
      </c>
      <c r="P315" s="56"/>
      <c r="Q315" s="56"/>
      <c r="R315" s="56"/>
      <c r="S315" s="56"/>
      <c r="T315" s="56"/>
      <c r="U315" s="56"/>
      <c r="V315" s="56"/>
      <c r="W315" s="56"/>
      <c r="X315" s="56"/>
      <c r="Y315" s="56"/>
      <c r="Z315" s="56"/>
      <c r="AA315" s="56"/>
      <c r="AB315" s="56"/>
    </row>
    <row r="316" ht="15.75" customHeight="1">
      <c r="A316" s="57" t="str">
        <f t="shared" si="1"/>
        <v>604a0f080392aa0e752372c8</v>
      </c>
      <c r="B316" s="63"/>
      <c r="C316" s="56" t="s">
        <v>66</v>
      </c>
      <c r="D316" s="38" t="s">
        <v>52</v>
      </c>
      <c r="E316" s="67" t="s">
        <v>5385</v>
      </c>
      <c r="F316" s="67" t="s">
        <v>5386</v>
      </c>
      <c r="G316" s="66" t="s">
        <v>4899</v>
      </c>
      <c r="H316" s="38" t="s">
        <v>5058</v>
      </c>
      <c r="I316" s="38" t="s">
        <v>5387</v>
      </c>
      <c r="J316" s="67" t="s">
        <v>5388</v>
      </c>
      <c r="K316" s="68"/>
      <c r="L316" s="38">
        <v>5.0</v>
      </c>
      <c r="M316" s="56"/>
      <c r="N316" s="56" t="b">
        <v>0</v>
      </c>
      <c r="O316" s="56" t="b">
        <v>0</v>
      </c>
      <c r="P316" s="56"/>
      <c r="Q316" s="56"/>
      <c r="R316" s="56"/>
      <c r="S316" s="56"/>
      <c r="T316" s="56"/>
      <c r="U316" s="56"/>
      <c r="V316" s="56"/>
      <c r="W316" s="56"/>
      <c r="X316" s="56"/>
      <c r="Y316" s="56"/>
      <c r="Z316" s="56"/>
      <c r="AA316" s="56"/>
      <c r="AB316" s="56"/>
    </row>
    <row r="317" ht="15.75" customHeight="1">
      <c r="A317" s="57" t="str">
        <f t="shared" si="1"/>
        <v/>
      </c>
      <c r="B317" s="63"/>
      <c r="C317" s="56"/>
      <c r="D317" s="38"/>
      <c r="E317" s="64"/>
      <c r="F317" s="85"/>
      <c r="G317" s="79">
        <v>0.7708333333333334</v>
      </c>
      <c r="H317" s="38"/>
      <c r="I317" s="38"/>
      <c r="J317" s="38"/>
      <c r="K317" s="68"/>
      <c r="L317" s="38"/>
      <c r="M317" s="56"/>
      <c r="N317" s="56" t="b">
        <v>0</v>
      </c>
      <c r="O317" s="56" t="b">
        <v>0</v>
      </c>
      <c r="P317" s="56"/>
      <c r="Q317" s="56"/>
      <c r="R317" s="56"/>
      <c r="S317" s="56"/>
      <c r="T317" s="56"/>
      <c r="U317" s="56"/>
      <c r="V317" s="56"/>
      <c r="W317" s="56"/>
      <c r="X317" s="56"/>
      <c r="Y317" s="56"/>
      <c r="Z317" s="56"/>
      <c r="AA317" s="56"/>
      <c r="AB317" s="56"/>
    </row>
    <row r="318" ht="15.75" customHeight="1">
      <c r="A318" s="57" t="str">
        <f t="shared" si="1"/>
        <v/>
      </c>
      <c r="B318" s="69"/>
      <c r="C318" s="56"/>
      <c r="D318" s="38"/>
      <c r="E318" s="38"/>
      <c r="F318" s="127" t="s">
        <v>5389</v>
      </c>
      <c r="G318" s="66"/>
      <c r="H318" s="38"/>
      <c r="I318" s="38"/>
      <c r="J318" s="38"/>
      <c r="K318" s="38"/>
      <c r="L318" s="38"/>
      <c r="M318" s="56"/>
      <c r="N318" s="56" t="b">
        <v>0</v>
      </c>
      <c r="O318" s="56" t="b">
        <v>0</v>
      </c>
      <c r="P318" s="56"/>
      <c r="Q318" s="56"/>
      <c r="R318" s="56"/>
      <c r="S318" s="56"/>
      <c r="T318" s="56"/>
      <c r="U318" s="56"/>
      <c r="V318" s="56"/>
      <c r="W318" s="56"/>
      <c r="X318" s="56"/>
      <c r="Y318" s="56"/>
      <c r="Z318" s="56"/>
      <c r="AA318" s="56"/>
      <c r="AB318" s="56"/>
    </row>
    <row r="319" ht="15.75" customHeight="1">
      <c r="A319" s="57" t="str">
        <f t="shared" si="1"/>
        <v>6058f86e407cdbd8f0968696</v>
      </c>
      <c r="B319" s="58" t="s">
        <v>4836</v>
      </c>
      <c r="C319" s="56" t="s">
        <v>53</v>
      </c>
      <c r="D319" s="38" t="s">
        <v>258</v>
      </c>
      <c r="E319" s="67" t="s">
        <v>767</v>
      </c>
      <c r="F319" s="67" t="s">
        <v>768</v>
      </c>
      <c r="G319" s="122">
        <v>0.4583333333333333</v>
      </c>
      <c r="H319" s="38" t="s">
        <v>5390</v>
      </c>
      <c r="I319" s="56" t="s">
        <v>5391</v>
      </c>
      <c r="J319" s="38" t="s">
        <v>771</v>
      </c>
      <c r="K319" s="68"/>
      <c r="L319" s="38">
        <v>13.0</v>
      </c>
      <c r="M319" s="56">
        <f>VLOOKUP(E319,'Hedef Liste'!A:I,9,false)</f>
        <v>5</v>
      </c>
      <c r="N319" s="56" t="b">
        <v>0</v>
      </c>
      <c r="O319" s="56" t="b">
        <v>0</v>
      </c>
      <c r="P319" s="56"/>
      <c r="Q319" s="56"/>
      <c r="R319" s="56"/>
      <c r="S319" s="56"/>
      <c r="T319" s="56"/>
      <c r="U319" s="56"/>
      <c r="V319" s="56"/>
      <c r="W319" s="56"/>
      <c r="X319" s="56"/>
      <c r="Y319" s="56"/>
      <c r="Z319" s="56"/>
      <c r="AA319" s="56"/>
      <c r="AB319" s="56"/>
    </row>
    <row r="320" ht="15.75" customHeight="1">
      <c r="A320" s="57" t="str">
        <f t="shared" si="1"/>
        <v>604e2512d977096de84ebaf0</v>
      </c>
      <c r="B320" s="63"/>
      <c r="C320" s="56" t="s">
        <v>53</v>
      </c>
      <c r="D320" s="38" t="s">
        <v>258</v>
      </c>
      <c r="E320" s="77" t="s">
        <v>2117</v>
      </c>
      <c r="F320" s="77" t="s">
        <v>2118</v>
      </c>
      <c r="G320" s="120">
        <v>0.5416666666666666</v>
      </c>
      <c r="H320" s="76" t="s">
        <v>5390</v>
      </c>
      <c r="I320" s="93" t="s">
        <v>5392</v>
      </c>
      <c r="J320" s="76" t="s">
        <v>2120</v>
      </c>
      <c r="K320" s="38" t="s">
        <v>5393</v>
      </c>
      <c r="L320" s="38"/>
      <c r="M320" s="56">
        <f>VLOOKUP(E320,'Hedef Liste'!A:I,9,false)</f>
        <v>122</v>
      </c>
      <c r="N320" s="56" t="b">
        <v>0</v>
      </c>
      <c r="O320" s="56" t="b">
        <v>0</v>
      </c>
      <c r="P320" s="56"/>
      <c r="Q320" s="56"/>
      <c r="R320" s="56"/>
      <c r="S320" s="56"/>
      <c r="T320" s="56"/>
      <c r="U320" s="56"/>
      <c r="V320" s="56"/>
      <c r="W320" s="56"/>
      <c r="X320" s="56"/>
      <c r="Y320" s="56"/>
      <c r="Z320" s="56"/>
      <c r="AA320" s="56"/>
      <c r="AB320" s="56"/>
    </row>
    <row r="321" ht="15.75" customHeight="1">
      <c r="A321" s="57" t="str">
        <f t="shared" si="1"/>
        <v/>
      </c>
      <c r="B321" s="63"/>
      <c r="C321" s="56" t="s">
        <v>53</v>
      </c>
      <c r="D321" s="38"/>
      <c r="E321" s="67"/>
      <c r="F321" s="67"/>
      <c r="G321" s="66"/>
      <c r="H321" s="38"/>
      <c r="I321" s="38"/>
      <c r="J321" s="67"/>
      <c r="K321" s="68"/>
      <c r="L321" s="38"/>
      <c r="M321" s="56" t="str">
        <f>VLOOKUP(E321,'Hedef Liste'!A:I,9,false)</f>
        <v>#N/A</v>
      </c>
      <c r="N321" s="56" t="b">
        <v>0</v>
      </c>
      <c r="O321" s="56" t="b">
        <v>0</v>
      </c>
      <c r="P321" s="56"/>
      <c r="Q321" s="56"/>
      <c r="R321" s="56"/>
      <c r="S321" s="56"/>
      <c r="T321" s="56"/>
      <c r="U321" s="56"/>
      <c r="V321" s="56"/>
      <c r="W321" s="56"/>
      <c r="X321" s="56"/>
      <c r="Y321" s="56"/>
      <c r="Z321" s="56"/>
      <c r="AA321" s="56"/>
      <c r="AB321" s="56"/>
    </row>
    <row r="322" ht="15.75" customHeight="1">
      <c r="A322" s="57" t="str">
        <f t="shared" si="1"/>
        <v/>
      </c>
      <c r="B322" s="63"/>
      <c r="C322" s="56" t="s">
        <v>53</v>
      </c>
      <c r="D322" s="38"/>
      <c r="E322" s="57"/>
      <c r="F322" s="126"/>
      <c r="G322" s="66"/>
      <c r="H322" s="38"/>
      <c r="I322" s="38"/>
      <c r="J322" s="57"/>
      <c r="K322" s="38"/>
      <c r="L322" s="38"/>
      <c r="M322" s="56" t="str">
        <f>VLOOKUP(E322,'Hedef Liste'!A:I,9,false)</f>
        <v>#N/A</v>
      </c>
      <c r="N322" s="56" t="b">
        <v>0</v>
      </c>
      <c r="O322" s="56" t="b">
        <v>0</v>
      </c>
      <c r="P322" s="56"/>
      <c r="Q322" s="56"/>
      <c r="R322" s="56"/>
      <c r="S322" s="56"/>
      <c r="T322" s="56"/>
      <c r="U322" s="56"/>
      <c r="V322" s="56"/>
      <c r="W322" s="56"/>
      <c r="X322" s="56"/>
      <c r="Y322" s="56"/>
      <c r="Z322" s="56"/>
      <c r="AA322" s="56"/>
      <c r="AB322" s="56"/>
    </row>
    <row r="323" ht="15.75" customHeight="1">
      <c r="A323" s="57" t="str">
        <f t="shared" si="1"/>
        <v/>
      </c>
      <c r="B323" s="63"/>
      <c r="C323" s="56"/>
      <c r="D323" s="64"/>
      <c r="E323" s="64"/>
      <c r="F323" s="65"/>
      <c r="G323" s="66"/>
      <c r="H323" s="38"/>
      <c r="I323" s="38"/>
      <c r="J323" s="38"/>
      <c r="K323" s="68"/>
      <c r="L323" s="38"/>
      <c r="M323" s="56"/>
      <c r="N323" s="56" t="b">
        <v>0</v>
      </c>
      <c r="O323" s="56" t="b">
        <v>0</v>
      </c>
      <c r="P323" s="56"/>
      <c r="Q323" s="56"/>
      <c r="R323" s="56"/>
      <c r="S323" s="56"/>
      <c r="T323" s="56"/>
      <c r="U323" s="56"/>
      <c r="V323" s="56"/>
      <c r="W323" s="56"/>
      <c r="X323" s="56"/>
      <c r="Y323" s="56"/>
      <c r="Z323" s="56"/>
      <c r="AA323" s="56"/>
      <c r="AB323" s="56"/>
    </row>
    <row r="324" ht="15.75" customHeight="1">
      <c r="A324" s="57" t="str">
        <f t="shared" si="1"/>
        <v/>
      </c>
      <c r="B324" s="69"/>
      <c r="C324" s="56"/>
      <c r="D324" s="38"/>
      <c r="E324" s="38"/>
      <c r="F324" s="65"/>
      <c r="G324" s="66"/>
      <c r="H324" s="38"/>
      <c r="I324" s="38"/>
      <c r="J324" s="38"/>
      <c r="K324" s="38"/>
      <c r="L324" s="38"/>
      <c r="M324" s="56"/>
      <c r="N324" s="56" t="b">
        <v>0</v>
      </c>
      <c r="O324" s="56" t="b">
        <v>0</v>
      </c>
      <c r="P324" s="56"/>
      <c r="Q324" s="56"/>
      <c r="R324" s="56"/>
      <c r="S324" s="56"/>
      <c r="T324" s="56"/>
      <c r="U324" s="56"/>
      <c r="V324" s="56"/>
      <c r="W324" s="56"/>
      <c r="X324" s="56"/>
      <c r="Y324" s="56"/>
      <c r="Z324" s="56"/>
      <c r="AA324" s="56"/>
      <c r="AB324" s="56"/>
    </row>
    <row r="325" ht="15.75" customHeight="1">
      <c r="A325" s="57" t="str">
        <f t="shared" si="1"/>
        <v>60157914d9ee3ceaad044bf4</v>
      </c>
      <c r="B325" s="58" t="s">
        <v>4850</v>
      </c>
      <c r="C325" s="38" t="s">
        <v>278</v>
      </c>
      <c r="D325" s="62" t="s">
        <v>258</v>
      </c>
      <c r="E325" s="60" t="s">
        <v>3334</v>
      </c>
      <c r="F325" s="60" t="s">
        <v>3335</v>
      </c>
      <c r="G325" s="124">
        <v>0.4583333333333333</v>
      </c>
      <c r="H325" s="59" t="s">
        <v>5394</v>
      </c>
      <c r="I325" s="59" t="s">
        <v>5395</v>
      </c>
      <c r="J325" s="60" t="s">
        <v>3337</v>
      </c>
      <c r="K325" s="38" t="s">
        <v>4830</v>
      </c>
      <c r="L325" s="38">
        <v>10.0</v>
      </c>
      <c r="M325" s="56">
        <f>VLOOKUP(E325,'Hedef Liste'!A:I,9,false)</f>
        <v>29</v>
      </c>
      <c r="N325" s="56" t="b">
        <v>0</v>
      </c>
      <c r="O325" s="56" t="b">
        <v>0</v>
      </c>
      <c r="P325" s="56"/>
      <c r="Q325" s="56"/>
      <c r="R325" s="56"/>
      <c r="S325" s="56"/>
      <c r="T325" s="56"/>
      <c r="U325" s="56"/>
      <c r="V325" s="56"/>
      <c r="W325" s="56"/>
      <c r="X325" s="56"/>
      <c r="Y325" s="56"/>
      <c r="Z325" s="56"/>
      <c r="AA325" s="56"/>
      <c r="AB325" s="56"/>
    </row>
    <row r="326" ht="15.75" customHeight="1">
      <c r="A326" s="57" t="str">
        <f t="shared" si="1"/>
        <v>60380b1e33826779db3f91c1</v>
      </c>
      <c r="B326" s="63"/>
      <c r="C326" s="38" t="s">
        <v>278</v>
      </c>
      <c r="D326" s="62" t="s">
        <v>258</v>
      </c>
      <c r="E326" s="60" t="s">
        <v>3167</v>
      </c>
      <c r="F326" s="60" t="s">
        <v>3168</v>
      </c>
      <c r="G326" s="124">
        <v>0.5833333333333334</v>
      </c>
      <c r="H326" s="62" t="s">
        <v>5186</v>
      </c>
      <c r="I326" s="60" t="s">
        <v>5396</v>
      </c>
      <c r="J326" s="60" t="s">
        <v>3170</v>
      </c>
      <c r="K326" s="38" t="s">
        <v>4830</v>
      </c>
      <c r="L326" s="38">
        <v>11.0</v>
      </c>
      <c r="M326" s="56">
        <f>VLOOKUP(E326,'Hedef Liste'!A:I,9,false)</f>
        <v>15</v>
      </c>
      <c r="N326" s="56" t="b">
        <v>0</v>
      </c>
      <c r="O326" s="56" t="b">
        <v>0</v>
      </c>
      <c r="P326" s="56"/>
      <c r="Q326" s="56"/>
      <c r="R326" s="56"/>
      <c r="S326" s="56"/>
      <c r="T326" s="56"/>
      <c r="U326" s="56"/>
      <c r="V326" s="56"/>
      <c r="W326" s="56"/>
      <c r="X326" s="56"/>
      <c r="Y326" s="56"/>
      <c r="Z326" s="56"/>
      <c r="AA326" s="56"/>
      <c r="AB326" s="56"/>
    </row>
    <row r="327" ht="15.75" customHeight="1">
      <c r="A327" s="57" t="str">
        <f t="shared" si="1"/>
        <v>5fe10e6b8795623550cc669f</v>
      </c>
      <c r="B327" s="63"/>
      <c r="C327" s="38" t="s">
        <v>278</v>
      </c>
      <c r="D327" s="62" t="s">
        <v>258</v>
      </c>
      <c r="E327" s="60" t="s">
        <v>4043</v>
      </c>
      <c r="F327" s="60" t="s">
        <v>4044</v>
      </c>
      <c r="G327" s="73" t="s">
        <v>4858</v>
      </c>
      <c r="H327" s="60" t="s">
        <v>5397</v>
      </c>
      <c r="I327" s="60" t="s">
        <v>5398</v>
      </c>
      <c r="J327" s="60" t="s">
        <v>4046</v>
      </c>
      <c r="K327" s="38" t="s">
        <v>4830</v>
      </c>
      <c r="L327" s="38">
        <v>12.0</v>
      </c>
      <c r="M327" s="56">
        <f>VLOOKUP(E327,'Hedef Liste'!A:I,9,false)</f>
        <v>14</v>
      </c>
      <c r="N327" s="56" t="b">
        <v>0</v>
      </c>
      <c r="O327" s="56" t="b">
        <v>0</v>
      </c>
      <c r="P327" s="56"/>
      <c r="Q327" s="56"/>
      <c r="R327" s="56"/>
      <c r="S327" s="56"/>
      <c r="T327" s="56"/>
      <c r="U327" s="56"/>
      <c r="V327" s="56"/>
      <c r="W327" s="56"/>
      <c r="X327" s="56"/>
      <c r="Y327" s="56"/>
      <c r="Z327" s="56"/>
      <c r="AA327" s="56"/>
      <c r="AB327" s="56"/>
    </row>
    <row r="328" ht="15.75" customHeight="1">
      <c r="A328" s="57" t="str">
        <f t="shared" si="1"/>
        <v>6050ffde05149032e3194d13</v>
      </c>
      <c r="B328" s="63"/>
      <c r="C328" s="38" t="s">
        <v>278</v>
      </c>
      <c r="D328" s="38" t="s">
        <v>258</v>
      </c>
      <c r="E328" s="67" t="s">
        <v>1777</v>
      </c>
      <c r="F328" s="67" t="s">
        <v>1778</v>
      </c>
      <c r="G328" s="66" t="s">
        <v>4847</v>
      </c>
      <c r="H328" s="38" t="s">
        <v>5399</v>
      </c>
      <c r="I328" s="38" t="s">
        <v>5400</v>
      </c>
      <c r="J328" s="67" t="s">
        <v>1780</v>
      </c>
      <c r="K328" s="38" t="s">
        <v>4830</v>
      </c>
      <c r="L328" s="38">
        <v>12.0</v>
      </c>
      <c r="M328" s="56">
        <f>VLOOKUP(E328,'Hedef Liste'!A:I,9,false)</f>
        <v>22</v>
      </c>
      <c r="N328" s="56" t="b">
        <v>0</v>
      </c>
      <c r="O328" s="56" t="b">
        <v>0</v>
      </c>
      <c r="P328" s="56"/>
      <c r="Q328" s="56"/>
      <c r="R328" s="56"/>
      <c r="S328" s="56"/>
      <c r="T328" s="56"/>
      <c r="U328" s="56"/>
      <c r="V328" s="56"/>
      <c r="W328" s="56"/>
      <c r="X328" s="56"/>
      <c r="Y328" s="56"/>
      <c r="Z328" s="56"/>
      <c r="AA328" s="56"/>
      <c r="AB328" s="56"/>
    </row>
    <row r="329" ht="15.75" customHeight="1">
      <c r="A329" s="57" t="str">
        <f t="shared" si="1"/>
        <v/>
      </c>
      <c r="B329" s="63"/>
      <c r="C329" s="38"/>
      <c r="D329" s="38"/>
      <c r="E329" s="38"/>
      <c r="F329" s="65"/>
      <c r="G329" s="66"/>
      <c r="H329" s="38"/>
      <c r="I329" s="38"/>
      <c r="J329" s="38"/>
      <c r="K329" s="38"/>
      <c r="L329" s="38"/>
      <c r="M329" s="56" t="str">
        <f>VLOOKUP(E329,'Hedef Liste'!A:I,9,false)</f>
        <v>#N/A</v>
      </c>
      <c r="N329" s="56" t="b">
        <v>0</v>
      </c>
      <c r="O329" s="56" t="b">
        <v>0</v>
      </c>
      <c r="P329" s="56"/>
      <c r="Q329" s="56"/>
      <c r="R329" s="56"/>
      <c r="S329" s="56"/>
      <c r="T329" s="56"/>
      <c r="U329" s="56"/>
      <c r="V329" s="56"/>
      <c r="W329" s="56"/>
      <c r="X329" s="56"/>
      <c r="Y329" s="56"/>
      <c r="Z329" s="56"/>
      <c r="AA329" s="56"/>
      <c r="AB329" s="56"/>
    </row>
    <row r="330" ht="15.75" customHeight="1">
      <c r="A330" s="57" t="str">
        <f t="shared" si="1"/>
        <v/>
      </c>
      <c r="B330" s="69"/>
      <c r="C330" s="56"/>
      <c r="D330" s="38"/>
      <c r="E330" s="38"/>
      <c r="F330" s="65"/>
      <c r="G330" s="66"/>
      <c r="H330" s="38"/>
      <c r="I330" s="38"/>
      <c r="J330" s="38"/>
      <c r="K330" s="38"/>
      <c r="L330" s="38"/>
      <c r="M330" s="56"/>
      <c r="N330" s="56" t="b">
        <v>0</v>
      </c>
      <c r="O330" s="56" t="b">
        <v>0</v>
      </c>
      <c r="P330" s="56"/>
      <c r="Q330" s="56"/>
      <c r="R330" s="56"/>
      <c r="S330" s="56"/>
      <c r="T330" s="56"/>
      <c r="U330" s="56"/>
      <c r="V330" s="56"/>
      <c r="W330" s="56"/>
      <c r="X330" s="56"/>
      <c r="Y330" s="56"/>
      <c r="Z330" s="56"/>
      <c r="AA330" s="56"/>
      <c r="AB330" s="56"/>
    </row>
    <row r="331" ht="15.75" customHeight="1">
      <c r="A331" s="57" t="str">
        <f t="shared" si="1"/>
        <v/>
      </c>
      <c r="B331" s="51"/>
      <c r="C331" s="52">
        <v>44293.0</v>
      </c>
      <c r="D331" s="38"/>
      <c r="E331" s="53"/>
      <c r="F331" s="54"/>
      <c r="G331" s="54"/>
      <c r="H331" s="54"/>
      <c r="I331" s="54"/>
      <c r="J331" s="54"/>
      <c r="K331" s="54"/>
      <c r="L331" s="55"/>
      <c r="M331" s="56"/>
      <c r="N331" s="56"/>
      <c r="O331" s="56"/>
      <c r="P331" s="56"/>
      <c r="Q331" s="56"/>
      <c r="R331" s="56"/>
      <c r="S331" s="56"/>
      <c r="T331" s="56"/>
      <c r="U331" s="56"/>
      <c r="V331" s="56"/>
      <c r="W331" s="56"/>
      <c r="X331" s="56"/>
      <c r="Y331" s="56"/>
      <c r="Z331" s="56"/>
      <c r="AA331" s="56"/>
      <c r="AB331" s="56"/>
    </row>
    <row r="332" ht="15.75" customHeight="1">
      <c r="A332" s="57" t="str">
        <f t="shared" si="1"/>
        <v/>
      </c>
      <c r="B332" s="58" t="s">
        <v>4827</v>
      </c>
      <c r="C332" s="56" t="s">
        <v>66</v>
      </c>
      <c r="D332" s="38"/>
      <c r="E332" s="67"/>
      <c r="F332" s="67"/>
      <c r="G332" s="122"/>
      <c r="H332" s="56"/>
      <c r="I332" s="56"/>
      <c r="J332" s="67"/>
      <c r="K332" s="68"/>
      <c r="L332" s="38"/>
      <c r="M332" s="56" t="str">
        <f>VLOOKUP(E332,'Hedef Liste'!A:I,9,false)</f>
        <v>#N/A</v>
      </c>
      <c r="N332" s="56" t="b">
        <v>0</v>
      </c>
      <c r="O332" s="56" t="b">
        <v>0</v>
      </c>
      <c r="P332" s="56"/>
      <c r="Q332" s="56"/>
      <c r="R332" s="56"/>
      <c r="S332" s="56"/>
      <c r="T332" s="56"/>
      <c r="U332" s="56"/>
      <c r="V332" s="56"/>
      <c r="W332" s="56"/>
      <c r="X332" s="56"/>
      <c r="Y332" s="56"/>
      <c r="Z332" s="56"/>
      <c r="AA332" s="56"/>
      <c r="AB332" s="56"/>
    </row>
    <row r="333" ht="15.75" customHeight="1">
      <c r="A333" s="57" t="str">
        <f t="shared" si="1"/>
        <v>6009d57f9873d838838c991e</v>
      </c>
      <c r="B333" s="63"/>
      <c r="C333" s="56" t="s">
        <v>66</v>
      </c>
      <c r="D333" s="102" t="s">
        <v>258</v>
      </c>
      <c r="E333" s="114" t="s">
        <v>3799</v>
      </c>
      <c r="F333" s="114" t="s">
        <v>3800</v>
      </c>
      <c r="G333" s="128">
        <v>0.4583333333333333</v>
      </c>
      <c r="H333" s="102" t="s">
        <v>4968</v>
      </c>
      <c r="I333" s="114" t="s">
        <v>5401</v>
      </c>
      <c r="J333" s="114" t="s">
        <v>3802</v>
      </c>
      <c r="K333" s="38" t="s">
        <v>5402</v>
      </c>
      <c r="L333" s="38"/>
      <c r="M333" s="56">
        <f>VLOOKUP(E333,'Hedef Liste'!A:I,9,false)</f>
        <v>48</v>
      </c>
      <c r="N333" s="56" t="b">
        <v>0</v>
      </c>
      <c r="O333" s="56" t="b">
        <v>0</v>
      </c>
      <c r="P333" s="56"/>
      <c r="Q333" s="56"/>
      <c r="R333" s="56"/>
      <c r="S333" s="56"/>
      <c r="T333" s="56"/>
      <c r="U333" s="56"/>
      <c r="V333" s="56"/>
      <c r="W333" s="56"/>
      <c r="X333" s="56"/>
      <c r="Y333" s="56"/>
      <c r="Z333" s="56"/>
      <c r="AA333" s="56"/>
      <c r="AB333" s="56"/>
    </row>
    <row r="334" ht="15.75" customHeight="1">
      <c r="A334" s="57" t="str">
        <f t="shared" si="1"/>
        <v>5ff8be57e348f6f708a21637</v>
      </c>
      <c r="B334" s="63"/>
      <c r="C334" s="56" t="s">
        <v>66</v>
      </c>
      <c r="D334" s="38" t="s">
        <v>258</v>
      </c>
      <c r="E334" s="67" t="s">
        <v>5403</v>
      </c>
      <c r="F334" s="67" t="s">
        <v>5404</v>
      </c>
      <c r="G334" s="66" t="s">
        <v>4856</v>
      </c>
      <c r="H334" s="38" t="s">
        <v>5242</v>
      </c>
      <c r="I334" s="38" t="s">
        <v>5405</v>
      </c>
      <c r="J334" s="38" t="s">
        <v>5406</v>
      </c>
      <c r="K334" s="38"/>
      <c r="L334" s="38">
        <v>23.0</v>
      </c>
      <c r="M334" s="56"/>
      <c r="N334" s="56" t="b">
        <v>0</v>
      </c>
      <c r="O334" s="56" t="b">
        <v>0</v>
      </c>
      <c r="P334" s="56"/>
      <c r="Q334" s="56"/>
      <c r="R334" s="56"/>
      <c r="S334" s="56"/>
      <c r="T334" s="56"/>
      <c r="U334" s="56"/>
      <c r="V334" s="56"/>
      <c r="W334" s="56"/>
      <c r="X334" s="56"/>
      <c r="Y334" s="56"/>
      <c r="Z334" s="56"/>
      <c r="AA334" s="56"/>
      <c r="AB334" s="56"/>
    </row>
    <row r="335" ht="15.75" customHeight="1">
      <c r="A335" s="57" t="str">
        <f t="shared" si="1"/>
        <v>5fe40e62879562f5a9cd02a2</v>
      </c>
      <c r="B335" s="63"/>
      <c r="C335" s="56" t="s">
        <v>66</v>
      </c>
      <c r="D335" s="38" t="s">
        <v>258</v>
      </c>
      <c r="E335" s="67" t="s">
        <v>2598</v>
      </c>
      <c r="F335" s="67" t="s">
        <v>2599</v>
      </c>
      <c r="G335" s="66" t="s">
        <v>4892</v>
      </c>
      <c r="H335" s="67" t="s">
        <v>5026</v>
      </c>
      <c r="I335" s="67" t="s">
        <v>5407</v>
      </c>
      <c r="J335" s="67" t="s">
        <v>5408</v>
      </c>
      <c r="K335" s="38"/>
      <c r="L335" s="38">
        <v>11.0</v>
      </c>
      <c r="M335" s="56">
        <f>VLOOKUP(E335,'Hedef Liste'!A:I,9,false)</f>
        <v>27</v>
      </c>
      <c r="N335" s="56" t="b">
        <v>0</v>
      </c>
      <c r="O335" s="56" t="b">
        <v>0</v>
      </c>
      <c r="P335" s="56"/>
      <c r="Q335" s="56"/>
      <c r="R335" s="56"/>
      <c r="S335" s="56"/>
      <c r="T335" s="56"/>
      <c r="U335" s="56"/>
      <c r="V335" s="56"/>
      <c r="W335" s="56"/>
      <c r="X335" s="56"/>
      <c r="Y335" s="56"/>
      <c r="Z335" s="56"/>
      <c r="AA335" s="56"/>
      <c r="AB335" s="56"/>
    </row>
    <row r="336" ht="15.75" customHeight="1">
      <c r="A336" s="57" t="str">
        <f t="shared" si="1"/>
        <v>6058f5d46bf301420935c5e2</v>
      </c>
      <c r="B336" s="63"/>
      <c r="C336" s="56" t="s">
        <v>66</v>
      </c>
      <c r="D336" s="38" t="s">
        <v>258</v>
      </c>
      <c r="E336" s="67" t="s">
        <v>1582</v>
      </c>
      <c r="F336" s="67" t="s">
        <v>1583</v>
      </c>
      <c r="G336" s="66" t="s">
        <v>5036</v>
      </c>
      <c r="H336" s="38" t="s">
        <v>5026</v>
      </c>
      <c r="I336" s="38" t="s">
        <v>5409</v>
      </c>
      <c r="J336" s="67" t="s">
        <v>1585</v>
      </c>
      <c r="K336" s="38"/>
      <c r="L336" s="38">
        <v>5.0</v>
      </c>
      <c r="M336" s="56">
        <f>VLOOKUP(E336,'Hedef Liste'!A:I,9,false)</f>
        <v>16</v>
      </c>
      <c r="N336" s="56" t="b">
        <v>0</v>
      </c>
      <c r="O336" s="56" t="b">
        <v>0</v>
      </c>
      <c r="P336" s="56"/>
      <c r="Q336" s="56"/>
      <c r="R336" s="56"/>
      <c r="S336" s="56"/>
      <c r="T336" s="56"/>
      <c r="U336" s="56"/>
      <c r="V336" s="56"/>
      <c r="W336" s="56"/>
      <c r="X336" s="56"/>
      <c r="Y336" s="56"/>
      <c r="Z336" s="56"/>
      <c r="AA336" s="56"/>
      <c r="AB336" s="56"/>
    </row>
    <row r="337" ht="15.75" customHeight="1">
      <c r="A337" s="57" t="str">
        <f t="shared" si="1"/>
        <v>6031416325e3a64902ed0b63</v>
      </c>
      <c r="B337" s="63"/>
      <c r="C337" s="56" t="s">
        <v>66</v>
      </c>
      <c r="D337" s="38" t="s">
        <v>258</v>
      </c>
      <c r="E337" s="67" t="s">
        <v>5410</v>
      </c>
      <c r="F337" s="67" t="s">
        <v>5411</v>
      </c>
      <c r="G337" s="66" t="s">
        <v>5089</v>
      </c>
      <c r="H337" s="38" t="s">
        <v>5188</v>
      </c>
      <c r="I337" s="38" t="s">
        <v>5412</v>
      </c>
      <c r="J337" s="38" t="s">
        <v>5413</v>
      </c>
      <c r="K337" s="68"/>
      <c r="L337" s="38">
        <v>26.0</v>
      </c>
      <c r="M337" s="56"/>
      <c r="N337" s="56" t="b">
        <v>0</v>
      </c>
      <c r="O337" s="56" t="b">
        <v>0</v>
      </c>
      <c r="P337" s="56"/>
      <c r="Q337" s="56"/>
      <c r="R337" s="56"/>
      <c r="S337" s="56"/>
      <c r="T337" s="56"/>
      <c r="U337" s="56"/>
      <c r="V337" s="56"/>
      <c r="W337" s="56"/>
      <c r="X337" s="56"/>
      <c r="Y337" s="56"/>
      <c r="Z337" s="56"/>
      <c r="AA337" s="56"/>
      <c r="AB337" s="56"/>
    </row>
    <row r="338" ht="15.75" customHeight="1">
      <c r="A338" s="57" t="str">
        <f t="shared" si="1"/>
        <v/>
      </c>
      <c r="B338" s="63"/>
      <c r="C338" s="56"/>
      <c r="D338" s="56"/>
      <c r="E338" s="56"/>
      <c r="F338" s="89"/>
      <c r="G338" s="90"/>
      <c r="H338" s="56"/>
      <c r="I338" s="56"/>
      <c r="J338" s="56"/>
      <c r="K338" s="68"/>
      <c r="L338" s="38"/>
      <c r="M338" s="56"/>
      <c r="N338" s="56" t="b">
        <v>0</v>
      </c>
      <c r="O338" s="56" t="b">
        <v>0</v>
      </c>
      <c r="P338" s="56"/>
      <c r="Q338" s="56"/>
      <c r="R338" s="56"/>
      <c r="S338" s="56"/>
      <c r="T338" s="56"/>
      <c r="U338" s="56"/>
      <c r="V338" s="56"/>
      <c r="W338" s="56"/>
      <c r="X338" s="56"/>
      <c r="Y338" s="56"/>
      <c r="Z338" s="56"/>
      <c r="AA338" s="56"/>
      <c r="AB338" s="56"/>
    </row>
    <row r="339" ht="15.75" customHeight="1">
      <c r="A339" s="57" t="str">
        <f t="shared" si="1"/>
        <v>2'den önce randevu alınmayacak</v>
      </c>
      <c r="B339" s="69"/>
      <c r="C339" s="56"/>
      <c r="D339" s="38"/>
      <c r="E339" s="129" t="s">
        <v>5414</v>
      </c>
      <c r="F339" s="127"/>
      <c r="G339" s="66"/>
      <c r="H339" s="38"/>
      <c r="I339" s="38"/>
      <c r="J339" s="38"/>
      <c r="K339" s="38"/>
      <c r="L339" s="38"/>
      <c r="M339" s="56"/>
      <c r="N339" s="56" t="b">
        <v>0</v>
      </c>
      <c r="O339" s="56" t="b">
        <v>0</v>
      </c>
      <c r="P339" s="56"/>
      <c r="Q339" s="56"/>
      <c r="R339" s="56"/>
      <c r="S339" s="56"/>
      <c r="T339" s="56"/>
      <c r="U339" s="56"/>
      <c r="V339" s="56"/>
      <c r="W339" s="56"/>
      <c r="X339" s="56"/>
      <c r="Y339" s="56"/>
      <c r="Z339" s="56"/>
      <c r="AA339" s="56"/>
      <c r="AB339" s="56"/>
    </row>
    <row r="340" ht="15.75" customHeight="1">
      <c r="A340" s="57" t="str">
        <f t="shared" si="1"/>
        <v>5fe4e311933ff4e8071c88c3</v>
      </c>
      <c r="B340" s="58" t="s">
        <v>4836</v>
      </c>
      <c r="C340" s="56" t="s">
        <v>53</v>
      </c>
      <c r="D340" s="38" t="s">
        <v>258</v>
      </c>
      <c r="E340" s="67" t="s">
        <v>5415</v>
      </c>
      <c r="F340" s="67" t="s">
        <v>5416</v>
      </c>
      <c r="G340" s="122">
        <v>0.5833333333333334</v>
      </c>
      <c r="H340" s="38" t="s">
        <v>4968</v>
      </c>
      <c r="I340" s="56" t="s">
        <v>5417</v>
      </c>
      <c r="J340" s="38" t="s">
        <v>5418</v>
      </c>
      <c r="K340" s="68"/>
      <c r="L340" s="38">
        <v>5.0</v>
      </c>
      <c r="M340" s="56" t="str">
        <f>VLOOKUP(E340,'Hedef Liste'!A:I,9,false)</f>
        <v>#N/A</v>
      </c>
      <c r="N340" s="56" t="b">
        <v>0</v>
      </c>
      <c r="O340" s="56" t="b">
        <v>0</v>
      </c>
      <c r="P340" s="56"/>
      <c r="Q340" s="56"/>
      <c r="R340" s="56"/>
      <c r="S340" s="56"/>
      <c r="T340" s="56"/>
      <c r="U340" s="56"/>
      <c r="V340" s="56"/>
      <c r="W340" s="56"/>
      <c r="X340" s="56"/>
      <c r="Y340" s="56"/>
      <c r="Z340" s="56"/>
      <c r="AA340" s="56"/>
      <c r="AB340" s="56"/>
    </row>
    <row r="341" ht="15.75" customHeight="1">
      <c r="A341" s="57" t="str">
        <f t="shared" si="1"/>
        <v>6019c094f5e6e51447d3e8f7</v>
      </c>
      <c r="B341" s="63"/>
      <c r="C341" s="56" t="s">
        <v>53</v>
      </c>
      <c r="D341" s="38" t="s">
        <v>258</v>
      </c>
      <c r="E341" s="67" t="s">
        <v>5419</v>
      </c>
      <c r="F341" s="67" t="s">
        <v>5420</v>
      </c>
      <c r="G341" s="122">
        <v>0.6666666666666666</v>
      </c>
      <c r="H341" s="38" t="s">
        <v>5026</v>
      </c>
      <c r="I341" s="56" t="s">
        <v>5421</v>
      </c>
      <c r="J341" s="38" t="s">
        <v>5422</v>
      </c>
      <c r="K341" s="68"/>
      <c r="L341" s="38">
        <v>20.0</v>
      </c>
      <c r="M341" s="56" t="str">
        <f>VLOOKUP(E341,'Hedef Liste'!A:I,9,false)</f>
        <v>#N/A</v>
      </c>
      <c r="N341" s="56" t="b">
        <v>0</v>
      </c>
      <c r="O341" s="56" t="b">
        <v>0</v>
      </c>
      <c r="P341" s="56"/>
      <c r="Q341" s="56"/>
      <c r="R341" s="56"/>
      <c r="S341" s="56"/>
      <c r="T341" s="56"/>
      <c r="U341" s="56"/>
      <c r="V341" s="56"/>
      <c r="W341" s="56"/>
      <c r="X341" s="56"/>
      <c r="Y341" s="56"/>
      <c r="Z341" s="56"/>
      <c r="AA341" s="56"/>
      <c r="AB341" s="56"/>
    </row>
    <row r="342" ht="15.75" customHeight="1">
      <c r="A342" s="57" t="str">
        <f t="shared" si="1"/>
        <v>6023b98d0737d69f9c110db0</v>
      </c>
      <c r="B342" s="63"/>
      <c r="C342" s="56" t="s">
        <v>53</v>
      </c>
      <c r="D342" s="76" t="s">
        <v>258</v>
      </c>
      <c r="E342" s="77" t="s">
        <v>4414</v>
      </c>
      <c r="F342" s="116" t="s">
        <v>4415</v>
      </c>
      <c r="G342" s="82" t="s">
        <v>4847</v>
      </c>
      <c r="H342" s="76" t="s">
        <v>5026</v>
      </c>
      <c r="I342" s="76" t="s">
        <v>5423</v>
      </c>
      <c r="J342" s="77" t="s">
        <v>4417</v>
      </c>
      <c r="K342" s="38" t="s">
        <v>5424</v>
      </c>
      <c r="L342" s="38"/>
      <c r="M342" s="56">
        <f>VLOOKUP(E342,'Hedef Liste'!A:I,9,false)</f>
        <v>40</v>
      </c>
      <c r="N342" s="56" t="b">
        <v>0</v>
      </c>
      <c r="O342" s="56" t="b">
        <v>0</v>
      </c>
      <c r="P342" s="56"/>
      <c r="Q342" s="56"/>
      <c r="R342" s="56"/>
      <c r="S342" s="56"/>
      <c r="T342" s="56"/>
      <c r="U342" s="56"/>
      <c r="V342" s="56"/>
      <c r="W342" s="56"/>
      <c r="X342" s="56"/>
      <c r="Y342" s="56"/>
      <c r="Z342" s="56"/>
      <c r="AA342" s="56"/>
      <c r="AB342" s="56"/>
    </row>
    <row r="343" ht="15.75" customHeight="1">
      <c r="A343" s="57" t="str">
        <f t="shared" si="1"/>
        <v>5fecfc915118f17d758d3934</v>
      </c>
      <c r="B343" s="63"/>
      <c r="C343" s="56" t="s">
        <v>53</v>
      </c>
      <c r="D343" s="38" t="s">
        <v>133</v>
      </c>
      <c r="E343" s="67" t="s">
        <v>5425</v>
      </c>
      <c r="F343" s="67" t="s">
        <v>5426</v>
      </c>
      <c r="G343" s="66" t="s">
        <v>4847</v>
      </c>
      <c r="H343" s="67" t="s">
        <v>5427</v>
      </c>
      <c r="I343" s="67" t="s">
        <v>5428</v>
      </c>
      <c r="J343" s="57" t="s">
        <v>5429</v>
      </c>
      <c r="K343" s="38"/>
      <c r="L343" s="38">
        <v>7.0</v>
      </c>
      <c r="M343" s="56" t="str">
        <f>VLOOKUP(E343,'Hedef Liste'!A:I,9,false)</f>
        <v>#N/A</v>
      </c>
      <c r="N343" s="56" t="b">
        <v>0</v>
      </c>
      <c r="O343" s="56" t="b">
        <v>0</v>
      </c>
      <c r="P343" s="56"/>
      <c r="Q343" s="56"/>
      <c r="R343" s="56"/>
      <c r="S343" s="56"/>
      <c r="T343" s="56"/>
      <c r="U343" s="56"/>
      <c r="V343" s="56"/>
      <c r="W343" s="56"/>
      <c r="X343" s="56"/>
      <c r="Y343" s="56"/>
      <c r="Z343" s="56"/>
      <c r="AA343" s="56"/>
      <c r="AB343" s="56"/>
    </row>
    <row r="344" ht="15.75" customHeight="1">
      <c r="A344" s="57" t="str">
        <f t="shared" si="1"/>
        <v/>
      </c>
      <c r="B344" s="63"/>
      <c r="C344" s="56"/>
      <c r="D344" s="64"/>
      <c r="E344" s="64"/>
      <c r="F344" s="65"/>
      <c r="G344" s="66"/>
      <c r="H344" s="38"/>
      <c r="I344" s="38"/>
      <c r="J344" s="38"/>
      <c r="K344" s="68"/>
      <c r="L344" s="38"/>
      <c r="M344" s="56"/>
      <c r="N344" s="56" t="b">
        <v>0</v>
      </c>
      <c r="O344" s="56" t="b">
        <v>0</v>
      </c>
      <c r="P344" s="56"/>
      <c r="Q344" s="56"/>
      <c r="R344" s="56"/>
      <c r="S344" s="56"/>
      <c r="T344" s="56"/>
      <c r="U344" s="56"/>
      <c r="V344" s="56"/>
      <c r="W344" s="56"/>
      <c r="X344" s="56"/>
      <c r="Y344" s="56"/>
      <c r="Z344" s="56"/>
      <c r="AA344" s="56"/>
      <c r="AB344" s="56"/>
    </row>
    <row r="345" ht="15.75" customHeight="1">
      <c r="A345" s="57" t="str">
        <f t="shared" si="1"/>
        <v/>
      </c>
      <c r="B345" s="69"/>
      <c r="C345" s="56"/>
      <c r="D345" s="38"/>
      <c r="E345" s="38"/>
      <c r="F345" s="65"/>
      <c r="G345" s="66"/>
      <c r="H345" s="38"/>
      <c r="I345" s="38"/>
      <c r="J345" s="38"/>
      <c r="K345" s="38"/>
      <c r="L345" s="38"/>
      <c r="M345" s="56"/>
      <c r="N345" s="56" t="b">
        <v>0</v>
      </c>
      <c r="O345" s="56" t="b">
        <v>0</v>
      </c>
      <c r="P345" s="56"/>
      <c r="Q345" s="56"/>
      <c r="R345" s="56"/>
      <c r="S345" s="56"/>
      <c r="T345" s="56"/>
      <c r="U345" s="56"/>
      <c r="V345" s="56"/>
      <c r="W345" s="56"/>
      <c r="X345" s="56"/>
      <c r="Y345" s="56"/>
      <c r="Z345" s="56"/>
      <c r="AA345" s="56"/>
      <c r="AB345" s="56"/>
    </row>
    <row r="346" ht="15.75" customHeight="1">
      <c r="A346" s="57" t="str">
        <f t="shared" si="1"/>
        <v>5fe02b88cd276002e49fa003</v>
      </c>
      <c r="B346" s="58" t="s">
        <v>4850</v>
      </c>
      <c r="C346" s="38" t="s">
        <v>278</v>
      </c>
      <c r="D346" s="38" t="s">
        <v>76</v>
      </c>
      <c r="E346" s="67" t="s">
        <v>2812</v>
      </c>
      <c r="F346" s="67" t="s">
        <v>2813</v>
      </c>
      <c r="G346" s="100" t="s">
        <v>5247</v>
      </c>
      <c r="H346" s="56" t="s">
        <v>5430</v>
      </c>
      <c r="I346" s="56" t="s">
        <v>5431</v>
      </c>
      <c r="J346" s="67" t="s">
        <v>2815</v>
      </c>
      <c r="K346" s="38" t="s">
        <v>5432</v>
      </c>
      <c r="L346" s="38">
        <v>19.0</v>
      </c>
      <c r="M346" s="56">
        <f>VLOOKUP(E346,'Hedef Liste'!A:I,9,false)</f>
        <v>6</v>
      </c>
      <c r="N346" s="56" t="b">
        <v>0</v>
      </c>
      <c r="O346" s="56" t="b">
        <v>0</v>
      </c>
      <c r="P346" s="56"/>
      <c r="Q346" s="56"/>
      <c r="R346" s="56"/>
      <c r="S346" s="56"/>
      <c r="T346" s="56"/>
      <c r="U346" s="56"/>
      <c r="V346" s="56"/>
      <c r="W346" s="56"/>
      <c r="X346" s="56"/>
      <c r="Y346" s="56"/>
      <c r="Z346" s="56"/>
      <c r="AA346" s="56"/>
      <c r="AB346" s="56"/>
    </row>
    <row r="347" ht="15.75" customHeight="1">
      <c r="A347" s="57" t="str">
        <f t="shared" si="1"/>
        <v>5fdfb710daff163d5a6db4cc</v>
      </c>
      <c r="B347" s="63"/>
      <c r="C347" s="38" t="s">
        <v>278</v>
      </c>
      <c r="D347" s="38" t="s">
        <v>258</v>
      </c>
      <c r="E347" s="67" t="s">
        <v>4005</v>
      </c>
      <c r="F347" s="67" t="s">
        <v>4006</v>
      </c>
      <c r="G347" s="122">
        <v>0.5416666666666666</v>
      </c>
      <c r="H347" s="38" t="s">
        <v>4968</v>
      </c>
      <c r="I347" s="67" t="s">
        <v>5433</v>
      </c>
      <c r="J347" s="67" t="s">
        <v>4008</v>
      </c>
      <c r="K347" s="38" t="s">
        <v>5109</v>
      </c>
      <c r="L347" s="38">
        <v>28.0</v>
      </c>
      <c r="M347" s="56">
        <f>VLOOKUP(E347,'Hedef Liste'!A:I,9,false)</f>
        <v>45</v>
      </c>
      <c r="N347" s="56" t="b">
        <v>0</v>
      </c>
      <c r="O347" s="56" t="b">
        <v>0</v>
      </c>
      <c r="P347" s="56"/>
      <c r="Q347" s="56"/>
      <c r="R347" s="56"/>
      <c r="S347" s="56"/>
      <c r="T347" s="56"/>
      <c r="U347" s="56"/>
      <c r="V347" s="56"/>
      <c r="W347" s="56"/>
      <c r="X347" s="56"/>
      <c r="Y347" s="56"/>
      <c r="Z347" s="56"/>
      <c r="AA347" s="56"/>
      <c r="AB347" s="56"/>
    </row>
    <row r="348" ht="15.75" customHeight="1">
      <c r="A348" s="57" t="str">
        <f t="shared" si="1"/>
        <v>605ee4f1c271ae35592e6c06</v>
      </c>
      <c r="B348" s="63"/>
      <c r="C348" s="38" t="s">
        <v>278</v>
      </c>
      <c r="D348" s="38" t="s">
        <v>258</v>
      </c>
      <c r="E348" s="67" t="s">
        <v>5434</v>
      </c>
      <c r="F348" s="67" t="s">
        <v>5435</v>
      </c>
      <c r="G348" s="66" t="s">
        <v>4892</v>
      </c>
      <c r="H348" s="67" t="s">
        <v>4968</v>
      </c>
      <c r="I348" s="67" t="s">
        <v>5436</v>
      </c>
      <c r="J348" s="67" t="s">
        <v>5437</v>
      </c>
      <c r="K348" s="38" t="s">
        <v>5109</v>
      </c>
      <c r="L348" s="38">
        <v>13.0</v>
      </c>
      <c r="M348" s="56" t="str">
        <f>VLOOKUP(E348,'Hedef Liste'!A:I,9,false)</f>
        <v>#N/A</v>
      </c>
      <c r="N348" s="56" t="b">
        <v>0</v>
      </c>
      <c r="O348" s="56" t="b">
        <v>0</v>
      </c>
      <c r="P348" s="56"/>
      <c r="Q348" s="56"/>
      <c r="R348" s="56"/>
      <c r="S348" s="56"/>
      <c r="T348" s="56"/>
      <c r="U348" s="56"/>
      <c r="V348" s="56"/>
      <c r="W348" s="56"/>
      <c r="X348" s="56"/>
      <c r="Y348" s="56"/>
      <c r="Z348" s="56"/>
      <c r="AA348" s="56"/>
      <c r="AB348" s="56"/>
    </row>
    <row r="349" ht="15.75" customHeight="1">
      <c r="A349" s="57" t="str">
        <f t="shared" si="1"/>
        <v>6044ab0fb997c447471b1332</v>
      </c>
      <c r="B349" s="63"/>
      <c r="C349" s="38" t="s">
        <v>278</v>
      </c>
      <c r="D349" s="38" t="s">
        <v>258</v>
      </c>
      <c r="E349" s="67" t="s">
        <v>5438</v>
      </c>
      <c r="F349" s="67" t="s">
        <v>5439</v>
      </c>
      <c r="G349" s="66" t="s">
        <v>5036</v>
      </c>
      <c r="H349" s="38" t="s">
        <v>4968</v>
      </c>
      <c r="I349" s="38" t="s">
        <v>5440</v>
      </c>
      <c r="J349" s="67" t="s">
        <v>5441</v>
      </c>
      <c r="K349" s="38" t="s">
        <v>5109</v>
      </c>
      <c r="L349" s="38">
        <v>12.0</v>
      </c>
      <c r="M349" s="56" t="str">
        <f>VLOOKUP(E349,'Hedef Liste'!A:I,9,false)</f>
        <v>#N/A</v>
      </c>
      <c r="N349" s="56" t="b">
        <v>0</v>
      </c>
      <c r="O349" s="56" t="b">
        <v>0</v>
      </c>
      <c r="P349" s="56"/>
      <c r="Q349" s="56"/>
      <c r="R349" s="56"/>
      <c r="S349" s="56"/>
      <c r="T349" s="56"/>
      <c r="U349" s="56"/>
      <c r="V349" s="56"/>
      <c r="W349" s="56"/>
      <c r="X349" s="56"/>
      <c r="Y349" s="56"/>
      <c r="Z349" s="56"/>
      <c r="AA349" s="56"/>
      <c r="AB349" s="56"/>
    </row>
    <row r="350" ht="15.75" customHeight="1">
      <c r="A350" s="57" t="str">
        <f t="shared" si="1"/>
        <v/>
      </c>
      <c r="B350" s="63"/>
      <c r="C350" s="38"/>
      <c r="D350" s="38"/>
      <c r="E350" s="38"/>
      <c r="F350" s="65"/>
      <c r="G350" s="66"/>
      <c r="H350" s="38"/>
      <c r="I350" s="38"/>
      <c r="J350" s="38"/>
      <c r="K350" s="38"/>
      <c r="L350" s="38"/>
      <c r="M350" s="56" t="str">
        <f>VLOOKUP(E350,'Hedef Liste'!A:I,9,false)</f>
        <v>#N/A</v>
      </c>
      <c r="N350" s="56" t="b">
        <v>0</v>
      </c>
      <c r="O350" s="56" t="b">
        <v>0</v>
      </c>
      <c r="P350" s="56"/>
      <c r="Q350" s="56"/>
      <c r="R350" s="56"/>
      <c r="S350" s="56"/>
      <c r="T350" s="56"/>
      <c r="U350" s="56"/>
      <c r="V350" s="56"/>
      <c r="W350" s="56"/>
      <c r="X350" s="56"/>
      <c r="Y350" s="56"/>
      <c r="Z350" s="56"/>
      <c r="AA350" s="56"/>
      <c r="AB350" s="56"/>
    </row>
    <row r="351" ht="15.75" customHeight="1">
      <c r="A351" s="57" t="str">
        <f t="shared" si="1"/>
        <v/>
      </c>
      <c r="B351" s="69"/>
      <c r="C351" s="56"/>
      <c r="D351" s="38"/>
      <c r="E351" s="38"/>
      <c r="F351" s="65"/>
      <c r="G351" s="66"/>
      <c r="H351" s="38"/>
      <c r="I351" s="38"/>
      <c r="J351" s="38"/>
      <c r="K351" s="38"/>
      <c r="L351" s="38"/>
      <c r="M351" s="56"/>
      <c r="N351" s="56" t="b">
        <v>0</v>
      </c>
      <c r="O351" s="56" t="b">
        <v>0</v>
      </c>
      <c r="P351" s="56"/>
      <c r="Q351" s="56"/>
      <c r="R351" s="56"/>
      <c r="S351" s="56"/>
      <c r="T351" s="56"/>
      <c r="U351" s="56"/>
      <c r="V351" s="56"/>
      <c r="W351" s="56"/>
      <c r="X351" s="56"/>
      <c r="Y351" s="56"/>
      <c r="Z351" s="56"/>
      <c r="AA351" s="56"/>
      <c r="AB351" s="56"/>
    </row>
    <row r="352" ht="15.75" customHeight="1">
      <c r="A352" s="57" t="str">
        <f t="shared" si="1"/>
        <v/>
      </c>
      <c r="B352" s="51"/>
      <c r="C352" s="52">
        <v>44294.0</v>
      </c>
      <c r="D352" s="38"/>
      <c r="E352" s="53"/>
      <c r="F352" s="54"/>
      <c r="G352" s="54"/>
      <c r="H352" s="54"/>
      <c r="I352" s="54"/>
      <c r="J352" s="54"/>
      <c r="K352" s="54"/>
      <c r="L352" s="55"/>
      <c r="M352" s="56"/>
      <c r="N352" s="56"/>
      <c r="O352" s="56"/>
      <c r="P352" s="56"/>
      <c r="Q352" s="56"/>
      <c r="R352" s="56"/>
      <c r="S352" s="56"/>
      <c r="T352" s="56"/>
      <c r="U352" s="56"/>
      <c r="V352" s="56"/>
      <c r="W352" s="56"/>
      <c r="X352" s="56"/>
      <c r="Y352" s="56"/>
      <c r="Z352" s="56"/>
      <c r="AA352" s="56"/>
      <c r="AB352" s="56"/>
    </row>
    <row r="353" ht="15.75" customHeight="1">
      <c r="A353" s="57" t="str">
        <f t="shared" si="1"/>
        <v>600753c55918d614d8f31836</v>
      </c>
      <c r="B353" s="58" t="s">
        <v>4827</v>
      </c>
      <c r="C353" s="56" t="s">
        <v>66</v>
      </c>
      <c r="D353" s="38" t="s">
        <v>52</v>
      </c>
      <c r="E353" s="67" t="s">
        <v>3311</v>
      </c>
      <c r="F353" s="67" t="s">
        <v>3312</v>
      </c>
      <c r="G353" s="122">
        <v>0.4166666666666667</v>
      </c>
      <c r="H353" s="56" t="s">
        <v>5058</v>
      </c>
      <c r="I353" s="56" t="s">
        <v>5442</v>
      </c>
      <c r="J353" s="67" t="s">
        <v>3313</v>
      </c>
      <c r="K353" s="38"/>
      <c r="L353" s="38">
        <v>15.0</v>
      </c>
      <c r="M353" s="56">
        <f>VLOOKUP(E353,'Hedef Liste'!A:I,9,false)</f>
        <v>23</v>
      </c>
      <c r="N353" s="56" t="b">
        <v>0</v>
      </c>
      <c r="O353" s="56" t="b">
        <v>0</v>
      </c>
      <c r="P353" s="56"/>
      <c r="Q353" s="56"/>
      <c r="R353" s="56"/>
      <c r="S353" s="56"/>
      <c r="T353" s="56"/>
      <c r="U353" s="56"/>
      <c r="V353" s="56"/>
      <c r="W353" s="56"/>
      <c r="X353" s="56"/>
      <c r="Y353" s="56"/>
      <c r="Z353" s="56"/>
      <c r="AA353" s="56"/>
      <c r="AB353" s="56"/>
    </row>
    <row r="354" ht="15.75" customHeight="1">
      <c r="A354" s="57" t="str">
        <f t="shared" si="1"/>
        <v>6021883198337bc1cb4ecc75</v>
      </c>
      <c r="B354" s="63"/>
      <c r="C354" s="56" t="s">
        <v>66</v>
      </c>
      <c r="D354" s="102" t="s">
        <v>1218</v>
      </c>
      <c r="E354" s="114" t="s">
        <v>5380</v>
      </c>
      <c r="F354" s="114" t="s">
        <v>5381</v>
      </c>
      <c r="G354" s="128">
        <v>0.5</v>
      </c>
      <c r="H354" s="102" t="s">
        <v>5228</v>
      </c>
      <c r="I354" s="114" t="s">
        <v>5443</v>
      </c>
      <c r="J354" s="114" t="s">
        <v>5383</v>
      </c>
      <c r="K354" s="38" t="s">
        <v>5444</v>
      </c>
      <c r="L354" s="38"/>
      <c r="M354" s="56" t="str">
        <f>VLOOKUP(E354,'Hedef Liste'!A:I,9,false)</f>
        <v>#N/A</v>
      </c>
      <c r="N354" s="56" t="b">
        <v>0</v>
      </c>
      <c r="O354" s="56" t="b">
        <v>0</v>
      </c>
      <c r="P354" s="56"/>
      <c r="Q354" s="56"/>
      <c r="R354" s="56"/>
      <c r="S354" s="56"/>
      <c r="T354" s="56"/>
      <c r="U354" s="56"/>
      <c r="V354" s="56"/>
      <c r="W354" s="56"/>
      <c r="X354" s="56"/>
      <c r="Y354" s="56"/>
      <c r="Z354" s="56"/>
      <c r="AA354" s="56"/>
      <c r="AB354" s="56"/>
    </row>
    <row r="355" ht="15.75" customHeight="1">
      <c r="A355" s="57" t="str">
        <f t="shared" si="1"/>
        <v>5ffb0bfdf21cfb4ed9989fce</v>
      </c>
      <c r="B355" s="63"/>
      <c r="C355" s="56" t="s">
        <v>66</v>
      </c>
      <c r="D355" s="62" t="s">
        <v>1218</v>
      </c>
      <c r="E355" s="60" t="s">
        <v>4096</v>
      </c>
      <c r="F355" s="60" t="s">
        <v>4097</v>
      </c>
      <c r="G355" s="73" t="s">
        <v>5160</v>
      </c>
      <c r="H355" s="60" t="s">
        <v>4880</v>
      </c>
      <c r="I355" s="60" t="s">
        <v>5445</v>
      </c>
      <c r="J355" s="60" t="s">
        <v>4099</v>
      </c>
      <c r="K355" s="38" t="s">
        <v>5446</v>
      </c>
      <c r="L355" s="38">
        <v>26.0</v>
      </c>
      <c r="M355" s="56">
        <f>VLOOKUP(E355,'Hedef Liste'!A:I,9,false)</f>
        <v>37</v>
      </c>
      <c r="N355" s="56" t="b">
        <v>0</v>
      </c>
      <c r="O355" s="56" t="b">
        <v>0</v>
      </c>
      <c r="P355" s="56"/>
      <c r="Q355" s="56"/>
      <c r="R355" s="56"/>
      <c r="S355" s="56"/>
      <c r="T355" s="56"/>
      <c r="U355" s="56"/>
      <c r="V355" s="56"/>
      <c r="W355" s="56"/>
      <c r="X355" s="56"/>
      <c r="Y355" s="56"/>
      <c r="Z355" s="56"/>
      <c r="AA355" s="56"/>
      <c r="AB355" s="56"/>
    </row>
    <row r="356" ht="15.75" customHeight="1">
      <c r="A356" s="57" t="str">
        <f t="shared" si="1"/>
        <v>5fe6b1be37c1db87cb54cf55</v>
      </c>
      <c r="B356" s="63"/>
      <c r="C356" s="56" t="s">
        <v>66</v>
      </c>
      <c r="D356" s="38" t="s">
        <v>1218</v>
      </c>
      <c r="E356" s="67" t="s">
        <v>5447</v>
      </c>
      <c r="F356" s="67" t="s">
        <v>5448</v>
      </c>
      <c r="G356" s="66" t="s">
        <v>4858</v>
      </c>
      <c r="H356" s="38" t="s">
        <v>5228</v>
      </c>
      <c r="I356" s="38" t="s">
        <v>5449</v>
      </c>
      <c r="J356" s="67" t="s">
        <v>5450</v>
      </c>
      <c r="K356" s="38" t="s">
        <v>5451</v>
      </c>
      <c r="L356" s="38"/>
      <c r="M356" s="56" t="str">
        <f>VLOOKUP(E356,'Hedef Liste'!A:I,9,false)</f>
        <v>#N/A</v>
      </c>
      <c r="N356" s="56" t="b">
        <v>0</v>
      </c>
      <c r="O356" s="56" t="b">
        <v>0</v>
      </c>
      <c r="P356" s="56"/>
      <c r="Q356" s="56"/>
      <c r="R356" s="56"/>
      <c r="S356" s="56"/>
      <c r="T356" s="56"/>
      <c r="U356" s="56"/>
      <c r="V356" s="56"/>
      <c r="W356" s="56"/>
      <c r="X356" s="56"/>
      <c r="Y356" s="56"/>
      <c r="Z356" s="56"/>
      <c r="AA356" s="56"/>
      <c r="AB356" s="56"/>
    </row>
    <row r="357" ht="15.75" customHeight="1">
      <c r="A357" s="57" t="str">
        <f t="shared" si="1"/>
        <v/>
      </c>
      <c r="B357" s="63"/>
      <c r="C357" s="56"/>
      <c r="D357" s="38"/>
      <c r="E357" s="64"/>
      <c r="F357" s="85" t="s">
        <v>5452</v>
      </c>
      <c r="G357" s="66"/>
      <c r="H357" s="38"/>
      <c r="I357" s="38"/>
      <c r="J357" s="38"/>
      <c r="K357" s="68"/>
      <c r="L357" s="38">
        <v>7.0</v>
      </c>
      <c r="M357" s="56"/>
      <c r="N357" s="56" t="b">
        <v>0</v>
      </c>
      <c r="O357" s="56" t="b">
        <v>0</v>
      </c>
      <c r="P357" s="56"/>
      <c r="Q357" s="56"/>
      <c r="R357" s="56"/>
      <c r="S357" s="56"/>
      <c r="T357" s="56"/>
      <c r="U357" s="56"/>
      <c r="V357" s="56"/>
      <c r="W357" s="56"/>
      <c r="X357" s="56"/>
      <c r="Y357" s="56"/>
      <c r="Z357" s="56"/>
      <c r="AA357" s="56"/>
      <c r="AB357" s="56"/>
    </row>
    <row r="358" ht="15.75" customHeight="1">
      <c r="A358" s="57" t="str">
        <f t="shared" si="1"/>
        <v/>
      </c>
      <c r="B358" s="69"/>
      <c r="C358" s="56"/>
      <c r="D358" s="38"/>
      <c r="E358" s="38"/>
      <c r="F358" s="65"/>
      <c r="G358" s="66"/>
      <c r="H358" s="38"/>
      <c r="I358" s="38"/>
      <c r="J358" s="38"/>
      <c r="K358" s="38"/>
      <c r="L358" s="38"/>
      <c r="M358" s="56"/>
      <c r="N358" s="56" t="b">
        <v>0</v>
      </c>
      <c r="O358" s="56" t="b">
        <v>0</v>
      </c>
      <c r="P358" s="56"/>
      <c r="Q358" s="56"/>
      <c r="R358" s="56"/>
      <c r="S358" s="56"/>
      <c r="T358" s="56"/>
      <c r="U358" s="56"/>
      <c r="V358" s="56"/>
      <c r="W358" s="56"/>
      <c r="X358" s="56"/>
      <c r="Y358" s="56"/>
      <c r="Z358" s="56"/>
      <c r="AA358" s="56"/>
      <c r="AB358" s="56"/>
    </row>
    <row r="359" ht="15.75" customHeight="1">
      <c r="A359" s="57" t="str">
        <f t="shared" si="1"/>
        <v>600f2b3fb19691a7633d9c43</v>
      </c>
      <c r="B359" s="58" t="s">
        <v>4836</v>
      </c>
      <c r="C359" s="56" t="s">
        <v>53</v>
      </c>
      <c r="D359" s="102" t="s">
        <v>1218</v>
      </c>
      <c r="E359" s="114" t="s">
        <v>723</v>
      </c>
      <c r="F359" s="114" t="s">
        <v>724</v>
      </c>
      <c r="G359" s="128">
        <v>0.4791666666666667</v>
      </c>
      <c r="H359" s="102" t="s">
        <v>5191</v>
      </c>
      <c r="I359" s="105" t="s">
        <v>5453</v>
      </c>
      <c r="J359" s="114" t="s">
        <v>726</v>
      </c>
      <c r="K359" s="38" t="s">
        <v>5454</v>
      </c>
      <c r="L359" s="38"/>
      <c r="M359" s="56">
        <f>VLOOKUP(E359,'Hedef Liste'!A:I,9,false)</f>
        <v>23</v>
      </c>
      <c r="N359" s="56" t="b">
        <v>0</v>
      </c>
      <c r="O359" s="56" t="b">
        <v>0</v>
      </c>
      <c r="P359" s="56"/>
      <c r="Q359" s="56"/>
      <c r="R359" s="56"/>
      <c r="S359" s="56"/>
      <c r="T359" s="56"/>
      <c r="U359" s="56"/>
      <c r="V359" s="56"/>
      <c r="W359" s="56"/>
      <c r="X359" s="56"/>
      <c r="Y359" s="56"/>
      <c r="Z359" s="56"/>
      <c r="AA359" s="56"/>
      <c r="AB359" s="56"/>
    </row>
    <row r="360" ht="15.75" customHeight="1">
      <c r="A360" s="57" t="str">
        <f t="shared" si="1"/>
        <v>605094849dea6ca58aa8f5f6</v>
      </c>
      <c r="B360" s="63"/>
      <c r="C360" s="56" t="s">
        <v>53</v>
      </c>
      <c r="D360" s="102" t="s">
        <v>1218</v>
      </c>
      <c r="E360" s="114" t="s">
        <v>5455</v>
      </c>
      <c r="F360" s="114" t="s">
        <v>5456</v>
      </c>
      <c r="G360" s="128">
        <v>0.5416666666666666</v>
      </c>
      <c r="H360" s="102" t="s">
        <v>5457</v>
      </c>
      <c r="I360" s="105" t="s">
        <v>5458</v>
      </c>
      <c r="J360" s="130" t="s">
        <v>5459</v>
      </c>
      <c r="K360" s="38" t="s">
        <v>5460</v>
      </c>
      <c r="L360" s="38"/>
      <c r="M360" s="56" t="str">
        <f>VLOOKUP(E360,'Hedef Liste'!A:I,9,false)</f>
        <v>#N/A</v>
      </c>
      <c r="N360" s="56" t="b">
        <v>0</v>
      </c>
      <c r="O360" s="56" t="b">
        <v>0</v>
      </c>
      <c r="P360" s="56"/>
      <c r="Q360" s="56"/>
      <c r="R360" s="56"/>
      <c r="S360" s="56"/>
      <c r="T360" s="56"/>
      <c r="U360" s="56"/>
      <c r="V360" s="56"/>
      <c r="W360" s="56"/>
      <c r="X360" s="56"/>
      <c r="Y360" s="56"/>
      <c r="Z360" s="56"/>
      <c r="AA360" s="56"/>
      <c r="AB360" s="56"/>
    </row>
    <row r="361" ht="15.75" customHeight="1">
      <c r="A361" s="57" t="str">
        <f t="shared" si="1"/>
        <v>604e2512d977096de84ebaf0</v>
      </c>
      <c r="B361" s="63"/>
      <c r="C361" s="56" t="s">
        <v>53</v>
      </c>
      <c r="D361" s="38" t="s">
        <v>654</v>
      </c>
      <c r="E361" s="109" t="s">
        <v>2117</v>
      </c>
      <c r="F361" s="109" t="s">
        <v>2118</v>
      </c>
      <c r="G361" s="131" t="s">
        <v>5461</v>
      </c>
      <c r="H361" s="80" t="s">
        <v>5390</v>
      </c>
      <c r="I361" s="96" t="s">
        <v>5462</v>
      </c>
      <c r="J361" s="80" t="s">
        <v>2120</v>
      </c>
      <c r="K361" s="68"/>
      <c r="L361" s="38"/>
      <c r="M361" s="56">
        <f>VLOOKUP(E361,'Hedef Liste'!A:I,9,false)</f>
        <v>122</v>
      </c>
      <c r="N361" s="56" t="b">
        <v>0</v>
      </c>
      <c r="O361" s="56" t="b">
        <v>0</v>
      </c>
      <c r="P361" s="56"/>
      <c r="Q361" s="56"/>
      <c r="R361" s="56"/>
      <c r="S361" s="56"/>
      <c r="T361" s="56"/>
      <c r="U361" s="56"/>
      <c r="V361" s="56"/>
      <c r="W361" s="56"/>
      <c r="X361" s="56"/>
      <c r="Y361" s="56"/>
      <c r="Z361" s="56"/>
      <c r="AA361" s="56"/>
      <c r="AB361" s="56"/>
    </row>
    <row r="362" ht="15.75" customHeight="1">
      <c r="A362" s="57" t="str">
        <f t="shared" si="1"/>
        <v>605999e5eac9932667c6e846</v>
      </c>
      <c r="B362" s="63"/>
      <c r="C362" s="89" t="s">
        <v>53</v>
      </c>
      <c r="D362" s="110" t="s">
        <v>258</v>
      </c>
      <c r="E362" s="67" t="s">
        <v>3355</v>
      </c>
      <c r="F362" s="67" t="s">
        <v>5463</v>
      </c>
      <c r="G362" s="81" t="s">
        <v>4997</v>
      </c>
      <c r="H362" s="132" t="s">
        <v>5197</v>
      </c>
      <c r="I362" s="132" t="s">
        <v>5464</v>
      </c>
      <c r="J362" s="132" t="s">
        <v>5465</v>
      </c>
      <c r="K362" s="65" t="s">
        <v>5451</v>
      </c>
      <c r="L362" s="65">
        <v>19.0</v>
      </c>
      <c r="M362" s="89"/>
      <c r="N362" s="89" t="b">
        <v>0</v>
      </c>
      <c r="O362" s="89" t="b">
        <v>0</v>
      </c>
      <c r="P362" s="89"/>
      <c r="Q362" s="89"/>
      <c r="R362" s="89"/>
      <c r="S362" s="89"/>
      <c r="T362" s="89"/>
      <c r="U362" s="89"/>
      <c r="V362" s="89"/>
      <c r="W362" s="89"/>
      <c r="X362" s="89"/>
      <c r="Y362" s="89"/>
      <c r="Z362" s="89"/>
      <c r="AA362" s="89"/>
      <c r="AB362" s="89"/>
    </row>
    <row r="363" ht="15.75" customHeight="1">
      <c r="A363" s="57" t="str">
        <f t="shared" si="1"/>
        <v/>
      </c>
      <c r="B363" s="69"/>
      <c r="C363" s="56"/>
      <c r="D363" s="38"/>
      <c r="E363" s="80"/>
      <c r="F363" s="132"/>
      <c r="G363" s="81"/>
      <c r="H363" s="80"/>
      <c r="I363" s="80"/>
      <c r="J363" s="80"/>
      <c r="K363" s="38"/>
      <c r="L363" s="38"/>
      <c r="M363" s="56"/>
      <c r="N363" s="56" t="b">
        <v>0</v>
      </c>
      <c r="O363" s="56" t="b">
        <v>0</v>
      </c>
      <c r="P363" s="56"/>
      <c r="Q363" s="56"/>
      <c r="R363" s="56"/>
      <c r="S363" s="56"/>
      <c r="T363" s="56"/>
      <c r="U363" s="56"/>
      <c r="V363" s="56"/>
      <c r="W363" s="56"/>
      <c r="X363" s="56"/>
      <c r="Y363" s="56"/>
      <c r="Z363" s="56"/>
      <c r="AA363" s="56"/>
      <c r="AB363" s="56"/>
    </row>
    <row r="364" ht="15.75" customHeight="1">
      <c r="A364" s="57" t="str">
        <f t="shared" si="1"/>
        <v/>
      </c>
      <c r="B364" s="118"/>
      <c r="C364" s="56"/>
      <c r="D364" s="38"/>
      <c r="E364" s="80"/>
      <c r="F364" s="132"/>
      <c r="G364" s="81"/>
      <c r="H364" s="80"/>
      <c r="I364" s="80"/>
      <c r="J364" s="80"/>
      <c r="K364" s="38"/>
      <c r="L364" s="38"/>
      <c r="M364" s="56"/>
      <c r="N364" s="56" t="b">
        <v>0</v>
      </c>
      <c r="O364" s="56" t="b">
        <v>0</v>
      </c>
      <c r="P364" s="56"/>
      <c r="Q364" s="56"/>
      <c r="R364" s="56"/>
      <c r="S364" s="56"/>
      <c r="T364" s="56"/>
      <c r="U364" s="56"/>
      <c r="V364" s="56"/>
      <c r="W364" s="56"/>
      <c r="X364" s="56"/>
      <c r="Y364" s="56"/>
      <c r="Z364" s="56"/>
      <c r="AA364" s="56"/>
      <c r="AB364" s="56"/>
    </row>
    <row r="365" ht="15.75" customHeight="1">
      <c r="A365" s="57" t="str">
        <f t="shared" si="1"/>
        <v>600c4684104d8bee63f29f43</v>
      </c>
      <c r="B365" s="58" t="s">
        <v>4850</v>
      </c>
      <c r="C365" s="38" t="s">
        <v>278</v>
      </c>
      <c r="D365" s="38" t="s">
        <v>76</v>
      </c>
      <c r="E365" s="67" t="s">
        <v>2593</v>
      </c>
      <c r="F365" s="67" t="s">
        <v>5466</v>
      </c>
      <c r="G365" s="122">
        <v>0.4583333333333333</v>
      </c>
      <c r="H365" s="56" t="s">
        <v>4880</v>
      </c>
      <c r="I365" s="56" t="s">
        <v>5467</v>
      </c>
      <c r="J365" s="67" t="s">
        <v>5468</v>
      </c>
      <c r="K365" s="38" t="s">
        <v>4830</v>
      </c>
      <c r="L365" s="38">
        <v>21.0</v>
      </c>
      <c r="M365" s="56"/>
      <c r="N365" s="56" t="b">
        <v>0</v>
      </c>
      <c r="O365" s="56" t="b">
        <v>0</v>
      </c>
      <c r="P365" s="56"/>
      <c r="Q365" s="56"/>
      <c r="R365" s="56"/>
      <c r="S365" s="56"/>
      <c r="T365" s="56"/>
      <c r="U365" s="56"/>
      <c r="V365" s="56"/>
      <c r="W365" s="56"/>
      <c r="X365" s="56"/>
      <c r="Y365" s="56"/>
      <c r="Z365" s="56"/>
      <c r="AA365" s="56"/>
      <c r="AB365" s="56"/>
    </row>
    <row r="366" ht="15.75" customHeight="1">
      <c r="A366" s="57" t="str">
        <f t="shared" si="1"/>
        <v>605b348998acb21bae87b88c</v>
      </c>
      <c r="B366" s="63"/>
      <c r="C366" s="38" t="s">
        <v>278</v>
      </c>
      <c r="D366" s="38" t="s">
        <v>52</v>
      </c>
      <c r="E366" s="67" t="s">
        <v>3928</v>
      </c>
      <c r="F366" s="67" t="s">
        <v>3929</v>
      </c>
      <c r="G366" s="122">
        <v>0.5416666666666666</v>
      </c>
      <c r="H366" s="38" t="s">
        <v>4880</v>
      </c>
      <c r="I366" s="67" t="s">
        <v>5469</v>
      </c>
      <c r="J366" s="67" t="s">
        <v>3931</v>
      </c>
      <c r="K366" s="112" t="s">
        <v>5470</v>
      </c>
      <c r="L366" s="38"/>
      <c r="M366" s="56">
        <f>VLOOKUP(E366,'Hedef Liste'!A:I,9,false)</f>
        <v>39</v>
      </c>
      <c r="N366" s="56" t="b">
        <v>0</v>
      </c>
      <c r="O366" s="56" t="b">
        <v>0</v>
      </c>
      <c r="P366" s="56"/>
      <c r="Q366" s="56"/>
      <c r="R366" s="56"/>
      <c r="S366" s="56"/>
      <c r="T366" s="56"/>
      <c r="U366" s="56"/>
      <c r="V366" s="56"/>
      <c r="W366" s="56"/>
      <c r="X366" s="56"/>
      <c r="Y366" s="56"/>
      <c r="Z366" s="56"/>
      <c r="AA366" s="56"/>
      <c r="AB366" s="56"/>
    </row>
    <row r="367" ht="15.75" customHeight="1">
      <c r="A367" s="57" t="str">
        <f t="shared" si="1"/>
        <v>600430e50d6f5918f89c207f</v>
      </c>
      <c r="B367" s="63"/>
      <c r="C367" s="38" t="s">
        <v>278</v>
      </c>
      <c r="D367" s="38" t="s">
        <v>76</v>
      </c>
      <c r="E367" s="67" t="s">
        <v>5471</v>
      </c>
      <c r="F367" s="67" t="s">
        <v>5472</v>
      </c>
      <c r="G367" s="66" t="s">
        <v>4896</v>
      </c>
      <c r="H367" s="67" t="s">
        <v>5014</v>
      </c>
      <c r="I367" s="67" t="s">
        <v>5473</v>
      </c>
      <c r="J367" s="67" t="s">
        <v>5474</v>
      </c>
      <c r="K367" s="38" t="s">
        <v>4830</v>
      </c>
      <c r="L367" s="38">
        <v>27.0</v>
      </c>
      <c r="M367" s="56" t="str">
        <f>VLOOKUP(E367,'Hedef Liste'!A:I,9,false)</f>
        <v>#N/A</v>
      </c>
      <c r="N367" s="56" t="b">
        <v>0</v>
      </c>
      <c r="O367" s="56" t="b">
        <v>0</v>
      </c>
      <c r="P367" s="56"/>
      <c r="Q367" s="56"/>
      <c r="R367" s="56"/>
      <c r="S367" s="56"/>
      <c r="T367" s="56"/>
      <c r="U367" s="56"/>
      <c r="V367" s="56"/>
      <c r="W367" s="56"/>
      <c r="X367" s="56"/>
      <c r="Y367" s="56"/>
      <c r="Z367" s="56"/>
      <c r="AA367" s="56"/>
      <c r="AB367" s="56"/>
    </row>
    <row r="368" ht="15.75" customHeight="1">
      <c r="A368" s="57" t="str">
        <f t="shared" si="1"/>
        <v>Sadece 3 randevu bu saatlere alınacak</v>
      </c>
      <c r="B368" s="63"/>
      <c r="C368" s="38" t="s">
        <v>278</v>
      </c>
      <c r="D368" s="38"/>
      <c r="E368" s="38" t="s">
        <v>5475</v>
      </c>
      <c r="F368" s="89"/>
      <c r="G368" s="90"/>
      <c r="H368" s="56"/>
      <c r="I368" s="56"/>
      <c r="J368" s="56"/>
      <c r="K368" s="56"/>
      <c r="L368" s="38"/>
      <c r="M368" s="56">
        <f>VLOOKUP(E375,'Hedef Liste'!A:I,9,false)</f>
        <v>13</v>
      </c>
      <c r="N368" s="56" t="b">
        <v>0</v>
      </c>
      <c r="O368" s="56" t="b">
        <v>0</v>
      </c>
      <c r="P368" s="56"/>
      <c r="Q368" s="56"/>
      <c r="R368" s="56"/>
      <c r="S368" s="56"/>
      <c r="T368" s="56"/>
      <c r="U368" s="56"/>
      <c r="V368" s="56"/>
      <c r="W368" s="56"/>
      <c r="X368" s="56"/>
      <c r="Y368" s="56"/>
      <c r="Z368" s="56"/>
      <c r="AA368" s="56"/>
      <c r="AB368" s="56"/>
    </row>
    <row r="369" ht="15.75" customHeight="1">
      <c r="A369" s="57" t="str">
        <f t="shared" si="1"/>
        <v/>
      </c>
      <c r="B369" s="63"/>
      <c r="C369" s="38"/>
      <c r="D369" s="38"/>
      <c r="E369" s="56"/>
      <c r="F369" s="65"/>
      <c r="G369" s="66"/>
      <c r="H369" s="38"/>
      <c r="I369" s="38"/>
      <c r="J369" s="38"/>
      <c r="K369" s="38"/>
      <c r="L369" s="38"/>
      <c r="M369" s="56" t="str">
        <f>VLOOKUP(E368,'Hedef Liste'!A:I,9,false)</f>
        <v>#N/A</v>
      </c>
      <c r="N369" s="56" t="b">
        <v>0</v>
      </c>
      <c r="O369" s="56" t="b">
        <v>0</v>
      </c>
      <c r="P369" s="56"/>
      <c r="Q369" s="56"/>
      <c r="R369" s="56"/>
      <c r="S369" s="56"/>
      <c r="T369" s="56"/>
      <c r="U369" s="56"/>
      <c r="V369" s="56"/>
      <c r="W369" s="56"/>
      <c r="X369" s="56"/>
      <c r="Y369" s="56"/>
      <c r="Z369" s="56"/>
      <c r="AA369" s="56"/>
      <c r="AB369" s="56"/>
    </row>
    <row r="370" ht="15.75" customHeight="1">
      <c r="A370" s="57" t="str">
        <f t="shared" si="1"/>
        <v/>
      </c>
      <c r="B370" s="69"/>
      <c r="C370" s="56"/>
      <c r="D370" s="38"/>
      <c r="E370" s="38"/>
      <c r="F370" s="65"/>
      <c r="G370" s="66"/>
      <c r="H370" s="38"/>
      <c r="I370" s="38"/>
      <c r="J370" s="38"/>
      <c r="K370" s="38"/>
      <c r="L370" s="38"/>
      <c r="M370" s="56"/>
      <c r="N370" s="56" t="b">
        <v>0</v>
      </c>
      <c r="O370" s="56" t="b">
        <v>0</v>
      </c>
      <c r="P370" s="56"/>
      <c r="Q370" s="56"/>
      <c r="R370" s="56"/>
      <c r="S370" s="56"/>
      <c r="T370" s="56"/>
      <c r="U370" s="56"/>
      <c r="V370" s="56"/>
      <c r="W370" s="56"/>
      <c r="X370" s="56"/>
      <c r="Y370" s="56"/>
      <c r="Z370" s="56"/>
      <c r="AA370" s="56"/>
      <c r="AB370" s="56"/>
    </row>
    <row r="371" ht="15.75" customHeight="1">
      <c r="A371" s="57" t="str">
        <f t="shared" si="1"/>
        <v/>
      </c>
      <c r="B371" s="51"/>
      <c r="C371" s="52">
        <v>44295.0</v>
      </c>
      <c r="D371" s="38"/>
      <c r="E371" s="53"/>
      <c r="F371" s="54"/>
      <c r="G371" s="54"/>
      <c r="H371" s="54"/>
      <c r="I371" s="54"/>
      <c r="J371" s="54"/>
      <c r="K371" s="54"/>
      <c r="L371" s="55"/>
      <c r="M371" s="56"/>
      <c r="N371" s="56"/>
      <c r="O371" s="56"/>
      <c r="P371" s="56"/>
      <c r="Q371" s="56"/>
      <c r="R371" s="56"/>
      <c r="S371" s="56"/>
      <c r="T371" s="56"/>
      <c r="U371" s="56"/>
      <c r="V371" s="56"/>
      <c r="W371" s="56"/>
      <c r="X371" s="56"/>
      <c r="Y371" s="56"/>
      <c r="Z371" s="56"/>
      <c r="AA371" s="56"/>
      <c r="AB371" s="56"/>
    </row>
    <row r="372" ht="15.75" customHeight="1">
      <c r="A372" s="57" t="str">
        <f t="shared" si="1"/>
        <v>60523de3e7317c079c8ab2de</v>
      </c>
      <c r="B372" s="58" t="s">
        <v>4827</v>
      </c>
      <c r="C372" s="56" t="s">
        <v>66</v>
      </c>
      <c r="D372" s="38" t="s">
        <v>258</v>
      </c>
      <c r="E372" s="67" t="s">
        <v>5476</v>
      </c>
      <c r="F372" s="67" t="s">
        <v>5477</v>
      </c>
      <c r="G372" s="122">
        <v>0.4583333333333333</v>
      </c>
      <c r="H372" s="56" t="s">
        <v>5478</v>
      </c>
      <c r="I372" s="56" t="s">
        <v>5479</v>
      </c>
      <c r="J372" s="67" t="s">
        <v>5480</v>
      </c>
      <c r="K372" s="38" t="s">
        <v>5481</v>
      </c>
      <c r="L372" s="38"/>
      <c r="M372" s="56" t="str">
        <f>VLOOKUP(#REF!,'Hedef Liste'!A:I,9,false)</f>
        <v>#REF!</v>
      </c>
      <c r="N372" s="56" t="b">
        <v>0</v>
      </c>
      <c r="O372" s="56" t="b">
        <v>0</v>
      </c>
      <c r="P372" s="56"/>
      <c r="Q372" s="56"/>
      <c r="R372" s="56"/>
      <c r="S372" s="56"/>
      <c r="T372" s="56"/>
      <c r="U372" s="56"/>
      <c r="V372" s="56"/>
      <c r="W372" s="56"/>
      <c r="X372" s="56"/>
      <c r="Y372" s="56"/>
      <c r="Z372" s="56"/>
      <c r="AA372" s="56"/>
      <c r="AB372" s="56"/>
    </row>
    <row r="373" ht="15.75" customHeight="1">
      <c r="A373" s="57" t="str">
        <f t="shared" si="1"/>
        <v>604662a0b997c4dc041b63c7</v>
      </c>
      <c r="B373" s="63"/>
      <c r="C373" s="56" t="s">
        <v>66</v>
      </c>
      <c r="D373" s="76" t="s">
        <v>258</v>
      </c>
      <c r="E373" s="77" t="s">
        <v>5482</v>
      </c>
      <c r="F373" s="77" t="s">
        <v>5483</v>
      </c>
      <c r="G373" s="82" t="s">
        <v>4887</v>
      </c>
      <c r="H373" s="77" t="s">
        <v>5484</v>
      </c>
      <c r="I373" s="77" t="s">
        <v>5485</v>
      </c>
      <c r="J373" s="77" t="s">
        <v>5486</v>
      </c>
      <c r="K373" s="76" t="s">
        <v>5487</v>
      </c>
      <c r="L373" s="38"/>
      <c r="M373" s="56" t="str">
        <f>VLOOKUP(E372,'Hedef Liste'!A:I,9,false)</f>
        <v>#N/A</v>
      </c>
      <c r="N373" s="56" t="b">
        <v>0</v>
      </c>
      <c r="O373" s="56" t="b">
        <v>0</v>
      </c>
      <c r="P373" s="56"/>
      <c r="Q373" s="56"/>
      <c r="R373" s="56"/>
      <c r="S373" s="56"/>
      <c r="T373" s="56"/>
      <c r="U373" s="56"/>
      <c r="V373" s="56"/>
      <c r="W373" s="56"/>
      <c r="X373" s="56"/>
      <c r="Y373" s="56"/>
      <c r="Z373" s="56"/>
      <c r="AA373" s="56"/>
      <c r="AB373" s="56"/>
    </row>
    <row r="374" ht="15.75" customHeight="1">
      <c r="A374" s="57" t="str">
        <f t="shared" si="1"/>
        <v>605ddf68d79a791937474db1</v>
      </c>
      <c r="B374" s="63"/>
      <c r="C374" s="56" t="s">
        <v>66</v>
      </c>
      <c r="D374" s="38" t="s">
        <v>258</v>
      </c>
      <c r="E374" s="67" t="s">
        <v>3585</v>
      </c>
      <c r="F374" s="67" t="s">
        <v>3586</v>
      </c>
      <c r="G374" s="122">
        <v>0.625</v>
      </c>
      <c r="H374" s="38" t="s">
        <v>5488</v>
      </c>
      <c r="I374" s="67" t="s">
        <v>5489</v>
      </c>
      <c r="J374" s="67" t="s">
        <v>3588</v>
      </c>
      <c r="K374" s="38" t="s">
        <v>5490</v>
      </c>
      <c r="L374" s="38"/>
      <c r="M374" s="56" t="str">
        <f>VLOOKUP(E373,'Hedef Liste'!A:I,9,false)</f>
        <v>#N/A</v>
      </c>
      <c r="N374" s="56" t="b">
        <v>0</v>
      </c>
      <c r="O374" s="56" t="b">
        <v>0</v>
      </c>
      <c r="P374" s="56"/>
      <c r="Q374" s="56"/>
      <c r="R374" s="56"/>
      <c r="S374" s="56"/>
      <c r="T374" s="56"/>
      <c r="U374" s="56"/>
      <c r="V374" s="56"/>
      <c r="W374" s="56"/>
      <c r="X374" s="56"/>
      <c r="Y374" s="56"/>
      <c r="Z374" s="56"/>
      <c r="AA374" s="56"/>
      <c r="AB374" s="56"/>
    </row>
    <row r="375" ht="15.75" customHeight="1">
      <c r="A375" s="57" t="str">
        <f t="shared" si="1"/>
        <v>605a434e5e7ded0aada65b83</v>
      </c>
      <c r="B375" s="63"/>
      <c r="C375" s="56" t="s">
        <v>66</v>
      </c>
      <c r="D375" s="38" t="s">
        <v>52</v>
      </c>
      <c r="E375" s="109" t="s">
        <v>1915</v>
      </c>
      <c r="F375" s="109" t="s">
        <v>1916</v>
      </c>
      <c r="G375" s="81" t="s">
        <v>4899</v>
      </c>
      <c r="H375" s="80" t="s">
        <v>5491</v>
      </c>
      <c r="I375" s="80" t="s">
        <v>5492</v>
      </c>
      <c r="J375" s="109" t="s">
        <v>1918</v>
      </c>
      <c r="K375" s="38" t="s">
        <v>5451</v>
      </c>
      <c r="L375" s="38"/>
      <c r="M375" s="56">
        <f>VLOOKUP(E374,'Hedef Liste'!A:I,9,false)</f>
        <v>26</v>
      </c>
      <c r="N375" s="56" t="b">
        <v>0</v>
      </c>
      <c r="O375" s="56" t="b">
        <v>0</v>
      </c>
      <c r="P375" s="56"/>
      <c r="Q375" s="56"/>
      <c r="R375" s="56"/>
      <c r="S375" s="56"/>
      <c r="T375" s="56"/>
      <c r="U375" s="56"/>
      <c r="V375" s="56"/>
      <c r="W375" s="56"/>
      <c r="X375" s="56"/>
      <c r="Y375" s="56"/>
      <c r="Z375" s="56"/>
      <c r="AA375" s="56"/>
      <c r="AB375" s="56"/>
    </row>
    <row r="376" ht="15.75" customHeight="1">
      <c r="A376" s="57" t="str">
        <f t="shared" si="1"/>
        <v/>
      </c>
      <c r="B376" s="63"/>
      <c r="C376" s="56"/>
      <c r="D376" s="56"/>
      <c r="E376" s="56"/>
      <c r="F376" s="89"/>
      <c r="G376" s="90"/>
      <c r="H376" s="56"/>
      <c r="I376" s="56"/>
      <c r="J376" s="56"/>
      <c r="K376" s="68"/>
      <c r="L376" s="38"/>
      <c r="M376" s="56"/>
      <c r="N376" s="56" t="b">
        <v>0</v>
      </c>
      <c r="O376" s="56" t="b">
        <v>0</v>
      </c>
      <c r="P376" s="56"/>
      <c r="Q376" s="56"/>
      <c r="R376" s="56"/>
      <c r="S376" s="56"/>
      <c r="T376" s="56"/>
      <c r="U376" s="56"/>
      <c r="V376" s="56"/>
      <c r="W376" s="56"/>
      <c r="X376" s="56"/>
      <c r="Y376" s="56"/>
      <c r="Z376" s="56"/>
      <c r="AA376" s="56"/>
      <c r="AB376" s="56"/>
    </row>
    <row r="377" ht="15.75" customHeight="1">
      <c r="A377" s="57" t="str">
        <f t="shared" si="1"/>
        <v>60313ab5b868aa2d0ef7c3d4</v>
      </c>
      <c r="B377" s="69"/>
      <c r="C377" s="56"/>
      <c r="D377" s="76" t="s">
        <v>133</v>
      </c>
      <c r="E377" s="77" t="s">
        <v>5328</v>
      </c>
      <c r="F377" s="77" t="s">
        <v>4563</v>
      </c>
      <c r="G377" s="82" t="s">
        <v>4887</v>
      </c>
      <c r="H377" s="76" t="s">
        <v>5493</v>
      </c>
      <c r="I377" s="76" t="s">
        <v>5494</v>
      </c>
      <c r="J377" s="76" t="s">
        <v>5330</v>
      </c>
      <c r="K377" s="76" t="s">
        <v>5495</v>
      </c>
      <c r="L377" s="38"/>
      <c r="M377" s="56"/>
      <c r="N377" s="56" t="b">
        <v>0</v>
      </c>
      <c r="O377" s="56" t="b">
        <v>0</v>
      </c>
      <c r="P377" s="56"/>
      <c r="Q377" s="56"/>
      <c r="R377" s="56"/>
      <c r="S377" s="56"/>
      <c r="T377" s="56"/>
      <c r="U377" s="56"/>
      <c r="V377" s="56"/>
      <c r="W377" s="56"/>
      <c r="X377" s="56"/>
      <c r="Y377" s="56"/>
      <c r="Z377" s="56"/>
      <c r="AA377" s="56"/>
      <c r="AB377" s="56"/>
    </row>
    <row r="378" ht="15.75" customHeight="1">
      <c r="A378" s="57" t="str">
        <f t="shared" si="1"/>
        <v>600d90d6104d8be4f7f2c1b6</v>
      </c>
      <c r="B378" s="58" t="s">
        <v>4836</v>
      </c>
      <c r="C378" s="56" t="s">
        <v>53</v>
      </c>
      <c r="D378" s="102" t="s">
        <v>133</v>
      </c>
      <c r="E378" s="114" t="s">
        <v>708</v>
      </c>
      <c r="F378" s="114" t="s">
        <v>709</v>
      </c>
      <c r="G378" s="128">
        <v>0.5625</v>
      </c>
      <c r="H378" s="102" t="s">
        <v>5496</v>
      </c>
      <c r="I378" s="105" t="s">
        <v>5497</v>
      </c>
      <c r="J378" s="102" t="s">
        <v>711</v>
      </c>
      <c r="K378" s="102" t="s">
        <v>5498</v>
      </c>
      <c r="L378" s="38"/>
      <c r="M378" s="56" t="str">
        <f>VLOOKUP(#REF!,'Hedef Liste'!A:I,9,false)</f>
        <v>#REF!</v>
      </c>
      <c r="N378" s="56" t="b">
        <v>0</v>
      </c>
      <c r="O378" s="56" t="b">
        <v>0</v>
      </c>
      <c r="P378" s="56"/>
      <c r="Q378" s="56"/>
      <c r="R378" s="56"/>
      <c r="S378" s="56"/>
      <c r="T378" s="56"/>
      <c r="U378" s="56"/>
      <c r="V378" s="56"/>
      <c r="W378" s="56"/>
      <c r="X378" s="56"/>
      <c r="Y378" s="56"/>
      <c r="Z378" s="56"/>
      <c r="AA378" s="56"/>
      <c r="AB378" s="56"/>
    </row>
    <row r="379" ht="15.75" customHeight="1">
      <c r="A379" s="57" t="str">
        <f t="shared" si="1"/>
        <v>60534aa7b7515148508e0865</v>
      </c>
      <c r="B379" s="63"/>
      <c r="C379" s="56" t="s">
        <v>53</v>
      </c>
      <c r="D379" s="102" t="s">
        <v>52</v>
      </c>
      <c r="E379" s="114" t="s">
        <v>5499</v>
      </c>
      <c r="F379" s="114" t="s">
        <v>5500</v>
      </c>
      <c r="G379" s="133" t="s">
        <v>4892</v>
      </c>
      <c r="H379" s="102" t="s">
        <v>4908</v>
      </c>
      <c r="I379" s="102" t="s">
        <v>5501</v>
      </c>
      <c r="J379" s="114" t="s">
        <v>5502</v>
      </c>
      <c r="K379" s="38" t="s">
        <v>5503</v>
      </c>
      <c r="L379" s="38"/>
      <c r="M379" s="56">
        <f>VLOOKUP(E378,'Hedef Liste'!A:I,9,false)</f>
        <v>33</v>
      </c>
      <c r="N379" s="56" t="b">
        <v>0</v>
      </c>
      <c r="O379" s="56" t="b">
        <v>0</v>
      </c>
      <c r="P379" s="56"/>
      <c r="Q379" s="56"/>
      <c r="R379" s="56"/>
      <c r="S379" s="56"/>
      <c r="T379" s="56"/>
      <c r="U379" s="56"/>
      <c r="V379" s="56"/>
      <c r="W379" s="56"/>
      <c r="X379" s="56"/>
      <c r="Y379" s="56"/>
      <c r="Z379" s="56"/>
      <c r="AA379" s="56"/>
      <c r="AB379" s="56"/>
    </row>
    <row r="380" ht="15.75" customHeight="1">
      <c r="A380" s="57" t="str">
        <f t="shared" si="1"/>
        <v>6049ee64972cd02d70c45f26</v>
      </c>
      <c r="B380" s="63"/>
      <c r="C380" s="56" t="s">
        <v>53</v>
      </c>
      <c r="D380" s="102" t="s">
        <v>258</v>
      </c>
      <c r="E380" s="114" t="s">
        <v>5504</v>
      </c>
      <c r="F380" s="114" t="s">
        <v>5505</v>
      </c>
      <c r="G380" s="133" t="s">
        <v>4899</v>
      </c>
      <c r="H380" s="102" t="s">
        <v>5506</v>
      </c>
      <c r="I380" s="102" t="s">
        <v>5507</v>
      </c>
      <c r="J380" s="134" t="s">
        <v>5508</v>
      </c>
      <c r="K380" s="38" t="s">
        <v>5509</v>
      </c>
      <c r="L380" s="38"/>
      <c r="M380" s="56" t="str">
        <f>VLOOKUP(E379,'Hedef Liste'!A:I,9,false)</f>
        <v>#N/A</v>
      </c>
      <c r="N380" s="56" t="b">
        <v>0</v>
      </c>
      <c r="O380" s="56" t="b">
        <v>0</v>
      </c>
      <c r="P380" s="56"/>
      <c r="Q380" s="56"/>
      <c r="R380" s="56"/>
      <c r="S380" s="56"/>
      <c r="T380" s="56"/>
      <c r="U380" s="56"/>
      <c r="V380" s="56"/>
      <c r="W380" s="56"/>
      <c r="X380" s="56"/>
      <c r="Y380" s="56"/>
      <c r="Z380" s="56"/>
      <c r="AA380" s="56"/>
      <c r="AB380" s="56"/>
    </row>
    <row r="381" ht="15.75" customHeight="1">
      <c r="A381" s="57" t="str">
        <f t="shared" si="1"/>
        <v>6022dbdf966d0a1ed5db8430</v>
      </c>
      <c r="B381" s="63"/>
      <c r="C381" s="56" t="s">
        <v>53</v>
      </c>
      <c r="D381" s="38" t="s">
        <v>133</v>
      </c>
      <c r="E381" s="67" t="s">
        <v>4786</v>
      </c>
      <c r="F381" s="67" t="s">
        <v>4787</v>
      </c>
      <c r="G381" s="66" t="s">
        <v>4899</v>
      </c>
      <c r="H381" s="38" t="s">
        <v>5165</v>
      </c>
      <c r="I381" s="38" t="s">
        <v>5510</v>
      </c>
      <c r="J381" s="57" t="s">
        <v>4789</v>
      </c>
      <c r="K381" s="38"/>
      <c r="L381" s="38"/>
      <c r="M381" s="56"/>
      <c r="N381" s="56" t="b">
        <v>0</v>
      </c>
      <c r="O381" s="56" t="b">
        <v>0</v>
      </c>
      <c r="P381" s="56"/>
      <c r="Q381" s="56"/>
      <c r="R381" s="56"/>
      <c r="S381" s="56"/>
      <c r="T381" s="56"/>
      <c r="U381" s="56"/>
      <c r="V381" s="56"/>
      <c r="W381" s="56"/>
      <c r="X381" s="56"/>
      <c r="Y381" s="56"/>
      <c r="Z381" s="56"/>
      <c r="AA381" s="56"/>
      <c r="AB381" s="56"/>
    </row>
    <row r="382" ht="15.75" customHeight="1">
      <c r="A382" s="57" t="str">
        <f t="shared" si="1"/>
        <v>602109d56d12e9fd884907e1</v>
      </c>
      <c r="B382" s="63"/>
      <c r="C382" s="56" t="s">
        <v>53</v>
      </c>
      <c r="D382" s="130" t="s">
        <v>133</v>
      </c>
      <c r="E382" s="114" t="s">
        <v>455</v>
      </c>
      <c r="F382" s="114" t="s">
        <v>456</v>
      </c>
      <c r="G382" s="133" t="s">
        <v>4997</v>
      </c>
      <c r="H382" s="102" t="s">
        <v>5511</v>
      </c>
      <c r="I382" s="102" t="s">
        <v>5512</v>
      </c>
      <c r="J382" s="102" t="s">
        <v>5513</v>
      </c>
      <c r="K382" s="102" t="s">
        <v>5514</v>
      </c>
      <c r="L382" s="38"/>
      <c r="M382" s="56" t="str">
        <f>VLOOKUP(E380,'Hedef Liste'!A:I,9,false)</f>
        <v>#N/A</v>
      </c>
      <c r="N382" s="56" t="b">
        <v>0</v>
      </c>
      <c r="O382" s="56" t="b">
        <v>0</v>
      </c>
      <c r="P382" s="56"/>
      <c r="Q382" s="56"/>
      <c r="R382" s="56"/>
      <c r="S382" s="56"/>
      <c r="T382" s="56"/>
      <c r="U382" s="56"/>
      <c r="V382" s="56"/>
      <c r="W382" s="56"/>
      <c r="X382" s="56"/>
      <c r="Y382" s="56"/>
      <c r="Z382" s="56"/>
      <c r="AA382" s="56"/>
      <c r="AB382" s="56"/>
    </row>
    <row r="383" ht="15.75" customHeight="1">
      <c r="A383" s="57" t="str">
        <f t="shared" si="1"/>
        <v/>
      </c>
      <c r="B383" s="63"/>
      <c r="C383" s="56"/>
      <c r="D383" s="56"/>
      <c r="E383" s="67"/>
      <c r="F383" s="67"/>
      <c r="G383" s="79"/>
      <c r="H383" s="56"/>
      <c r="I383" s="56"/>
      <c r="J383" s="56"/>
      <c r="K383" s="56"/>
      <c r="L383" s="38"/>
      <c r="M383" s="56"/>
      <c r="N383" s="56" t="b">
        <v>0</v>
      </c>
      <c r="O383" s="56" t="b">
        <v>0</v>
      </c>
      <c r="P383" s="56"/>
      <c r="Q383" s="56"/>
      <c r="R383" s="56"/>
      <c r="S383" s="56"/>
      <c r="T383" s="56"/>
      <c r="U383" s="56"/>
      <c r="V383" s="56"/>
      <c r="W383" s="56"/>
      <c r="X383" s="56"/>
      <c r="Y383" s="56"/>
      <c r="Z383" s="56"/>
      <c r="AA383" s="56"/>
      <c r="AB383" s="56"/>
    </row>
    <row r="384" ht="15.75" customHeight="1">
      <c r="A384" s="57" t="str">
        <f t="shared" si="1"/>
        <v/>
      </c>
      <c r="B384" s="69"/>
      <c r="C384" s="56"/>
      <c r="D384" s="38"/>
      <c r="E384" s="38"/>
      <c r="F384" s="65"/>
      <c r="G384" s="66"/>
      <c r="H384" s="38"/>
      <c r="I384" s="38"/>
      <c r="J384" s="38"/>
      <c r="K384" s="38"/>
      <c r="L384" s="38"/>
      <c r="M384" s="56"/>
      <c r="N384" s="56" t="b">
        <v>0</v>
      </c>
      <c r="O384" s="56" t="b">
        <v>0</v>
      </c>
      <c r="P384" s="56"/>
      <c r="Q384" s="56"/>
      <c r="R384" s="56"/>
      <c r="S384" s="56"/>
      <c r="T384" s="56"/>
      <c r="U384" s="56"/>
      <c r="V384" s="56"/>
      <c r="W384" s="56"/>
      <c r="X384" s="56"/>
      <c r="Y384" s="56"/>
      <c r="Z384" s="56"/>
      <c r="AA384" s="56"/>
      <c r="AB384" s="56"/>
    </row>
    <row r="385" ht="15.75" customHeight="1">
      <c r="A385" s="57" t="str">
        <f t="shared" si="1"/>
        <v>5fdfa40d3e964bf538e98b51</v>
      </c>
      <c r="B385" s="58" t="s">
        <v>4850</v>
      </c>
      <c r="C385" s="38" t="s">
        <v>278</v>
      </c>
      <c r="D385" s="38" t="s">
        <v>76</v>
      </c>
      <c r="E385" s="67" t="s">
        <v>1178</v>
      </c>
      <c r="F385" s="67" t="s">
        <v>1179</v>
      </c>
      <c r="G385" s="66" t="s">
        <v>4851</v>
      </c>
      <c r="H385" s="38" t="s">
        <v>5515</v>
      </c>
      <c r="I385" s="38" t="s">
        <v>5516</v>
      </c>
      <c r="J385" s="67" t="s">
        <v>1181</v>
      </c>
      <c r="K385" s="38" t="s">
        <v>4830</v>
      </c>
      <c r="L385" s="38">
        <v>15.0</v>
      </c>
      <c r="M385" s="56"/>
      <c r="N385" s="56" t="b">
        <v>0</v>
      </c>
      <c r="O385" s="56" t="b">
        <v>0</v>
      </c>
      <c r="P385" s="56"/>
      <c r="Q385" s="56"/>
      <c r="R385" s="56"/>
      <c r="S385" s="56"/>
      <c r="T385" s="56"/>
      <c r="U385" s="56"/>
      <c r="V385" s="56"/>
      <c r="W385" s="56"/>
      <c r="X385" s="56"/>
      <c r="Y385" s="56"/>
      <c r="Z385" s="56"/>
      <c r="AA385" s="56"/>
      <c r="AB385" s="56"/>
    </row>
    <row r="386" ht="15.75" customHeight="1">
      <c r="A386" s="57" t="str">
        <f t="shared" si="1"/>
        <v>603fc6bf92e907bc644f7700</v>
      </c>
      <c r="B386" s="63"/>
      <c r="C386" s="38" t="s">
        <v>278</v>
      </c>
      <c r="D386" s="62" t="s">
        <v>258</v>
      </c>
      <c r="E386" s="60" t="s">
        <v>4339</v>
      </c>
      <c r="F386" s="60" t="s">
        <v>4340</v>
      </c>
      <c r="G386" s="124">
        <v>0.5416666666666666</v>
      </c>
      <c r="H386" s="62" t="s">
        <v>5517</v>
      </c>
      <c r="I386" s="60" t="s">
        <v>5518</v>
      </c>
      <c r="J386" s="60" t="s">
        <v>4342</v>
      </c>
      <c r="K386" s="38" t="s">
        <v>4830</v>
      </c>
      <c r="L386" s="38">
        <v>15.0</v>
      </c>
      <c r="M386" s="56">
        <f>VLOOKUP(E386,'Hedef Liste'!A:I,9,false)</f>
        <v>40</v>
      </c>
      <c r="N386" s="56" t="b">
        <v>0</v>
      </c>
      <c r="O386" s="56" t="b">
        <v>0</v>
      </c>
      <c r="P386" s="56"/>
      <c r="Q386" s="56"/>
      <c r="R386" s="56"/>
      <c r="S386" s="56"/>
      <c r="T386" s="56"/>
      <c r="U386" s="56"/>
      <c r="V386" s="56"/>
      <c r="W386" s="56"/>
      <c r="X386" s="56"/>
      <c r="Y386" s="56"/>
      <c r="Z386" s="56"/>
      <c r="AA386" s="56"/>
      <c r="AB386" s="56"/>
    </row>
    <row r="387" ht="15.75" customHeight="1">
      <c r="A387" s="57" t="str">
        <f t="shared" si="1"/>
        <v>604ccff6b01c99748c1192f6</v>
      </c>
      <c r="B387" s="63"/>
      <c r="C387" s="38" t="s">
        <v>278</v>
      </c>
      <c r="D387" s="38" t="s">
        <v>76</v>
      </c>
      <c r="E387" s="67" t="s">
        <v>5519</v>
      </c>
      <c r="F387" s="67" t="s">
        <v>2570</v>
      </c>
      <c r="G387" s="66" t="s">
        <v>4892</v>
      </c>
      <c r="H387" s="67" t="s">
        <v>5520</v>
      </c>
      <c r="I387" s="67" t="s">
        <v>5521</v>
      </c>
      <c r="J387" s="67" t="s">
        <v>2572</v>
      </c>
      <c r="K387" s="38" t="s">
        <v>4830</v>
      </c>
      <c r="L387" s="38">
        <v>14.0</v>
      </c>
      <c r="M387" s="56" t="str">
        <f>VLOOKUP(E387,'Hedef Liste'!A:I,9,false)</f>
        <v>#N/A</v>
      </c>
      <c r="N387" s="56" t="b">
        <v>0</v>
      </c>
      <c r="O387" s="56" t="b">
        <v>0</v>
      </c>
      <c r="P387" s="56"/>
      <c r="Q387" s="56"/>
      <c r="R387" s="56"/>
      <c r="S387" s="56"/>
      <c r="T387" s="56"/>
      <c r="U387" s="56"/>
      <c r="V387" s="56"/>
      <c r="W387" s="56"/>
      <c r="X387" s="56"/>
      <c r="Y387" s="56"/>
      <c r="Z387" s="56"/>
      <c r="AA387" s="56"/>
      <c r="AB387" s="56"/>
    </row>
    <row r="388" ht="15.75" customHeight="1">
      <c r="A388" s="57" t="str">
        <f t="shared" si="1"/>
        <v>Bu saate randevu alınmasın müsait değilim teşekkür ederim....</v>
      </c>
      <c r="B388" s="63"/>
      <c r="C388" s="38" t="s">
        <v>278</v>
      </c>
      <c r="D388" s="38"/>
      <c r="E388" s="109" t="s">
        <v>5522</v>
      </c>
      <c r="F388" s="67"/>
      <c r="G388" s="66"/>
      <c r="H388" s="38"/>
      <c r="I388" s="38"/>
      <c r="J388" s="67"/>
      <c r="K388" s="38"/>
      <c r="L388" s="38"/>
      <c r="M388" s="56" t="str">
        <f>VLOOKUP(E388,'Hedef Liste'!A:I,9,false)</f>
        <v>#N/A</v>
      </c>
      <c r="N388" s="56" t="b">
        <v>0</v>
      </c>
      <c r="O388" s="56" t="b">
        <v>0</v>
      </c>
      <c r="P388" s="56"/>
      <c r="Q388" s="56"/>
      <c r="R388" s="56"/>
      <c r="S388" s="56"/>
      <c r="T388" s="56"/>
      <c r="U388" s="56"/>
      <c r="V388" s="56"/>
      <c r="W388" s="56"/>
      <c r="X388" s="56"/>
      <c r="Y388" s="56"/>
      <c r="Z388" s="56"/>
      <c r="AA388" s="56"/>
      <c r="AB388" s="56"/>
    </row>
    <row r="389" ht="15.75" customHeight="1">
      <c r="A389" s="57" t="str">
        <f t="shared" si="1"/>
        <v/>
      </c>
      <c r="B389" s="63"/>
      <c r="C389" s="38"/>
      <c r="D389" s="38"/>
      <c r="E389" s="38"/>
      <c r="F389" s="65"/>
      <c r="G389" s="66"/>
      <c r="H389" s="38"/>
      <c r="I389" s="38"/>
      <c r="J389" s="38"/>
      <c r="K389" s="38"/>
      <c r="L389" s="38"/>
      <c r="M389" s="56" t="str">
        <f>VLOOKUP(E389,'Hedef Liste'!A:I,9,false)</f>
        <v>#N/A</v>
      </c>
      <c r="N389" s="56" t="b">
        <v>0</v>
      </c>
      <c r="O389" s="56" t="b">
        <v>0</v>
      </c>
      <c r="P389" s="56"/>
      <c r="Q389" s="56"/>
      <c r="R389" s="56"/>
      <c r="S389" s="56"/>
      <c r="T389" s="56"/>
      <c r="U389" s="56"/>
      <c r="V389" s="56"/>
      <c r="W389" s="56"/>
      <c r="X389" s="56"/>
      <c r="Y389" s="56"/>
      <c r="Z389" s="56"/>
      <c r="AA389" s="56"/>
      <c r="AB389" s="56"/>
    </row>
    <row r="390" ht="15.75" customHeight="1">
      <c r="A390" s="57" t="str">
        <f t="shared" si="1"/>
        <v/>
      </c>
      <c r="B390" s="69"/>
      <c r="C390" s="56"/>
      <c r="D390" s="38"/>
      <c r="E390" s="38"/>
      <c r="F390" s="65"/>
      <c r="G390" s="66"/>
      <c r="H390" s="38"/>
      <c r="I390" s="38"/>
      <c r="J390" s="38"/>
      <c r="K390" s="38"/>
      <c r="L390" s="38"/>
      <c r="M390" s="56"/>
      <c r="N390" s="56" t="b">
        <v>0</v>
      </c>
      <c r="O390" s="56" t="b">
        <v>0</v>
      </c>
      <c r="P390" s="56"/>
      <c r="Q390" s="56"/>
      <c r="R390" s="56"/>
      <c r="S390" s="56"/>
      <c r="T390" s="56"/>
      <c r="U390" s="56"/>
      <c r="V390" s="56"/>
      <c r="W390" s="56"/>
      <c r="X390" s="56"/>
      <c r="Y390" s="56"/>
      <c r="Z390" s="56"/>
      <c r="AA390" s="56"/>
      <c r="AB390" s="56"/>
    </row>
    <row r="391" ht="15.75" customHeight="1">
      <c r="A391" s="57" t="str">
        <f t="shared" si="1"/>
        <v/>
      </c>
      <c r="B391" s="51"/>
      <c r="C391" s="52">
        <v>44298.0</v>
      </c>
      <c r="D391" s="38"/>
      <c r="E391" s="53"/>
      <c r="F391" s="54"/>
      <c r="G391" s="54"/>
      <c r="H391" s="54"/>
      <c r="I391" s="54"/>
      <c r="J391" s="54"/>
      <c r="K391" s="54"/>
      <c r="L391" s="55"/>
      <c r="M391" s="56"/>
      <c r="N391" s="56"/>
      <c r="O391" s="56"/>
      <c r="P391" s="56"/>
      <c r="Q391" s="56"/>
      <c r="R391" s="56"/>
      <c r="S391" s="56"/>
      <c r="T391" s="56"/>
      <c r="U391" s="56"/>
      <c r="V391" s="56"/>
      <c r="W391" s="56"/>
      <c r="X391" s="56"/>
      <c r="Y391" s="56"/>
      <c r="Z391" s="56"/>
      <c r="AA391" s="56"/>
      <c r="AB391" s="56"/>
    </row>
    <row r="392" ht="15.75" customHeight="1">
      <c r="A392" s="57" t="str">
        <f t="shared" si="1"/>
        <v>605094849dea6ca58aa8f5f6</v>
      </c>
      <c r="B392" s="58" t="s">
        <v>4827</v>
      </c>
      <c r="C392" s="56" t="s">
        <v>66</v>
      </c>
      <c r="D392" s="38" t="s">
        <v>52</v>
      </c>
      <c r="E392" s="67" t="s">
        <v>5455</v>
      </c>
      <c r="F392" s="67" t="s">
        <v>5456</v>
      </c>
      <c r="G392" s="122">
        <v>0.375</v>
      </c>
      <c r="H392" s="38" t="s">
        <v>5457</v>
      </c>
      <c r="I392" s="56" t="s">
        <v>5523</v>
      </c>
      <c r="J392" s="125" t="s">
        <v>5459</v>
      </c>
      <c r="K392" s="38">
        <v>48.0</v>
      </c>
      <c r="L392" s="38"/>
      <c r="M392" s="56" t="str">
        <f>VLOOKUP(E392,'Hedef Liste'!A:I,9,false)</f>
        <v>#N/A</v>
      </c>
      <c r="N392" s="56" t="b">
        <v>0</v>
      </c>
      <c r="O392" s="56" t="b">
        <v>0</v>
      </c>
      <c r="P392" s="56"/>
      <c r="Q392" s="56"/>
      <c r="R392" s="56"/>
      <c r="S392" s="56"/>
      <c r="T392" s="56"/>
      <c r="U392" s="56"/>
      <c r="V392" s="56"/>
      <c r="W392" s="56"/>
      <c r="X392" s="56"/>
      <c r="Y392" s="56"/>
      <c r="Z392" s="56"/>
      <c r="AA392" s="56"/>
      <c r="AB392" s="56"/>
    </row>
    <row r="393" ht="15.75" customHeight="1">
      <c r="A393" s="57" t="str">
        <f t="shared" si="1"/>
        <v>60210b9198337b48e94db3e3</v>
      </c>
      <c r="B393" s="63"/>
      <c r="C393" s="56" t="s">
        <v>66</v>
      </c>
      <c r="D393" s="38" t="s">
        <v>52</v>
      </c>
      <c r="E393" s="67" t="s">
        <v>1669</v>
      </c>
      <c r="F393" s="67" t="s">
        <v>1670</v>
      </c>
      <c r="G393" s="122">
        <v>0.4583333333333333</v>
      </c>
      <c r="H393" s="56" t="s">
        <v>5179</v>
      </c>
      <c r="I393" s="56" t="s">
        <v>5524</v>
      </c>
      <c r="J393" s="67" t="s">
        <v>1672</v>
      </c>
      <c r="K393" s="38">
        <v>9.0</v>
      </c>
      <c r="L393" s="38"/>
      <c r="M393" s="56">
        <f>VLOOKUP(E393,'Hedef Liste'!A:I,9,false)</f>
        <v>37</v>
      </c>
      <c r="N393" s="56" t="b">
        <v>0</v>
      </c>
      <c r="O393" s="56" t="b">
        <v>0</v>
      </c>
      <c r="P393" s="56"/>
      <c r="Q393" s="56"/>
      <c r="R393" s="56"/>
      <c r="S393" s="56"/>
      <c r="T393" s="56"/>
      <c r="U393" s="56"/>
      <c r="V393" s="56"/>
      <c r="W393" s="56"/>
      <c r="X393" s="56"/>
      <c r="Y393" s="56"/>
      <c r="Z393" s="56"/>
      <c r="AA393" s="56"/>
      <c r="AB393" s="56"/>
    </row>
    <row r="394" ht="15.75" customHeight="1">
      <c r="A394" s="57" t="str">
        <f t="shared" si="1"/>
        <v>5fdf4c33cd2760c2ca9f766c</v>
      </c>
      <c r="B394" s="63"/>
      <c r="C394" s="56" t="s">
        <v>66</v>
      </c>
      <c r="D394" s="38" t="s">
        <v>654</v>
      </c>
      <c r="E394" s="67" t="s">
        <v>1320</v>
      </c>
      <c r="F394" s="67" t="s">
        <v>1321</v>
      </c>
      <c r="G394" s="66" t="s">
        <v>4887</v>
      </c>
      <c r="H394" s="38" t="s">
        <v>5525</v>
      </c>
      <c r="I394" s="38" t="s">
        <v>5526</v>
      </c>
      <c r="J394" s="67" t="s">
        <v>1322</v>
      </c>
      <c r="K394" s="38"/>
      <c r="L394" s="38"/>
      <c r="M394" s="56">
        <f>VLOOKUP(E394,'Hedef Liste'!A:I,9,false)</f>
        <v>10</v>
      </c>
      <c r="N394" s="56" t="b">
        <v>0</v>
      </c>
      <c r="O394" s="56" t="b">
        <v>0</v>
      </c>
      <c r="P394" s="56"/>
      <c r="Q394" s="56"/>
      <c r="R394" s="56"/>
      <c r="S394" s="56"/>
      <c r="T394" s="56"/>
      <c r="U394" s="56"/>
      <c r="V394" s="56"/>
      <c r="W394" s="56"/>
      <c r="X394" s="56"/>
      <c r="Y394" s="56"/>
      <c r="Z394" s="56"/>
      <c r="AA394" s="56"/>
      <c r="AB394" s="56"/>
    </row>
    <row r="395" ht="15.75" customHeight="1">
      <c r="A395" s="57" t="str">
        <f t="shared" si="1"/>
        <v>5fe234e88795624899ccc4b8</v>
      </c>
      <c r="B395" s="63"/>
      <c r="C395" s="56" t="s">
        <v>66</v>
      </c>
      <c r="D395" s="38" t="s">
        <v>376</v>
      </c>
      <c r="E395" s="67" t="s">
        <v>3963</v>
      </c>
      <c r="F395" s="67" t="s">
        <v>3964</v>
      </c>
      <c r="G395" s="66" t="s">
        <v>4892</v>
      </c>
      <c r="H395" s="38" t="s">
        <v>5525</v>
      </c>
      <c r="I395" s="38" t="s">
        <v>5527</v>
      </c>
      <c r="J395" s="67" t="s">
        <v>3966</v>
      </c>
      <c r="K395" s="38" t="s">
        <v>5528</v>
      </c>
      <c r="L395" s="38"/>
      <c r="M395" s="56">
        <f>VLOOKUP(E395,'Hedef Liste'!A:I,9,false)</f>
        <v>44</v>
      </c>
      <c r="N395" s="56" t="b">
        <v>0</v>
      </c>
      <c r="O395" s="56" t="b">
        <v>0</v>
      </c>
      <c r="P395" s="56"/>
      <c r="Q395" s="56"/>
      <c r="R395" s="56"/>
      <c r="S395" s="56"/>
      <c r="T395" s="56"/>
      <c r="U395" s="56"/>
      <c r="V395" s="56"/>
      <c r="W395" s="56"/>
      <c r="X395" s="56"/>
      <c r="Y395" s="56"/>
      <c r="Z395" s="56"/>
      <c r="AA395" s="56"/>
      <c r="AB395" s="56"/>
    </row>
    <row r="396" ht="15.75" customHeight="1">
      <c r="A396" s="57" t="str">
        <f t="shared" si="1"/>
        <v/>
      </c>
      <c r="B396" s="63"/>
      <c r="C396" s="56"/>
      <c r="D396" s="56"/>
      <c r="E396" s="56"/>
      <c r="F396" s="89"/>
      <c r="G396" s="90"/>
      <c r="H396" s="56"/>
      <c r="I396" s="56"/>
      <c r="J396" s="56"/>
      <c r="K396" s="56"/>
      <c r="L396" s="38"/>
      <c r="M396" s="56"/>
      <c r="N396" s="56" t="b">
        <v>0</v>
      </c>
      <c r="O396" s="56" t="b">
        <v>0</v>
      </c>
      <c r="P396" s="56"/>
      <c r="Q396" s="56"/>
      <c r="R396" s="56"/>
      <c r="S396" s="56"/>
      <c r="T396" s="56"/>
      <c r="U396" s="56"/>
      <c r="V396" s="56"/>
      <c r="W396" s="56"/>
      <c r="X396" s="56"/>
      <c r="Y396" s="56"/>
      <c r="Z396" s="56"/>
      <c r="AA396" s="56"/>
      <c r="AB396" s="56"/>
    </row>
    <row r="397" ht="15.75" customHeight="1">
      <c r="A397" s="57" t="str">
        <f t="shared" si="1"/>
        <v/>
      </c>
      <c r="B397" s="69"/>
      <c r="C397" s="56"/>
      <c r="D397" s="38"/>
      <c r="E397" s="38"/>
      <c r="F397" s="65"/>
      <c r="G397" s="66"/>
      <c r="H397" s="38"/>
      <c r="I397" s="38"/>
      <c r="J397" s="38"/>
      <c r="K397" s="38"/>
      <c r="L397" s="38"/>
      <c r="M397" s="56"/>
      <c r="N397" s="56" t="b">
        <v>0</v>
      </c>
      <c r="O397" s="56" t="b">
        <v>0</v>
      </c>
      <c r="P397" s="56"/>
      <c r="Q397" s="56"/>
      <c r="R397" s="56"/>
      <c r="S397" s="56"/>
      <c r="T397" s="56"/>
      <c r="U397" s="56"/>
      <c r="V397" s="56"/>
      <c r="W397" s="56"/>
      <c r="X397" s="56"/>
      <c r="Y397" s="56"/>
      <c r="Z397" s="56"/>
      <c r="AA397" s="56"/>
      <c r="AB397" s="56"/>
    </row>
    <row r="398" ht="15.75" customHeight="1">
      <c r="A398" s="57" t="str">
        <f t="shared" si="1"/>
        <v>6044a4743ee11b20ae129289</v>
      </c>
      <c r="B398" s="58" t="s">
        <v>4836</v>
      </c>
      <c r="C398" s="56" t="s">
        <v>53</v>
      </c>
      <c r="D398" s="38" t="s">
        <v>545</v>
      </c>
      <c r="E398" s="67" t="s">
        <v>5529</v>
      </c>
      <c r="F398" s="67" t="s">
        <v>5530</v>
      </c>
      <c r="G398" s="122">
        <v>0.4583333333333333</v>
      </c>
      <c r="H398" s="38" t="s">
        <v>5342</v>
      </c>
      <c r="I398" s="56" t="s">
        <v>5531</v>
      </c>
      <c r="J398" s="67" t="s">
        <v>5532</v>
      </c>
      <c r="K398" s="38" t="s">
        <v>5533</v>
      </c>
      <c r="L398" s="38"/>
      <c r="M398" s="56" t="str">
        <f>VLOOKUP(E398,'Hedef Liste'!A:I,9,false)</f>
        <v>#N/A</v>
      </c>
      <c r="N398" s="56" t="b">
        <v>0</v>
      </c>
      <c r="O398" s="56" t="b">
        <v>0</v>
      </c>
      <c r="P398" s="56"/>
      <c r="Q398" s="56"/>
      <c r="R398" s="56"/>
      <c r="S398" s="56"/>
      <c r="T398" s="56"/>
      <c r="U398" s="56"/>
      <c r="V398" s="56"/>
      <c r="W398" s="56"/>
      <c r="X398" s="56"/>
      <c r="Y398" s="56"/>
      <c r="Z398" s="56"/>
      <c r="AA398" s="56"/>
      <c r="AB398" s="56"/>
    </row>
    <row r="399" ht="15.75" customHeight="1">
      <c r="A399" s="57" t="str">
        <f t="shared" si="1"/>
        <v>5ff32665dc26c7efb6d1a0a4</v>
      </c>
      <c r="B399" s="63"/>
      <c r="C399" s="56" t="s">
        <v>53</v>
      </c>
      <c r="D399" s="56" t="s">
        <v>545</v>
      </c>
      <c r="E399" s="67" t="s">
        <v>5534</v>
      </c>
      <c r="F399" s="67" t="s">
        <v>5535</v>
      </c>
      <c r="G399" s="79">
        <v>0.5416666666666666</v>
      </c>
      <c r="H399" s="56" t="s">
        <v>5536</v>
      </c>
      <c r="I399" s="56" t="s">
        <v>5537</v>
      </c>
      <c r="J399" s="67" t="s">
        <v>5538</v>
      </c>
      <c r="K399" s="68"/>
      <c r="L399" s="38"/>
      <c r="M399" s="56" t="str">
        <f>VLOOKUP(E438,'Hedef Liste'!A:I,9,false)</f>
        <v>#N/A</v>
      </c>
      <c r="N399" s="56" t="b">
        <v>0</v>
      </c>
      <c r="O399" s="56" t="b">
        <v>0</v>
      </c>
      <c r="P399" s="56"/>
      <c r="Q399" s="56"/>
      <c r="R399" s="56"/>
      <c r="S399" s="56"/>
      <c r="T399" s="56"/>
      <c r="U399" s="56"/>
      <c r="V399" s="56"/>
      <c r="W399" s="56"/>
      <c r="X399" s="56"/>
      <c r="Y399" s="56"/>
      <c r="Z399" s="56"/>
      <c r="AA399" s="56"/>
      <c r="AB399" s="56"/>
    </row>
    <row r="400" ht="15.75" customHeight="1">
      <c r="A400" s="57" t="str">
        <f t="shared" si="1"/>
        <v>604f1eaf2a6e315650d8d815</v>
      </c>
      <c r="B400" s="63"/>
      <c r="C400" s="56" t="s">
        <v>53</v>
      </c>
      <c r="D400" s="62" t="s">
        <v>545</v>
      </c>
      <c r="E400" s="74" t="s">
        <v>3064</v>
      </c>
      <c r="F400" s="115" t="s">
        <v>3065</v>
      </c>
      <c r="G400" s="73" t="s">
        <v>4892</v>
      </c>
      <c r="H400" s="62" t="s">
        <v>5372</v>
      </c>
      <c r="I400" s="62" t="s">
        <v>5373</v>
      </c>
      <c r="J400" s="74" t="s">
        <v>3067</v>
      </c>
      <c r="K400" s="80" t="s">
        <v>5539</v>
      </c>
      <c r="L400" s="38"/>
      <c r="M400" s="56">
        <f>VLOOKUP(E400,'Hedef Liste'!A:I,9,false)</f>
        <v>24</v>
      </c>
      <c r="N400" s="56" t="b">
        <v>0</v>
      </c>
      <c r="O400" s="56" t="b">
        <v>0</v>
      </c>
      <c r="P400" s="56"/>
      <c r="Q400" s="56"/>
      <c r="R400" s="56"/>
      <c r="S400" s="56"/>
      <c r="T400" s="56"/>
      <c r="U400" s="56"/>
      <c r="V400" s="56"/>
      <c r="W400" s="56"/>
      <c r="X400" s="56"/>
      <c r="Y400" s="56"/>
      <c r="Z400" s="56"/>
      <c r="AA400" s="56"/>
      <c r="AB400" s="56"/>
    </row>
    <row r="401" ht="15.75" customHeight="1">
      <c r="A401" s="57" t="str">
        <f t="shared" si="1"/>
        <v>6022ee563c1a974031bb2b60</v>
      </c>
      <c r="B401" s="63"/>
      <c r="C401" s="56" t="s">
        <v>53</v>
      </c>
      <c r="D401" s="38" t="s">
        <v>52</v>
      </c>
      <c r="E401" s="67" t="s">
        <v>5540</v>
      </c>
      <c r="F401" s="67" t="s">
        <v>5541</v>
      </c>
      <c r="G401" s="79">
        <v>0.7083333333333334</v>
      </c>
      <c r="H401" s="56" t="s">
        <v>4874</v>
      </c>
      <c r="I401" s="56" t="s">
        <v>5542</v>
      </c>
      <c r="J401" s="56" t="s">
        <v>5543</v>
      </c>
      <c r="K401" s="56"/>
      <c r="L401" s="38"/>
      <c r="M401" s="56">
        <f>VLOOKUP(E394,'Hedef Liste'!A:I,9,false)</f>
        <v>10</v>
      </c>
      <c r="N401" s="56" t="b">
        <v>0</v>
      </c>
      <c r="O401" s="56" t="b">
        <v>0</v>
      </c>
      <c r="P401" s="56"/>
      <c r="Q401" s="56"/>
      <c r="R401" s="56"/>
      <c r="S401" s="56"/>
      <c r="T401" s="56"/>
      <c r="U401" s="56"/>
      <c r="V401" s="56"/>
      <c r="W401" s="56"/>
      <c r="X401" s="56"/>
      <c r="Y401" s="56"/>
      <c r="Z401" s="56"/>
      <c r="AA401" s="56"/>
      <c r="AB401" s="56"/>
    </row>
    <row r="402" ht="15.75" customHeight="1">
      <c r="A402" s="57" t="str">
        <f t="shared" si="1"/>
        <v/>
      </c>
      <c r="B402" s="63"/>
      <c r="C402" s="56"/>
      <c r="D402" s="56"/>
      <c r="E402" s="56"/>
      <c r="F402" s="89"/>
      <c r="G402" s="90"/>
      <c r="H402" s="56"/>
      <c r="I402" s="56"/>
      <c r="J402" s="56"/>
      <c r="K402" s="56"/>
      <c r="L402" s="38"/>
      <c r="M402" s="56"/>
      <c r="N402" s="56" t="b">
        <v>0</v>
      </c>
      <c r="O402" s="56" t="b">
        <v>0</v>
      </c>
      <c r="P402" s="56"/>
      <c r="Q402" s="56"/>
      <c r="R402" s="56"/>
      <c r="S402" s="56"/>
      <c r="T402" s="56"/>
      <c r="U402" s="56"/>
      <c r="V402" s="56"/>
      <c r="W402" s="56"/>
      <c r="X402" s="56"/>
      <c r="Y402" s="56"/>
      <c r="Z402" s="56"/>
      <c r="AA402" s="56"/>
      <c r="AB402" s="56"/>
    </row>
    <row r="403" ht="15.75" customHeight="1">
      <c r="A403" s="57" t="str">
        <f t="shared" si="1"/>
        <v/>
      </c>
      <c r="B403" s="69"/>
      <c r="C403" s="56"/>
      <c r="D403" s="38"/>
      <c r="E403" s="38"/>
      <c r="F403" s="65"/>
      <c r="G403" s="66"/>
      <c r="H403" s="38"/>
      <c r="I403" s="38"/>
      <c r="J403" s="38"/>
      <c r="K403" s="38"/>
      <c r="L403" s="38"/>
      <c r="M403" s="56"/>
      <c r="N403" s="56" t="b">
        <v>0</v>
      </c>
      <c r="O403" s="56" t="b">
        <v>0</v>
      </c>
      <c r="P403" s="56"/>
      <c r="Q403" s="56"/>
      <c r="R403" s="56"/>
      <c r="S403" s="56"/>
      <c r="T403" s="56"/>
      <c r="U403" s="56"/>
      <c r="V403" s="56"/>
      <c r="W403" s="56"/>
      <c r="X403" s="56"/>
      <c r="Y403" s="56"/>
      <c r="Z403" s="56"/>
      <c r="AA403" s="56"/>
      <c r="AB403" s="56"/>
    </row>
    <row r="404" ht="15.75" customHeight="1">
      <c r="A404" s="57" t="str">
        <f t="shared" si="1"/>
        <v>5fde0f873587c39ed452dd53</v>
      </c>
      <c r="B404" s="58" t="s">
        <v>4850</v>
      </c>
      <c r="C404" s="38" t="s">
        <v>278</v>
      </c>
      <c r="D404" s="38" t="s">
        <v>52</v>
      </c>
      <c r="E404" s="67" t="s">
        <v>3933</v>
      </c>
      <c r="F404" s="67" t="s">
        <v>3934</v>
      </c>
      <c r="G404" s="122">
        <v>0.4583333333333333</v>
      </c>
      <c r="H404" s="56" t="s">
        <v>5544</v>
      </c>
      <c r="I404" s="56" t="s">
        <v>5545</v>
      </c>
      <c r="J404" s="67" t="s">
        <v>3936</v>
      </c>
      <c r="K404" s="38" t="s">
        <v>5546</v>
      </c>
      <c r="L404" s="38" t="s">
        <v>5547</v>
      </c>
      <c r="M404" s="56">
        <f>VLOOKUP(E404,'Hedef Liste'!A:I,9,false)</f>
        <v>26</v>
      </c>
      <c r="N404" s="56" t="b">
        <v>0</v>
      </c>
      <c r="O404" s="56" t="b">
        <v>0</v>
      </c>
      <c r="P404" s="56"/>
      <c r="Q404" s="56"/>
      <c r="R404" s="56"/>
      <c r="S404" s="56"/>
      <c r="T404" s="56"/>
      <c r="U404" s="56"/>
      <c r="V404" s="56"/>
      <c r="W404" s="56"/>
      <c r="X404" s="56"/>
      <c r="Y404" s="56"/>
      <c r="Z404" s="56"/>
      <c r="AA404" s="56"/>
      <c r="AB404" s="56"/>
    </row>
    <row r="405" ht="15.75" customHeight="1">
      <c r="A405" s="57" t="str">
        <f t="shared" si="1"/>
        <v>6037e8fa451e50807e797013</v>
      </c>
      <c r="B405" s="63"/>
      <c r="C405" s="38" t="s">
        <v>278</v>
      </c>
      <c r="D405" s="38" t="s">
        <v>545</v>
      </c>
      <c r="E405" s="67" t="s">
        <v>2602</v>
      </c>
      <c r="F405" s="67" t="s">
        <v>2603</v>
      </c>
      <c r="G405" s="100" t="s">
        <v>4938</v>
      </c>
      <c r="H405" s="38" t="s">
        <v>5548</v>
      </c>
      <c r="I405" s="67" t="s">
        <v>5549</v>
      </c>
      <c r="J405" s="67" t="s">
        <v>2605</v>
      </c>
      <c r="K405" s="38" t="s">
        <v>5550</v>
      </c>
      <c r="L405" s="38">
        <v>14.0</v>
      </c>
      <c r="M405" s="56">
        <f>VLOOKUP(E405,'Hedef Liste'!A:I,9,false)</f>
        <v>10</v>
      </c>
      <c r="N405" s="56" t="b">
        <v>0</v>
      </c>
      <c r="O405" s="56" t="b">
        <v>0</v>
      </c>
      <c r="P405" s="56"/>
      <c r="Q405" s="56"/>
      <c r="R405" s="56"/>
      <c r="S405" s="56"/>
      <c r="T405" s="56"/>
      <c r="U405" s="56"/>
      <c r="V405" s="56"/>
      <c r="W405" s="56"/>
      <c r="X405" s="56"/>
      <c r="Y405" s="56"/>
      <c r="Z405" s="56"/>
      <c r="AA405" s="56"/>
      <c r="AB405" s="56"/>
    </row>
    <row r="406" ht="15.75" customHeight="1">
      <c r="A406" s="57" t="str">
        <f t="shared" si="1"/>
        <v>6008a3e6e4ab4e7da4924aca</v>
      </c>
      <c r="B406" s="63"/>
      <c r="C406" s="38" t="s">
        <v>278</v>
      </c>
      <c r="D406" s="64" t="s">
        <v>376</v>
      </c>
      <c r="E406" s="67" t="s">
        <v>3977</v>
      </c>
      <c r="F406" s="67" t="s">
        <v>3978</v>
      </c>
      <c r="G406" s="66" t="s">
        <v>4892</v>
      </c>
      <c r="H406" s="38" t="s">
        <v>5551</v>
      </c>
      <c r="I406" s="38" t="s">
        <v>5552</v>
      </c>
      <c r="J406" s="67" t="s">
        <v>3980</v>
      </c>
      <c r="K406" s="38" t="s">
        <v>5553</v>
      </c>
      <c r="L406" s="38">
        <v>9.0</v>
      </c>
      <c r="M406" s="56">
        <f>VLOOKUP(E406,'Hedef Liste'!A:I,9,false)</f>
        <v>38</v>
      </c>
      <c r="N406" s="56" t="b">
        <v>0</v>
      </c>
      <c r="O406" s="56" t="b">
        <v>0</v>
      </c>
      <c r="P406" s="56"/>
      <c r="Q406" s="56"/>
      <c r="R406" s="56"/>
      <c r="S406" s="56"/>
      <c r="T406" s="56"/>
      <c r="U406" s="56"/>
      <c r="V406" s="56"/>
      <c r="W406" s="56"/>
      <c r="X406" s="56"/>
      <c r="Y406" s="56"/>
      <c r="Z406" s="56"/>
      <c r="AA406" s="56"/>
      <c r="AB406" s="56"/>
    </row>
    <row r="407" ht="15.75" customHeight="1">
      <c r="A407" s="57" t="str">
        <f t="shared" si="1"/>
        <v>602bf01417a37670303595b6</v>
      </c>
      <c r="B407" s="63"/>
      <c r="C407" s="38" t="s">
        <v>278</v>
      </c>
      <c r="D407" s="38" t="s">
        <v>376</v>
      </c>
      <c r="E407" s="67" t="s">
        <v>4585</v>
      </c>
      <c r="F407" s="67" t="s">
        <v>4586</v>
      </c>
      <c r="G407" s="66" t="s">
        <v>4899</v>
      </c>
      <c r="H407" s="38" t="s">
        <v>5554</v>
      </c>
      <c r="I407" s="38" t="s">
        <v>5555</v>
      </c>
      <c r="J407" s="67" t="s">
        <v>4588</v>
      </c>
      <c r="K407" s="38" t="s">
        <v>5556</v>
      </c>
      <c r="L407" s="38"/>
      <c r="M407" s="56">
        <f>VLOOKUP(E407,'Hedef Liste'!A:I,9,false)</f>
        <v>55</v>
      </c>
      <c r="N407" s="56" t="b">
        <v>0</v>
      </c>
      <c r="O407" s="56" t="b">
        <v>0</v>
      </c>
      <c r="P407" s="56"/>
      <c r="Q407" s="56"/>
      <c r="R407" s="56"/>
      <c r="S407" s="56"/>
      <c r="T407" s="56"/>
      <c r="U407" s="56"/>
      <c r="V407" s="56"/>
      <c r="W407" s="56"/>
      <c r="X407" s="56"/>
      <c r="Y407" s="56"/>
      <c r="Z407" s="56"/>
      <c r="AA407" s="56"/>
      <c r="AB407" s="56"/>
    </row>
    <row r="408" ht="15.75" customHeight="1">
      <c r="A408" s="57" t="str">
        <f t="shared" si="1"/>
        <v/>
      </c>
      <c r="B408" s="63"/>
      <c r="C408" s="38"/>
      <c r="D408" s="38"/>
      <c r="E408" s="38"/>
      <c r="F408" s="65"/>
      <c r="G408" s="66"/>
      <c r="H408" s="38"/>
      <c r="I408" s="38"/>
      <c r="J408" s="38"/>
      <c r="K408" s="38"/>
      <c r="L408" s="38"/>
      <c r="M408" s="56" t="str">
        <f>VLOOKUP(E408,'Hedef Liste'!A:I,9,false)</f>
        <v>#N/A</v>
      </c>
      <c r="N408" s="56" t="b">
        <v>0</v>
      </c>
      <c r="O408" s="56" t="b">
        <v>0</v>
      </c>
      <c r="P408" s="56"/>
      <c r="Q408" s="56"/>
      <c r="R408" s="56"/>
      <c r="S408" s="56"/>
      <c r="T408" s="56"/>
      <c r="U408" s="56"/>
      <c r="V408" s="56"/>
      <c r="W408" s="56"/>
      <c r="X408" s="56"/>
      <c r="Y408" s="56"/>
      <c r="Z408" s="56"/>
      <c r="AA408" s="56"/>
      <c r="AB408" s="56"/>
    </row>
    <row r="409" ht="15.75" customHeight="1">
      <c r="A409" s="57" t="str">
        <f t="shared" si="1"/>
        <v/>
      </c>
      <c r="B409" s="69"/>
      <c r="C409" s="56"/>
      <c r="D409" s="38"/>
      <c r="E409" s="38"/>
      <c r="F409" s="65"/>
      <c r="G409" s="66"/>
      <c r="H409" s="38"/>
      <c r="I409" s="38"/>
      <c r="J409" s="38"/>
      <c r="K409" s="38"/>
      <c r="L409" s="38"/>
      <c r="M409" s="56"/>
      <c r="N409" s="56" t="b">
        <v>0</v>
      </c>
      <c r="O409" s="56" t="b">
        <v>0</v>
      </c>
      <c r="P409" s="56"/>
      <c r="Q409" s="56"/>
      <c r="R409" s="56"/>
      <c r="S409" s="56"/>
      <c r="T409" s="56"/>
      <c r="U409" s="56"/>
      <c r="V409" s="56"/>
      <c r="W409" s="56"/>
      <c r="X409" s="56"/>
      <c r="Y409" s="56"/>
      <c r="Z409" s="56"/>
      <c r="AA409" s="56"/>
      <c r="AB409" s="56"/>
    </row>
    <row r="410" ht="15.75" customHeight="1">
      <c r="A410" s="57" t="str">
        <f t="shared" si="1"/>
        <v/>
      </c>
      <c r="B410" s="51"/>
      <c r="C410" s="52">
        <v>44299.0</v>
      </c>
      <c r="D410" s="38"/>
      <c r="E410" s="53"/>
      <c r="F410" s="54"/>
      <c r="G410" s="54"/>
      <c r="H410" s="54"/>
      <c r="I410" s="54"/>
      <c r="J410" s="54"/>
      <c r="K410" s="54"/>
      <c r="L410" s="55"/>
      <c r="M410" s="56"/>
      <c r="N410" s="56"/>
      <c r="O410" s="56"/>
      <c r="P410" s="56"/>
      <c r="Q410" s="56"/>
      <c r="R410" s="56"/>
      <c r="S410" s="56"/>
      <c r="T410" s="56"/>
      <c r="U410" s="56"/>
      <c r="V410" s="56"/>
      <c r="W410" s="56"/>
      <c r="X410" s="56"/>
      <c r="Y410" s="56"/>
      <c r="Z410" s="56"/>
      <c r="AA410" s="56"/>
      <c r="AB410" s="56"/>
    </row>
    <row r="411" ht="15.75" customHeight="1">
      <c r="A411" s="57" t="str">
        <f t="shared" si="1"/>
        <v>60675a246d836b7e4da482e8</v>
      </c>
      <c r="B411" s="58" t="s">
        <v>4827</v>
      </c>
      <c r="C411" s="56" t="s">
        <v>66</v>
      </c>
      <c r="D411" s="38" t="s">
        <v>258</v>
      </c>
      <c r="E411" s="67" t="s">
        <v>412</v>
      </c>
      <c r="F411" s="67" t="s">
        <v>413</v>
      </c>
      <c r="G411" s="79">
        <v>0.5</v>
      </c>
      <c r="H411" s="56" t="s">
        <v>5557</v>
      </c>
      <c r="I411" s="56" t="s">
        <v>5558</v>
      </c>
      <c r="J411" s="56" t="s">
        <v>416</v>
      </c>
      <c r="K411" s="68"/>
      <c r="L411" s="38"/>
      <c r="M411" s="135">
        <v>67.0</v>
      </c>
      <c r="N411" s="56" t="b">
        <v>0</v>
      </c>
      <c r="O411" s="56" t="b">
        <v>0</v>
      </c>
      <c r="P411" s="56"/>
      <c r="Q411" s="56"/>
      <c r="R411" s="56"/>
      <c r="S411" s="56"/>
      <c r="T411" s="56"/>
      <c r="U411" s="56"/>
      <c r="V411" s="56"/>
      <c r="W411" s="56"/>
      <c r="X411" s="56"/>
      <c r="Y411" s="56"/>
      <c r="Z411" s="56"/>
      <c r="AA411" s="56"/>
      <c r="AB411" s="56"/>
    </row>
    <row r="412" ht="15.75" customHeight="1">
      <c r="A412" s="57" t="str">
        <f t="shared" si="1"/>
        <v>6013098f998c13d18586d711        </v>
      </c>
      <c r="B412" s="63"/>
      <c r="C412" s="56" t="s">
        <v>66</v>
      </c>
      <c r="D412" s="62" t="s">
        <v>545</v>
      </c>
      <c r="E412" s="62" t="s">
        <v>5155</v>
      </c>
      <c r="F412" s="136" t="s">
        <v>3825</v>
      </c>
      <c r="G412" s="73" t="s">
        <v>4856</v>
      </c>
      <c r="H412" s="74" t="s">
        <v>5156</v>
      </c>
      <c r="I412" s="74" t="s">
        <v>5157</v>
      </c>
      <c r="J412" s="74" t="s">
        <v>3827</v>
      </c>
      <c r="K412" s="68"/>
      <c r="L412" s="38"/>
      <c r="M412" s="135">
        <v>10.0</v>
      </c>
      <c r="N412" s="56" t="b">
        <v>0</v>
      </c>
      <c r="O412" s="56" t="b">
        <v>0</v>
      </c>
      <c r="P412" s="56"/>
      <c r="Q412" s="56"/>
      <c r="R412" s="56"/>
      <c r="S412" s="56"/>
      <c r="T412" s="56"/>
      <c r="U412" s="56"/>
      <c r="V412" s="56"/>
      <c r="W412" s="56"/>
      <c r="X412" s="56"/>
      <c r="Y412" s="56"/>
      <c r="Z412" s="56"/>
      <c r="AA412" s="56"/>
      <c r="AB412" s="56"/>
    </row>
    <row r="413" ht="15.75" customHeight="1">
      <c r="A413" s="57" t="str">
        <f t="shared" si="1"/>
        <v>605b8cb763464d21c7f3cb06</v>
      </c>
      <c r="B413" s="63"/>
      <c r="C413" s="56" t="s">
        <v>66</v>
      </c>
      <c r="D413" s="76" t="s">
        <v>258</v>
      </c>
      <c r="E413" s="77" t="s">
        <v>3096</v>
      </c>
      <c r="F413" s="77" t="s">
        <v>3097</v>
      </c>
      <c r="G413" s="82" t="s">
        <v>4858</v>
      </c>
      <c r="H413" s="76" t="s">
        <v>5133</v>
      </c>
      <c r="I413" s="76" t="s">
        <v>5559</v>
      </c>
      <c r="J413" s="76" t="s">
        <v>3099</v>
      </c>
      <c r="K413" s="76" t="s">
        <v>5560</v>
      </c>
      <c r="L413" s="38"/>
      <c r="M413" s="135"/>
      <c r="N413" s="56" t="b">
        <v>0</v>
      </c>
      <c r="O413" s="56" t="b">
        <v>0</v>
      </c>
      <c r="P413" s="56"/>
      <c r="Q413" s="56"/>
      <c r="R413" s="56"/>
      <c r="S413" s="56"/>
      <c r="T413" s="56"/>
      <c r="U413" s="56"/>
      <c r="V413" s="56"/>
      <c r="W413" s="56"/>
      <c r="X413" s="56"/>
      <c r="Y413" s="56"/>
      <c r="Z413" s="56"/>
      <c r="AA413" s="56"/>
      <c r="AB413" s="56"/>
    </row>
    <row r="414" ht="15.75" customHeight="1">
      <c r="A414" s="57" t="str">
        <f t="shared" si="1"/>
        <v>601ecb5e71c5457b1a019232</v>
      </c>
      <c r="B414" s="63"/>
      <c r="C414" s="56" t="s">
        <v>66</v>
      </c>
      <c r="D414" s="137" t="s">
        <v>545</v>
      </c>
      <c r="E414" s="138" t="s">
        <v>1121</v>
      </c>
      <c r="F414" s="139" t="s">
        <v>1122</v>
      </c>
      <c r="G414" s="140" t="s">
        <v>4847</v>
      </c>
      <c r="H414" s="137" t="s">
        <v>4927</v>
      </c>
      <c r="I414" s="137" t="s">
        <v>4929</v>
      </c>
      <c r="J414" s="138" t="s">
        <v>1124</v>
      </c>
      <c r="K414" s="38"/>
      <c r="L414" s="38"/>
      <c r="M414" s="56">
        <v>13.0</v>
      </c>
      <c r="N414" s="56" t="b">
        <v>0</v>
      </c>
      <c r="O414" s="56" t="b">
        <v>0</v>
      </c>
      <c r="P414" s="56"/>
      <c r="Q414" s="56"/>
      <c r="R414" s="56"/>
      <c r="S414" s="56"/>
      <c r="T414" s="56"/>
      <c r="U414" s="56"/>
      <c r="V414" s="56"/>
      <c r="W414" s="56"/>
      <c r="X414" s="56"/>
      <c r="Y414" s="56"/>
      <c r="Z414" s="56"/>
      <c r="AA414" s="56"/>
      <c r="AB414" s="56"/>
    </row>
    <row r="415" ht="15.75" customHeight="1">
      <c r="A415" s="57" t="str">
        <f t="shared" si="1"/>
        <v/>
      </c>
      <c r="B415" s="63"/>
      <c r="C415" s="56"/>
      <c r="D415" s="56"/>
      <c r="E415" s="56"/>
      <c r="F415" s="89"/>
      <c r="G415" s="90"/>
      <c r="H415" s="56"/>
      <c r="I415" s="56"/>
      <c r="J415" s="56"/>
      <c r="K415" s="68"/>
      <c r="L415" s="38"/>
      <c r="M415" s="56"/>
      <c r="N415" s="56" t="b">
        <v>0</v>
      </c>
      <c r="O415" s="56" t="b">
        <v>0</v>
      </c>
      <c r="P415" s="56"/>
      <c r="Q415" s="56"/>
      <c r="R415" s="56"/>
      <c r="S415" s="56"/>
      <c r="T415" s="56"/>
      <c r="U415" s="56"/>
      <c r="V415" s="56"/>
      <c r="W415" s="56"/>
      <c r="X415" s="56"/>
      <c r="Y415" s="56"/>
      <c r="Z415" s="56"/>
      <c r="AA415" s="56"/>
      <c r="AB415" s="56"/>
    </row>
    <row r="416" ht="15.75" customHeight="1">
      <c r="A416" s="57" t="str">
        <f t="shared" si="1"/>
        <v/>
      </c>
      <c r="B416" s="69"/>
      <c r="C416" s="56"/>
      <c r="D416" s="38"/>
      <c r="E416" s="38"/>
      <c r="F416" s="65"/>
      <c r="G416" s="66"/>
      <c r="H416" s="38"/>
      <c r="I416" s="38"/>
      <c r="J416" s="38"/>
      <c r="K416" s="38"/>
      <c r="L416" s="38"/>
      <c r="M416" s="56"/>
      <c r="N416" s="56" t="b">
        <v>0</v>
      </c>
      <c r="O416" s="56" t="b">
        <v>0</v>
      </c>
      <c r="P416" s="56"/>
      <c r="Q416" s="56"/>
      <c r="R416" s="56"/>
      <c r="S416" s="56"/>
      <c r="T416" s="56"/>
      <c r="U416" s="56"/>
      <c r="V416" s="56"/>
      <c r="W416" s="56"/>
      <c r="X416" s="56"/>
      <c r="Y416" s="56"/>
      <c r="Z416" s="56"/>
      <c r="AA416" s="56"/>
      <c r="AB416" s="56"/>
    </row>
    <row r="417" ht="15.75" customHeight="1">
      <c r="A417" s="57" t="str">
        <f t="shared" si="1"/>
        <v>5ff7847ddef3887b26df142c</v>
      </c>
      <c r="B417" s="58" t="s">
        <v>4836</v>
      </c>
      <c r="C417" s="56" t="s">
        <v>53</v>
      </c>
      <c r="D417" s="38" t="s">
        <v>258</v>
      </c>
      <c r="E417" s="67" t="s">
        <v>1173</v>
      </c>
      <c r="F417" s="67" t="s">
        <v>1174</v>
      </c>
      <c r="G417" s="122">
        <v>0.4583333333333333</v>
      </c>
      <c r="H417" s="38" t="s">
        <v>5197</v>
      </c>
      <c r="I417" s="56" t="s">
        <v>5561</v>
      </c>
      <c r="J417" s="38" t="s">
        <v>1176</v>
      </c>
      <c r="K417" s="135">
        <v>21.0</v>
      </c>
      <c r="L417" s="38"/>
      <c r="M417" s="56">
        <f>VLOOKUP(E417,'Hedef Liste'!A:I,9,false)</f>
        <v>27</v>
      </c>
      <c r="N417" s="56" t="b">
        <v>0</v>
      </c>
      <c r="O417" s="56" t="b">
        <v>0</v>
      </c>
      <c r="P417" s="56"/>
      <c r="Q417" s="56"/>
      <c r="R417" s="56"/>
      <c r="S417" s="56"/>
      <c r="T417" s="56"/>
      <c r="U417" s="56"/>
      <c r="V417" s="56"/>
      <c r="W417" s="56"/>
      <c r="X417" s="56"/>
      <c r="Y417" s="56"/>
      <c r="Z417" s="56"/>
      <c r="AA417" s="56"/>
      <c r="AB417" s="56"/>
    </row>
    <row r="418" ht="15.75" customHeight="1">
      <c r="A418" s="57" t="str">
        <f t="shared" si="1"/>
        <v>5fdfa7d0bc2d63483612b950</v>
      </c>
      <c r="B418" s="63"/>
      <c r="C418" s="56" t="s">
        <v>53</v>
      </c>
      <c r="D418" s="38" t="s">
        <v>52</v>
      </c>
      <c r="E418" s="67" t="s">
        <v>4878</v>
      </c>
      <c r="F418" s="67" t="s">
        <v>4879</v>
      </c>
      <c r="G418" s="122">
        <v>0.5416666666666666</v>
      </c>
      <c r="H418" s="38" t="s">
        <v>5562</v>
      </c>
      <c r="I418" s="56" t="s">
        <v>5563</v>
      </c>
      <c r="J418" s="67" t="s">
        <v>4882</v>
      </c>
      <c r="K418" s="135">
        <v>8.0</v>
      </c>
      <c r="L418" s="38"/>
      <c r="M418" s="56" t="str">
        <f>VLOOKUP(E418,'Hedef Liste'!A:I,9,false)</f>
        <v>#N/A</v>
      </c>
      <c r="N418" s="56" t="b">
        <v>0</v>
      </c>
      <c r="O418" s="56" t="b">
        <v>0</v>
      </c>
      <c r="P418" s="56"/>
      <c r="Q418" s="56"/>
      <c r="R418" s="56"/>
      <c r="S418" s="56"/>
      <c r="T418" s="56"/>
      <c r="U418" s="56"/>
      <c r="V418" s="56"/>
      <c r="W418" s="56"/>
      <c r="X418" s="56"/>
      <c r="Y418" s="56"/>
      <c r="Z418" s="56"/>
      <c r="AA418" s="56"/>
      <c r="AB418" s="56"/>
    </row>
    <row r="419" ht="15.75" customHeight="1">
      <c r="A419" s="57" t="str">
        <f t="shared" si="1"/>
        <v>60087a9637de625c30b3eb13</v>
      </c>
      <c r="B419" s="63"/>
      <c r="C419" s="56" t="s">
        <v>53</v>
      </c>
      <c r="D419" s="38" t="s">
        <v>52</v>
      </c>
      <c r="E419" s="67" t="s">
        <v>4898</v>
      </c>
      <c r="F419" s="67" t="s">
        <v>3153</v>
      </c>
      <c r="G419" s="66" t="s">
        <v>5160</v>
      </c>
      <c r="H419" s="38" t="s">
        <v>5564</v>
      </c>
      <c r="I419" s="38" t="s">
        <v>5565</v>
      </c>
      <c r="J419" s="67" t="s">
        <v>4902</v>
      </c>
      <c r="K419" s="68"/>
      <c r="L419" s="38"/>
      <c r="M419" s="56" t="str">
        <f>VLOOKUP(E419,'Hedef Liste'!A:I,9,false)</f>
        <v>#N/A</v>
      </c>
      <c r="N419" s="56" t="b">
        <v>0</v>
      </c>
      <c r="O419" s="56" t="b">
        <v>0</v>
      </c>
      <c r="P419" s="56"/>
      <c r="Q419" s="56"/>
      <c r="R419" s="56"/>
      <c r="S419" s="56"/>
      <c r="T419" s="56"/>
      <c r="U419" s="56"/>
      <c r="V419" s="56"/>
      <c r="W419" s="56"/>
      <c r="X419" s="56"/>
      <c r="Y419" s="56"/>
      <c r="Z419" s="56"/>
      <c r="AA419" s="56"/>
      <c r="AB419" s="56"/>
    </row>
    <row r="420" ht="15.75" customHeight="1">
      <c r="A420" s="57" t="str">
        <f t="shared" si="1"/>
        <v>5fe4033035987a60b75f4cb5</v>
      </c>
      <c r="B420" s="63"/>
      <c r="C420" s="56" t="s">
        <v>53</v>
      </c>
      <c r="D420" s="38" t="s">
        <v>5566</v>
      </c>
      <c r="E420" s="57" t="s">
        <v>5567</v>
      </c>
      <c r="F420" s="126" t="s">
        <v>5568</v>
      </c>
      <c r="G420" s="90" t="s">
        <v>5461</v>
      </c>
      <c r="H420" s="38" t="s">
        <v>5562</v>
      </c>
      <c r="I420" s="38" t="s">
        <v>5569</v>
      </c>
      <c r="J420" s="67" t="s">
        <v>5570</v>
      </c>
      <c r="K420" s="38"/>
      <c r="L420" s="38"/>
      <c r="M420" s="56" t="str">
        <f>VLOOKUP(E420,'Hedef Liste'!A:I,9,false)</f>
        <v>#N/A</v>
      </c>
      <c r="N420" s="56" t="b">
        <v>0</v>
      </c>
      <c r="O420" s="56" t="b">
        <v>0</v>
      </c>
      <c r="P420" s="56"/>
      <c r="Q420" s="56"/>
      <c r="R420" s="56"/>
      <c r="S420" s="56"/>
      <c r="T420" s="56"/>
      <c r="U420" s="56"/>
      <c r="V420" s="56"/>
      <c r="W420" s="56"/>
      <c r="X420" s="56"/>
      <c r="Y420" s="56"/>
      <c r="Z420" s="56"/>
      <c r="AA420" s="56"/>
      <c r="AB420" s="56"/>
    </row>
    <row r="421" ht="15.75" customHeight="1">
      <c r="A421" s="57" t="str">
        <f t="shared" si="1"/>
        <v/>
      </c>
      <c r="B421" s="63"/>
      <c r="C421" s="56"/>
      <c r="D421" s="64"/>
      <c r="E421" s="64"/>
      <c r="F421" s="65"/>
      <c r="G421" s="66"/>
      <c r="H421" s="38"/>
      <c r="I421" s="38"/>
      <c r="J421" s="38"/>
      <c r="K421" s="68"/>
      <c r="L421" s="38"/>
      <c r="M421" s="56"/>
      <c r="N421" s="56" t="b">
        <v>0</v>
      </c>
      <c r="O421" s="56" t="b">
        <v>0</v>
      </c>
      <c r="P421" s="56"/>
      <c r="Q421" s="56"/>
      <c r="R421" s="56"/>
      <c r="S421" s="56"/>
      <c r="T421" s="56"/>
      <c r="U421" s="56"/>
      <c r="V421" s="56"/>
      <c r="W421" s="56"/>
      <c r="X421" s="56"/>
      <c r="Y421" s="56"/>
      <c r="Z421" s="56"/>
      <c r="AA421" s="56"/>
      <c r="AB421" s="56"/>
    </row>
    <row r="422" ht="15.75" customHeight="1">
      <c r="A422" s="57" t="str">
        <f t="shared" si="1"/>
        <v/>
      </c>
      <c r="B422" s="69"/>
      <c r="C422" s="56"/>
      <c r="D422" s="38"/>
      <c r="E422" s="38"/>
      <c r="F422" s="65"/>
      <c r="G422" s="66"/>
      <c r="H422" s="38"/>
      <c r="I422" s="38"/>
      <c r="J422" s="38"/>
      <c r="K422" s="38"/>
      <c r="L422" s="38"/>
      <c r="M422" s="56"/>
      <c r="N422" s="56" t="b">
        <v>0</v>
      </c>
      <c r="O422" s="56" t="b">
        <v>0</v>
      </c>
      <c r="P422" s="56"/>
      <c r="Q422" s="56"/>
      <c r="R422" s="56"/>
      <c r="S422" s="56"/>
      <c r="T422" s="56"/>
      <c r="U422" s="56"/>
      <c r="V422" s="56"/>
      <c r="W422" s="56"/>
      <c r="X422" s="56"/>
      <c r="Y422" s="56"/>
      <c r="Z422" s="56"/>
      <c r="AA422" s="56"/>
      <c r="AB422" s="56"/>
    </row>
    <row r="423" ht="15.75" customHeight="1">
      <c r="A423" s="57" t="str">
        <f t="shared" si="1"/>
        <v/>
      </c>
      <c r="B423" s="58" t="s">
        <v>4850</v>
      </c>
      <c r="C423" s="38" t="s">
        <v>278</v>
      </c>
      <c r="D423" s="38"/>
      <c r="E423" s="67"/>
      <c r="F423" s="67"/>
      <c r="G423" s="122"/>
      <c r="H423" s="56"/>
      <c r="I423" s="56"/>
      <c r="J423" s="67"/>
      <c r="K423" s="38"/>
      <c r="L423" s="38"/>
      <c r="M423" s="56"/>
      <c r="N423" s="56" t="b">
        <v>0</v>
      </c>
      <c r="O423" s="56" t="b">
        <v>0</v>
      </c>
      <c r="P423" s="56"/>
      <c r="Q423" s="56"/>
      <c r="R423" s="56"/>
      <c r="S423" s="56"/>
      <c r="T423" s="56"/>
      <c r="U423" s="56"/>
      <c r="V423" s="56"/>
      <c r="W423" s="56"/>
      <c r="X423" s="56"/>
      <c r="Y423" s="56"/>
      <c r="Z423" s="56"/>
      <c r="AA423" s="56"/>
      <c r="AB423" s="56"/>
    </row>
    <row r="424" ht="15.75" customHeight="1">
      <c r="A424" s="57"/>
      <c r="B424" s="63"/>
      <c r="C424" s="38" t="s">
        <v>278</v>
      </c>
      <c r="D424" s="38" t="s">
        <v>258</v>
      </c>
      <c r="E424" s="67" t="s">
        <v>551</v>
      </c>
      <c r="F424" s="67" t="s">
        <v>552</v>
      </c>
      <c r="G424" s="122">
        <v>0.4791666666666667</v>
      </c>
      <c r="H424" s="56" t="s">
        <v>5184</v>
      </c>
      <c r="I424" s="56" t="s">
        <v>5571</v>
      </c>
      <c r="J424" s="67" t="s">
        <v>554</v>
      </c>
      <c r="K424" s="38" t="s">
        <v>4830</v>
      </c>
      <c r="L424" s="38">
        <v>12.0</v>
      </c>
      <c r="M424" s="56"/>
      <c r="N424" s="56" t="b">
        <v>0</v>
      </c>
      <c r="O424" s="56" t="b">
        <v>0</v>
      </c>
      <c r="P424" s="56"/>
      <c r="Q424" s="56"/>
      <c r="R424" s="56"/>
      <c r="S424" s="56"/>
      <c r="T424" s="56"/>
      <c r="U424" s="56"/>
      <c r="V424" s="56"/>
      <c r="W424" s="56"/>
      <c r="X424" s="56"/>
      <c r="Y424" s="56"/>
      <c r="Z424" s="56"/>
      <c r="AA424" s="56"/>
      <c r="AB424" s="56"/>
    </row>
    <row r="425" ht="15.75" customHeight="1">
      <c r="A425" s="57" t="str">
        <f t="shared" ref="A425:A431" si="2">E425</f>
        <v>6066f902306c3514b7e66c3e</v>
      </c>
      <c r="B425" s="63"/>
      <c r="C425" s="38" t="s">
        <v>278</v>
      </c>
      <c r="D425" s="38" t="s">
        <v>258</v>
      </c>
      <c r="E425" s="67" t="s">
        <v>1203</v>
      </c>
      <c r="F425" s="67" t="s">
        <v>1204</v>
      </c>
      <c r="G425" s="122">
        <v>0.5416666666666666</v>
      </c>
      <c r="H425" s="38" t="s">
        <v>5572</v>
      </c>
      <c r="I425" s="67" t="s">
        <v>5573</v>
      </c>
      <c r="J425" s="67" t="s">
        <v>1207</v>
      </c>
      <c r="K425" s="38" t="s">
        <v>4830</v>
      </c>
      <c r="L425" s="38">
        <v>11.0</v>
      </c>
      <c r="M425" s="56">
        <f>VLOOKUP(E425,'Hedef Liste'!A:I,9,false)</f>
        <v>19</v>
      </c>
      <c r="N425" s="56" t="b">
        <v>0</v>
      </c>
      <c r="O425" s="56" t="b">
        <v>0</v>
      </c>
      <c r="P425" s="56"/>
      <c r="Q425" s="56"/>
      <c r="R425" s="56"/>
      <c r="S425" s="56"/>
      <c r="T425" s="56"/>
      <c r="U425" s="56"/>
      <c r="V425" s="56"/>
      <c r="W425" s="56"/>
      <c r="X425" s="56"/>
      <c r="Y425" s="56"/>
      <c r="Z425" s="56"/>
      <c r="AA425" s="56"/>
      <c r="AB425" s="56"/>
    </row>
    <row r="426" ht="15.75" customHeight="1">
      <c r="A426" s="57" t="str">
        <f t="shared" si="2"/>
        <v>5fff6b4837b181f7af07eb2c</v>
      </c>
      <c r="B426" s="63"/>
      <c r="C426" s="38" t="s">
        <v>278</v>
      </c>
      <c r="D426" s="38" t="s">
        <v>258</v>
      </c>
      <c r="E426" s="67" t="s">
        <v>3776</v>
      </c>
      <c r="F426" s="67" t="s">
        <v>3777</v>
      </c>
      <c r="G426" s="66" t="s">
        <v>4892</v>
      </c>
      <c r="H426" s="67" t="s">
        <v>5574</v>
      </c>
      <c r="I426" s="67" t="s">
        <v>5575</v>
      </c>
      <c r="J426" s="67" t="s">
        <v>3779</v>
      </c>
      <c r="K426" s="38" t="s">
        <v>4830</v>
      </c>
      <c r="L426" s="38" t="s">
        <v>5576</v>
      </c>
      <c r="M426" s="56">
        <f>VLOOKUP(E426,'Hedef Liste'!A:I,9,false)</f>
        <v>55</v>
      </c>
      <c r="N426" s="56" t="b">
        <v>0</v>
      </c>
      <c r="O426" s="56" t="b">
        <v>0</v>
      </c>
      <c r="P426" s="56"/>
      <c r="Q426" s="56"/>
      <c r="R426" s="56"/>
      <c r="S426" s="56"/>
      <c r="T426" s="56"/>
      <c r="U426" s="56"/>
      <c r="V426" s="56"/>
      <c r="W426" s="56"/>
      <c r="X426" s="56"/>
      <c r="Y426" s="56"/>
      <c r="Z426" s="56"/>
      <c r="AA426" s="56"/>
      <c r="AB426" s="56"/>
    </row>
    <row r="427" ht="15.75" customHeight="1">
      <c r="A427" s="57" t="str">
        <f t="shared" si="2"/>
        <v>606611c6d7217474741c1a71</v>
      </c>
      <c r="B427" s="63"/>
      <c r="C427" s="38" t="s">
        <v>278</v>
      </c>
      <c r="D427" s="38" t="s">
        <v>258</v>
      </c>
      <c r="E427" s="67" t="s">
        <v>3244</v>
      </c>
      <c r="F427" s="67" t="s">
        <v>3245</v>
      </c>
      <c r="G427" s="66" t="s">
        <v>4899</v>
      </c>
      <c r="H427" s="67" t="s">
        <v>5577</v>
      </c>
      <c r="I427" s="67" t="s">
        <v>5578</v>
      </c>
      <c r="J427" s="67" t="s">
        <v>3247</v>
      </c>
      <c r="K427" s="38" t="s">
        <v>5579</v>
      </c>
      <c r="L427" s="38"/>
      <c r="M427" s="56">
        <f>VLOOKUP(E427,'Hedef Liste'!A:I,9,false)</f>
        <v>24</v>
      </c>
      <c r="N427" s="56" t="b">
        <v>0</v>
      </c>
      <c r="O427" s="56" t="b">
        <v>0</v>
      </c>
      <c r="P427" s="56"/>
      <c r="Q427" s="56"/>
      <c r="R427" s="56"/>
      <c r="S427" s="56"/>
      <c r="T427" s="56"/>
      <c r="U427" s="56"/>
      <c r="V427" s="56"/>
      <c r="W427" s="56"/>
      <c r="X427" s="56"/>
      <c r="Y427" s="56"/>
      <c r="Z427" s="56"/>
      <c r="AA427" s="56"/>
      <c r="AB427" s="56"/>
    </row>
    <row r="428" ht="15.75" customHeight="1">
      <c r="A428" s="57" t="str">
        <f t="shared" si="2"/>
        <v/>
      </c>
      <c r="B428" s="63"/>
      <c r="C428" s="38"/>
      <c r="D428" s="38"/>
      <c r="E428" s="38"/>
      <c r="F428" s="65"/>
      <c r="G428" s="66"/>
      <c r="H428" s="38"/>
      <c r="I428" s="38"/>
      <c r="J428" s="38"/>
      <c r="K428" s="38"/>
      <c r="L428" s="38"/>
      <c r="M428" s="56" t="str">
        <f>VLOOKUP(E428,'Hedef Liste'!A:I,9,false)</f>
        <v>#N/A</v>
      </c>
      <c r="N428" s="56" t="b">
        <v>0</v>
      </c>
      <c r="O428" s="56" t="b">
        <v>0</v>
      </c>
      <c r="P428" s="56"/>
      <c r="Q428" s="56"/>
      <c r="R428" s="56"/>
      <c r="S428" s="56"/>
      <c r="T428" s="56"/>
      <c r="U428" s="56"/>
      <c r="V428" s="56"/>
      <c r="W428" s="56"/>
      <c r="X428" s="56"/>
      <c r="Y428" s="56"/>
      <c r="Z428" s="56"/>
      <c r="AA428" s="56"/>
      <c r="AB428" s="56"/>
    </row>
    <row r="429" ht="15.75" customHeight="1">
      <c r="A429" s="57" t="str">
        <f t="shared" si="2"/>
        <v/>
      </c>
      <c r="B429" s="69"/>
      <c r="C429" s="56"/>
      <c r="D429" s="38"/>
      <c r="E429" s="38"/>
      <c r="F429" s="65"/>
      <c r="G429" s="66"/>
      <c r="H429" s="38"/>
      <c r="I429" s="38"/>
      <c r="J429" s="38"/>
      <c r="K429" s="38"/>
      <c r="L429" s="38"/>
      <c r="M429" s="56"/>
      <c r="N429" s="56" t="b">
        <v>0</v>
      </c>
      <c r="O429" s="56" t="b">
        <v>0</v>
      </c>
      <c r="P429" s="56"/>
      <c r="Q429" s="56"/>
      <c r="R429" s="56"/>
      <c r="S429" s="56"/>
      <c r="T429" s="56"/>
      <c r="U429" s="56"/>
      <c r="V429" s="56"/>
      <c r="W429" s="56"/>
      <c r="X429" s="56"/>
      <c r="Y429" s="56"/>
      <c r="Z429" s="56"/>
      <c r="AA429" s="56"/>
      <c r="AB429" s="56"/>
    </row>
    <row r="430" ht="15.75" customHeight="1">
      <c r="A430" s="57" t="str">
        <f t="shared" si="2"/>
        <v/>
      </c>
      <c r="B430" s="51"/>
      <c r="C430" s="52">
        <v>44300.0</v>
      </c>
      <c r="D430" s="38"/>
      <c r="E430" s="53"/>
      <c r="F430" s="54"/>
      <c r="G430" s="54"/>
      <c r="H430" s="54"/>
      <c r="I430" s="54"/>
      <c r="J430" s="54"/>
      <c r="K430" s="54"/>
      <c r="L430" s="55"/>
      <c r="M430" s="56"/>
      <c r="N430" s="56"/>
      <c r="O430" s="56"/>
      <c r="P430" s="56"/>
      <c r="Q430" s="56"/>
      <c r="R430" s="56"/>
      <c r="S430" s="56"/>
      <c r="T430" s="56"/>
      <c r="U430" s="56"/>
      <c r="V430" s="56"/>
      <c r="W430" s="56"/>
      <c r="X430" s="56"/>
      <c r="Y430" s="56"/>
      <c r="Z430" s="56"/>
      <c r="AA430" s="56"/>
      <c r="AB430" s="56"/>
    </row>
    <row r="431" ht="15.75" customHeight="1">
      <c r="A431" s="57" t="str">
        <f t="shared" si="2"/>
        <v>6019b00a669ec38ecb752630</v>
      </c>
      <c r="B431" s="58" t="s">
        <v>4827</v>
      </c>
      <c r="C431" s="56" t="s">
        <v>66</v>
      </c>
      <c r="D431" s="38" t="s">
        <v>52</v>
      </c>
      <c r="E431" s="57" t="s">
        <v>4956</v>
      </c>
      <c r="F431" s="126" t="s">
        <v>3853</v>
      </c>
      <c r="G431" s="122">
        <v>0.3958333333333333</v>
      </c>
      <c r="H431" s="38" t="s">
        <v>4880</v>
      </c>
      <c r="I431" s="38" t="s">
        <v>5580</v>
      </c>
      <c r="J431" s="141" t="s">
        <v>4958</v>
      </c>
      <c r="K431" s="68"/>
      <c r="L431" s="38"/>
      <c r="M431" s="135">
        <v>14.0</v>
      </c>
      <c r="N431" s="56" t="b">
        <v>0</v>
      </c>
      <c r="O431" s="56" t="b">
        <v>0</v>
      </c>
      <c r="P431" s="56"/>
      <c r="Q431" s="56"/>
      <c r="R431" s="56"/>
      <c r="S431" s="56"/>
      <c r="T431" s="56"/>
      <c r="U431" s="56"/>
      <c r="V431" s="56"/>
      <c r="W431" s="56"/>
      <c r="X431" s="56"/>
      <c r="Y431" s="56"/>
      <c r="Z431" s="56"/>
      <c r="AA431" s="56"/>
      <c r="AB431" s="56"/>
    </row>
    <row r="432" ht="15.75" customHeight="1">
      <c r="A432" s="57"/>
      <c r="B432" s="63"/>
      <c r="C432" s="56" t="s">
        <v>66</v>
      </c>
      <c r="D432" s="142" t="s">
        <v>376</v>
      </c>
      <c r="E432" s="143" t="s">
        <v>370</v>
      </c>
      <c r="F432" s="143" t="s">
        <v>371</v>
      </c>
      <c r="G432" s="144" t="s">
        <v>4938</v>
      </c>
      <c r="H432" s="142" t="s">
        <v>5581</v>
      </c>
      <c r="I432" s="142" t="s">
        <v>5582</v>
      </c>
      <c r="J432" s="143" t="s">
        <v>375</v>
      </c>
      <c r="K432" s="142" t="s">
        <v>5583</v>
      </c>
      <c r="L432" s="38"/>
      <c r="M432" s="135"/>
      <c r="N432" s="56" t="b">
        <v>0</v>
      </c>
      <c r="O432" s="56" t="b">
        <v>0</v>
      </c>
      <c r="P432" s="56"/>
      <c r="Q432" s="56"/>
      <c r="R432" s="56"/>
      <c r="S432" s="56"/>
      <c r="T432" s="56"/>
      <c r="U432" s="56"/>
      <c r="V432" s="56"/>
      <c r="W432" s="56"/>
      <c r="X432" s="56"/>
      <c r="Y432" s="56"/>
      <c r="Z432" s="56"/>
      <c r="AA432" s="56"/>
      <c r="AB432" s="56"/>
    </row>
    <row r="433" ht="15.75" customHeight="1">
      <c r="A433" s="57" t="str">
        <f t="shared" ref="A433:A437" si="3">E433</f>
        <v>6026d563ff60ad8f5fc077b9</v>
      </c>
      <c r="B433" s="63"/>
      <c r="C433" s="56" t="s">
        <v>66</v>
      </c>
      <c r="D433" s="38" t="s">
        <v>258</v>
      </c>
      <c r="E433" s="67" t="s">
        <v>2112</v>
      </c>
      <c r="F433" s="67" t="s">
        <v>2113</v>
      </c>
      <c r="G433" s="100" t="s">
        <v>4940</v>
      </c>
      <c r="H433" s="38" t="s">
        <v>5197</v>
      </c>
      <c r="I433" s="56" t="s">
        <v>5584</v>
      </c>
      <c r="J433" s="67" t="s">
        <v>2115</v>
      </c>
      <c r="K433" s="38"/>
      <c r="L433" s="38"/>
      <c r="M433" s="135">
        <v>4.0</v>
      </c>
      <c r="N433" s="56" t="b">
        <v>0</v>
      </c>
      <c r="O433" s="56" t="b">
        <v>0</v>
      </c>
      <c r="P433" s="56"/>
      <c r="Q433" s="56"/>
      <c r="R433" s="56"/>
      <c r="S433" s="56"/>
      <c r="T433" s="56"/>
      <c r="U433" s="56"/>
      <c r="V433" s="56"/>
      <c r="W433" s="56"/>
      <c r="X433" s="56"/>
      <c r="Y433" s="56"/>
      <c r="Z433" s="56"/>
      <c r="AA433" s="56"/>
      <c r="AB433" s="56"/>
    </row>
    <row r="434" ht="15.75" customHeight="1">
      <c r="A434" s="57" t="str">
        <f t="shared" si="3"/>
        <v/>
      </c>
      <c r="B434" s="63"/>
      <c r="C434" s="56" t="s">
        <v>66</v>
      </c>
      <c r="D434" s="38"/>
      <c r="E434" s="67"/>
      <c r="F434" s="67"/>
      <c r="G434" s="100">
        <v>0.6875</v>
      </c>
      <c r="H434" s="38"/>
      <c r="I434" s="67"/>
      <c r="J434" s="67"/>
      <c r="K434" s="38"/>
      <c r="L434" s="38"/>
      <c r="M434" s="56">
        <v>9.0</v>
      </c>
      <c r="N434" s="56" t="b">
        <v>0</v>
      </c>
      <c r="O434" s="56" t="b">
        <v>0</v>
      </c>
      <c r="P434" s="56"/>
      <c r="Q434" s="56"/>
      <c r="R434" s="56"/>
      <c r="S434" s="56"/>
      <c r="T434" s="56"/>
      <c r="U434" s="56"/>
      <c r="V434" s="56"/>
      <c r="W434" s="56"/>
      <c r="X434" s="56"/>
      <c r="Y434" s="56"/>
      <c r="Z434" s="56"/>
      <c r="AA434" s="56"/>
      <c r="AB434" s="56"/>
    </row>
    <row r="435" ht="15.75" customHeight="1">
      <c r="A435" s="57" t="str">
        <f t="shared" si="3"/>
        <v/>
      </c>
      <c r="B435" s="63"/>
      <c r="C435" s="56"/>
      <c r="D435" s="38"/>
      <c r="E435" s="67"/>
      <c r="F435" s="67"/>
      <c r="G435" s="66"/>
      <c r="H435" s="38"/>
      <c r="I435" s="38"/>
      <c r="J435" s="38"/>
      <c r="K435" s="68"/>
      <c r="L435" s="38"/>
      <c r="M435" s="56"/>
      <c r="N435" s="56" t="b">
        <v>0</v>
      </c>
      <c r="O435" s="56" t="b">
        <v>0</v>
      </c>
      <c r="P435" s="56"/>
      <c r="Q435" s="56"/>
      <c r="R435" s="56"/>
      <c r="S435" s="56"/>
      <c r="T435" s="56"/>
      <c r="U435" s="56"/>
      <c r="V435" s="56"/>
      <c r="W435" s="56"/>
      <c r="X435" s="56"/>
      <c r="Y435" s="56"/>
      <c r="Z435" s="56"/>
      <c r="AA435" s="56"/>
      <c r="AB435" s="56"/>
    </row>
    <row r="436" ht="15.75" customHeight="1">
      <c r="A436" s="57" t="str">
        <f t="shared" si="3"/>
        <v/>
      </c>
      <c r="B436" s="69"/>
      <c r="C436" s="56"/>
      <c r="D436" s="38"/>
      <c r="E436" s="38"/>
      <c r="F436" s="65"/>
      <c r="G436" s="66"/>
      <c r="H436" s="38"/>
      <c r="I436" s="38"/>
      <c r="J436" s="38"/>
      <c r="K436" s="38"/>
      <c r="L436" s="38"/>
      <c r="M436" s="56"/>
      <c r="N436" s="56" t="b">
        <v>0</v>
      </c>
      <c r="O436" s="56" t="b">
        <v>0</v>
      </c>
      <c r="P436" s="56"/>
      <c r="Q436" s="56"/>
      <c r="R436" s="56"/>
      <c r="S436" s="56"/>
      <c r="T436" s="56"/>
      <c r="U436" s="56"/>
      <c r="V436" s="56"/>
      <c r="W436" s="56"/>
      <c r="X436" s="56"/>
      <c r="Y436" s="56"/>
      <c r="Z436" s="56"/>
      <c r="AA436" s="56"/>
      <c r="AB436" s="56"/>
    </row>
    <row r="437" ht="15.75" customHeight="1">
      <c r="A437" s="57" t="str">
        <f t="shared" si="3"/>
        <v/>
      </c>
      <c r="B437" s="58" t="s">
        <v>4836</v>
      </c>
      <c r="C437" s="56" t="s">
        <v>53</v>
      </c>
      <c r="D437" s="38"/>
      <c r="E437" s="67"/>
      <c r="F437" s="67"/>
      <c r="G437" s="122"/>
      <c r="H437" s="38"/>
      <c r="I437" s="56"/>
      <c r="J437" s="67"/>
      <c r="K437" s="68"/>
      <c r="L437" s="38"/>
      <c r="M437" s="56" t="str">
        <f>VLOOKUP(E437,'Hedef Liste'!A:I,9,false)</f>
        <v>#N/A</v>
      </c>
      <c r="N437" s="56" t="b">
        <v>0</v>
      </c>
      <c r="O437" s="56" t="b">
        <v>0</v>
      </c>
      <c r="P437" s="56"/>
      <c r="Q437" s="56"/>
      <c r="R437" s="56"/>
      <c r="S437" s="56"/>
      <c r="T437" s="56"/>
      <c r="U437" s="56"/>
      <c r="V437" s="56"/>
      <c r="W437" s="56"/>
      <c r="X437" s="56"/>
      <c r="Y437" s="56"/>
      <c r="Z437" s="56"/>
      <c r="AA437" s="56"/>
      <c r="AB437" s="56"/>
    </row>
    <row r="438" ht="15.75" customHeight="1">
      <c r="A438" s="57" t="str">
        <f>E432</f>
        <v>6023cf711ac2f5625125969f</v>
      </c>
      <c r="B438" s="63"/>
      <c r="C438" s="56" t="s">
        <v>53</v>
      </c>
      <c r="D438" s="137" t="s">
        <v>52</v>
      </c>
      <c r="E438" s="145" t="s">
        <v>5380</v>
      </c>
      <c r="F438" s="145" t="s">
        <v>5381</v>
      </c>
      <c r="G438" s="146">
        <v>0.6875</v>
      </c>
      <c r="H438" s="137" t="s">
        <v>5228</v>
      </c>
      <c r="I438" s="145" t="s">
        <v>5443</v>
      </c>
      <c r="J438" s="145" t="s">
        <v>5383</v>
      </c>
      <c r="K438" s="56"/>
      <c r="L438" s="38"/>
      <c r="M438" s="56"/>
      <c r="N438" s="56" t="b">
        <v>0</v>
      </c>
      <c r="O438" s="56" t="b">
        <v>0</v>
      </c>
      <c r="P438" s="56"/>
      <c r="Q438" s="56"/>
      <c r="R438" s="56"/>
      <c r="S438" s="56"/>
      <c r="T438" s="56"/>
      <c r="U438" s="56"/>
      <c r="V438" s="56"/>
      <c r="W438" s="56"/>
      <c r="X438" s="56"/>
      <c r="Y438" s="56"/>
      <c r="Z438" s="56"/>
      <c r="AA438" s="56"/>
      <c r="AB438" s="56"/>
    </row>
    <row r="439" ht="15.75" customHeight="1">
      <c r="A439" s="57" t="str">
        <f t="shared" ref="A439:A518" si="4">E439</f>
        <v>600c3cf20909cf776e57dd66</v>
      </c>
      <c r="B439" s="63"/>
      <c r="C439" s="56" t="s">
        <v>53</v>
      </c>
      <c r="D439" s="38" t="s">
        <v>258</v>
      </c>
      <c r="E439" s="67" t="s">
        <v>2547</v>
      </c>
      <c r="F439" s="67" t="s">
        <v>2548</v>
      </c>
      <c r="G439" s="66" t="s">
        <v>4892</v>
      </c>
      <c r="H439" s="67" t="s">
        <v>5585</v>
      </c>
      <c r="I439" s="67" t="s">
        <v>5586</v>
      </c>
      <c r="J439" s="67" t="s">
        <v>2550</v>
      </c>
      <c r="K439" s="142"/>
      <c r="L439" s="38"/>
      <c r="M439" s="56">
        <v>27.0</v>
      </c>
      <c r="N439" s="56" t="b">
        <v>0</v>
      </c>
      <c r="O439" s="56" t="b">
        <v>0</v>
      </c>
      <c r="P439" s="56"/>
      <c r="Q439" s="56"/>
      <c r="R439" s="56"/>
      <c r="S439" s="56"/>
      <c r="T439" s="56"/>
      <c r="U439" s="56"/>
      <c r="V439" s="56"/>
      <c r="W439" s="56"/>
      <c r="X439" s="56"/>
      <c r="Y439" s="56"/>
      <c r="Z439" s="56"/>
      <c r="AA439" s="56"/>
      <c r="AB439" s="56"/>
    </row>
    <row r="440" ht="15.75" customHeight="1">
      <c r="A440" s="57" t="str">
        <f t="shared" si="4"/>
        <v>60490b6c17e424d4110e2c10</v>
      </c>
      <c r="B440" s="63"/>
      <c r="C440" s="56" t="s">
        <v>53</v>
      </c>
      <c r="D440" s="38" t="s">
        <v>258</v>
      </c>
      <c r="E440" s="67" t="s">
        <v>5587</v>
      </c>
      <c r="F440" s="67" t="s">
        <v>5588</v>
      </c>
      <c r="G440" s="122">
        <v>0.6875</v>
      </c>
      <c r="H440" s="38" t="s">
        <v>5589</v>
      </c>
      <c r="I440" s="67" t="s">
        <v>5590</v>
      </c>
      <c r="J440" s="67" t="s">
        <v>5591</v>
      </c>
      <c r="K440" s="142"/>
      <c r="L440" s="38"/>
      <c r="M440" s="56"/>
      <c r="N440" s="56" t="b">
        <v>0</v>
      </c>
      <c r="O440" s="56" t="b">
        <v>0</v>
      </c>
      <c r="P440" s="56"/>
      <c r="Q440" s="56"/>
      <c r="R440" s="56"/>
      <c r="S440" s="56"/>
      <c r="T440" s="56"/>
      <c r="U440" s="56"/>
      <c r="V440" s="56"/>
      <c r="W440" s="56"/>
      <c r="X440" s="56"/>
      <c r="Y440" s="56"/>
      <c r="Z440" s="56"/>
      <c r="AA440" s="56"/>
      <c r="AB440" s="56"/>
    </row>
    <row r="441" ht="15.75" customHeight="1">
      <c r="A441" s="57" t="str">
        <f t="shared" si="4"/>
        <v/>
      </c>
      <c r="B441" s="63"/>
      <c r="C441" s="56"/>
      <c r="D441" s="64"/>
      <c r="E441" s="64"/>
      <c r="F441" s="65"/>
      <c r="G441" s="66"/>
      <c r="H441" s="38"/>
      <c r="I441" s="38"/>
      <c r="J441" s="38"/>
      <c r="K441" s="68"/>
      <c r="L441" s="38"/>
      <c r="M441" s="56"/>
      <c r="N441" s="56" t="b">
        <v>0</v>
      </c>
      <c r="O441" s="56" t="b">
        <v>0</v>
      </c>
      <c r="P441" s="56"/>
      <c r="Q441" s="56"/>
      <c r="R441" s="56"/>
      <c r="S441" s="56"/>
      <c r="T441" s="56"/>
      <c r="U441" s="56"/>
      <c r="V441" s="56"/>
      <c r="W441" s="56"/>
      <c r="X441" s="56"/>
      <c r="Y441" s="56"/>
      <c r="Z441" s="56"/>
      <c r="AA441" s="56"/>
      <c r="AB441" s="56"/>
    </row>
    <row r="442" ht="15.75" customHeight="1">
      <c r="A442" s="57" t="str">
        <f t="shared" si="4"/>
        <v/>
      </c>
      <c r="B442" s="69"/>
      <c r="C442" s="56"/>
      <c r="D442" s="38"/>
      <c r="E442" s="38"/>
      <c r="F442" s="65"/>
      <c r="G442" s="66"/>
      <c r="H442" s="38"/>
      <c r="I442" s="38"/>
      <c r="J442" s="38"/>
      <c r="K442" s="38"/>
      <c r="L442" s="38"/>
      <c r="M442" s="56"/>
      <c r="N442" s="56" t="b">
        <v>0</v>
      </c>
      <c r="O442" s="56" t="b">
        <v>0</v>
      </c>
      <c r="P442" s="56"/>
      <c r="Q442" s="56"/>
      <c r="R442" s="56"/>
      <c r="S442" s="56"/>
      <c r="T442" s="56"/>
      <c r="U442" s="56"/>
      <c r="V442" s="56"/>
      <c r="W442" s="56"/>
      <c r="X442" s="56"/>
      <c r="Y442" s="56"/>
      <c r="Z442" s="56"/>
      <c r="AA442" s="56"/>
      <c r="AB442" s="56"/>
    </row>
    <row r="443" ht="15.75" customHeight="1">
      <c r="A443" s="57" t="str">
        <f t="shared" si="4"/>
        <v>5ff77f4a5f2349557873245c</v>
      </c>
      <c r="B443" s="58" t="s">
        <v>4850</v>
      </c>
      <c r="C443" s="38" t="s">
        <v>278</v>
      </c>
      <c r="D443" s="76" t="s">
        <v>5566</v>
      </c>
      <c r="E443" s="77" t="s">
        <v>3325</v>
      </c>
      <c r="F443" s="88" t="s">
        <v>3326</v>
      </c>
      <c r="G443" s="120">
        <v>0.4166666666666667</v>
      </c>
      <c r="H443" s="76" t="s">
        <v>4984</v>
      </c>
      <c r="I443" s="93" t="s">
        <v>5592</v>
      </c>
      <c r="J443" s="77" t="s">
        <v>3328</v>
      </c>
      <c r="K443" s="38"/>
      <c r="L443" s="38"/>
      <c r="M443" s="56">
        <f>VLOOKUP(E443,'Hedef Liste'!A:I,9,false)</f>
        <v>25</v>
      </c>
      <c r="N443" s="56" t="b">
        <v>0</v>
      </c>
      <c r="O443" s="56" t="b">
        <v>0</v>
      </c>
      <c r="P443" s="56"/>
      <c r="Q443" s="56"/>
      <c r="R443" s="56"/>
      <c r="S443" s="56"/>
      <c r="T443" s="56"/>
      <c r="U443" s="56"/>
      <c r="V443" s="56"/>
      <c r="W443" s="56"/>
      <c r="X443" s="56"/>
      <c r="Y443" s="56"/>
      <c r="Z443" s="56"/>
      <c r="AA443" s="56"/>
      <c r="AB443" s="56"/>
    </row>
    <row r="444" ht="15.75" customHeight="1">
      <c r="A444" s="57" t="str">
        <f t="shared" si="4"/>
        <v>6058fc9ba95ea6d1752f1dca</v>
      </c>
      <c r="B444" s="63"/>
      <c r="C444" s="38" t="s">
        <v>278</v>
      </c>
      <c r="D444" s="76" t="s">
        <v>258</v>
      </c>
      <c r="E444" s="77" t="s">
        <v>5287</v>
      </c>
      <c r="F444" s="77" t="s">
        <v>5288</v>
      </c>
      <c r="G444" s="120">
        <v>0.5</v>
      </c>
      <c r="H444" s="76" t="s">
        <v>5026</v>
      </c>
      <c r="I444" s="77" t="s">
        <v>5290</v>
      </c>
      <c r="J444" s="77" t="s">
        <v>5291</v>
      </c>
      <c r="K444" s="38"/>
      <c r="L444" s="38"/>
      <c r="M444" s="56" t="str">
        <f>VLOOKUP(E444,'Hedef Liste'!A:I,9,false)</f>
        <v>#N/A</v>
      </c>
      <c r="N444" s="56" t="b">
        <v>0</v>
      </c>
      <c r="O444" s="56" t="b">
        <v>0</v>
      </c>
      <c r="P444" s="56"/>
      <c r="Q444" s="56"/>
      <c r="R444" s="56"/>
      <c r="S444" s="56"/>
      <c r="T444" s="56"/>
      <c r="U444" s="56"/>
      <c r="V444" s="56"/>
      <c r="W444" s="56"/>
      <c r="X444" s="56"/>
      <c r="Y444" s="56"/>
      <c r="Z444" s="56"/>
      <c r="AA444" s="56"/>
      <c r="AB444" s="56"/>
    </row>
    <row r="445" ht="15.75" customHeight="1">
      <c r="A445" s="57" t="str">
        <f t="shared" si="4"/>
        <v>5fe0ec263e964be477e9b3f6</v>
      </c>
      <c r="B445" s="63"/>
      <c r="C445" s="38" t="s">
        <v>278</v>
      </c>
      <c r="D445" s="76" t="s">
        <v>376</v>
      </c>
      <c r="E445" s="77" t="s">
        <v>4906</v>
      </c>
      <c r="F445" s="77" t="s">
        <v>4907</v>
      </c>
      <c r="G445" s="82" t="s">
        <v>4892</v>
      </c>
      <c r="H445" s="77" t="s">
        <v>5593</v>
      </c>
      <c r="I445" s="77" t="s">
        <v>5594</v>
      </c>
      <c r="J445" s="77" t="s">
        <v>2872</v>
      </c>
      <c r="K445" s="38" t="s">
        <v>2008</v>
      </c>
      <c r="L445" s="38"/>
      <c r="M445" s="56" t="str">
        <f>VLOOKUP(E445,'Hedef Liste'!A:I,9,false)</f>
        <v>#N/A</v>
      </c>
      <c r="N445" s="56" t="b">
        <v>0</v>
      </c>
      <c r="O445" s="56" t="b">
        <v>0</v>
      </c>
      <c r="P445" s="56"/>
      <c r="Q445" s="56"/>
      <c r="R445" s="56"/>
      <c r="S445" s="56"/>
      <c r="T445" s="56"/>
      <c r="U445" s="56"/>
      <c r="V445" s="56"/>
      <c r="W445" s="56"/>
      <c r="X445" s="56"/>
      <c r="Y445" s="56"/>
      <c r="Z445" s="56"/>
      <c r="AA445" s="56"/>
      <c r="AB445" s="56"/>
    </row>
    <row r="446" ht="15.75" customHeight="1">
      <c r="A446" s="57" t="str">
        <f t="shared" si="4"/>
        <v>606614bd251ddd4ebc54be46</v>
      </c>
      <c r="B446" s="63"/>
      <c r="C446" s="38" t="s">
        <v>278</v>
      </c>
      <c r="D446" s="38" t="s">
        <v>258</v>
      </c>
      <c r="E446" s="67" t="s">
        <v>5595</v>
      </c>
      <c r="F446" s="67" t="s">
        <v>5596</v>
      </c>
      <c r="G446" s="66" t="s">
        <v>5036</v>
      </c>
      <c r="H446" s="38" t="s">
        <v>5172</v>
      </c>
      <c r="I446" s="38" t="s">
        <v>5597</v>
      </c>
      <c r="J446" s="67" t="s">
        <v>5598</v>
      </c>
      <c r="K446" s="38" t="s">
        <v>4830</v>
      </c>
      <c r="L446" s="38">
        <v>18.0</v>
      </c>
      <c r="M446" s="56" t="str">
        <f>VLOOKUP(E446,'Hedef Liste'!A:I,9,false)</f>
        <v>#N/A</v>
      </c>
      <c r="N446" s="56" t="b">
        <v>0</v>
      </c>
      <c r="O446" s="56" t="b">
        <v>0</v>
      </c>
      <c r="P446" s="56"/>
      <c r="Q446" s="56"/>
      <c r="R446" s="56"/>
      <c r="S446" s="56"/>
      <c r="T446" s="56"/>
      <c r="U446" s="56"/>
      <c r="V446" s="56"/>
      <c r="W446" s="56"/>
      <c r="X446" s="56"/>
      <c r="Y446" s="56"/>
      <c r="Z446" s="56"/>
      <c r="AA446" s="56"/>
      <c r="AB446" s="56"/>
    </row>
    <row r="447" ht="15.75" customHeight="1">
      <c r="A447" s="57" t="str">
        <f t="shared" si="4"/>
        <v/>
      </c>
      <c r="B447" s="63"/>
      <c r="C447" s="38"/>
      <c r="D447" s="38"/>
      <c r="E447" s="38"/>
      <c r="F447" s="65"/>
      <c r="G447" s="66"/>
      <c r="H447" s="38"/>
      <c r="I447" s="38"/>
      <c r="J447" s="38"/>
      <c r="K447" s="38"/>
      <c r="L447" s="38"/>
      <c r="M447" s="56" t="str">
        <f>VLOOKUP(E447,'Hedef Liste'!A:I,9,false)</f>
        <v>#N/A</v>
      </c>
      <c r="N447" s="56" t="b">
        <v>0</v>
      </c>
      <c r="O447" s="56" t="b">
        <v>0</v>
      </c>
      <c r="P447" s="56"/>
      <c r="Q447" s="56"/>
      <c r="R447" s="56"/>
      <c r="S447" s="56"/>
      <c r="T447" s="56"/>
      <c r="U447" s="56"/>
      <c r="V447" s="56"/>
      <c r="W447" s="56"/>
      <c r="X447" s="56"/>
      <c r="Y447" s="56"/>
      <c r="Z447" s="56"/>
      <c r="AA447" s="56"/>
      <c r="AB447" s="56"/>
    </row>
    <row r="448" ht="15.75" customHeight="1">
      <c r="A448" s="57" t="str">
        <f t="shared" si="4"/>
        <v/>
      </c>
      <c r="B448" s="69"/>
      <c r="C448" s="56"/>
      <c r="D448" s="38"/>
      <c r="E448" s="38"/>
      <c r="F448" s="65"/>
      <c r="G448" s="66"/>
      <c r="H448" s="38"/>
      <c r="I448" s="38"/>
      <c r="J448" s="38"/>
      <c r="K448" s="38"/>
      <c r="L448" s="38"/>
      <c r="M448" s="56"/>
      <c r="N448" s="56" t="b">
        <v>0</v>
      </c>
      <c r="O448" s="56" t="b">
        <v>0</v>
      </c>
      <c r="P448" s="56"/>
      <c r="Q448" s="56"/>
      <c r="R448" s="56"/>
      <c r="S448" s="56"/>
      <c r="T448" s="56"/>
      <c r="U448" s="56"/>
      <c r="V448" s="56"/>
      <c r="W448" s="56"/>
      <c r="X448" s="56"/>
      <c r="Y448" s="56"/>
      <c r="Z448" s="56"/>
      <c r="AA448" s="56"/>
      <c r="AB448" s="56"/>
    </row>
    <row r="449" ht="15.75" customHeight="1">
      <c r="A449" s="57" t="str">
        <f t="shared" si="4"/>
        <v/>
      </c>
      <c r="B449" s="51"/>
      <c r="C449" s="52">
        <v>44301.0</v>
      </c>
      <c r="D449" s="38"/>
      <c r="E449" s="53"/>
      <c r="F449" s="54"/>
      <c r="G449" s="54"/>
      <c r="H449" s="54"/>
      <c r="I449" s="54"/>
      <c r="J449" s="54"/>
      <c r="K449" s="54"/>
      <c r="L449" s="55"/>
      <c r="M449" s="56"/>
      <c r="N449" s="56"/>
      <c r="O449" s="56"/>
      <c r="P449" s="56"/>
      <c r="Q449" s="56"/>
      <c r="R449" s="56"/>
      <c r="S449" s="56"/>
      <c r="T449" s="56"/>
      <c r="U449" s="56"/>
      <c r="V449" s="56"/>
      <c r="W449" s="56"/>
      <c r="X449" s="56"/>
      <c r="Y449" s="56"/>
      <c r="Z449" s="56"/>
      <c r="AA449" s="56"/>
      <c r="AB449" s="56"/>
    </row>
    <row r="450" ht="15.75" customHeight="1">
      <c r="A450" s="57" t="str">
        <f t="shared" si="4"/>
        <v/>
      </c>
      <c r="B450" s="58" t="s">
        <v>4827</v>
      </c>
      <c r="C450" s="56" t="s">
        <v>66</v>
      </c>
      <c r="D450" s="38"/>
      <c r="E450" s="67"/>
      <c r="F450" s="67"/>
      <c r="G450" s="122"/>
      <c r="H450" s="56"/>
      <c r="I450" s="56"/>
      <c r="J450" s="67"/>
      <c r="K450" s="68"/>
      <c r="L450" s="38"/>
      <c r="M450" s="56" t="str">
        <f>VLOOKUP(E450,'Hedef Liste'!A:I,9,false)</f>
        <v>#N/A</v>
      </c>
      <c r="N450" s="56" t="b">
        <v>0</v>
      </c>
      <c r="O450" s="56" t="b">
        <v>0</v>
      </c>
      <c r="P450" s="56"/>
      <c r="Q450" s="56"/>
      <c r="R450" s="56"/>
      <c r="S450" s="56"/>
      <c r="T450" s="56"/>
      <c r="U450" s="56"/>
      <c r="V450" s="56"/>
      <c r="W450" s="56"/>
      <c r="X450" s="56"/>
      <c r="Y450" s="56"/>
      <c r="Z450" s="56"/>
      <c r="AA450" s="56"/>
      <c r="AB450" s="56"/>
    </row>
    <row r="451" ht="15.75" customHeight="1">
      <c r="A451" s="57" t="str">
        <f t="shared" si="4"/>
        <v>60192aa9fa957273355b6a5b</v>
      </c>
      <c r="B451" s="63"/>
      <c r="C451" s="56" t="s">
        <v>66</v>
      </c>
      <c r="D451" s="38" t="s">
        <v>545</v>
      </c>
      <c r="E451" s="67" t="s">
        <v>3992</v>
      </c>
      <c r="F451" s="67" t="s">
        <v>3993</v>
      </c>
      <c r="G451" s="100" t="s">
        <v>5599</v>
      </c>
      <c r="H451" s="56" t="s">
        <v>5600</v>
      </c>
      <c r="I451" s="56" t="s">
        <v>5601</v>
      </c>
      <c r="J451" s="67" t="s">
        <v>3995</v>
      </c>
      <c r="K451" s="68"/>
      <c r="L451" s="38"/>
      <c r="M451" s="135">
        <v>17.0</v>
      </c>
      <c r="N451" s="56" t="b">
        <v>0</v>
      </c>
      <c r="O451" s="56" t="b">
        <v>0</v>
      </c>
      <c r="P451" s="56"/>
      <c r="Q451" s="56"/>
      <c r="R451" s="56"/>
      <c r="S451" s="56"/>
      <c r="T451" s="56"/>
      <c r="U451" s="56"/>
      <c r="V451" s="56"/>
      <c r="W451" s="56"/>
      <c r="X451" s="56"/>
      <c r="Y451" s="56"/>
      <c r="Z451" s="56"/>
      <c r="AA451" s="56"/>
      <c r="AB451" s="56"/>
    </row>
    <row r="452" ht="15.75" customHeight="1">
      <c r="A452" s="57" t="str">
        <f t="shared" si="4"/>
        <v>6001fee8f1067e07ff50ce2c</v>
      </c>
      <c r="B452" s="63"/>
      <c r="C452" s="56" t="s">
        <v>66</v>
      </c>
      <c r="D452" s="102" t="s">
        <v>545</v>
      </c>
      <c r="E452" s="114" t="s">
        <v>541</v>
      </c>
      <c r="F452" s="114" t="s">
        <v>542</v>
      </c>
      <c r="G452" s="133" t="s">
        <v>5602</v>
      </c>
      <c r="H452" s="114" t="s">
        <v>5603</v>
      </c>
      <c r="I452" s="114" t="s">
        <v>5604</v>
      </c>
      <c r="J452" s="114" t="s">
        <v>544</v>
      </c>
      <c r="K452" s="38" t="s">
        <v>5605</v>
      </c>
      <c r="L452" s="38"/>
      <c r="M452" s="135"/>
      <c r="N452" s="56" t="b">
        <v>0</v>
      </c>
      <c r="O452" s="56" t="b">
        <v>0</v>
      </c>
      <c r="P452" s="56"/>
      <c r="Q452" s="56"/>
      <c r="R452" s="56"/>
      <c r="S452" s="56"/>
      <c r="T452" s="56"/>
      <c r="U452" s="56"/>
      <c r="V452" s="56"/>
      <c r="W452" s="56"/>
      <c r="X452" s="56"/>
      <c r="Y452" s="56"/>
      <c r="Z452" s="56"/>
      <c r="AA452" s="56"/>
      <c r="AB452" s="56"/>
    </row>
    <row r="453" ht="15.75" customHeight="1">
      <c r="A453" s="57" t="str">
        <f t="shared" si="4"/>
        <v>60192e9f44f8b43fc79c0327</v>
      </c>
      <c r="B453" s="63"/>
      <c r="C453" s="56" t="s">
        <v>66</v>
      </c>
      <c r="D453" s="38" t="s">
        <v>545</v>
      </c>
      <c r="E453" s="67" t="s">
        <v>3259</v>
      </c>
      <c r="F453" s="67" t="s">
        <v>3260</v>
      </c>
      <c r="G453" s="100" t="s">
        <v>5461</v>
      </c>
      <c r="H453" s="38" t="s">
        <v>5606</v>
      </c>
      <c r="I453" s="67" t="s">
        <v>5607</v>
      </c>
      <c r="J453" s="67" t="s">
        <v>3262</v>
      </c>
      <c r="K453" s="38"/>
      <c r="L453" s="38"/>
      <c r="M453" s="135">
        <v>14.0</v>
      </c>
      <c r="N453" s="56" t="b">
        <v>0</v>
      </c>
      <c r="O453" s="56" t="b">
        <v>0</v>
      </c>
      <c r="P453" s="56"/>
      <c r="Q453" s="56"/>
      <c r="R453" s="56"/>
      <c r="S453" s="56"/>
      <c r="T453" s="56"/>
      <c r="U453" s="56"/>
      <c r="V453" s="56"/>
      <c r="W453" s="56"/>
      <c r="X453" s="56"/>
      <c r="Y453" s="56"/>
      <c r="Z453" s="56"/>
      <c r="AA453" s="56"/>
      <c r="AB453" s="56"/>
    </row>
    <row r="454" ht="15.75" customHeight="1">
      <c r="A454" s="57" t="str">
        <f t="shared" si="4"/>
        <v>6019292944f8b478039bfdda</v>
      </c>
      <c r="B454" s="63"/>
      <c r="C454" s="56" t="s">
        <v>66</v>
      </c>
      <c r="D454" s="38" t="s">
        <v>545</v>
      </c>
      <c r="E454" s="67" t="s">
        <v>5608</v>
      </c>
      <c r="F454" s="67" t="s">
        <v>5609</v>
      </c>
      <c r="G454" s="66" t="s">
        <v>4914</v>
      </c>
      <c r="H454" s="38" t="s">
        <v>5600</v>
      </c>
      <c r="I454" s="38" t="s">
        <v>5610</v>
      </c>
      <c r="J454" s="38" t="s">
        <v>5611</v>
      </c>
      <c r="K454" s="68"/>
      <c r="L454" s="38"/>
      <c r="M454" s="135">
        <v>7.0</v>
      </c>
      <c r="N454" s="56" t="b">
        <v>0</v>
      </c>
      <c r="O454" s="56" t="b">
        <v>0</v>
      </c>
      <c r="P454" s="56"/>
      <c r="Q454" s="56"/>
      <c r="R454" s="56"/>
      <c r="S454" s="56"/>
      <c r="T454" s="56"/>
      <c r="U454" s="56"/>
      <c r="V454" s="56"/>
      <c r="W454" s="56"/>
      <c r="X454" s="56"/>
      <c r="Y454" s="56"/>
      <c r="Z454" s="56"/>
      <c r="AA454" s="56"/>
      <c r="AB454" s="56"/>
    </row>
    <row r="455" ht="15.75" customHeight="1">
      <c r="A455" s="57" t="str">
        <f t="shared" si="4"/>
        <v>603e93f756cff12cf0d7465d</v>
      </c>
      <c r="B455" s="63"/>
      <c r="C455" s="56" t="s">
        <v>66</v>
      </c>
      <c r="D455" s="38" t="s">
        <v>437</v>
      </c>
      <c r="E455" s="67" t="s">
        <v>2026</v>
      </c>
      <c r="F455" s="67" t="s">
        <v>2027</v>
      </c>
      <c r="G455" s="122">
        <v>0.5</v>
      </c>
      <c r="H455" s="38" t="s">
        <v>5612</v>
      </c>
      <c r="I455" s="56" t="s">
        <v>5613</v>
      </c>
      <c r="J455" s="67" t="s">
        <v>2029</v>
      </c>
      <c r="K455" s="68"/>
      <c r="L455" s="38"/>
      <c r="M455" s="135">
        <v>16.0</v>
      </c>
      <c r="N455" s="56" t="b">
        <v>0</v>
      </c>
      <c r="O455" s="56" t="b">
        <v>0</v>
      </c>
      <c r="P455" s="56"/>
      <c r="Q455" s="56"/>
      <c r="R455" s="56"/>
      <c r="S455" s="56"/>
      <c r="T455" s="56"/>
      <c r="U455" s="56"/>
      <c r="V455" s="56"/>
      <c r="W455" s="56"/>
      <c r="X455" s="56"/>
      <c r="Y455" s="56"/>
      <c r="Z455" s="56"/>
      <c r="AA455" s="56"/>
      <c r="AB455" s="56"/>
    </row>
    <row r="456" ht="15.75" customHeight="1">
      <c r="A456" s="57" t="str">
        <f t="shared" si="4"/>
        <v>5feccaf2345867fe5946437a</v>
      </c>
      <c r="B456" s="69"/>
      <c r="C456" s="56" t="s">
        <v>66</v>
      </c>
      <c r="D456" s="38" t="s">
        <v>437</v>
      </c>
      <c r="E456" s="67" t="s">
        <v>621</v>
      </c>
      <c r="F456" s="67" t="s">
        <v>622</v>
      </c>
      <c r="G456" s="66" t="s">
        <v>4856</v>
      </c>
      <c r="H456" s="38" t="s">
        <v>5614</v>
      </c>
      <c r="I456" s="38" t="s">
        <v>5615</v>
      </c>
      <c r="J456" s="67" t="s">
        <v>624</v>
      </c>
      <c r="K456" s="38"/>
      <c r="L456" s="38"/>
      <c r="M456" s="135">
        <v>13.0</v>
      </c>
      <c r="N456" s="56" t="b">
        <v>0</v>
      </c>
      <c r="O456" s="56" t="b">
        <v>0</v>
      </c>
      <c r="P456" s="56"/>
      <c r="Q456" s="56"/>
      <c r="R456" s="56"/>
      <c r="S456" s="56"/>
      <c r="T456" s="56"/>
      <c r="U456" s="56"/>
      <c r="V456" s="56"/>
      <c r="W456" s="56"/>
      <c r="X456" s="56"/>
      <c r="Y456" s="56"/>
      <c r="Z456" s="56"/>
      <c r="AA456" s="56"/>
      <c r="AB456" s="56"/>
    </row>
    <row r="457" ht="15.75" customHeight="1">
      <c r="A457" s="57" t="str">
        <f t="shared" si="4"/>
        <v>60562dab6bf3018ad33586e4</v>
      </c>
      <c r="B457" s="118"/>
      <c r="C457" s="56" t="s">
        <v>66</v>
      </c>
      <c r="D457" s="38" t="s">
        <v>133</v>
      </c>
      <c r="E457" s="67" t="s">
        <v>201</v>
      </c>
      <c r="F457" s="67" t="s">
        <v>202</v>
      </c>
      <c r="G457" s="66" t="s">
        <v>4858</v>
      </c>
      <c r="H457" s="38" t="s">
        <v>5616</v>
      </c>
      <c r="I457" s="38" t="s">
        <v>5617</v>
      </c>
      <c r="J457" s="38" t="s">
        <v>5618</v>
      </c>
      <c r="K457" s="38"/>
      <c r="L457" s="38"/>
      <c r="M457" s="56">
        <v>9.0</v>
      </c>
      <c r="N457" s="56" t="b">
        <v>0</v>
      </c>
      <c r="O457" s="56" t="b">
        <v>0</v>
      </c>
      <c r="P457" s="56"/>
      <c r="Q457" s="56"/>
      <c r="R457" s="56"/>
      <c r="S457" s="56"/>
      <c r="T457" s="56"/>
      <c r="U457" s="56"/>
      <c r="V457" s="56"/>
      <c r="W457" s="56"/>
      <c r="X457" s="56"/>
      <c r="Y457" s="56"/>
      <c r="Z457" s="56"/>
      <c r="AA457" s="56"/>
      <c r="AB457" s="56"/>
    </row>
    <row r="458" ht="15.75" customHeight="1">
      <c r="A458" s="57" t="str">
        <f t="shared" si="4"/>
        <v/>
      </c>
      <c r="B458" s="118"/>
      <c r="C458" s="56"/>
      <c r="D458" s="38"/>
      <c r="E458" s="67"/>
      <c r="F458" s="67"/>
      <c r="G458" s="66"/>
      <c r="H458" s="38"/>
      <c r="I458" s="38"/>
      <c r="J458" s="38"/>
      <c r="K458" s="38"/>
      <c r="L458" s="38"/>
      <c r="M458" s="56"/>
      <c r="N458" s="56" t="b">
        <v>0</v>
      </c>
      <c r="O458" s="56" t="b">
        <v>0</v>
      </c>
      <c r="P458" s="56"/>
      <c r="Q458" s="56"/>
      <c r="R458" s="56"/>
      <c r="S458" s="56"/>
      <c r="T458" s="56"/>
      <c r="U458" s="56"/>
      <c r="V458" s="56"/>
      <c r="W458" s="56"/>
      <c r="X458" s="56"/>
      <c r="Y458" s="56"/>
      <c r="Z458" s="56"/>
      <c r="AA458" s="56"/>
      <c r="AB458" s="56"/>
    </row>
    <row r="459" ht="15.75" customHeight="1">
      <c r="A459" s="57" t="str">
        <f t="shared" si="4"/>
        <v/>
      </c>
      <c r="B459" s="58" t="s">
        <v>4836</v>
      </c>
      <c r="C459" s="56" t="s">
        <v>53</v>
      </c>
      <c r="D459" s="38"/>
      <c r="E459" s="67"/>
      <c r="F459" s="85"/>
      <c r="G459" s="122"/>
      <c r="H459" s="38"/>
      <c r="I459" s="56"/>
      <c r="J459" s="38"/>
      <c r="K459" s="68"/>
      <c r="L459" s="38"/>
      <c r="M459" s="56" t="str">
        <f>VLOOKUP(E459,'Hedef Liste'!A:I,9,false)</f>
        <v>#N/A</v>
      </c>
      <c r="N459" s="56" t="b">
        <v>0</v>
      </c>
      <c r="O459" s="56" t="b">
        <v>0</v>
      </c>
      <c r="P459" s="56"/>
      <c r="Q459" s="56"/>
      <c r="R459" s="56"/>
      <c r="S459" s="56"/>
      <c r="T459" s="56"/>
      <c r="U459" s="56"/>
      <c r="V459" s="56"/>
      <c r="W459" s="56"/>
      <c r="X459" s="56"/>
      <c r="Y459" s="56"/>
      <c r="Z459" s="56"/>
      <c r="AA459" s="56"/>
      <c r="AB459" s="56"/>
    </row>
    <row r="460" ht="15.75" customHeight="1">
      <c r="A460" s="57" t="str">
        <f t="shared" si="4"/>
        <v/>
      </c>
      <c r="B460" s="63"/>
      <c r="C460" s="56" t="s">
        <v>53</v>
      </c>
      <c r="D460" s="38"/>
      <c r="E460" s="67"/>
      <c r="F460" s="67"/>
      <c r="G460" s="122"/>
      <c r="H460" s="38"/>
      <c r="I460" s="56"/>
      <c r="J460" s="67"/>
      <c r="K460" s="68"/>
      <c r="L460" s="38"/>
      <c r="M460" s="56" t="str">
        <f>VLOOKUP(E460,'Hedef Liste'!A:I,9,false)</f>
        <v>#N/A</v>
      </c>
      <c r="N460" s="56" t="b">
        <v>0</v>
      </c>
      <c r="O460" s="56" t="b">
        <v>0</v>
      </c>
      <c r="P460" s="56"/>
      <c r="Q460" s="56"/>
      <c r="R460" s="56"/>
      <c r="S460" s="56"/>
      <c r="T460" s="56"/>
      <c r="U460" s="56"/>
      <c r="V460" s="56"/>
      <c r="W460" s="56"/>
      <c r="X460" s="56"/>
      <c r="Y460" s="56"/>
      <c r="Z460" s="56"/>
      <c r="AA460" s="56"/>
      <c r="AB460" s="56"/>
    </row>
    <row r="461" ht="15.75" customHeight="1">
      <c r="A461" s="57" t="str">
        <f t="shared" si="4"/>
        <v/>
      </c>
      <c r="B461" s="63"/>
      <c r="C461" s="56" t="s">
        <v>53</v>
      </c>
      <c r="D461" s="38"/>
      <c r="E461" s="67"/>
      <c r="F461" s="67"/>
      <c r="G461" s="66"/>
      <c r="H461" s="38"/>
      <c r="I461" s="38"/>
      <c r="J461" s="67"/>
      <c r="K461" s="68"/>
      <c r="L461" s="38"/>
      <c r="M461" s="56" t="str">
        <f>VLOOKUP(E461,'Hedef Liste'!A:I,9,false)</f>
        <v>#N/A</v>
      </c>
      <c r="N461" s="56" t="b">
        <v>0</v>
      </c>
      <c r="O461" s="56" t="b">
        <v>0</v>
      </c>
      <c r="P461" s="56"/>
      <c r="Q461" s="56"/>
      <c r="R461" s="56"/>
      <c r="S461" s="56"/>
      <c r="T461" s="56"/>
      <c r="U461" s="56"/>
      <c r="V461" s="56"/>
      <c r="W461" s="56"/>
      <c r="X461" s="56"/>
      <c r="Y461" s="56"/>
      <c r="Z461" s="56"/>
      <c r="AA461" s="56"/>
      <c r="AB461" s="56"/>
    </row>
    <row r="462" ht="15.75" customHeight="1">
      <c r="A462" s="57" t="str">
        <f t="shared" si="4"/>
        <v/>
      </c>
      <c r="B462" s="63"/>
      <c r="C462" s="56" t="s">
        <v>53</v>
      </c>
      <c r="D462" s="38"/>
      <c r="E462" s="67"/>
      <c r="F462" s="67"/>
      <c r="G462" s="66"/>
      <c r="H462" s="38"/>
      <c r="I462" s="38"/>
      <c r="J462" s="38"/>
      <c r="K462" s="38"/>
      <c r="L462" s="38"/>
      <c r="M462" s="56" t="str">
        <f>VLOOKUP(E462,'Hedef Liste'!A:I,9,false)</f>
        <v>#N/A</v>
      </c>
      <c r="N462" s="56" t="b">
        <v>0</v>
      </c>
      <c r="O462" s="56" t="b">
        <v>0</v>
      </c>
      <c r="P462" s="56"/>
      <c r="Q462" s="56"/>
      <c r="R462" s="56"/>
      <c r="S462" s="56"/>
      <c r="T462" s="56"/>
      <c r="U462" s="56"/>
      <c r="V462" s="56"/>
      <c r="W462" s="56"/>
      <c r="X462" s="56"/>
      <c r="Y462" s="56"/>
      <c r="Z462" s="56"/>
      <c r="AA462" s="56"/>
      <c r="AB462" s="56"/>
    </row>
    <row r="463" ht="15.75" customHeight="1">
      <c r="A463" s="57" t="str">
        <f t="shared" si="4"/>
        <v/>
      </c>
      <c r="B463" s="63"/>
      <c r="C463" s="56"/>
      <c r="D463" s="64"/>
      <c r="E463" s="64"/>
      <c r="F463" s="65"/>
      <c r="G463" s="66"/>
      <c r="H463" s="38"/>
      <c r="I463" s="38"/>
      <c r="J463" s="38"/>
      <c r="K463" s="68"/>
      <c r="L463" s="38"/>
      <c r="M463" s="56"/>
      <c r="N463" s="56" t="b">
        <v>0</v>
      </c>
      <c r="O463" s="56" t="b">
        <v>0</v>
      </c>
      <c r="P463" s="56"/>
      <c r="Q463" s="56"/>
      <c r="R463" s="56"/>
      <c r="S463" s="56"/>
      <c r="T463" s="56"/>
      <c r="U463" s="56"/>
      <c r="V463" s="56"/>
      <c r="W463" s="56"/>
      <c r="X463" s="56"/>
      <c r="Y463" s="56"/>
      <c r="Z463" s="56"/>
      <c r="AA463" s="56"/>
      <c r="AB463" s="56"/>
    </row>
    <row r="464" ht="15.75" customHeight="1">
      <c r="A464" s="57" t="str">
        <f t="shared" si="4"/>
        <v/>
      </c>
      <c r="B464" s="69"/>
      <c r="C464" s="56"/>
      <c r="D464" s="38"/>
      <c r="E464" s="38"/>
      <c r="F464" s="65"/>
      <c r="G464" s="66"/>
      <c r="H464" s="38"/>
      <c r="I464" s="38"/>
      <c r="J464" s="38"/>
      <c r="K464" s="38"/>
      <c r="L464" s="38"/>
      <c r="M464" s="56"/>
      <c r="N464" s="56" t="b">
        <v>0</v>
      </c>
      <c r="O464" s="56" t="b">
        <v>0</v>
      </c>
      <c r="P464" s="56"/>
      <c r="Q464" s="56"/>
      <c r="R464" s="56"/>
      <c r="S464" s="56"/>
      <c r="T464" s="56"/>
      <c r="U464" s="56"/>
      <c r="V464" s="56"/>
      <c r="W464" s="56"/>
      <c r="X464" s="56"/>
      <c r="Y464" s="56"/>
      <c r="Z464" s="56"/>
      <c r="AA464" s="56"/>
      <c r="AB464" s="56"/>
    </row>
    <row r="465" ht="15.75" customHeight="1">
      <c r="A465" s="57" t="str">
        <f t="shared" si="4"/>
        <v/>
      </c>
      <c r="B465" s="58" t="s">
        <v>4850</v>
      </c>
      <c r="C465" s="38" t="s">
        <v>278</v>
      </c>
      <c r="D465" s="38"/>
      <c r="E465" s="67"/>
      <c r="F465" s="67"/>
      <c r="G465" s="122"/>
      <c r="H465" s="56"/>
      <c r="I465" s="56"/>
      <c r="J465" s="67"/>
      <c r="K465" s="38"/>
      <c r="L465" s="38"/>
      <c r="M465" s="56"/>
      <c r="N465" s="56" t="b">
        <v>0</v>
      </c>
      <c r="O465" s="56" t="b">
        <v>0</v>
      </c>
      <c r="P465" s="56"/>
      <c r="Q465" s="56"/>
      <c r="R465" s="56"/>
      <c r="S465" s="56"/>
      <c r="T465" s="56"/>
      <c r="U465" s="56"/>
      <c r="V465" s="56"/>
      <c r="W465" s="56"/>
      <c r="X465" s="56"/>
      <c r="Y465" s="56"/>
      <c r="Z465" s="56"/>
      <c r="AA465" s="56"/>
      <c r="AB465" s="56"/>
    </row>
    <row r="466" ht="15.75" customHeight="1">
      <c r="A466" s="57" t="str">
        <f t="shared" si="4"/>
        <v>5fdf842ca8ae937f3cba00b3</v>
      </c>
      <c r="B466" s="63"/>
      <c r="C466" s="38" t="s">
        <v>278</v>
      </c>
      <c r="D466" s="67" t="s">
        <v>437</v>
      </c>
      <c r="E466" s="67" t="s">
        <v>4325</v>
      </c>
      <c r="F466" s="67" t="s">
        <v>4326</v>
      </c>
      <c r="G466" s="90"/>
      <c r="H466" s="38" t="s">
        <v>5619</v>
      </c>
      <c r="I466" s="67" t="s">
        <v>5620</v>
      </c>
      <c r="J466" s="67" t="s">
        <v>4328</v>
      </c>
      <c r="K466" s="38"/>
      <c r="L466" s="38">
        <v>8.0</v>
      </c>
      <c r="M466" s="56">
        <f>VLOOKUP(E466,'Hedef Liste'!A:I,9,false)</f>
        <v>18</v>
      </c>
      <c r="N466" s="56" t="b">
        <v>0</v>
      </c>
      <c r="O466" s="56" t="b">
        <v>0</v>
      </c>
      <c r="P466" s="56"/>
      <c r="Q466" s="56"/>
      <c r="R466" s="56"/>
      <c r="S466" s="56"/>
      <c r="T466" s="56"/>
      <c r="U466" s="56"/>
      <c r="V466" s="56"/>
      <c r="W466" s="56"/>
      <c r="X466" s="56"/>
      <c r="Y466" s="56"/>
      <c r="Z466" s="56"/>
      <c r="AA466" s="56"/>
      <c r="AB466" s="56"/>
    </row>
    <row r="467" ht="15.75" customHeight="1">
      <c r="A467" s="57" t="str">
        <f t="shared" si="4"/>
        <v>60476c5d17e42464330ddd80</v>
      </c>
      <c r="B467" s="63"/>
      <c r="C467" s="38" t="s">
        <v>278</v>
      </c>
      <c r="D467" s="38" t="s">
        <v>437</v>
      </c>
      <c r="E467" s="67" t="s">
        <v>3282</v>
      </c>
      <c r="F467" s="67" t="s">
        <v>3283</v>
      </c>
      <c r="G467" s="66" t="s">
        <v>4938</v>
      </c>
      <c r="H467" s="67" t="s">
        <v>5344</v>
      </c>
      <c r="I467" s="67" t="s">
        <v>5621</v>
      </c>
      <c r="J467" s="67" t="s">
        <v>3285</v>
      </c>
      <c r="K467" s="38"/>
      <c r="L467" s="38">
        <v>13.0</v>
      </c>
      <c r="M467" s="56">
        <f>VLOOKUP(E467,'Hedef Liste'!A:I,9,false)</f>
        <v>23</v>
      </c>
      <c r="N467" s="56" t="b">
        <v>0</v>
      </c>
      <c r="O467" s="56" t="b">
        <v>0</v>
      </c>
      <c r="P467" s="56"/>
      <c r="Q467" s="56"/>
      <c r="R467" s="56"/>
      <c r="S467" s="56"/>
      <c r="T467" s="56"/>
      <c r="U467" s="56"/>
      <c r="V467" s="56"/>
      <c r="W467" s="56"/>
      <c r="X467" s="56"/>
      <c r="Y467" s="56"/>
      <c r="Z467" s="56"/>
      <c r="AA467" s="56"/>
      <c r="AB467" s="56"/>
    </row>
    <row r="468" ht="15.75" customHeight="1">
      <c r="A468" s="57" t="str">
        <f t="shared" si="4"/>
        <v>604768ea89a2c514dc7dd392</v>
      </c>
      <c r="B468" s="63"/>
      <c r="C468" s="38" t="s">
        <v>278</v>
      </c>
      <c r="D468" s="38" t="s">
        <v>437</v>
      </c>
      <c r="E468" s="67" t="s">
        <v>5622</v>
      </c>
      <c r="F468" s="67" t="s">
        <v>5623</v>
      </c>
      <c r="G468" s="66" t="s">
        <v>4940</v>
      </c>
      <c r="H468" s="38" t="s">
        <v>5344</v>
      </c>
      <c r="I468" s="38" t="s">
        <v>5624</v>
      </c>
      <c r="J468" s="67" t="s">
        <v>5625</v>
      </c>
      <c r="K468" s="38"/>
      <c r="L468" s="38">
        <v>5.0</v>
      </c>
      <c r="M468" s="56" t="str">
        <f>VLOOKUP(E468,'Hedef Liste'!A:I,9,false)</f>
        <v>#N/A</v>
      </c>
      <c r="N468" s="56" t="b">
        <v>0</v>
      </c>
      <c r="O468" s="56" t="b">
        <v>0</v>
      </c>
      <c r="P468" s="56"/>
      <c r="Q468" s="56"/>
      <c r="R468" s="56"/>
      <c r="S468" s="56"/>
      <c r="T468" s="56"/>
      <c r="U468" s="56"/>
      <c r="V468" s="56"/>
      <c r="W468" s="56"/>
      <c r="X468" s="56"/>
      <c r="Y468" s="56"/>
      <c r="Z468" s="56"/>
      <c r="AA468" s="56"/>
      <c r="AB468" s="56"/>
    </row>
    <row r="469" ht="15.75" customHeight="1">
      <c r="A469" s="57" t="str">
        <f t="shared" si="4"/>
        <v/>
      </c>
      <c r="B469" s="63"/>
      <c r="C469" s="38"/>
      <c r="D469" s="38"/>
      <c r="E469" s="38"/>
      <c r="F469" s="65"/>
      <c r="G469" s="66"/>
      <c r="H469" s="38"/>
      <c r="I469" s="38"/>
      <c r="J469" s="38"/>
      <c r="K469" s="38"/>
      <c r="L469" s="38"/>
      <c r="M469" s="56" t="str">
        <f>VLOOKUP(E469,'Hedef Liste'!A:I,9,false)</f>
        <v>#N/A</v>
      </c>
      <c r="N469" s="56" t="b">
        <v>0</v>
      </c>
      <c r="O469" s="56" t="b">
        <v>0</v>
      </c>
      <c r="P469" s="56"/>
      <c r="Q469" s="56"/>
      <c r="R469" s="56"/>
      <c r="S469" s="56"/>
      <c r="T469" s="56"/>
      <c r="U469" s="56"/>
      <c r="V469" s="56"/>
      <c r="W469" s="56"/>
      <c r="X469" s="56"/>
      <c r="Y469" s="56"/>
      <c r="Z469" s="56"/>
      <c r="AA469" s="56"/>
      <c r="AB469" s="56"/>
    </row>
    <row r="470" ht="15.75" customHeight="1">
      <c r="A470" s="57" t="str">
        <f t="shared" si="4"/>
        <v/>
      </c>
      <c r="B470" s="69"/>
      <c r="C470" s="56"/>
      <c r="D470" s="38"/>
      <c r="E470" s="38"/>
      <c r="F470" s="65"/>
      <c r="G470" s="66"/>
      <c r="H470" s="38"/>
      <c r="I470" s="38"/>
      <c r="J470" s="38"/>
      <c r="K470" s="38"/>
      <c r="L470" s="38"/>
      <c r="M470" s="56"/>
      <c r="N470" s="56" t="b">
        <v>0</v>
      </c>
      <c r="O470" s="56" t="b">
        <v>0</v>
      </c>
      <c r="P470" s="56"/>
      <c r="Q470" s="56"/>
      <c r="R470" s="56"/>
      <c r="S470" s="56"/>
      <c r="T470" s="56"/>
      <c r="U470" s="56"/>
      <c r="V470" s="56"/>
      <c r="W470" s="56"/>
      <c r="X470" s="56"/>
      <c r="Y470" s="56"/>
      <c r="Z470" s="56"/>
      <c r="AA470" s="56"/>
      <c r="AB470" s="56"/>
    </row>
    <row r="471" ht="15.75" customHeight="1">
      <c r="A471" s="57" t="str">
        <f t="shared" si="4"/>
        <v/>
      </c>
      <c r="B471" s="51"/>
      <c r="C471" s="52">
        <v>44302.0</v>
      </c>
      <c r="D471" s="38"/>
      <c r="E471" s="53"/>
      <c r="F471" s="54"/>
      <c r="G471" s="54"/>
      <c r="H471" s="54"/>
      <c r="I471" s="54"/>
      <c r="J471" s="54"/>
      <c r="K471" s="54"/>
      <c r="L471" s="55"/>
      <c r="M471" s="56"/>
      <c r="N471" s="56"/>
      <c r="O471" s="56"/>
      <c r="P471" s="56"/>
      <c r="Q471" s="56"/>
      <c r="R471" s="56"/>
      <c r="S471" s="56"/>
      <c r="T471" s="56"/>
      <c r="U471" s="56"/>
      <c r="V471" s="56"/>
      <c r="W471" s="56"/>
      <c r="X471" s="56"/>
      <c r="Y471" s="56"/>
      <c r="Z471" s="56"/>
      <c r="AA471" s="56"/>
      <c r="AB471" s="56"/>
    </row>
    <row r="472" ht="15.75" customHeight="1">
      <c r="A472" s="57" t="str">
        <f t="shared" si="4"/>
        <v/>
      </c>
      <c r="B472" s="58" t="s">
        <v>4827</v>
      </c>
      <c r="C472" s="56" t="s">
        <v>66</v>
      </c>
      <c r="D472" s="56"/>
      <c r="E472" s="56"/>
      <c r="F472" s="89"/>
      <c r="G472" s="90"/>
      <c r="H472" s="56"/>
      <c r="I472" s="56"/>
      <c r="J472" s="56"/>
      <c r="K472" s="68"/>
      <c r="L472" s="38"/>
      <c r="M472" s="56" t="str">
        <f>VLOOKUP(#REF!,'Hedef Liste'!A:I,9,false)</f>
        <v>#REF!</v>
      </c>
      <c r="N472" s="56" t="b">
        <v>0</v>
      </c>
      <c r="O472" s="56" t="b">
        <v>0</v>
      </c>
      <c r="P472" s="56"/>
      <c r="Q472" s="56"/>
      <c r="R472" s="56"/>
      <c r="S472" s="56"/>
      <c r="T472" s="56"/>
      <c r="U472" s="56"/>
      <c r="V472" s="56"/>
      <c r="W472" s="56"/>
      <c r="X472" s="56"/>
      <c r="Y472" s="56"/>
      <c r="Z472" s="56"/>
      <c r="AA472" s="56"/>
      <c r="AB472" s="56"/>
    </row>
    <row r="473" ht="15.75" customHeight="1">
      <c r="A473" s="57" t="str">
        <f t="shared" si="4"/>
        <v/>
      </c>
      <c r="B473" s="63"/>
      <c r="C473" s="56" t="s">
        <v>66</v>
      </c>
      <c r="D473" s="38"/>
      <c r="E473" s="67"/>
      <c r="F473" s="67"/>
      <c r="G473" s="122"/>
      <c r="H473" s="56"/>
      <c r="I473" s="56"/>
      <c r="J473" s="67"/>
      <c r="K473" s="68"/>
      <c r="L473" s="38"/>
      <c r="M473" s="56" t="str">
        <f>VLOOKUP(E473,'Hedef Liste'!A:I,9,false)</f>
        <v>#N/A</v>
      </c>
      <c r="N473" s="56" t="b">
        <v>0</v>
      </c>
      <c r="O473" s="56" t="b">
        <v>0</v>
      </c>
      <c r="P473" s="56"/>
      <c r="Q473" s="56"/>
      <c r="R473" s="56"/>
      <c r="S473" s="56"/>
      <c r="T473" s="56"/>
      <c r="U473" s="56"/>
      <c r="V473" s="56"/>
      <c r="W473" s="56"/>
      <c r="X473" s="56"/>
      <c r="Y473" s="56"/>
      <c r="Z473" s="56"/>
      <c r="AA473" s="56"/>
      <c r="AB473" s="56"/>
    </row>
    <row r="474" ht="15.75" customHeight="1">
      <c r="A474" s="57" t="str">
        <f t="shared" si="4"/>
        <v/>
      </c>
      <c r="B474" s="63"/>
      <c r="C474" s="56" t="s">
        <v>66</v>
      </c>
      <c r="D474" s="56"/>
      <c r="E474" s="56"/>
      <c r="F474" s="147" t="s">
        <v>5626</v>
      </c>
      <c r="G474" s="90"/>
      <c r="H474" s="56"/>
      <c r="I474" s="56"/>
      <c r="J474" s="56"/>
      <c r="K474" s="38"/>
      <c r="L474" s="38" t="s">
        <v>5528</v>
      </c>
      <c r="M474" s="56">
        <f>VLOOKUP(E481,'Hedef Liste'!A:I,9,false)</f>
        <v>30</v>
      </c>
      <c r="N474" s="56" t="b">
        <v>0</v>
      </c>
      <c r="O474" s="56" t="b">
        <v>0</v>
      </c>
      <c r="P474" s="56"/>
      <c r="Q474" s="56"/>
      <c r="R474" s="56"/>
      <c r="S474" s="56"/>
      <c r="T474" s="56"/>
      <c r="U474" s="56"/>
      <c r="V474" s="56"/>
      <c r="W474" s="56"/>
      <c r="X474" s="56"/>
      <c r="Y474" s="56"/>
      <c r="Z474" s="56"/>
      <c r="AA474" s="56"/>
      <c r="AB474" s="56"/>
    </row>
    <row r="475" ht="15.75" customHeight="1">
      <c r="A475" s="57" t="str">
        <f t="shared" si="4"/>
        <v/>
      </c>
      <c r="B475" s="63"/>
      <c r="C475" s="56" t="s">
        <v>66</v>
      </c>
      <c r="D475" s="38"/>
      <c r="E475" s="67"/>
      <c r="F475" s="67"/>
      <c r="G475" s="122"/>
      <c r="H475" s="38"/>
      <c r="I475" s="67"/>
      <c r="J475" s="67"/>
      <c r="K475" s="38"/>
      <c r="L475" s="38"/>
      <c r="M475" s="56" t="str">
        <f>VLOOKUP(E475,'Hedef Liste'!A:I,9,false)</f>
        <v>#N/A</v>
      </c>
      <c r="N475" s="56" t="b">
        <v>0</v>
      </c>
      <c r="O475" s="56" t="b">
        <v>0</v>
      </c>
      <c r="P475" s="56"/>
      <c r="Q475" s="56"/>
      <c r="R475" s="56"/>
      <c r="S475" s="56"/>
      <c r="T475" s="56"/>
      <c r="U475" s="56"/>
      <c r="V475" s="56"/>
      <c r="W475" s="56"/>
      <c r="X475" s="56"/>
      <c r="Y475" s="56"/>
      <c r="Z475" s="56"/>
      <c r="AA475" s="56"/>
      <c r="AB475" s="56"/>
    </row>
    <row r="476" ht="15.75" customHeight="1">
      <c r="A476" s="57" t="str">
        <f t="shared" si="4"/>
        <v/>
      </c>
      <c r="B476" s="63"/>
      <c r="C476" s="56"/>
      <c r="D476" s="38"/>
      <c r="E476" s="67"/>
      <c r="F476" s="67"/>
      <c r="G476" s="66"/>
      <c r="H476" s="38"/>
      <c r="I476" s="38"/>
      <c r="J476" s="38"/>
      <c r="K476" s="68"/>
      <c r="L476" s="38"/>
      <c r="M476" s="56"/>
      <c r="N476" s="56" t="b">
        <v>0</v>
      </c>
      <c r="O476" s="56" t="b">
        <v>0</v>
      </c>
      <c r="P476" s="56"/>
      <c r="Q476" s="56"/>
      <c r="R476" s="56"/>
      <c r="S476" s="56"/>
      <c r="T476" s="56"/>
      <c r="U476" s="56"/>
      <c r="V476" s="56"/>
      <c r="W476" s="56"/>
      <c r="X476" s="56"/>
      <c r="Y476" s="56"/>
      <c r="Z476" s="56"/>
      <c r="AA476" s="56"/>
      <c r="AB476" s="56"/>
    </row>
    <row r="477" ht="15.75" customHeight="1">
      <c r="A477" s="57" t="str">
        <f t="shared" si="4"/>
        <v/>
      </c>
      <c r="B477" s="69"/>
      <c r="C477" s="56"/>
      <c r="D477" s="38"/>
      <c r="E477" s="38"/>
      <c r="F477" s="65"/>
      <c r="G477" s="66"/>
      <c r="H477" s="38"/>
      <c r="I477" s="38"/>
      <c r="J477" s="38"/>
      <c r="K477" s="38"/>
      <c r="L477" s="38"/>
      <c r="M477" s="56"/>
      <c r="N477" s="56" t="b">
        <v>0</v>
      </c>
      <c r="O477" s="56" t="b">
        <v>0</v>
      </c>
      <c r="P477" s="56"/>
      <c r="Q477" s="56"/>
      <c r="R477" s="56"/>
      <c r="S477" s="56"/>
      <c r="T477" s="56"/>
      <c r="U477" s="56"/>
      <c r="V477" s="56"/>
      <c r="W477" s="56"/>
      <c r="X477" s="56"/>
      <c r="Y477" s="56"/>
      <c r="Z477" s="56"/>
      <c r="AA477" s="56"/>
      <c r="AB477" s="56"/>
    </row>
    <row r="478" ht="15.75" customHeight="1">
      <c r="A478" s="57" t="str">
        <f t="shared" si="4"/>
        <v>602563732e6b65c38fa630d8</v>
      </c>
      <c r="B478" s="58" t="s">
        <v>4836</v>
      </c>
      <c r="C478" s="56" t="s">
        <v>53</v>
      </c>
      <c r="D478" s="56" t="s">
        <v>5627</v>
      </c>
      <c r="E478" s="67" t="s">
        <v>5628</v>
      </c>
      <c r="F478" s="67" t="s">
        <v>5629</v>
      </c>
      <c r="G478" s="90" t="s">
        <v>4983</v>
      </c>
      <c r="H478" s="56" t="s">
        <v>5630</v>
      </c>
      <c r="I478" s="56" t="s">
        <v>5631</v>
      </c>
      <c r="J478" s="67" t="s">
        <v>5632</v>
      </c>
      <c r="K478" s="68"/>
      <c r="L478" s="38"/>
      <c r="M478" s="56" t="str">
        <f>VLOOKUP(E478,'Hedef Liste'!A:I,9,false)</f>
        <v>#N/A</v>
      </c>
      <c r="N478" s="56" t="b">
        <v>0</v>
      </c>
      <c r="O478" s="56" t="b">
        <v>0</v>
      </c>
      <c r="P478" s="56"/>
      <c r="Q478" s="56"/>
      <c r="R478" s="56"/>
      <c r="S478" s="56"/>
      <c r="T478" s="56"/>
      <c r="U478" s="56"/>
      <c r="V478" s="56"/>
      <c r="W478" s="56"/>
      <c r="X478" s="56"/>
      <c r="Y478" s="56"/>
      <c r="Z478" s="56"/>
      <c r="AA478" s="56"/>
      <c r="AB478" s="56"/>
    </row>
    <row r="479" ht="15.75" customHeight="1">
      <c r="A479" s="57" t="str">
        <f t="shared" si="4"/>
        <v>60257c5ce70cee2710b90497</v>
      </c>
      <c r="B479" s="63"/>
      <c r="C479" s="56" t="s">
        <v>53</v>
      </c>
      <c r="D479" s="38" t="s">
        <v>376</v>
      </c>
      <c r="E479" s="67" t="s">
        <v>5633</v>
      </c>
      <c r="F479" s="67" t="s">
        <v>5634</v>
      </c>
      <c r="G479" s="122">
        <v>0.5</v>
      </c>
      <c r="H479" s="56" t="s">
        <v>5635</v>
      </c>
      <c r="I479" s="56" t="s">
        <v>5636</v>
      </c>
      <c r="J479" s="67" t="s">
        <v>5637</v>
      </c>
      <c r="K479" s="68"/>
      <c r="L479" s="38"/>
      <c r="M479" s="56" t="str">
        <f>VLOOKUP(E479,'Hedef Liste'!A:I,9,false)</f>
        <v>#N/A</v>
      </c>
      <c r="N479" s="56" t="b">
        <v>0</v>
      </c>
      <c r="O479" s="56" t="b">
        <v>0</v>
      </c>
      <c r="P479" s="56"/>
      <c r="Q479" s="56"/>
      <c r="R479" s="56"/>
      <c r="S479" s="56"/>
      <c r="T479" s="56"/>
      <c r="U479" s="56"/>
      <c r="V479" s="56"/>
      <c r="W479" s="56"/>
      <c r="X479" s="56"/>
      <c r="Y479" s="56"/>
      <c r="Z479" s="56"/>
      <c r="AA479" s="56"/>
      <c r="AB479" s="56"/>
    </row>
    <row r="480" ht="15.75" customHeight="1">
      <c r="A480" s="57" t="str">
        <f t="shared" si="4"/>
        <v>6001d43d3368d61ed7eaadfb</v>
      </c>
      <c r="B480" s="63"/>
      <c r="C480" s="56" t="s">
        <v>53</v>
      </c>
      <c r="D480" s="38" t="s">
        <v>376</v>
      </c>
      <c r="E480" s="67" t="s">
        <v>5638</v>
      </c>
      <c r="F480" s="67" t="s">
        <v>5639</v>
      </c>
      <c r="G480" s="66" t="s">
        <v>4856</v>
      </c>
      <c r="H480" s="38" t="s">
        <v>5640</v>
      </c>
      <c r="I480" s="38" t="s">
        <v>5641</v>
      </c>
      <c r="J480" s="67" t="s">
        <v>5642</v>
      </c>
      <c r="K480" s="68"/>
      <c r="L480" s="38"/>
      <c r="M480" s="56" t="str">
        <f>VLOOKUP(E480,'Hedef Liste'!A:I,9,false)</f>
        <v>#N/A</v>
      </c>
      <c r="N480" s="56" t="b">
        <v>0</v>
      </c>
      <c r="O480" s="56" t="b">
        <v>0</v>
      </c>
      <c r="P480" s="56"/>
      <c r="Q480" s="56"/>
      <c r="R480" s="56"/>
      <c r="S480" s="56"/>
      <c r="T480" s="56"/>
      <c r="U480" s="56"/>
      <c r="V480" s="56"/>
      <c r="W480" s="56"/>
      <c r="X480" s="56"/>
      <c r="Y480" s="56"/>
      <c r="Z480" s="56"/>
      <c r="AA480" s="56"/>
      <c r="AB480" s="56"/>
    </row>
    <row r="481" ht="15.75" customHeight="1">
      <c r="A481" s="57" t="str">
        <f t="shared" si="4"/>
        <v>600209a499ddd4b0c6f970d4</v>
      </c>
      <c r="B481" s="63"/>
      <c r="C481" s="56" t="s">
        <v>53</v>
      </c>
      <c r="D481" s="62" t="s">
        <v>376</v>
      </c>
      <c r="E481" s="60" t="s">
        <v>3681</v>
      </c>
      <c r="F481" s="60" t="s">
        <v>3682</v>
      </c>
      <c r="G481" s="73" t="s">
        <v>4858</v>
      </c>
      <c r="H481" s="60" t="s">
        <v>5643</v>
      </c>
      <c r="I481" s="60" t="s">
        <v>5644</v>
      </c>
      <c r="J481" s="60" t="s">
        <v>5645</v>
      </c>
      <c r="K481" s="38"/>
      <c r="L481" s="38"/>
      <c r="M481" s="56">
        <f>VLOOKUP(E481,'Hedef Liste'!A:I,9,false)</f>
        <v>30</v>
      </c>
      <c r="N481" s="56" t="b">
        <v>0</v>
      </c>
      <c r="O481" s="56" t="b">
        <v>0</v>
      </c>
      <c r="P481" s="56"/>
      <c r="Q481" s="56"/>
      <c r="R481" s="56"/>
      <c r="S481" s="56"/>
      <c r="T481" s="56"/>
      <c r="U481" s="56"/>
      <c r="V481" s="56"/>
      <c r="W481" s="56"/>
      <c r="X481" s="56"/>
      <c r="Y481" s="56"/>
      <c r="Z481" s="56"/>
      <c r="AA481" s="56"/>
      <c r="AB481" s="56"/>
    </row>
    <row r="482" ht="15.75" customHeight="1">
      <c r="A482" s="57" t="str">
        <f t="shared" si="4"/>
        <v/>
      </c>
      <c r="B482" s="63"/>
      <c r="C482" s="56"/>
      <c r="D482" s="64"/>
      <c r="E482" s="64"/>
      <c r="F482" s="65"/>
      <c r="G482" s="66"/>
      <c r="H482" s="38"/>
      <c r="I482" s="38"/>
      <c r="J482" s="38"/>
      <c r="K482" s="68"/>
      <c r="L482" s="38"/>
      <c r="M482" s="56" t="str">
        <f>VLOOKUP(E482,'Hedef Liste'!A:I,9,false)</f>
        <v>#N/A</v>
      </c>
      <c r="N482" s="56" t="b">
        <v>0</v>
      </c>
      <c r="O482" s="56" t="b">
        <v>0</v>
      </c>
      <c r="P482" s="56"/>
      <c r="Q482" s="56"/>
      <c r="R482" s="56"/>
      <c r="S482" s="56"/>
      <c r="T482" s="56"/>
      <c r="U482" s="56"/>
      <c r="V482" s="56"/>
      <c r="W482" s="56"/>
      <c r="X482" s="56"/>
      <c r="Y482" s="56"/>
      <c r="Z482" s="56"/>
      <c r="AA482" s="56"/>
      <c r="AB482" s="56"/>
    </row>
    <row r="483" ht="15.75" customHeight="1">
      <c r="A483" s="57" t="str">
        <f t="shared" si="4"/>
        <v/>
      </c>
      <c r="B483" s="69"/>
      <c r="C483" s="56"/>
      <c r="D483" s="38"/>
      <c r="E483" s="38"/>
      <c r="F483" s="65"/>
      <c r="G483" s="66"/>
      <c r="H483" s="38"/>
      <c r="I483" s="38"/>
      <c r="J483" s="38"/>
      <c r="K483" s="38"/>
      <c r="L483" s="38"/>
      <c r="M483" s="56" t="str">
        <f>VLOOKUP(E483,'Hedef Liste'!A:I,9,false)</f>
        <v>#N/A</v>
      </c>
      <c r="N483" s="56" t="b">
        <v>0</v>
      </c>
      <c r="O483" s="56" t="b">
        <v>0</v>
      </c>
      <c r="P483" s="56"/>
      <c r="Q483" s="56"/>
      <c r="R483" s="56"/>
      <c r="S483" s="56"/>
      <c r="T483" s="56"/>
      <c r="U483" s="56"/>
      <c r="V483" s="56"/>
      <c r="W483" s="56"/>
      <c r="X483" s="56"/>
      <c r="Y483" s="56"/>
      <c r="Z483" s="56"/>
      <c r="AA483" s="56"/>
      <c r="AB483" s="56"/>
    </row>
    <row r="484" ht="15.75" customHeight="1">
      <c r="A484" s="57" t="str">
        <f t="shared" si="4"/>
        <v>5ffe01024a4dfa0712aba0a5</v>
      </c>
      <c r="B484" s="58" t="s">
        <v>4850</v>
      </c>
      <c r="C484" s="38" t="s">
        <v>278</v>
      </c>
      <c r="D484" s="102" t="s">
        <v>258</v>
      </c>
      <c r="E484" s="114" t="s">
        <v>2864</v>
      </c>
      <c r="F484" s="114" t="s">
        <v>2865</v>
      </c>
      <c r="G484" s="128">
        <v>0.5</v>
      </c>
      <c r="H484" s="105" t="s">
        <v>5026</v>
      </c>
      <c r="I484" s="105" t="s">
        <v>5646</v>
      </c>
      <c r="J484" s="114" t="s">
        <v>2867</v>
      </c>
      <c r="K484" s="68"/>
      <c r="L484" s="38"/>
      <c r="M484" s="56">
        <f>VLOOKUP(E484,'Hedef Liste'!A:I,9,false)</f>
        <v>73</v>
      </c>
      <c r="N484" s="56" t="b">
        <v>0</v>
      </c>
      <c r="O484" s="56" t="b">
        <v>0</v>
      </c>
      <c r="P484" s="56"/>
      <c r="Q484" s="56"/>
      <c r="R484" s="56"/>
      <c r="S484" s="56"/>
      <c r="T484" s="56"/>
      <c r="U484" s="56"/>
      <c r="V484" s="56"/>
      <c r="W484" s="56"/>
      <c r="X484" s="56"/>
      <c r="Y484" s="56"/>
      <c r="Z484" s="56"/>
      <c r="AA484" s="56"/>
      <c r="AB484" s="56"/>
    </row>
    <row r="485" ht="15.75" customHeight="1">
      <c r="A485" s="57" t="str">
        <f t="shared" si="4"/>
        <v/>
      </c>
      <c r="B485" s="63"/>
      <c r="C485" s="38" t="s">
        <v>278</v>
      </c>
      <c r="D485" s="38"/>
      <c r="E485" s="67"/>
      <c r="F485" s="67"/>
      <c r="G485" s="66"/>
      <c r="H485" s="38"/>
      <c r="I485" s="38"/>
      <c r="J485" s="67"/>
      <c r="K485" s="68"/>
      <c r="L485" s="38"/>
      <c r="M485" s="56" t="str">
        <f>VLOOKUP(E485,'Hedef Liste'!A:I,9,false)</f>
        <v>#N/A</v>
      </c>
      <c r="N485" s="56" t="b">
        <v>0</v>
      </c>
      <c r="O485" s="56" t="b">
        <v>0</v>
      </c>
      <c r="P485" s="56"/>
      <c r="Q485" s="56"/>
      <c r="R485" s="56"/>
      <c r="S485" s="56"/>
      <c r="T485" s="56"/>
      <c r="U485" s="56"/>
      <c r="V485" s="56"/>
      <c r="W485" s="56"/>
      <c r="X485" s="56"/>
      <c r="Y485" s="56"/>
      <c r="Z485" s="56"/>
      <c r="AA485" s="56"/>
      <c r="AB485" s="56"/>
    </row>
    <row r="486" ht="15.75" customHeight="1">
      <c r="A486" s="57" t="str">
        <f t="shared" si="4"/>
        <v/>
      </c>
      <c r="B486" s="63"/>
      <c r="C486" s="38" t="s">
        <v>278</v>
      </c>
      <c r="D486" s="56"/>
      <c r="E486" s="56"/>
      <c r="F486" s="89"/>
      <c r="G486" s="90"/>
      <c r="H486" s="56"/>
      <c r="I486" s="56"/>
      <c r="J486" s="56"/>
      <c r="K486" s="38"/>
      <c r="L486" s="38"/>
      <c r="M486" s="56">
        <f>VLOOKUP(E531,'Hedef Liste'!A:I,9,false)</f>
        <v>46</v>
      </c>
      <c r="N486" s="56" t="b">
        <v>0</v>
      </c>
      <c r="O486" s="56" t="b">
        <v>0</v>
      </c>
      <c r="P486" s="56"/>
      <c r="Q486" s="56"/>
      <c r="R486" s="56"/>
      <c r="S486" s="56"/>
      <c r="T486" s="56"/>
      <c r="U486" s="56"/>
      <c r="V486" s="56"/>
      <c r="W486" s="56"/>
      <c r="X486" s="56"/>
      <c r="Y486" s="56"/>
      <c r="Z486" s="56"/>
      <c r="AA486" s="56"/>
      <c r="AB486" s="56"/>
    </row>
    <row r="487" ht="15.75" customHeight="1">
      <c r="A487" s="57" t="str">
        <f t="shared" si="4"/>
        <v/>
      </c>
      <c r="B487" s="63"/>
      <c r="C487" s="38" t="s">
        <v>278</v>
      </c>
      <c r="D487" s="38"/>
      <c r="E487" s="67"/>
      <c r="F487" s="67"/>
      <c r="G487" s="66"/>
      <c r="H487" s="38"/>
      <c r="I487" s="38"/>
      <c r="J487" s="67"/>
      <c r="K487" s="38"/>
      <c r="L487" s="38"/>
      <c r="M487" s="56" t="str">
        <f>VLOOKUP(E487,'Hedef Liste'!A:I,9,false)</f>
        <v>#N/A</v>
      </c>
      <c r="N487" s="56" t="b">
        <v>0</v>
      </c>
      <c r="O487" s="56" t="b">
        <v>0</v>
      </c>
      <c r="P487" s="56"/>
      <c r="Q487" s="56"/>
      <c r="R487" s="56"/>
      <c r="S487" s="56"/>
      <c r="T487" s="56"/>
      <c r="U487" s="56"/>
      <c r="V487" s="56"/>
      <c r="W487" s="56"/>
      <c r="X487" s="56"/>
      <c r="Y487" s="56"/>
      <c r="Z487" s="56"/>
      <c r="AA487" s="56"/>
      <c r="AB487" s="56"/>
    </row>
    <row r="488" ht="15.75" customHeight="1">
      <c r="A488" s="57" t="str">
        <f t="shared" si="4"/>
        <v/>
      </c>
      <c r="B488" s="63"/>
      <c r="C488" s="38"/>
      <c r="D488" s="38"/>
      <c r="E488" s="38"/>
      <c r="F488" s="65"/>
      <c r="G488" s="66"/>
      <c r="H488" s="38"/>
      <c r="I488" s="38"/>
      <c r="J488" s="38"/>
      <c r="K488" s="38"/>
      <c r="L488" s="38"/>
      <c r="M488" s="56" t="str">
        <f>VLOOKUP(E488,'Hedef Liste'!A:I,9,false)</f>
        <v>#N/A</v>
      </c>
      <c r="N488" s="56" t="b">
        <v>0</v>
      </c>
      <c r="O488" s="56" t="b">
        <v>0</v>
      </c>
      <c r="P488" s="56"/>
      <c r="Q488" s="56"/>
      <c r="R488" s="56"/>
      <c r="S488" s="56"/>
      <c r="T488" s="56"/>
      <c r="U488" s="56"/>
      <c r="V488" s="56"/>
      <c r="W488" s="56"/>
      <c r="X488" s="56"/>
      <c r="Y488" s="56"/>
      <c r="Z488" s="56"/>
      <c r="AA488" s="56"/>
      <c r="AB488" s="56"/>
    </row>
    <row r="489" ht="15.75" customHeight="1">
      <c r="A489" s="57" t="str">
        <f t="shared" si="4"/>
        <v/>
      </c>
      <c r="B489" s="69"/>
      <c r="C489" s="56"/>
      <c r="D489" s="38"/>
      <c r="E489" s="38"/>
      <c r="F489" s="65"/>
      <c r="G489" s="66"/>
      <c r="H489" s="38"/>
      <c r="I489" s="38"/>
      <c r="J489" s="38"/>
      <c r="K489" s="38"/>
      <c r="L489" s="38"/>
      <c r="M489" s="56"/>
      <c r="N489" s="56" t="b">
        <v>0</v>
      </c>
      <c r="O489" s="56" t="b">
        <v>0</v>
      </c>
      <c r="P489" s="56"/>
      <c r="Q489" s="56"/>
      <c r="R489" s="56"/>
      <c r="S489" s="56"/>
      <c r="T489" s="56"/>
      <c r="U489" s="56"/>
      <c r="V489" s="56"/>
      <c r="W489" s="56"/>
      <c r="X489" s="56"/>
      <c r="Y489" s="56"/>
      <c r="Z489" s="56"/>
      <c r="AA489" s="56"/>
      <c r="AB489" s="56"/>
    </row>
    <row r="490" ht="15.75" customHeight="1">
      <c r="A490" s="57" t="str">
        <f t="shared" si="4"/>
        <v/>
      </c>
      <c r="B490" s="51"/>
      <c r="C490" s="52">
        <v>44305.0</v>
      </c>
      <c r="D490" s="38"/>
      <c r="E490" s="53"/>
      <c r="F490" s="54"/>
      <c r="G490" s="54"/>
      <c r="H490" s="54"/>
      <c r="I490" s="54"/>
      <c r="J490" s="54"/>
      <c r="K490" s="54"/>
      <c r="L490" s="55"/>
      <c r="M490" s="56"/>
      <c r="N490" s="56"/>
      <c r="O490" s="56"/>
      <c r="P490" s="56"/>
      <c r="Q490" s="56"/>
      <c r="R490" s="56"/>
      <c r="S490" s="56"/>
      <c r="T490" s="56"/>
      <c r="U490" s="56"/>
      <c r="V490" s="56"/>
      <c r="W490" s="56"/>
      <c r="X490" s="56"/>
      <c r="Y490" s="56"/>
      <c r="Z490" s="56"/>
      <c r="AA490" s="56"/>
      <c r="AB490" s="56"/>
    </row>
    <row r="491" ht="15.75" customHeight="1">
      <c r="A491" s="57" t="str">
        <f t="shared" si="4"/>
        <v/>
      </c>
      <c r="B491" s="58" t="s">
        <v>4827</v>
      </c>
      <c r="C491" s="56" t="s">
        <v>66</v>
      </c>
      <c r="D491" s="56"/>
      <c r="E491" s="56"/>
      <c r="F491" s="89"/>
      <c r="G491" s="90"/>
      <c r="H491" s="56"/>
      <c r="I491" s="56"/>
      <c r="J491" s="56"/>
      <c r="K491" s="68"/>
      <c r="L491" s="38"/>
      <c r="M491" s="56" t="str">
        <f>VLOOKUP(#REF!,'Hedef Liste'!A:I,9,false)</f>
        <v>#REF!</v>
      </c>
      <c r="N491" s="56" t="b">
        <v>0</v>
      </c>
      <c r="O491" s="56" t="b">
        <v>0</v>
      </c>
      <c r="P491" s="56"/>
      <c r="Q491" s="56"/>
      <c r="R491" s="56"/>
      <c r="S491" s="56"/>
      <c r="T491" s="56"/>
      <c r="U491" s="56"/>
      <c r="V491" s="56"/>
      <c r="W491" s="56"/>
      <c r="X491" s="56"/>
      <c r="Y491" s="56"/>
      <c r="Z491" s="56"/>
      <c r="AA491" s="56"/>
      <c r="AB491" s="56"/>
    </row>
    <row r="492" ht="15.75" customHeight="1">
      <c r="A492" s="57" t="str">
        <f t="shared" si="4"/>
        <v>604f65fceb5cb5362fc0cfce</v>
      </c>
      <c r="B492" s="63"/>
      <c r="C492" s="56" t="s">
        <v>66</v>
      </c>
      <c r="D492" s="56" t="s">
        <v>437</v>
      </c>
      <c r="E492" s="67" t="s">
        <v>1455</v>
      </c>
      <c r="F492" s="67" t="s">
        <v>1456</v>
      </c>
      <c r="G492" s="79">
        <v>0.5</v>
      </c>
      <c r="H492" s="56" t="s">
        <v>5647</v>
      </c>
      <c r="I492" s="56" t="s">
        <v>5648</v>
      </c>
      <c r="J492" s="67" t="s">
        <v>1458</v>
      </c>
      <c r="K492" s="38"/>
      <c r="L492" s="38"/>
      <c r="M492" s="56" t="str">
        <f>VLOOKUP(E503,'Hedef Liste'!A:I,9,false)</f>
        <v>#N/A</v>
      </c>
      <c r="N492" s="56" t="b">
        <v>0</v>
      </c>
      <c r="O492" s="56" t="b">
        <v>0</v>
      </c>
      <c r="P492" s="56"/>
      <c r="Q492" s="56"/>
      <c r="R492" s="56"/>
      <c r="S492" s="56"/>
      <c r="T492" s="56"/>
      <c r="U492" s="56"/>
      <c r="V492" s="56"/>
      <c r="W492" s="56"/>
      <c r="X492" s="56"/>
      <c r="Y492" s="56"/>
      <c r="Z492" s="56"/>
      <c r="AA492" s="56"/>
      <c r="AB492" s="56"/>
    </row>
    <row r="493" ht="15.75" customHeight="1">
      <c r="A493" s="57" t="str">
        <f t="shared" si="4"/>
        <v>6001e3ab0d6f5951419bdc46</v>
      </c>
      <c r="B493" s="63"/>
      <c r="C493" s="56" t="s">
        <v>66</v>
      </c>
      <c r="D493" s="105" t="s">
        <v>437</v>
      </c>
      <c r="E493" s="114" t="s">
        <v>1285</v>
      </c>
      <c r="F493" s="114" t="s">
        <v>1286</v>
      </c>
      <c r="G493" s="128">
        <v>0.5833333333333334</v>
      </c>
      <c r="H493" s="105" t="s">
        <v>5614</v>
      </c>
      <c r="I493" s="105" t="s">
        <v>5649</v>
      </c>
      <c r="J493" s="114" t="s">
        <v>1288</v>
      </c>
      <c r="K493" s="38" t="s">
        <v>5650</v>
      </c>
      <c r="L493" s="38"/>
      <c r="M493" s="56" t="str">
        <f>VLOOKUP(E500,'Hedef Liste'!A:I,9,false)</f>
        <v>#N/A</v>
      </c>
      <c r="N493" s="56" t="b">
        <v>0</v>
      </c>
      <c r="O493" s="56" t="b">
        <v>0</v>
      </c>
      <c r="P493" s="56"/>
      <c r="Q493" s="56"/>
      <c r="R493" s="56"/>
      <c r="S493" s="56"/>
      <c r="T493" s="56"/>
      <c r="U493" s="56"/>
      <c r="V493" s="56"/>
      <c r="W493" s="56"/>
      <c r="X493" s="56"/>
      <c r="Y493" s="56"/>
      <c r="Z493" s="56"/>
      <c r="AA493" s="56"/>
      <c r="AB493" s="56"/>
    </row>
    <row r="494" ht="15.75" customHeight="1">
      <c r="A494" s="57" t="str">
        <f t="shared" si="4"/>
        <v>6001f937fd3d0e7752030f37</v>
      </c>
      <c r="B494" s="63"/>
      <c r="C494" s="56" t="s">
        <v>66</v>
      </c>
      <c r="D494" s="105" t="s">
        <v>437</v>
      </c>
      <c r="E494" s="114" t="s">
        <v>433</v>
      </c>
      <c r="F494" s="114" t="s">
        <v>434</v>
      </c>
      <c r="G494" s="113">
        <v>0.6666666666666666</v>
      </c>
      <c r="H494" s="105" t="s">
        <v>5647</v>
      </c>
      <c r="I494" s="105" t="s">
        <v>5651</v>
      </c>
      <c r="J494" s="114" t="s">
        <v>436</v>
      </c>
      <c r="K494" s="38" t="s">
        <v>438</v>
      </c>
      <c r="L494" s="38"/>
      <c r="M494" s="56" t="str">
        <f>VLOOKUP(#REF!,'Hedef Liste'!A:I,9,false)</f>
        <v>#REF!</v>
      </c>
      <c r="N494" s="56" t="b">
        <v>0</v>
      </c>
      <c r="O494" s="56" t="b">
        <v>0</v>
      </c>
      <c r="P494" s="56"/>
      <c r="Q494" s="56"/>
      <c r="R494" s="56"/>
      <c r="S494" s="56"/>
      <c r="T494" s="56"/>
      <c r="U494" s="56"/>
      <c r="V494" s="56"/>
      <c r="W494" s="56"/>
      <c r="X494" s="56"/>
      <c r="Y494" s="56"/>
      <c r="Z494" s="56"/>
      <c r="AA494" s="56"/>
      <c r="AB494" s="56"/>
    </row>
    <row r="495" ht="15.75" customHeight="1">
      <c r="A495" s="57" t="str">
        <f t="shared" si="4"/>
        <v/>
      </c>
      <c r="B495" s="63"/>
      <c r="C495" s="56"/>
      <c r="D495" s="38"/>
      <c r="E495" s="67"/>
      <c r="F495" s="67"/>
      <c r="G495" s="66"/>
      <c r="H495" s="38"/>
      <c r="I495" s="38"/>
      <c r="J495" s="38"/>
      <c r="K495" s="68"/>
      <c r="L495" s="38"/>
      <c r="M495" s="56"/>
      <c r="N495" s="56" t="b">
        <v>0</v>
      </c>
      <c r="O495" s="56" t="b">
        <v>0</v>
      </c>
      <c r="P495" s="56"/>
      <c r="Q495" s="56"/>
      <c r="R495" s="56"/>
      <c r="S495" s="56"/>
      <c r="T495" s="56"/>
      <c r="U495" s="56"/>
      <c r="V495" s="56"/>
      <c r="W495" s="56"/>
      <c r="X495" s="56"/>
      <c r="Y495" s="56"/>
      <c r="Z495" s="56"/>
      <c r="AA495" s="56"/>
      <c r="AB495" s="56"/>
    </row>
    <row r="496" ht="15.75" customHeight="1">
      <c r="A496" s="57" t="str">
        <f t="shared" si="4"/>
        <v/>
      </c>
      <c r="B496" s="69"/>
      <c r="C496" s="56"/>
      <c r="D496" s="38"/>
      <c r="E496" s="38"/>
      <c r="F496" s="65"/>
      <c r="G496" s="66"/>
      <c r="H496" s="38"/>
      <c r="I496" s="38"/>
      <c r="J496" s="38"/>
      <c r="K496" s="38"/>
      <c r="L496" s="38"/>
      <c r="M496" s="56"/>
      <c r="N496" s="56" t="b">
        <v>0</v>
      </c>
      <c r="O496" s="56" t="b">
        <v>0</v>
      </c>
      <c r="P496" s="56"/>
      <c r="Q496" s="56"/>
      <c r="R496" s="56"/>
      <c r="S496" s="56"/>
      <c r="T496" s="56"/>
      <c r="U496" s="56"/>
      <c r="V496" s="56"/>
      <c r="W496" s="56"/>
      <c r="X496" s="56"/>
      <c r="Y496" s="56"/>
      <c r="Z496" s="56"/>
      <c r="AA496" s="56"/>
      <c r="AB496" s="56"/>
    </row>
    <row r="497" ht="15.75" customHeight="1">
      <c r="A497" s="57" t="str">
        <f t="shared" si="4"/>
        <v/>
      </c>
      <c r="B497" s="58" t="s">
        <v>4836</v>
      </c>
      <c r="C497" s="56" t="s">
        <v>53</v>
      </c>
      <c r="D497" s="56"/>
      <c r="E497" s="148"/>
      <c r="F497" s="149"/>
      <c r="G497" s="90"/>
      <c r="H497" s="56"/>
      <c r="I497" s="56"/>
      <c r="J497" s="56"/>
      <c r="K497" s="68"/>
      <c r="L497" s="38"/>
      <c r="M497" s="56" t="str">
        <f>VLOOKUP(E498,'Hedef Liste'!A:I,9,false)</f>
        <v>#N/A</v>
      </c>
      <c r="N497" s="56" t="b">
        <v>0</v>
      </c>
      <c r="O497" s="56" t="b">
        <v>0</v>
      </c>
      <c r="P497" s="56"/>
      <c r="Q497" s="56"/>
      <c r="R497" s="56"/>
      <c r="S497" s="56"/>
      <c r="T497" s="56"/>
      <c r="U497" s="56"/>
      <c r="V497" s="56"/>
      <c r="W497" s="56"/>
      <c r="X497" s="56"/>
      <c r="Y497" s="56"/>
      <c r="Z497" s="56"/>
      <c r="AA497" s="56"/>
      <c r="AB497" s="56"/>
    </row>
    <row r="498" ht="15.75" customHeight="1">
      <c r="A498" s="57" t="str">
        <f t="shared" si="4"/>
        <v/>
      </c>
      <c r="B498" s="63"/>
      <c r="C498" s="56" t="s">
        <v>53</v>
      </c>
      <c r="D498" s="38"/>
      <c r="E498" s="150"/>
      <c r="F498" s="150"/>
      <c r="G498" s="122"/>
      <c r="H498" s="56"/>
      <c r="I498" s="56"/>
      <c r="J498" s="67"/>
      <c r="K498" s="68"/>
      <c r="L498" s="38"/>
      <c r="M498" s="56" t="str">
        <f>VLOOKUP(#REF!,'Hedef Liste'!A:I,9,false)</f>
        <v>#REF!</v>
      </c>
      <c r="N498" s="56" t="b">
        <v>0</v>
      </c>
      <c r="O498" s="56" t="b">
        <v>0</v>
      </c>
      <c r="P498" s="56"/>
      <c r="Q498" s="56"/>
      <c r="R498" s="56"/>
      <c r="S498" s="56"/>
      <c r="T498" s="56"/>
      <c r="U498" s="56"/>
      <c r="V498" s="56"/>
      <c r="W498" s="56"/>
      <c r="X498" s="56"/>
      <c r="Y498" s="56"/>
      <c r="Z498" s="56"/>
      <c r="AA498" s="56"/>
      <c r="AB498" s="56"/>
    </row>
    <row r="499" ht="15.75" customHeight="1">
      <c r="A499" s="57" t="str">
        <f t="shared" si="4"/>
        <v/>
      </c>
      <c r="B499" s="63"/>
      <c r="C499" s="56" t="s">
        <v>53</v>
      </c>
      <c r="D499" s="38"/>
      <c r="E499" s="150"/>
      <c r="F499" s="150" t="s">
        <v>5652</v>
      </c>
      <c r="G499" s="66"/>
      <c r="H499" s="38"/>
      <c r="I499" s="38"/>
      <c r="J499" s="67"/>
      <c r="K499" s="68"/>
      <c r="L499" s="38"/>
      <c r="M499" s="56" t="str">
        <f>VLOOKUP(E499,'Hedef Liste'!A:I,9,false)</f>
        <v>#N/A</v>
      </c>
      <c r="N499" s="56" t="b">
        <v>0</v>
      </c>
      <c r="O499" s="56" t="b">
        <v>0</v>
      </c>
      <c r="P499" s="56"/>
      <c r="Q499" s="56"/>
      <c r="R499" s="56"/>
      <c r="S499" s="56"/>
      <c r="T499" s="56"/>
      <c r="U499" s="56"/>
      <c r="V499" s="56"/>
      <c r="W499" s="56"/>
      <c r="X499" s="56"/>
      <c r="Y499" s="56"/>
      <c r="Z499" s="56"/>
      <c r="AA499" s="56"/>
      <c r="AB499" s="56"/>
    </row>
    <row r="500" ht="15.75" customHeight="1">
      <c r="A500" s="57" t="str">
        <f t="shared" si="4"/>
        <v/>
      </c>
      <c r="B500" s="63"/>
      <c r="C500" s="56" t="s">
        <v>53</v>
      </c>
      <c r="D500" s="38"/>
      <c r="E500" s="150"/>
      <c r="F500" s="150"/>
      <c r="G500" s="66"/>
      <c r="H500" s="67"/>
      <c r="I500" s="67"/>
      <c r="J500" s="67"/>
      <c r="K500" s="38"/>
      <c r="L500" s="38"/>
      <c r="M500" s="56" t="str">
        <f>VLOOKUP(#REF!,'Hedef Liste'!A:I,9,false)</f>
        <v>#REF!</v>
      </c>
      <c r="N500" s="56" t="b">
        <v>0</v>
      </c>
      <c r="O500" s="56" t="b">
        <v>0</v>
      </c>
      <c r="P500" s="56"/>
      <c r="Q500" s="56"/>
      <c r="R500" s="56"/>
      <c r="S500" s="56"/>
      <c r="T500" s="56"/>
      <c r="U500" s="56"/>
      <c r="V500" s="56"/>
      <c r="W500" s="56"/>
      <c r="X500" s="56"/>
      <c r="Y500" s="56"/>
      <c r="Z500" s="56"/>
      <c r="AA500" s="56"/>
      <c r="AB500" s="56"/>
    </row>
    <row r="501" ht="15.75" customHeight="1">
      <c r="A501" s="57" t="str">
        <f t="shared" si="4"/>
        <v/>
      </c>
      <c r="B501" s="63"/>
      <c r="C501" s="56"/>
      <c r="D501" s="64"/>
      <c r="E501" s="64"/>
      <c r="F501" s="65"/>
      <c r="G501" s="66"/>
      <c r="H501" s="38"/>
      <c r="I501" s="38"/>
      <c r="J501" s="38"/>
      <c r="K501" s="68"/>
      <c r="L501" s="38"/>
      <c r="M501" s="56"/>
      <c r="N501" s="56" t="b">
        <v>0</v>
      </c>
      <c r="O501" s="56" t="b">
        <v>0</v>
      </c>
      <c r="P501" s="56"/>
      <c r="Q501" s="56"/>
      <c r="R501" s="56"/>
      <c r="S501" s="56"/>
      <c r="T501" s="56"/>
      <c r="U501" s="56"/>
      <c r="V501" s="56"/>
      <c r="W501" s="56"/>
      <c r="X501" s="56"/>
      <c r="Y501" s="56"/>
      <c r="Z501" s="56"/>
      <c r="AA501" s="56"/>
      <c r="AB501" s="56"/>
    </row>
    <row r="502" ht="15.75" customHeight="1">
      <c r="A502" s="57" t="str">
        <f t="shared" si="4"/>
        <v/>
      </c>
      <c r="B502" s="69"/>
      <c r="C502" s="38" t="s">
        <v>278</v>
      </c>
      <c r="D502" s="38"/>
      <c r="E502" s="38"/>
      <c r="F502" s="65"/>
      <c r="G502" s="66"/>
      <c r="H502" s="38"/>
      <c r="I502" s="38"/>
      <c r="J502" s="38"/>
      <c r="K502" s="38"/>
      <c r="L502" s="38"/>
      <c r="M502" s="56"/>
      <c r="N502" s="56" t="b">
        <v>0</v>
      </c>
      <c r="O502" s="56" t="b">
        <v>0</v>
      </c>
      <c r="P502" s="56"/>
      <c r="Q502" s="56"/>
      <c r="R502" s="56"/>
      <c r="S502" s="56"/>
      <c r="T502" s="56"/>
      <c r="U502" s="56"/>
      <c r="V502" s="56"/>
      <c r="W502" s="56"/>
      <c r="X502" s="56"/>
      <c r="Y502" s="56"/>
      <c r="Z502" s="56"/>
      <c r="AA502" s="56"/>
      <c r="AB502" s="56"/>
    </row>
    <row r="503" ht="15.75" customHeight="1">
      <c r="A503" s="57" t="str">
        <f t="shared" si="4"/>
        <v>603fe12391adfcf9f7a5ff5d</v>
      </c>
      <c r="B503" s="58" t="s">
        <v>4850</v>
      </c>
      <c r="C503" s="38" t="s">
        <v>278</v>
      </c>
      <c r="D503" s="38" t="s">
        <v>376</v>
      </c>
      <c r="E503" s="67" t="s">
        <v>5148</v>
      </c>
      <c r="F503" s="67" t="s">
        <v>2076</v>
      </c>
      <c r="G503" s="122">
        <v>0.5</v>
      </c>
      <c r="H503" s="56" t="s">
        <v>5653</v>
      </c>
      <c r="I503" s="56" t="s">
        <v>5654</v>
      </c>
      <c r="J503" s="67" t="s">
        <v>2078</v>
      </c>
      <c r="K503" s="38" t="s">
        <v>2008</v>
      </c>
      <c r="L503" s="112" t="s">
        <v>5655</v>
      </c>
      <c r="M503" s="56"/>
      <c r="N503" s="56" t="b">
        <v>0</v>
      </c>
      <c r="O503" s="56" t="b">
        <v>0</v>
      </c>
      <c r="P503" s="56"/>
      <c r="Q503" s="56"/>
      <c r="R503" s="56"/>
      <c r="S503" s="56"/>
      <c r="T503" s="56"/>
      <c r="U503" s="56"/>
      <c r="V503" s="56"/>
      <c r="W503" s="56"/>
      <c r="X503" s="56"/>
      <c r="Y503" s="56"/>
      <c r="Z503" s="56"/>
      <c r="AA503" s="56"/>
      <c r="AB503" s="56"/>
    </row>
    <row r="504" ht="15.75" customHeight="1">
      <c r="A504" s="57" t="str">
        <f t="shared" si="4"/>
        <v>5fde6430856302c46654fb48</v>
      </c>
      <c r="B504" s="63"/>
      <c r="C504" s="38" t="s">
        <v>278</v>
      </c>
      <c r="D504" s="62" t="s">
        <v>376</v>
      </c>
      <c r="E504" s="60" t="s">
        <v>4312</v>
      </c>
      <c r="F504" s="60" t="s">
        <v>4313</v>
      </c>
      <c r="G504" s="73" t="s">
        <v>4856</v>
      </c>
      <c r="H504" s="62" t="s">
        <v>5656</v>
      </c>
      <c r="I504" s="62" t="s">
        <v>5657</v>
      </c>
      <c r="J504" s="60" t="s">
        <v>4315</v>
      </c>
      <c r="K504" s="38" t="s">
        <v>4830</v>
      </c>
      <c r="L504" s="38">
        <v>11.0</v>
      </c>
      <c r="M504" s="56">
        <f>VLOOKUP(E504,'Hedef Liste'!A:I,9,false)</f>
        <v>28</v>
      </c>
      <c r="N504" s="56" t="b">
        <v>0</v>
      </c>
      <c r="O504" s="56" t="b">
        <v>0</v>
      </c>
      <c r="P504" s="56"/>
      <c r="Q504" s="56"/>
      <c r="R504" s="56"/>
      <c r="S504" s="56"/>
      <c r="T504" s="56"/>
      <c r="U504" s="56"/>
      <c r="V504" s="56"/>
      <c r="W504" s="56"/>
      <c r="X504" s="56"/>
      <c r="Y504" s="56"/>
      <c r="Z504" s="56"/>
      <c r="AA504" s="56"/>
      <c r="AB504" s="56"/>
    </row>
    <row r="505" ht="15.75" customHeight="1">
      <c r="A505" s="57" t="str">
        <f t="shared" si="4"/>
        <v>6005ba0cc795bd061841c81d</v>
      </c>
      <c r="B505" s="63"/>
      <c r="C505" s="38" t="s">
        <v>278</v>
      </c>
      <c r="D505" s="76" t="s">
        <v>376</v>
      </c>
      <c r="E505" s="77" t="s">
        <v>4730</v>
      </c>
      <c r="F505" s="77" t="s">
        <v>4731</v>
      </c>
      <c r="G505" s="82" t="s">
        <v>4896</v>
      </c>
      <c r="H505" s="76" t="s">
        <v>5658</v>
      </c>
      <c r="I505" s="76" t="s">
        <v>5659</v>
      </c>
      <c r="J505" s="77" t="s">
        <v>4733</v>
      </c>
      <c r="K505" s="38"/>
      <c r="L505" s="112" t="s">
        <v>5660</v>
      </c>
      <c r="M505" s="56">
        <f>VLOOKUP(E505,'Hedef Liste'!A:I,9,false)</f>
        <v>17</v>
      </c>
      <c r="N505" s="56" t="b">
        <v>0</v>
      </c>
      <c r="O505" s="56" t="b">
        <v>0</v>
      </c>
      <c r="P505" s="56"/>
      <c r="Q505" s="56"/>
      <c r="R505" s="56"/>
      <c r="S505" s="56"/>
      <c r="T505" s="56"/>
      <c r="U505" s="56"/>
      <c r="V505" s="56"/>
      <c r="W505" s="56"/>
      <c r="X505" s="56"/>
      <c r="Y505" s="56"/>
      <c r="Z505" s="56"/>
      <c r="AA505" s="56"/>
      <c r="AB505" s="56"/>
    </row>
    <row r="506" ht="15.75" customHeight="1">
      <c r="A506" s="57" t="str">
        <f t="shared" si="4"/>
        <v/>
      </c>
      <c r="B506" s="63"/>
      <c r="C506" s="38"/>
      <c r="D506" s="38"/>
      <c r="E506" s="38"/>
      <c r="F506" s="65"/>
      <c r="G506" s="66"/>
      <c r="H506" s="38"/>
      <c r="I506" s="38"/>
      <c r="J506" s="38"/>
      <c r="K506" s="38"/>
      <c r="L506" s="38"/>
      <c r="M506" s="56" t="str">
        <f>VLOOKUP(E506,'Hedef Liste'!A:I,9,false)</f>
        <v>#N/A</v>
      </c>
      <c r="N506" s="56" t="b">
        <v>0</v>
      </c>
      <c r="O506" s="56" t="b">
        <v>0</v>
      </c>
      <c r="P506" s="56"/>
      <c r="Q506" s="56"/>
      <c r="R506" s="56"/>
      <c r="S506" s="56"/>
      <c r="T506" s="56"/>
      <c r="U506" s="56"/>
      <c r="V506" s="56"/>
      <c r="W506" s="56"/>
      <c r="X506" s="56"/>
      <c r="Y506" s="56"/>
      <c r="Z506" s="56"/>
      <c r="AA506" s="56"/>
      <c r="AB506" s="56"/>
    </row>
    <row r="507" ht="15.75" customHeight="1">
      <c r="A507" s="57" t="str">
        <f t="shared" si="4"/>
        <v/>
      </c>
      <c r="B507" s="69"/>
      <c r="C507" s="56"/>
      <c r="D507" s="38"/>
      <c r="E507" s="38"/>
      <c r="F507" s="65"/>
      <c r="G507" s="66"/>
      <c r="H507" s="38"/>
      <c r="I507" s="38"/>
      <c r="J507" s="38"/>
      <c r="K507" s="38"/>
      <c r="L507" s="38"/>
      <c r="M507" s="56"/>
      <c r="N507" s="56" t="b">
        <v>0</v>
      </c>
      <c r="O507" s="56" t="b">
        <v>0</v>
      </c>
      <c r="P507" s="56"/>
      <c r="Q507" s="56"/>
      <c r="R507" s="56"/>
      <c r="S507" s="56"/>
      <c r="T507" s="56"/>
      <c r="U507" s="56"/>
      <c r="V507" s="56"/>
      <c r="W507" s="56"/>
      <c r="X507" s="56"/>
      <c r="Y507" s="56"/>
      <c r="Z507" s="56"/>
      <c r="AA507" s="56"/>
      <c r="AB507" s="56"/>
    </row>
    <row r="508" ht="15.75" customHeight="1">
      <c r="A508" s="57" t="str">
        <f t="shared" si="4"/>
        <v/>
      </c>
      <c r="B508" s="51"/>
      <c r="C508" s="52">
        <v>44306.0</v>
      </c>
      <c r="D508" s="38"/>
      <c r="E508" s="53"/>
      <c r="F508" s="54"/>
      <c r="G508" s="54"/>
      <c r="H508" s="54"/>
      <c r="I508" s="54"/>
      <c r="J508" s="54"/>
      <c r="K508" s="54"/>
      <c r="L508" s="55"/>
      <c r="M508" s="56"/>
      <c r="N508" s="56"/>
      <c r="O508" s="56"/>
      <c r="P508" s="56"/>
      <c r="Q508" s="56"/>
      <c r="R508" s="56"/>
      <c r="S508" s="56"/>
      <c r="T508" s="56"/>
      <c r="U508" s="56"/>
      <c r="V508" s="56"/>
      <c r="W508" s="56"/>
      <c r="X508" s="56"/>
      <c r="Y508" s="56"/>
      <c r="Z508" s="56"/>
      <c r="AA508" s="56"/>
      <c r="AB508" s="56"/>
    </row>
    <row r="509" ht="15.75" customHeight="1">
      <c r="A509" s="57" t="str">
        <f t="shared" si="4"/>
        <v>Tarsus ilçesinden alınıyorsa en az 4-5 randevu alınacak!!!!</v>
      </c>
      <c r="B509" s="58" t="s">
        <v>4827</v>
      </c>
      <c r="C509" s="56"/>
      <c r="D509" s="56"/>
      <c r="E509" s="151" t="s">
        <v>5661</v>
      </c>
      <c r="F509" s="55"/>
      <c r="G509" s="90"/>
      <c r="H509" s="56"/>
      <c r="I509" s="56"/>
      <c r="J509" s="56"/>
      <c r="K509" s="68"/>
      <c r="L509" s="38"/>
      <c r="M509" s="56" t="str">
        <f>VLOOKUP(#REF!,'Hedef Liste'!A:I,9,false)</f>
        <v>#REF!</v>
      </c>
      <c r="N509" s="56" t="b">
        <v>0</v>
      </c>
      <c r="O509" s="56" t="b">
        <v>0</v>
      </c>
      <c r="P509" s="56"/>
      <c r="Q509" s="56"/>
      <c r="R509" s="56"/>
      <c r="S509" s="56"/>
      <c r="T509" s="56"/>
      <c r="U509" s="56"/>
      <c r="V509" s="56"/>
      <c r="W509" s="56"/>
      <c r="X509" s="56"/>
      <c r="Y509" s="56"/>
      <c r="Z509" s="56"/>
      <c r="AA509" s="56"/>
      <c r="AB509" s="56"/>
    </row>
    <row r="510" ht="15.75" customHeight="1">
      <c r="A510" s="57" t="str">
        <f t="shared" si="4"/>
        <v/>
      </c>
      <c r="B510" s="63"/>
      <c r="C510" s="56" t="s">
        <v>66</v>
      </c>
      <c r="D510" s="38"/>
      <c r="E510" s="67"/>
      <c r="F510" s="67"/>
      <c r="G510" s="122"/>
      <c r="H510" s="56"/>
      <c r="I510" s="56"/>
      <c r="J510" s="67"/>
      <c r="K510" s="68"/>
      <c r="L510" s="38"/>
      <c r="M510" s="56" t="str">
        <f>VLOOKUP(E510,'Hedef Liste'!A:I,9,false)</f>
        <v>#N/A</v>
      </c>
      <c r="N510" s="56" t="b">
        <v>0</v>
      </c>
      <c r="O510" s="56" t="b">
        <v>0</v>
      </c>
      <c r="P510" s="56"/>
      <c r="Q510" s="56"/>
      <c r="R510" s="56"/>
      <c r="S510" s="56"/>
      <c r="T510" s="56"/>
      <c r="U510" s="56"/>
      <c r="V510" s="56"/>
      <c r="W510" s="56"/>
      <c r="X510" s="56"/>
      <c r="Y510" s="56"/>
      <c r="Z510" s="56"/>
      <c r="AA510" s="56"/>
      <c r="AB510" s="56"/>
    </row>
    <row r="511" ht="15.75" customHeight="1">
      <c r="A511" s="57" t="str">
        <f t="shared" si="4"/>
        <v/>
      </c>
      <c r="B511" s="63"/>
      <c r="C511" s="56" t="s">
        <v>66</v>
      </c>
      <c r="D511" s="56"/>
      <c r="E511" s="56"/>
      <c r="F511" s="147"/>
      <c r="G511" s="79"/>
      <c r="H511" s="56"/>
      <c r="I511" s="56"/>
      <c r="J511" s="56"/>
      <c r="K511" s="38"/>
      <c r="L511" s="38"/>
      <c r="M511" s="56">
        <f>VLOOKUP(E518,'Hedef Liste'!A:I,9,false)</f>
        <v>21</v>
      </c>
      <c r="N511" s="56" t="b">
        <v>0</v>
      </c>
      <c r="O511" s="56" t="b">
        <v>0</v>
      </c>
      <c r="P511" s="56"/>
      <c r="Q511" s="56"/>
      <c r="R511" s="56"/>
      <c r="S511" s="56"/>
      <c r="T511" s="56"/>
      <c r="U511" s="56"/>
      <c r="V511" s="56"/>
      <c r="W511" s="56"/>
      <c r="X511" s="56"/>
      <c r="Y511" s="56"/>
      <c r="Z511" s="56"/>
      <c r="AA511" s="56"/>
      <c r="AB511" s="56"/>
    </row>
    <row r="512" ht="15.75" customHeight="1">
      <c r="A512" s="57" t="str">
        <f t="shared" si="4"/>
        <v/>
      </c>
      <c r="B512" s="63"/>
      <c r="C512" s="56" t="s">
        <v>66</v>
      </c>
      <c r="D512" s="38"/>
      <c r="E512" s="67"/>
      <c r="F512" s="67"/>
      <c r="G512" s="122"/>
      <c r="H512" s="38"/>
      <c r="I512" s="67"/>
      <c r="J512" s="67"/>
      <c r="K512" s="38"/>
      <c r="L512" s="38"/>
      <c r="M512" s="56" t="str">
        <f>VLOOKUP(E512,'Hedef Liste'!A:I,9,false)</f>
        <v>#N/A</v>
      </c>
      <c r="N512" s="56" t="b">
        <v>0</v>
      </c>
      <c r="O512" s="56" t="b">
        <v>0</v>
      </c>
      <c r="P512" s="56"/>
      <c r="Q512" s="56"/>
      <c r="R512" s="56"/>
      <c r="S512" s="56"/>
      <c r="T512" s="56"/>
      <c r="U512" s="56"/>
      <c r="V512" s="56"/>
      <c r="W512" s="56"/>
      <c r="X512" s="56"/>
      <c r="Y512" s="56"/>
      <c r="Z512" s="56"/>
      <c r="AA512" s="56"/>
      <c r="AB512" s="56"/>
    </row>
    <row r="513" ht="15.75" customHeight="1">
      <c r="A513" s="57" t="str">
        <f t="shared" si="4"/>
        <v/>
      </c>
      <c r="B513" s="63"/>
      <c r="C513" s="56" t="s">
        <v>66</v>
      </c>
      <c r="D513" s="38"/>
      <c r="E513" s="67"/>
      <c r="F513" s="67"/>
      <c r="G513" s="66"/>
      <c r="H513" s="38"/>
      <c r="I513" s="38"/>
      <c r="J513" s="38"/>
      <c r="K513" s="68"/>
      <c r="L513" s="38"/>
      <c r="M513" s="56"/>
      <c r="N513" s="56" t="b">
        <v>0</v>
      </c>
      <c r="O513" s="56" t="b">
        <v>0</v>
      </c>
      <c r="P513" s="56"/>
      <c r="Q513" s="56"/>
      <c r="R513" s="56"/>
      <c r="S513" s="56"/>
      <c r="T513" s="56"/>
      <c r="U513" s="56"/>
      <c r="V513" s="56"/>
      <c r="W513" s="56"/>
      <c r="X513" s="56"/>
      <c r="Y513" s="56"/>
      <c r="Z513" s="56"/>
      <c r="AA513" s="56"/>
      <c r="AB513" s="56"/>
    </row>
    <row r="514" ht="15.75" customHeight="1">
      <c r="A514" s="57" t="str">
        <f t="shared" si="4"/>
        <v/>
      </c>
      <c r="B514" s="69"/>
      <c r="C514" s="56"/>
      <c r="D514" s="38"/>
      <c r="E514" s="38"/>
      <c r="F514" s="65"/>
      <c r="G514" s="66"/>
      <c r="H514" s="38"/>
      <c r="I514" s="38"/>
      <c r="J514" s="38"/>
      <c r="K514" s="38"/>
      <c r="L514" s="38"/>
      <c r="M514" s="56"/>
      <c r="N514" s="56" t="b">
        <v>0</v>
      </c>
      <c r="O514" s="56" t="b">
        <v>0</v>
      </c>
      <c r="P514" s="56"/>
      <c r="Q514" s="56"/>
      <c r="R514" s="56"/>
      <c r="S514" s="56"/>
      <c r="T514" s="56"/>
      <c r="U514" s="56"/>
      <c r="V514" s="56"/>
      <c r="W514" s="56"/>
      <c r="X514" s="56"/>
      <c r="Y514" s="56"/>
      <c r="Z514" s="56"/>
      <c r="AA514" s="56"/>
      <c r="AB514" s="56"/>
    </row>
    <row r="515" ht="15.75" customHeight="1">
      <c r="A515" s="57" t="str">
        <f t="shared" si="4"/>
        <v/>
      </c>
      <c r="B515" s="58" t="s">
        <v>4836</v>
      </c>
      <c r="C515" s="56" t="s">
        <v>53</v>
      </c>
      <c r="D515" s="56"/>
      <c r="E515" s="56"/>
      <c r="F515" s="89"/>
      <c r="G515" s="90"/>
      <c r="H515" s="56"/>
      <c r="I515" s="56"/>
      <c r="J515" s="56"/>
      <c r="K515" s="68"/>
      <c r="L515" s="38"/>
      <c r="M515" s="56" t="str">
        <f>VLOOKUP(E516,'Hedef Liste'!A:I,9,false)</f>
        <v>#N/A</v>
      </c>
      <c r="N515" s="56" t="b">
        <v>0</v>
      </c>
      <c r="O515" s="56" t="b">
        <v>0</v>
      </c>
      <c r="P515" s="56"/>
      <c r="Q515" s="56"/>
      <c r="R515" s="56"/>
      <c r="S515" s="56"/>
      <c r="T515" s="56"/>
      <c r="U515" s="56"/>
      <c r="V515" s="56"/>
      <c r="W515" s="56"/>
      <c r="X515" s="56"/>
      <c r="Y515" s="56"/>
      <c r="Z515" s="56"/>
      <c r="AA515" s="56"/>
      <c r="AB515" s="56"/>
    </row>
    <row r="516" ht="15.75" customHeight="1">
      <c r="A516" s="57" t="str">
        <f t="shared" si="4"/>
        <v/>
      </c>
      <c r="B516" s="63"/>
      <c r="C516" s="56" t="s">
        <v>53</v>
      </c>
      <c r="D516" s="38"/>
      <c r="E516" s="67"/>
      <c r="F516" s="67"/>
      <c r="G516" s="122"/>
      <c r="H516" s="56"/>
      <c r="I516" s="56"/>
      <c r="J516" s="67"/>
      <c r="K516" s="68"/>
      <c r="L516" s="38"/>
      <c r="M516" s="56" t="str">
        <f>VLOOKUP(#REF!,'Hedef Liste'!A:I,9,false)</f>
        <v>#REF!</v>
      </c>
      <c r="N516" s="56" t="b">
        <v>0</v>
      </c>
      <c r="O516" s="56" t="b">
        <v>0</v>
      </c>
      <c r="P516" s="56"/>
      <c r="Q516" s="56"/>
      <c r="R516" s="56"/>
      <c r="S516" s="56"/>
      <c r="T516" s="56"/>
      <c r="U516" s="56"/>
      <c r="V516" s="56"/>
      <c r="W516" s="56"/>
      <c r="X516" s="56"/>
      <c r="Y516" s="56"/>
      <c r="Z516" s="56"/>
      <c r="AA516" s="56"/>
      <c r="AB516" s="56"/>
    </row>
    <row r="517" ht="15.75" customHeight="1">
      <c r="A517" s="57" t="str">
        <f t="shared" si="4"/>
        <v>5fe4f95bb928c48b6a8a7daa</v>
      </c>
      <c r="B517" s="63"/>
      <c r="C517" s="56" t="s">
        <v>53</v>
      </c>
      <c r="D517" s="62" t="s">
        <v>437</v>
      </c>
      <c r="E517" s="60" t="s">
        <v>1129</v>
      </c>
      <c r="F517" s="60" t="s">
        <v>1130</v>
      </c>
      <c r="G517" s="73" t="s">
        <v>5134</v>
      </c>
      <c r="H517" s="62" t="s">
        <v>4884</v>
      </c>
      <c r="I517" s="62" t="s">
        <v>5662</v>
      </c>
      <c r="J517" s="60" t="s">
        <v>1132</v>
      </c>
      <c r="K517" s="68"/>
      <c r="L517" s="38"/>
      <c r="M517" s="56">
        <f>VLOOKUP(E517,'Hedef Liste'!A:I,9,false)</f>
        <v>72</v>
      </c>
      <c r="N517" s="56" t="b">
        <v>0</v>
      </c>
      <c r="O517" s="56" t="b">
        <v>0</v>
      </c>
      <c r="P517" s="56"/>
      <c r="Q517" s="56"/>
      <c r="R517" s="56"/>
      <c r="S517" s="56"/>
      <c r="T517" s="56"/>
      <c r="U517" s="56"/>
      <c r="V517" s="56"/>
      <c r="W517" s="56"/>
      <c r="X517" s="56"/>
      <c r="Y517" s="56"/>
      <c r="Z517" s="56"/>
      <c r="AA517" s="56"/>
      <c r="AB517" s="56"/>
    </row>
    <row r="518" ht="15.75" customHeight="1">
      <c r="A518" s="57" t="str">
        <f t="shared" si="4"/>
        <v>602422366fcc5ca048832b87</v>
      </c>
      <c r="B518" s="63"/>
      <c r="C518" s="56" t="s">
        <v>53</v>
      </c>
      <c r="D518" s="62" t="s">
        <v>437</v>
      </c>
      <c r="E518" s="60" t="s">
        <v>4516</v>
      </c>
      <c r="F518" s="60" t="s">
        <v>4517</v>
      </c>
      <c r="G518" s="73" t="s">
        <v>4856</v>
      </c>
      <c r="H518" s="60" t="s">
        <v>4884</v>
      </c>
      <c r="I518" s="60" t="s">
        <v>5663</v>
      </c>
      <c r="J518" s="60" t="s">
        <v>4519</v>
      </c>
      <c r="K518" s="38"/>
      <c r="L518" s="38"/>
      <c r="M518" s="56" t="str">
        <f>VLOOKUP(#REF!,'Hedef Liste'!A:I,9,false)</f>
        <v>#REF!</v>
      </c>
      <c r="N518" s="56" t="b">
        <v>0</v>
      </c>
      <c r="O518" s="56" t="b">
        <v>0</v>
      </c>
      <c r="P518" s="56"/>
      <c r="Q518" s="56"/>
      <c r="R518" s="56"/>
      <c r="S518" s="56"/>
      <c r="T518" s="56"/>
      <c r="U518" s="56"/>
      <c r="V518" s="56"/>
      <c r="W518" s="56"/>
      <c r="X518" s="56"/>
      <c r="Y518" s="56"/>
      <c r="Z518" s="56"/>
      <c r="AA518" s="56"/>
      <c r="AB518" s="56"/>
    </row>
    <row r="519" ht="15.75" customHeight="1">
      <c r="A519" s="57" t="str">
        <f>E529</f>
        <v>606caf4427d7eb518fe26600</v>
      </c>
      <c r="B519" s="63"/>
      <c r="C519" s="56"/>
      <c r="D519" s="56"/>
      <c r="E519" s="56"/>
      <c r="F519" s="56"/>
      <c r="G519" s="90"/>
      <c r="H519" s="56"/>
      <c r="I519" s="56"/>
      <c r="J519" s="56"/>
      <c r="K519" s="68"/>
      <c r="L519" s="38"/>
      <c r="M519" s="56"/>
      <c r="N519" s="56" t="b">
        <v>0</v>
      </c>
      <c r="O519" s="56" t="b">
        <v>0</v>
      </c>
      <c r="P519" s="56"/>
      <c r="Q519" s="56"/>
      <c r="R519" s="56"/>
      <c r="S519" s="56"/>
      <c r="T519" s="56"/>
      <c r="U519" s="56"/>
      <c r="V519" s="56"/>
      <c r="W519" s="56"/>
      <c r="X519" s="56"/>
      <c r="Y519" s="56"/>
      <c r="Z519" s="56"/>
      <c r="AA519" s="56"/>
      <c r="AB519" s="56"/>
    </row>
    <row r="520" ht="15.75" customHeight="1">
      <c r="A520" s="57" t="str">
        <f t="shared" ref="A520:A528" si="5">E520</f>
        <v/>
      </c>
      <c r="B520" s="69"/>
      <c r="C520" s="56"/>
      <c r="D520" s="38"/>
      <c r="E520" s="38"/>
      <c r="F520" s="65"/>
      <c r="G520" s="66"/>
      <c r="H520" s="38"/>
      <c r="I520" s="38"/>
      <c r="J520" s="38"/>
      <c r="K520" s="38"/>
      <c r="L520" s="38"/>
      <c r="M520" s="56"/>
      <c r="N520" s="56" t="b">
        <v>0</v>
      </c>
      <c r="O520" s="56" t="b">
        <v>0</v>
      </c>
      <c r="P520" s="56"/>
      <c r="Q520" s="56"/>
      <c r="R520" s="56"/>
      <c r="S520" s="56"/>
      <c r="T520" s="56"/>
      <c r="U520" s="56"/>
      <c r="V520" s="56"/>
      <c r="W520" s="56"/>
      <c r="X520" s="56"/>
      <c r="Y520" s="56"/>
      <c r="Z520" s="56"/>
      <c r="AA520" s="56"/>
      <c r="AB520" s="56"/>
    </row>
    <row r="521" ht="15.75" customHeight="1">
      <c r="A521" s="57" t="str">
        <f t="shared" si="5"/>
        <v/>
      </c>
      <c r="B521" s="58" t="s">
        <v>4850</v>
      </c>
      <c r="C521" s="38" t="s">
        <v>278</v>
      </c>
      <c r="D521" s="38"/>
      <c r="E521" s="67"/>
      <c r="F521" s="67"/>
      <c r="G521" s="122"/>
      <c r="H521" s="56"/>
      <c r="I521" s="56"/>
      <c r="J521" s="67"/>
      <c r="K521" s="38"/>
      <c r="L521" s="38"/>
      <c r="M521" s="56"/>
      <c r="N521" s="56" t="b">
        <v>0</v>
      </c>
      <c r="O521" s="56" t="b">
        <v>0</v>
      </c>
      <c r="P521" s="56"/>
      <c r="Q521" s="56"/>
      <c r="R521" s="56"/>
      <c r="S521" s="56"/>
      <c r="T521" s="56"/>
      <c r="U521" s="56"/>
      <c r="V521" s="56"/>
      <c r="W521" s="56"/>
      <c r="X521" s="56"/>
      <c r="Y521" s="56"/>
      <c r="Z521" s="56"/>
      <c r="AA521" s="56"/>
      <c r="AB521" s="56"/>
    </row>
    <row r="522" ht="15.75" customHeight="1">
      <c r="A522" s="57" t="str">
        <f t="shared" si="5"/>
        <v>606618ded7217479a71c1a98</v>
      </c>
      <c r="B522" s="63"/>
      <c r="C522" s="38" t="s">
        <v>278</v>
      </c>
      <c r="D522" s="38" t="s">
        <v>437</v>
      </c>
      <c r="E522" s="67" t="s">
        <v>5664</v>
      </c>
      <c r="F522" s="67" t="s">
        <v>5665</v>
      </c>
      <c r="G522" s="122">
        <v>0.5</v>
      </c>
      <c r="H522" s="38" t="s">
        <v>5085</v>
      </c>
      <c r="I522" s="67" t="s">
        <v>5666</v>
      </c>
      <c r="J522" s="67" t="s">
        <v>5667</v>
      </c>
      <c r="K522" s="38" t="s">
        <v>4830</v>
      </c>
      <c r="L522" s="38">
        <v>15.0</v>
      </c>
      <c r="M522" s="56" t="str">
        <f>VLOOKUP(E522,'Hedef Liste'!A:I,9,false)</f>
        <v>#N/A</v>
      </c>
      <c r="N522" s="56" t="b">
        <v>0</v>
      </c>
      <c r="O522" s="56" t="b">
        <v>0</v>
      </c>
      <c r="P522" s="56"/>
      <c r="Q522" s="56"/>
      <c r="R522" s="56"/>
      <c r="S522" s="56"/>
      <c r="T522" s="56"/>
      <c r="U522" s="56"/>
      <c r="V522" s="56"/>
      <c r="W522" s="56"/>
      <c r="X522" s="56"/>
      <c r="Y522" s="56"/>
      <c r="Z522" s="56"/>
      <c r="AA522" s="56"/>
      <c r="AB522" s="56"/>
    </row>
    <row r="523" ht="15.75" customHeight="1">
      <c r="A523" s="57" t="str">
        <f t="shared" si="5"/>
        <v>606321eebf03aade4f31e827</v>
      </c>
      <c r="B523" s="63"/>
      <c r="C523" s="38" t="s">
        <v>278</v>
      </c>
      <c r="D523" s="62" t="s">
        <v>437</v>
      </c>
      <c r="E523" s="60" t="s">
        <v>1717</v>
      </c>
      <c r="F523" s="60" t="s">
        <v>1718</v>
      </c>
      <c r="G523" s="73" t="s">
        <v>4856</v>
      </c>
      <c r="H523" s="60" t="s">
        <v>5668</v>
      </c>
      <c r="I523" s="60" t="s">
        <v>5669</v>
      </c>
      <c r="J523" s="60" t="s">
        <v>1720</v>
      </c>
      <c r="K523" s="38" t="s">
        <v>4830</v>
      </c>
      <c r="L523" s="38">
        <v>25.0</v>
      </c>
      <c r="M523" s="56">
        <f>VLOOKUP(E523,'Hedef Liste'!A:I,9,false)</f>
        <v>9</v>
      </c>
      <c r="N523" s="56" t="b">
        <v>0</v>
      </c>
      <c r="O523" s="56" t="b">
        <v>0</v>
      </c>
      <c r="P523" s="56"/>
      <c r="Q523" s="56"/>
      <c r="R523" s="56"/>
      <c r="S523" s="56"/>
      <c r="T523" s="56"/>
      <c r="U523" s="56"/>
      <c r="V523" s="56"/>
      <c r="W523" s="56"/>
      <c r="X523" s="56"/>
      <c r="Y523" s="56"/>
      <c r="Z523" s="56"/>
      <c r="AA523" s="56"/>
      <c r="AB523" s="56"/>
    </row>
    <row r="524" ht="15.75" customHeight="1">
      <c r="A524" s="57" t="str">
        <f t="shared" si="5"/>
        <v>606ca2abccecbb815a0daf65</v>
      </c>
      <c r="B524" s="63"/>
      <c r="C524" s="38" t="s">
        <v>278</v>
      </c>
      <c r="D524" s="38" t="s">
        <v>437</v>
      </c>
      <c r="E524" s="67" t="s">
        <v>5670</v>
      </c>
      <c r="F524" s="67" t="s">
        <v>4258</v>
      </c>
      <c r="G524" s="66" t="s">
        <v>4858</v>
      </c>
      <c r="H524" s="38" t="s">
        <v>4935</v>
      </c>
      <c r="I524" s="38" t="s">
        <v>5671</v>
      </c>
      <c r="J524" s="67" t="s">
        <v>4259</v>
      </c>
      <c r="K524" s="38" t="s">
        <v>4830</v>
      </c>
      <c r="L524" s="38">
        <v>11.0</v>
      </c>
      <c r="M524" s="56" t="str">
        <f>VLOOKUP(E524,'Hedef Liste'!A:I,9,false)</f>
        <v>#N/A</v>
      </c>
      <c r="N524" s="56" t="b">
        <v>0</v>
      </c>
      <c r="O524" s="56" t="b">
        <v>0</v>
      </c>
      <c r="P524" s="56"/>
      <c r="Q524" s="56"/>
      <c r="R524" s="56"/>
      <c r="S524" s="56"/>
      <c r="T524" s="56"/>
      <c r="U524" s="56"/>
      <c r="V524" s="56"/>
      <c r="W524" s="56"/>
      <c r="X524" s="56"/>
      <c r="Y524" s="56"/>
      <c r="Z524" s="56"/>
      <c r="AA524" s="56"/>
      <c r="AB524" s="56"/>
    </row>
    <row r="525" ht="15.75" customHeight="1">
      <c r="A525" s="57" t="str">
        <f t="shared" si="5"/>
        <v/>
      </c>
      <c r="B525" s="63"/>
      <c r="C525" s="38"/>
      <c r="D525" s="38"/>
      <c r="E525" s="38"/>
      <c r="F525" s="65"/>
      <c r="G525" s="66"/>
      <c r="H525" s="38"/>
      <c r="I525" s="38"/>
      <c r="J525" s="38"/>
      <c r="K525" s="38"/>
      <c r="L525" s="38"/>
      <c r="M525" s="56" t="str">
        <f>VLOOKUP(E525,'Hedef Liste'!A:I,9,false)</f>
        <v>#N/A</v>
      </c>
      <c r="N525" s="56" t="b">
        <v>0</v>
      </c>
      <c r="O525" s="56" t="b">
        <v>0</v>
      </c>
      <c r="P525" s="56"/>
      <c r="Q525" s="56"/>
      <c r="R525" s="56"/>
      <c r="S525" s="56"/>
      <c r="T525" s="56"/>
      <c r="U525" s="56"/>
      <c r="V525" s="56"/>
      <c r="W525" s="56"/>
      <c r="X525" s="56"/>
      <c r="Y525" s="56"/>
      <c r="Z525" s="56"/>
      <c r="AA525" s="56"/>
      <c r="AB525" s="56"/>
    </row>
    <row r="526" ht="15.75" customHeight="1">
      <c r="A526" s="57" t="str">
        <f t="shared" si="5"/>
        <v/>
      </c>
      <c r="B526" s="69"/>
      <c r="C526" s="56"/>
      <c r="D526" s="38"/>
      <c r="E526" s="38"/>
      <c r="F526" s="65"/>
      <c r="G526" s="66"/>
      <c r="H526" s="38"/>
      <c r="I526" s="38"/>
      <c r="J526" s="38"/>
      <c r="K526" s="38"/>
      <c r="L526" s="38"/>
      <c r="M526" s="56"/>
      <c r="N526" s="56" t="b">
        <v>0</v>
      </c>
      <c r="O526" s="56" t="b">
        <v>0</v>
      </c>
      <c r="P526" s="56"/>
      <c r="Q526" s="56"/>
      <c r="R526" s="56"/>
      <c r="S526" s="56"/>
      <c r="T526" s="56"/>
      <c r="U526" s="56"/>
      <c r="V526" s="56"/>
      <c r="W526" s="56"/>
      <c r="X526" s="56"/>
      <c r="Y526" s="56"/>
      <c r="Z526" s="56"/>
      <c r="AA526" s="56"/>
      <c r="AB526" s="56"/>
    </row>
    <row r="527" ht="15.75" customHeight="1">
      <c r="A527" s="57" t="str">
        <f t="shared" si="5"/>
        <v/>
      </c>
      <c r="B527" s="51"/>
      <c r="C527" s="52">
        <v>44307.0</v>
      </c>
      <c r="D527" s="38"/>
      <c r="E527" s="53"/>
      <c r="F527" s="54"/>
      <c r="G527" s="54"/>
      <c r="H527" s="54"/>
      <c r="I527" s="54"/>
      <c r="J527" s="54"/>
      <c r="K527" s="54"/>
      <c r="L527" s="55"/>
      <c r="M527" s="56"/>
      <c r="N527" s="56"/>
      <c r="O527" s="56"/>
      <c r="P527" s="56"/>
      <c r="Q527" s="56"/>
      <c r="R527" s="56"/>
      <c r="S527" s="56"/>
      <c r="T527" s="56"/>
      <c r="U527" s="56"/>
      <c r="V527" s="56"/>
      <c r="W527" s="56"/>
      <c r="X527" s="56"/>
      <c r="Y527" s="56"/>
      <c r="Z527" s="56"/>
      <c r="AA527" s="56"/>
      <c r="AB527" s="56"/>
    </row>
    <row r="528" ht="15.75" customHeight="1">
      <c r="A528" s="57" t="str">
        <f t="shared" si="5"/>
        <v>602c06c229d1d322338af545</v>
      </c>
      <c r="B528" s="58" t="s">
        <v>4827</v>
      </c>
      <c r="C528" s="56" t="s">
        <v>66</v>
      </c>
      <c r="D528" s="64" t="s">
        <v>52</v>
      </c>
      <c r="E528" s="67" t="s">
        <v>2279</v>
      </c>
      <c r="F528" s="67" t="s">
        <v>2280</v>
      </c>
      <c r="G528" s="122">
        <v>0.4166666666666667</v>
      </c>
      <c r="H528" s="56" t="s">
        <v>4852</v>
      </c>
      <c r="I528" s="56" t="s">
        <v>5672</v>
      </c>
      <c r="J528" s="67" t="s">
        <v>1085</v>
      </c>
      <c r="K528" s="68"/>
      <c r="L528" s="38"/>
      <c r="M528" s="56" t="str">
        <f>VLOOKUP(#REF!,'Hedef Liste'!A:I,9,false)</f>
        <v>#REF!</v>
      </c>
      <c r="N528" s="56" t="b">
        <v>0</v>
      </c>
      <c r="O528" s="56" t="b">
        <v>0</v>
      </c>
      <c r="P528" s="56"/>
      <c r="Q528" s="56"/>
      <c r="R528" s="56"/>
      <c r="S528" s="56"/>
      <c r="T528" s="56"/>
      <c r="U528" s="56"/>
      <c r="V528" s="56"/>
      <c r="W528" s="56"/>
      <c r="X528" s="56"/>
      <c r="Y528" s="56"/>
      <c r="Z528" s="56"/>
      <c r="AA528" s="56"/>
      <c r="AB528" s="56"/>
    </row>
    <row r="529" ht="15.75" customHeight="1">
      <c r="A529" s="57" t="str">
        <f>#REF!</f>
        <v>#REF!</v>
      </c>
      <c r="B529" s="63"/>
      <c r="C529" s="56" t="s">
        <v>66</v>
      </c>
      <c r="D529" s="64" t="s">
        <v>52</v>
      </c>
      <c r="E529" s="67" t="s">
        <v>2159</v>
      </c>
      <c r="F529" s="67" t="s">
        <v>2160</v>
      </c>
      <c r="G529" s="66" t="s">
        <v>5134</v>
      </c>
      <c r="H529" s="38" t="s">
        <v>4884</v>
      </c>
      <c r="I529" s="38" t="s">
        <v>5673</v>
      </c>
      <c r="J529" s="67" t="s">
        <v>2161</v>
      </c>
      <c r="K529" s="68"/>
      <c r="L529" s="38"/>
      <c r="M529" s="56" t="str">
        <f>VLOOKUP(#REF!,'Hedef Liste'!A:I,9,false)</f>
        <v>#REF!</v>
      </c>
      <c r="N529" s="56" t="b">
        <v>0</v>
      </c>
      <c r="O529" s="56" t="b">
        <v>0</v>
      </c>
      <c r="P529" s="56"/>
      <c r="Q529" s="56"/>
      <c r="R529" s="56"/>
      <c r="S529" s="56"/>
      <c r="T529" s="56"/>
      <c r="U529" s="56"/>
      <c r="V529" s="56"/>
      <c r="W529" s="56"/>
      <c r="X529" s="56"/>
      <c r="Y529" s="56"/>
      <c r="Z529" s="56"/>
      <c r="AA529" s="56"/>
      <c r="AB529" s="56"/>
    </row>
    <row r="530" ht="15.75" customHeight="1">
      <c r="A530" s="57" t="str">
        <f t="shared" ref="A530:A564" si="6">E530</f>
        <v>6009d57f9873d838838c991e</v>
      </c>
      <c r="B530" s="63"/>
      <c r="C530" s="56" t="s">
        <v>66</v>
      </c>
      <c r="D530" s="59" t="s">
        <v>5674</v>
      </c>
      <c r="E530" s="60" t="s">
        <v>3799</v>
      </c>
      <c r="F530" s="60" t="s">
        <v>3800</v>
      </c>
      <c r="G530" s="73" t="s">
        <v>5602</v>
      </c>
      <c r="H530" s="59" t="s">
        <v>5675</v>
      </c>
      <c r="I530" s="59" t="s">
        <v>5676</v>
      </c>
      <c r="J530" s="60" t="s">
        <v>3802</v>
      </c>
      <c r="K530" s="38"/>
      <c r="L530" s="38"/>
      <c r="M530" s="56" t="str">
        <f>VLOOKUP(E537,'Hedef Liste'!A:I,9,false)</f>
        <v>#N/A</v>
      </c>
      <c r="N530" s="56" t="b">
        <v>0</v>
      </c>
      <c r="O530" s="56" t="b">
        <v>0</v>
      </c>
      <c r="P530" s="56"/>
      <c r="Q530" s="56"/>
      <c r="R530" s="56"/>
      <c r="S530" s="56"/>
      <c r="T530" s="56"/>
      <c r="U530" s="56"/>
      <c r="V530" s="56"/>
      <c r="W530" s="56"/>
      <c r="X530" s="56"/>
      <c r="Y530" s="56"/>
      <c r="Z530" s="56"/>
      <c r="AA530" s="56"/>
      <c r="AB530" s="56"/>
    </row>
    <row r="531" ht="15.75" customHeight="1">
      <c r="A531" s="57" t="str">
        <f t="shared" si="6"/>
        <v>5fe373e523ff89158ea7b6b4</v>
      </c>
      <c r="B531" s="63"/>
      <c r="C531" s="56" t="s">
        <v>66</v>
      </c>
      <c r="D531" s="38" t="s">
        <v>52</v>
      </c>
      <c r="E531" s="67" t="s">
        <v>1381</v>
      </c>
      <c r="F531" s="67" t="s">
        <v>1382</v>
      </c>
      <c r="G531" s="66" t="s">
        <v>4858</v>
      </c>
      <c r="H531" s="67" t="s">
        <v>5677</v>
      </c>
      <c r="I531" s="67" t="s">
        <v>5678</v>
      </c>
      <c r="J531" s="67" t="s">
        <v>1384</v>
      </c>
      <c r="K531" s="38"/>
      <c r="L531" s="38"/>
      <c r="M531" s="56" t="str">
        <f>VLOOKUP(#REF!,'Hedef Liste'!A:I,9,false)</f>
        <v>#REF!</v>
      </c>
      <c r="N531" s="56" t="b">
        <v>0</v>
      </c>
      <c r="O531" s="56" t="b">
        <v>0</v>
      </c>
      <c r="P531" s="56"/>
      <c r="Q531" s="56"/>
      <c r="R531" s="56"/>
      <c r="S531" s="56"/>
      <c r="T531" s="56"/>
      <c r="U531" s="56"/>
      <c r="V531" s="56"/>
      <c r="W531" s="56"/>
      <c r="X531" s="56"/>
      <c r="Y531" s="56"/>
      <c r="Z531" s="56"/>
      <c r="AA531" s="56"/>
      <c r="AB531" s="56"/>
    </row>
    <row r="532" ht="15.75" customHeight="1">
      <c r="A532" s="57" t="str">
        <f t="shared" si="6"/>
        <v/>
      </c>
      <c r="B532" s="63"/>
      <c r="C532" s="56"/>
      <c r="D532" s="38"/>
      <c r="E532" s="67"/>
      <c r="F532" s="67"/>
      <c r="G532" s="66"/>
      <c r="H532" s="38"/>
      <c r="I532" s="38"/>
      <c r="J532" s="38"/>
      <c r="K532" s="68"/>
      <c r="L532" s="38"/>
      <c r="M532" s="56"/>
      <c r="N532" s="56" t="b">
        <v>0</v>
      </c>
      <c r="O532" s="56" t="b">
        <v>0</v>
      </c>
      <c r="P532" s="56"/>
      <c r="Q532" s="56"/>
      <c r="R532" s="56"/>
      <c r="S532" s="56"/>
      <c r="T532" s="56"/>
      <c r="U532" s="56"/>
      <c r="V532" s="56"/>
      <c r="W532" s="56"/>
      <c r="X532" s="56"/>
      <c r="Y532" s="56"/>
      <c r="Z532" s="56"/>
      <c r="AA532" s="56"/>
      <c r="AB532" s="56"/>
    </row>
    <row r="533" ht="15.75" customHeight="1">
      <c r="A533" s="57" t="str">
        <f t="shared" si="6"/>
        <v/>
      </c>
      <c r="B533" s="69"/>
      <c r="C533" s="56"/>
      <c r="D533" s="38"/>
      <c r="E533" s="38"/>
      <c r="F533" s="65"/>
      <c r="G533" s="66"/>
      <c r="H533" s="38"/>
      <c r="I533" s="38"/>
      <c r="J533" s="38"/>
      <c r="K533" s="38"/>
      <c r="L533" s="38"/>
      <c r="M533" s="56"/>
      <c r="N533" s="56" t="b">
        <v>0</v>
      </c>
      <c r="O533" s="56" t="b">
        <v>0</v>
      </c>
      <c r="P533" s="56"/>
      <c r="Q533" s="56"/>
      <c r="R533" s="56"/>
      <c r="S533" s="56"/>
      <c r="T533" s="56"/>
      <c r="U533" s="56"/>
      <c r="V533" s="56"/>
      <c r="W533" s="56"/>
      <c r="X533" s="56"/>
      <c r="Y533" s="56"/>
      <c r="Z533" s="56"/>
      <c r="AA533" s="56"/>
      <c r="AB533" s="56"/>
    </row>
    <row r="534" ht="15.75" customHeight="1">
      <c r="A534" s="57" t="str">
        <f t="shared" si="6"/>
        <v/>
      </c>
      <c r="B534" s="58" t="s">
        <v>4836</v>
      </c>
      <c r="C534" s="56" t="s">
        <v>53</v>
      </c>
      <c r="D534" s="56"/>
      <c r="E534" s="56"/>
      <c r="F534" s="89"/>
      <c r="G534" s="90"/>
      <c r="H534" s="56"/>
      <c r="I534" s="56"/>
      <c r="J534" s="56"/>
      <c r="K534" s="68"/>
      <c r="L534" s="38"/>
      <c r="M534" s="56" t="str">
        <f>VLOOKUP(E535,'Hedef Liste'!A:I,9,false)</f>
        <v>#N/A</v>
      </c>
      <c r="N534" s="56" t="b">
        <v>0</v>
      </c>
      <c r="O534" s="56" t="b">
        <v>0</v>
      </c>
      <c r="P534" s="56"/>
      <c r="Q534" s="56"/>
      <c r="R534" s="56"/>
      <c r="S534" s="56"/>
      <c r="T534" s="56"/>
      <c r="U534" s="56"/>
      <c r="V534" s="56"/>
      <c r="W534" s="56"/>
      <c r="X534" s="56"/>
      <c r="Y534" s="56"/>
      <c r="Z534" s="56"/>
      <c r="AA534" s="56"/>
      <c r="AB534" s="56"/>
    </row>
    <row r="535" ht="15.75" customHeight="1">
      <c r="A535" s="57" t="str">
        <f t="shared" si="6"/>
        <v/>
      </c>
      <c r="B535" s="63"/>
      <c r="C535" s="56" t="s">
        <v>53</v>
      </c>
      <c r="D535" s="38"/>
      <c r="E535" s="67"/>
      <c r="F535" s="67"/>
      <c r="G535" s="122"/>
      <c r="H535" s="56"/>
      <c r="I535" s="56"/>
      <c r="J535" s="67"/>
      <c r="K535" s="68"/>
      <c r="L535" s="38"/>
      <c r="M535" s="56" t="str">
        <f>VLOOKUP(#REF!,'Hedef Liste'!A:I,9,false)</f>
        <v>#REF!</v>
      </c>
      <c r="N535" s="56" t="b">
        <v>0</v>
      </c>
      <c r="O535" s="56" t="b">
        <v>0</v>
      </c>
      <c r="P535" s="56"/>
      <c r="Q535" s="56"/>
      <c r="R535" s="56"/>
      <c r="S535" s="56"/>
      <c r="T535" s="56"/>
      <c r="U535" s="56"/>
      <c r="V535" s="56"/>
      <c r="W535" s="56"/>
      <c r="X535" s="56"/>
      <c r="Y535" s="56"/>
      <c r="Z535" s="56"/>
      <c r="AA535" s="56"/>
      <c r="AB535" s="56"/>
    </row>
    <row r="536" ht="15.75" customHeight="1">
      <c r="A536" s="57" t="str">
        <f t="shared" si="6"/>
        <v>randevu alinmayacak</v>
      </c>
      <c r="B536" s="63"/>
      <c r="C536" s="56" t="s">
        <v>53</v>
      </c>
      <c r="D536" s="38"/>
      <c r="E536" s="152" t="s">
        <v>5679</v>
      </c>
      <c r="F536" s="121"/>
      <c r="G536" s="66"/>
      <c r="H536" s="38"/>
      <c r="I536" s="38"/>
      <c r="J536" s="67"/>
      <c r="K536" s="68"/>
      <c r="L536" s="38"/>
      <c r="M536" s="56" t="str">
        <f>VLOOKUP(E536,'Hedef Liste'!A:I,9,false)</f>
        <v>#N/A</v>
      </c>
      <c r="N536" s="56" t="b">
        <v>0</v>
      </c>
      <c r="O536" s="56" t="b">
        <v>0</v>
      </c>
      <c r="P536" s="56"/>
      <c r="Q536" s="56"/>
      <c r="R536" s="56"/>
      <c r="S536" s="56"/>
      <c r="T536" s="56"/>
      <c r="U536" s="56"/>
      <c r="V536" s="56"/>
      <c r="W536" s="56"/>
      <c r="X536" s="56"/>
      <c r="Y536" s="56"/>
      <c r="Z536" s="56"/>
      <c r="AA536" s="56"/>
      <c r="AB536" s="56"/>
    </row>
    <row r="537" ht="15.75" customHeight="1">
      <c r="A537" s="57" t="str">
        <f t="shared" si="6"/>
        <v/>
      </c>
      <c r="B537" s="63"/>
      <c r="C537" s="56" t="s">
        <v>53</v>
      </c>
      <c r="D537" s="38"/>
      <c r="E537" s="67"/>
      <c r="F537" s="67"/>
      <c r="G537" s="66"/>
      <c r="H537" s="67"/>
      <c r="I537" s="67"/>
      <c r="J537" s="67"/>
      <c r="K537" s="38"/>
      <c r="L537" s="38"/>
      <c r="M537" s="56" t="str">
        <f>VLOOKUP(#REF!,'Hedef Liste'!A:I,9,false)</f>
        <v>#REF!</v>
      </c>
      <c r="N537" s="56" t="b">
        <v>0</v>
      </c>
      <c r="O537" s="56" t="b">
        <v>0</v>
      </c>
      <c r="P537" s="56"/>
      <c r="Q537" s="56"/>
      <c r="R537" s="56"/>
      <c r="S537" s="56"/>
      <c r="T537" s="56"/>
      <c r="U537" s="56"/>
      <c r="V537" s="56"/>
      <c r="W537" s="56"/>
      <c r="X537" s="56"/>
      <c r="Y537" s="56"/>
      <c r="Z537" s="56"/>
      <c r="AA537" s="56"/>
      <c r="AB537" s="56"/>
    </row>
    <row r="538" ht="15.75" customHeight="1">
      <c r="A538" s="57" t="str">
        <f t="shared" si="6"/>
        <v/>
      </c>
      <c r="B538" s="63"/>
      <c r="C538" s="56"/>
      <c r="D538" s="64"/>
      <c r="E538" s="64"/>
      <c r="F538" s="65"/>
      <c r="G538" s="66"/>
      <c r="H538" s="38"/>
      <c r="I538" s="38"/>
      <c r="J538" s="38"/>
      <c r="K538" s="68"/>
      <c r="L538" s="38"/>
      <c r="M538" s="56"/>
      <c r="N538" s="56" t="b">
        <v>0</v>
      </c>
      <c r="O538" s="56" t="b">
        <v>0</v>
      </c>
      <c r="P538" s="56"/>
      <c r="Q538" s="56"/>
      <c r="R538" s="56"/>
      <c r="S538" s="56"/>
      <c r="T538" s="56"/>
      <c r="U538" s="56"/>
      <c r="V538" s="56"/>
      <c r="W538" s="56"/>
      <c r="X538" s="56"/>
      <c r="Y538" s="56"/>
      <c r="Z538" s="56"/>
      <c r="AA538" s="56"/>
      <c r="AB538" s="56"/>
    </row>
    <row r="539" ht="15.75" customHeight="1">
      <c r="A539" s="57" t="str">
        <f t="shared" si="6"/>
        <v/>
      </c>
      <c r="B539" s="69"/>
      <c r="C539" s="56"/>
      <c r="D539" s="38"/>
      <c r="E539" s="38"/>
      <c r="F539" s="65"/>
      <c r="G539" s="66"/>
      <c r="H539" s="38"/>
      <c r="I539" s="38"/>
      <c r="J539" s="38"/>
      <c r="K539" s="38"/>
      <c r="L539" s="38"/>
      <c r="M539" s="56"/>
      <c r="N539" s="56" t="b">
        <v>0</v>
      </c>
      <c r="O539" s="56" t="b">
        <v>0</v>
      </c>
      <c r="P539" s="56"/>
      <c r="Q539" s="56"/>
      <c r="R539" s="56"/>
      <c r="S539" s="56"/>
      <c r="T539" s="56"/>
      <c r="U539" s="56"/>
      <c r="V539" s="56"/>
      <c r="W539" s="56"/>
      <c r="X539" s="56"/>
      <c r="Y539" s="56"/>
      <c r="Z539" s="56"/>
      <c r="AA539" s="56"/>
      <c r="AB539" s="56"/>
    </row>
    <row r="540" ht="15.75" customHeight="1">
      <c r="A540" s="57" t="str">
        <f t="shared" si="6"/>
        <v/>
      </c>
      <c r="B540" s="58" t="s">
        <v>4850</v>
      </c>
      <c r="C540" s="38" t="s">
        <v>278</v>
      </c>
      <c r="D540" s="38"/>
      <c r="E540" s="67"/>
      <c r="F540" s="67"/>
      <c r="G540" s="122"/>
      <c r="H540" s="56"/>
      <c r="I540" s="56"/>
      <c r="J540" s="67"/>
      <c r="K540" s="38"/>
      <c r="L540" s="38"/>
      <c r="M540" s="56"/>
      <c r="N540" s="56" t="b">
        <v>0</v>
      </c>
      <c r="O540" s="56" t="b">
        <v>0</v>
      </c>
      <c r="P540" s="56"/>
      <c r="Q540" s="56"/>
      <c r="R540" s="56"/>
      <c r="S540" s="56"/>
      <c r="T540" s="56"/>
      <c r="U540" s="56"/>
      <c r="V540" s="56"/>
      <c r="W540" s="56"/>
      <c r="X540" s="56"/>
      <c r="Y540" s="56"/>
      <c r="Z540" s="56"/>
      <c r="AA540" s="56"/>
      <c r="AB540" s="56"/>
    </row>
    <row r="541" ht="15.75" customHeight="1">
      <c r="A541" s="57" t="str">
        <f t="shared" si="6"/>
        <v/>
      </c>
      <c r="B541" s="63"/>
      <c r="C541" s="38" t="s">
        <v>278</v>
      </c>
      <c r="D541" s="38"/>
      <c r="E541" s="67"/>
      <c r="F541" s="67"/>
      <c r="G541" s="122">
        <v>0.4583333333333333</v>
      </c>
      <c r="H541" s="38"/>
      <c r="I541" s="67"/>
      <c r="J541" s="67"/>
      <c r="K541" s="38"/>
      <c r="L541" s="38"/>
      <c r="M541" s="56" t="str">
        <f>VLOOKUP(E541,'Hedef Liste'!A:I,9,false)</f>
        <v>#N/A</v>
      </c>
      <c r="N541" s="56" t="b">
        <v>0</v>
      </c>
      <c r="O541" s="56" t="b">
        <v>0</v>
      </c>
      <c r="P541" s="56"/>
      <c r="Q541" s="56"/>
      <c r="R541" s="56"/>
      <c r="S541" s="56"/>
      <c r="T541" s="56"/>
      <c r="U541" s="56"/>
      <c r="V541" s="56"/>
      <c r="W541" s="56"/>
      <c r="X541" s="56"/>
      <c r="Y541" s="56"/>
      <c r="Z541" s="56"/>
      <c r="AA541" s="56"/>
      <c r="AB541" s="56"/>
    </row>
    <row r="542" ht="15.75" customHeight="1">
      <c r="A542" s="57" t="str">
        <f t="shared" si="6"/>
        <v/>
      </c>
      <c r="B542" s="63"/>
      <c r="C542" s="38" t="s">
        <v>278</v>
      </c>
      <c r="D542" s="38" t="s">
        <v>52</v>
      </c>
      <c r="E542" s="67"/>
      <c r="F542" s="67"/>
      <c r="G542" s="66" t="s">
        <v>4960</v>
      </c>
      <c r="H542" s="67"/>
      <c r="I542" s="67"/>
      <c r="J542" s="67"/>
      <c r="K542" s="38"/>
      <c r="L542" s="38"/>
      <c r="M542" s="56" t="str">
        <f>VLOOKUP(E542,'Hedef Liste'!A:I,9,false)</f>
        <v>#N/A</v>
      </c>
      <c r="N542" s="56" t="b">
        <v>0</v>
      </c>
      <c r="O542" s="56" t="b">
        <v>0</v>
      </c>
      <c r="P542" s="56"/>
      <c r="Q542" s="56"/>
      <c r="R542" s="56"/>
      <c r="S542" s="56"/>
      <c r="T542" s="56"/>
      <c r="U542" s="56"/>
      <c r="V542" s="56"/>
      <c r="W542" s="56"/>
      <c r="X542" s="56"/>
      <c r="Y542" s="56"/>
      <c r="Z542" s="56"/>
      <c r="AA542" s="56"/>
      <c r="AB542" s="56"/>
    </row>
    <row r="543" ht="15.75" customHeight="1">
      <c r="A543" s="57" t="str">
        <f t="shared" si="6"/>
        <v>604c813fcc98d71d93a662aa</v>
      </c>
      <c r="B543" s="63"/>
      <c r="C543" s="38" t="s">
        <v>278</v>
      </c>
      <c r="D543" s="38" t="s">
        <v>437</v>
      </c>
      <c r="E543" s="67" t="s">
        <v>125</v>
      </c>
      <c r="F543" s="67" t="s">
        <v>126</v>
      </c>
      <c r="G543" s="66" t="s">
        <v>4858</v>
      </c>
      <c r="H543" s="38" t="s">
        <v>5342</v>
      </c>
      <c r="I543" s="38" t="s">
        <v>5343</v>
      </c>
      <c r="J543" s="67" t="s">
        <v>129</v>
      </c>
      <c r="K543" s="38"/>
      <c r="L543" s="38" t="s">
        <v>5680</v>
      </c>
      <c r="M543" s="56">
        <f>VLOOKUP(E543,'Hedef Liste'!A:I,9,false)</f>
        <v>16</v>
      </c>
      <c r="N543" s="56" t="b">
        <v>0</v>
      </c>
      <c r="O543" s="56" t="b">
        <v>0</v>
      </c>
      <c r="P543" s="56"/>
      <c r="Q543" s="56"/>
      <c r="R543" s="56"/>
      <c r="S543" s="56"/>
      <c r="T543" s="56"/>
      <c r="U543" s="56"/>
      <c r="V543" s="56"/>
      <c r="W543" s="56"/>
      <c r="X543" s="56"/>
      <c r="Y543" s="56"/>
      <c r="Z543" s="56"/>
      <c r="AA543" s="56"/>
      <c r="AB543" s="56"/>
    </row>
    <row r="544" ht="15.75" customHeight="1">
      <c r="A544" s="57" t="str">
        <f t="shared" si="6"/>
        <v/>
      </c>
      <c r="B544" s="63"/>
      <c r="C544" s="38"/>
      <c r="D544" s="38"/>
      <c r="E544" s="38"/>
      <c r="F544" s="65"/>
      <c r="G544" s="66"/>
      <c r="H544" s="38"/>
      <c r="I544" s="38"/>
      <c r="J544" s="38"/>
      <c r="K544" s="38"/>
      <c r="L544" s="38"/>
      <c r="M544" s="56" t="str">
        <f>VLOOKUP(E544,'Hedef Liste'!A:I,9,false)</f>
        <v>#N/A</v>
      </c>
      <c r="N544" s="56" t="b">
        <v>0</v>
      </c>
      <c r="O544" s="56" t="b">
        <v>0</v>
      </c>
      <c r="P544" s="56"/>
      <c r="Q544" s="56"/>
      <c r="R544" s="56"/>
      <c r="S544" s="56"/>
      <c r="T544" s="56"/>
      <c r="U544" s="56"/>
      <c r="V544" s="56"/>
      <c r="W544" s="56"/>
      <c r="X544" s="56"/>
      <c r="Y544" s="56"/>
      <c r="Z544" s="56"/>
      <c r="AA544" s="56"/>
      <c r="AB544" s="56"/>
    </row>
    <row r="545" ht="15.75" customHeight="1">
      <c r="A545" s="57" t="str">
        <f t="shared" si="6"/>
        <v/>
      </c>
      <c r="B545" s="69"/>
      <c r="C545" s="56"/>
      <c r="D545" s="38"/>
      <c r="E545" s="38"/>
      <c r="F545" s="65"/>
      <c r="G545" s="66"/>
      <c r="H545" s="38"/>
      <c r="I545" s="38"/>
      <c r="J545" s="38"/>
      <c r="K545" s="38"/>
      <c r="L545" s="38"/>
      <c r="M545" s="56"/>
      <c r="N545" s="56" t="b">
        <v>0</v>
      </c>
      <c r="O545" s="56" t="b">
        <v>0</v>
      </c>
      <c r="P545" s="56"/>
      <c r="Q545" s="56"/>
      <c r="R545" s="56"/>
      <c r="S545" s="56"/>
      <c r="T545" s="56"/>
      <c r="U545" s="56"/>
      <c r="V545" s="56"/>
      <c r="W545" s="56"/>
      <c r="X545" s="56"/>
      <c r="Y545" s="56"/>
      <c r="Z545" s="56"/>
      <c r="AA545" s="56"/>
      <c r="AB545" s="56"/>
    </row>
    <row r="546" ht="15.75" customHeight="1">
      <c r="A546" s="57" t="str">
        <f t="shared" si="6"/>
        <v/>
      </c>
      <c r="B546" s="51"/>
      <c r="C546" s="52">
        <v>44308.0</v>
      </c>
      <c r="D546" s="38"/>
      <c r="E546" s="53"/>
      <c r="F546" s="54"/>
      <c r="G546" s="54"/>
      <c r="H546" s="54"/>
      <c r="I546" s="54"/>
      <c r="J546" s="54"/>
      <c r="K546" s="54"/>
      <c r="L546" s="55"/>
      <c r="M546" s="56"/>
      <c r="N546" s="56"/>
      <c r="O546" s="56"/>
      <c r="P546" s="56"/>
      <c r="Q546" s="56"/>
      <c r="R546" s="56"/>
      <c r="S546" s="56"/>
      <c r="T546" s="56"/>
      <c r="U546" s="56"/>
      <c r="V546" s="56"/>
      <c r="W546" s="56"/>
      <c r="X546" s="56"/>
      <c r="Y546" s="56"/>
      <c r="Z546" s="56"/>
      <c r="AA546" s="56"/>
      <c r="AB546" s="56"/>
    </row>
    <row r="547" ht="15.75" customHeight="1">
      <c r="A547" s="57" t="str">
        <f t="shared" si="6"/>
        <v/>
      </c>
      <c r="B547" s="58" t="s">
        <v>4827</v>
      </c>
      <c r="C547" s="56" t="s">
        <v>66</v>
      </c>
      <c r="D547" s="56"/>
      <c r="E547" s="56"/>
      <c r="F547" s="89"/>
      <c r="G547" s="90"/>
      <c r="H547" s="56"/>
      <c r="I547" s="56"/>
      <c r="J547" s="56"/>
      <c r="K547" s="68"/>
      <c r="L547" s="38"/>
      <c r="M547" s="56" t="str">
        <f>VLOOKUP(#REF!,'Hedef Liste'!A:I,9,false)</f>
        <v>#REF!</v>
      </c>
      <c r="N547" s="56" t="b">
        <v>0</v>
      </c>
      <c r="O547" s="56" t="b">
        <v>0</v>
      </c>
      <c r="P547" s="56"/>
      <c r="Q547" s="56"/>
      <c r="R547" s="56"/>
      <c r="S547" s="56"/>
      <c r="T547" s="56"/>
      <c r="U547" s="56"/>
      <c r="V547" s="56"/>
      <c r="W547" s="56"/>
      <c r="X547" s="56"/>
      <c r="Y547" s="56"/>
      <c r="Z547" s="56"/>
      <c r="AA547" s="56"/>
      <c r="AB547" s="56"/>
    </row>
    <row r="548" ht="15.75" customHeight="1">
      <c r="A548" s="57" t="str">
        <f t="shared" si="6"/>
        <v>60463650075e9b40ddb5a175</v>
      </c>
      <c r="B548" s="63"/>
      <c r="C548" s="56" t="s">
        <v>66</v>
      </c>
      <c r="D548" s="38" t="s">
        <v>437</v>
      </c>
      <c r="E548" s="67" t="s">
        <v>5681</v>
      </c>
      <c r="F548" s="67" t="s">
        <v>5682</v>
      </c>
      <c r="G548" s="122">
        <v>0.5833333333333334</v>
      </c>
      <c r="H548" s="56" t="s">
        <v>5683</v>
      </c>
      <c r="I548" s="56" t="s">
        <v>5684</v>
      </c>
      <c r="J548" s="67" t="s">
        <v>5685</v>
      </c>
      <c r="K548" s="68"/>
      <c r="L548" s="38"/>
      <c r="M548" s="56" t="str">
        <f>VLOOKUP(E548,'Hedef Liste'!A:I,9,false)</f>
        <v>#N/A</v>
      </c>
      <c r="N548" s="56" t="b">
        <v>0</v>
      </c>
      <c r="O548" s="56" t="b">
        <v>0</v>
      </c>
      <c r="P548" s="56"/>
      <c r="Q548" s="56"/>
      <c r="R548" s="56"/>
      <c r="S548" s="56"/>
      <c r="T548" s="56"/>
      <c r="U548" s="56"/>
      <c r="V548" s="56"/>
      <c r="W548" s="56"/>
      <c r="X548" s="56"/>
      <c r="Y548" s="56"/>
      <c r="Z548" s="56"/>
      <c r="AA548" s="56"/>
      <c r="AB548" s="56"/>
    </row>
    <row r="549" ht="15.75" customHeight="1">
      <c r="A549" s="57" t="str">
        <f t="shared" si="6"/>
        <v/>
      </c>
      <c r="B549" s="63"/>
      <c r="C549" s="56" t="s">
        <v>66</v>
      </c>
      <c r="D549" s="56"/>
      <c r="E549" s="56"/>
      <c r="F549" s="147"/>
      <c r="G549" s="90"/>
      <c r="H549" s="56"/>
      <c r="I549" s="56"/>
      <c r="J549" s="56"/>
      <c r="K549" s="38"/>
      <c r="L549" s="38"/>
      <c r="M549" s="56" t="str">
        <f>VLOOKUP(E556,'Hedef Liste'!A:I,9,false)</f>
        <v>#N/A</v>
      </c>
      <c r="N549" s="56" t="b">
        <v>0</v>
      </c>
      <c r="O549" s="56" t="b">
        <v>0</v>
      </c>
      <c r="P549" s="56"/>
      <c r="Q549" s="56"/>
      <c r="R549" s="56"/>
      <c r="S549" s="56"/>
      <c r="T549" s="56"/>
      <c r="U549" s="56"/>
      <c r="V549" s="56"/>
      <c r="W549" s="56"/>
      <c r="X549" s="56"/>
      <c r="Y549" s="56"/>
      <c r="Z549" s="56"/>
      <c r="AA549" s="56"/>
      <c r="AB549" s="56"/>
    </row>
    <row r="550" ht="15.75" customHeight="1">
      <c r="A550" s="57" t="str">
        <f t="shared" si="6"/>
        <v/>
      </c>
      <c r="B550" s="63"/>
      <c r="C550" s="56" t="s">
        <v>66</v>
      </c>
      <c r="D550" s="38"/>
      <c r="E550" s="67"/>
      <c r="F550" s="67"/>
      <c r="G550" s="122"/>
      <c r="H550" s="38"/>
      <c r="I550" s="67"/>
      <c r="J550" s="67"/>
      <c r="K550" s="38"/>
      <c r="L550" s="38"/>
      <c r="M550" s="56" t="str">
        <f>VLOOKUP(E550,'Hedef Liste'!A:I,9,false)</f>
        <v>#N/A</v>
      </c>
      <c r="N550" s="56" t="b">
        <v>0</v>
      </c>
      <c r="O550" s="56" t="b">
        <v>0</v>
      </c>
      <c r="P550" s="56"/>
      <c r="Q550" s="56"/>
      <c r="R550" s="56"/>
      <c r="S550" s="56"/>
      <c r="T550" s="56"/>
      <c r="U550" s="56"/>
      <c r="V550" s="56"/>
      <c r="W550" s="56"/>
      <c r="X550" s="56"/>
      <c r="Y550" s="56"/>
      <c r="Z550" s="56"/>
      <c r="AA550" s="56"/>
      <c r="AB550" s="56"/>
    </row>
    <row r="551" ht="15.75" customHeight="1">
      <c r="A551" s="57" t="str">
        <f t="shared" si="6"/>
        <v/>
      </c>
      <c r="B551" s="63"/>
      <c r="C551" s="56"/>
      <c r="D551" s="38"/>
      <c r="E551" s="67"/>
      <c r="F551" s="67"/>
      <c r="G551" s="66"/>
      <c r="H551" s="38"/>
      <c r="I551" s="38"/>
      <c r="J551" s="38"/>
      <c r="K551" s="68"/>
      <c r="L551" s="38"/>
      <c r="M551" s="56"/>
      <c r="N551" s="56" t="b">
        <v>0</v>
      </c>
      <c r="O551" s="56" t="b">
        <v>0</v>
      </c>
      <c r="P551" s="56"/>
      <c r="Q551" s="56"/>
      <c r="R551" s="56"/>
      <c r="S551" s="56"/>
      <c r="T551" s="56"/>
      <c r="U551" s="56"/>
      <c r="V551" s="56"/>
      <c r="W551" s="56"/>
      <c r="X551" s="56"/>
      <c r="Y551" s="56"/>
      <c r="Z551" s="56"/>
      <c r="AA551" s="56"/>
      <c r="AB551" s="56"/>
    </row>
    <row r="552" ht="15.75" customHeight="1">
      <c r="A552" s="57" t="str">
        <f t="shared" si="6"/>
        <v/>
      </c>
      <c r="B552" s="69"/>
      <c r="C552" s="56"/>
      <c r="D552" s="38"/>
      <c r="E552" s="38"/>
      <c r="F552" s="65"/>
      <c r="G552" s="66"/>
      <c r="H552" s="38"/>
      <c r="I552" s="38"/>
      <c r="J552" s="38"/>
      <c r="K552" s="38"/>
      <c r="L552" s="38"/>
      <c r="M552" s="56"/>
      <c r="N552" s="56" t="b">
        <v>0</v>
      </c>
      <c r="O552" s="56" t="b">
        <v>0</v>
      </c>
      <c r="P552" s="56"/>
      <c r="Q552" s="56"/>
      <c r="R552" s="56"/>
      <c r="S552" s="56"/>
      <c r="T552" s="56"/>
      <c r="U552" s="56"/>
      <c r="V552" s="56"/>
      <c r="W552" s="56"/>
      <c r="X552" s="56"/>
      <c r="Y552" s="56"/>
      <c r="Z552" s="56"/>
      <c r="AA552" s="56"/>
      <c r="AB552" s="56"/>
    </row>
    <row r="553" ht="15.75" customHeight="1">
      <c r="A553" s="57" t="str">
        <f t="shared" si="6"/>
        <v/>
      </c>
      <c r="B553" s="58" t="s">
        <v>4836</v>
      </c>
      <c r="C553" s="56" t="s">
        <v>53</v>
      </c>
      <c r="D553" s="56"/>
      <c r="E553" s="56"/>
      <c r="F553" s="89"/>
      <c r="G553" s="90"/>
      <c r="H553" s="56"/>
      <c r="I553" s="56"/>
      <c r="J553" s="56"/>
      <c r="K553" s="68"/>
      <c r="L553" s="38"/>
      <c r="M553" s="56" t="str">
        <f>VLOOKUP(E554,'Hedef Liste'!A:I,9,false)</f>
        <v>#N/A</v>
      </c>
      <c r="N553" s="56" t="b">
        <v>0</v>
      </c>
      <c r="O553" s="56" t="b">
        <v>0</v>
      </c>
      <c r="P553" s="56"/>
      <c r="Q553" s="56"/>
      <c r="R553" s="56"/>
      <c r="S553" s="56"/>
      <c r="T553" s="56"/>
      <c r="U553" s="56"/>
      <c r="V553" s="56"/>
      <c r="W553" s="56"/>
      <c r="X553" s="56"/>
      <c r="Y553" s="56"/>
      <c r="Z553" s="56"/>
      <c r="AA553" s="56"/>
      <c r="AB553" s="56"/>
    </row>
    <row r="554" ht="15.75" customHeight="1">
      <c r="A554" s="57" t="str">
        <f t="shared" si="6"/>
        <v/>
      </c>
      <c r="B554" s="63"/>
      <c r="C554" s="56" t="s">
        <v>53</v>
      </c>
      <c r="D554" s="38"/>
      <c r="E554" s="67"/>
      <c r="F554" s="67"/>
      <c r="G554" s="122"/>
      <c r="H554" s="56"/>
      <c r="I554" s="56"/>
      <c r="J554" s="67"/>
      <c r="K554" s="68"/>
      <c r="L554" s="38"/>
      <c r="M554" s="56" t="str">
        <f>VLOOKUP(#REF!,'Hedef Liste'!A:I,9,false)</f>
        <v>#REF!</v>
      </c>
      <c r="N554" s="56" t="b">
        <v>0</v>
      </c>
      <c r="O554" s="56" t="b">
        <v>0</v>
      </c>
      <c r="P554" s="56"/>
      <c r="Q554" s="56"/>
      <c r="R554" s="56"/>
      <c r="S554" s="56"/>
      <c r="T554" s="56"/>
      <c r="U554" s="56"/>
      <c r="V554" s="56"/>
      <c r="W554" s="56"/>
      <c r="X554" s="56"/>
      <c r="Y554" s="56"/>
      <c r="Z554" s="56"/>
      <c r="AA554" s="56"/>
      <c r="AB554" s="56"/>
    </row>
    <row r="555" ht="15.75" customHeight="1">
      <c r="A555" s="57" t="str">
        <f t="shared" si="6"/>
        <v/>
      </c>
      <c r="B555" s="63"/>
      <c r="C555" s="56" t="s">
        <v>53</v>
      </c>
      <c r="D555" s="38"/>
      <c r="E555" s="67"/>
      <c r="F555" s="67"/>
      <c r="G555" s="66"/>
      <c r="H555" s="38"/>
      <c r="I555" s="38"/>
      <c r="J555" s="67"/>
      <c r="K555" s="68"/>
      <c r="L555" s="38"/>
      <c r="M555" s="56" t="str">
        <f>VLOOKUP(E555,'Hedef Liste'!A:I,9,false)</f>
        <v>#N/A</v>
      </c>
      <c r="N555" s="56" t="b">
        <v>0</v>
      </c>
      <c r="O555" s="56" t="b">
        <v>0</v>
      </c>
      <c r="P555" s="56"/>
      <c r="Q555" s="56"/>
      <c r="R555" s="56"/>
      <c r="S555" s="56"/>
      <c r="T555" s="56"/>
      <c r="U555" s="56"/>
      <c r="V555" s="56"/>
      <c r="W555" s="56"/>
      <c r="X555" s="56"/>
      <c r="Y555" s="56"/>
      <c r="Z555" s="56"/>
      <c r="AA555" s="56"/>
      <c r="AB555" s="56"/>
    </row>
    <row r="556" ht="15.75" customHeight="1">
      <c r="A556" s="57" t="str">
        <f t="shared" si="6"/>
        <v/>
      </c>
      <c r="B556" s="63"/>
      <c r="C556" s="56" t="s">
        <v>53</v>
      </c>
      <c r="D556" s="38"/>
      <c r="E556" s="67"/>
      <c r="F556" s="67"/>
      <c r="G556" s="66"/>
      <c r="H556" s="67"/>
      <c r="I556" s="67"/>
      <c r="J556" s="67"/>
      <c r="K556" s="38"/>
      <c r="L556" s="38"/>
      <c r="M556" s="56" t="str">
        <f>VLOOKUP(#REF!,'Hedef Liste'!A:I,9,false)</f>
        <v>#REF!</v>
      </c>
      <c r="N556" s="56" t="b">
        <v>0</v>
      </c>
      <c r="O556" s="56" t="b">
        <v>0</v>
      </c>
      <c r="P556" s="56"/>
      <c r="Q556" s="56"/>
      <c r="R556" s="56"/>
      <c r="S556" s="56"/>
      <c r="T556" s="56"/>
      <c r="U556" s="56"/>
      <c r="V556" s="56"/>
      <c r="W556" s="56"/>
      <c r="X556" s="56"/>
      <c r="Y556" s="56"/>
      <c r="Z556" s="56"/>
      <c r="AA556" s="56"/>
      <c r="AB556" s="56"/>
    </row>
    <row r="557" ht="15.75" customHeight="1">
      <c r="A557" s="57" t="str">
        <f t="shared" si="6"/>
        <v/>
      </c>
      <c r="B557" s="63"/>
      <c r="C557" s="56"/>
      <c r="D557" s="64"/>
      <c r="E557" s="64"/>
      <c r="F557" s="65"/>
      <c r="G557" s="66"/>
      <c r="H557" s="38"/>
      <c r="I557" s="38"/>
      <c r="J557" s="38"/>
      <c r="K557" s="68"/>
      <c r="L557" s="38"/>
      <c r="M557" s="56"/>
      <c r="N557" s="56" t="b">
        <v>0</v>
      </c>
      <c r="O557" s="56" t="b">
        <v>0</v>
      </c>
      <c r="P557" s="56"/>
      <c r="Q557" s="56"/>
      <c r="R557" s="56"/>
      <c r="S557" s="56"/>
      <c r="T557" s="56"/>
      <c r="U557" s="56"/>
      <c r="V557" s="56"/>
      <c r="W557" s="56"/>
      <c r="X557" s="56"/>
      <c r="Y557" s="56"/>
      <c r="Z557" s="56"/>
      <c r="AA557" s="56"/>
      <c r="AB557" s="56"/>
    </row>
    <row r="558" ht="15.75" customHeight="1">
      <c r="A558" s="57" t="str">
        <f t="shared" si="6"/>
        <v/>
      </c>
      <c r="B558" s="69"/>
      <c r="C558" s="56"/>
      <c r="D558" s="38"/>
      <c r="E558" s="38"/>
      <c r="F558" s="65"/>
      <c r="G558" s="66"/>
      <c r="H558" s="38"/>
      <c r="I558" s="38"/>
      <c r="J558" s="38"/>
      <c r="K558" s="38"/>
      <c r="L558" s="38"/>
      <c r="M558" s="56"/>
      <c r="N558" s="56" t="b">
        <v>0</v>
      </c>
      <c r="O558" s="56" t="b">
        <v>0</v>
      </c>
      <c r="P558" s="56"/>
      <c r="Q558" s="56"/>
      <c r="R558" s="56"/>
      <c r="S558" s="56"/>
      <c r="T558" s="56"/>
      <c r="U558" s="56"/>
      <c r="V558" s="56"/>
      <c r="W558" s="56"/>
      <c r="X558" s="56"/>
      <c r="Y558" s="56"/>
      <c r="Z558" s="56"/>
      <c r="AA558" s="56"/>
      <c r="AB558" s="56"/>
    </row>
    <row r="559" ht="15.75" customHeight="1">
      <c r="A559" s="57" t="str">
        <f t="shared" si="6"/>
        <v/>
      </c>
      <c r="B559" s="58" t="s">
        <v>4850</v>
      </c>
      <c r="C559" s="38" t="s">
        <v>278</v>
      </c>
      <c r="D559" s="38"/>
      <c r="E559" s="67"/>
      <c r="F559" s="67"/>
      <c r="G559" s="122"/>
      <c r="H559" s="56"/>
      <c r="I559" s="56"/>
      <c r="J559" s="67"/>
      <c r="K559" s="38"/>
      <c r="L559" s="38"/>
      <c r="M559" s="56"/>
      <c r="N559" s="56" t="b">
        <v>0</v>
      </c>
      <c r="O559" s="56" t="b">
        <v>0</v>
      </c>
      <c r="P559" s="56"/>
      <c r="Q559" s="56"/>
      <c r="R559" s="56"/>
      <c r="S559" s="56"/>
      <c r="T559" s="56"/>
      <c r="U559" s="56"/>
      <c r="V559" s="56"/>
      <c r="W559" s="56"/>
      <c r="X559" s="56"/>
      <c r="Y559" s="56"/>
      <c r="Z559" s="56"/>
      <c r="AA559" s="56"/>
      <c r="AB559" s="56"/>
    </row>
    <row r="560" ht="15.75" customHeight="1">
      <c r="A560" s="57" t="str">
        <f t="shared" si="6"/>
        <v/>
      </c>
      <c r="B560" s="63"/>
      <c r="C560" s="38" t="s">
        <v>278</v>
      </c>
      <c r="D560" s="38"/>
      <c r="E560" s="67"/>
      <c r="F560" s="67"/>
      <c r="G560" s="122"/>
      <c r="H560" s="38"/>
      <c r="I560" s="67"/>
      <c r="J560" s="67"/>
      <c r="K560" s="38"/>
      <c r="L560" s="38"/>
      <c r="M560" s="56" t="str">
        <f>VLOOKUP(E560,'Hedef Liste'!A:I,9,false)</f>
        <v>#N/A</v>
      </c>
      <c r="N560" s="56" t="b">
        <v>0</v>
      </c>
      <c r="O560" s="56" t="b">
        <v>0</v>
      </c>
      <c r="P560" s="56"/>
      <c r="Q560" s="56"/>
      <c r="R560" s="56"/>
      <c r="S560" s="56"/>
      <c r="T560" s="56"/>
      <c r="U560" s="56"/>
      <c r="V560" s="56"/>
      <c r="W560" s="56"/>
      <c r="X560" s="56"/>
      <c r="Y560" s="56"/>
      <c r="Z560" s="56"/>
      <c r="AA560" s="56"/>
      <c r="AB560" s="56"/>
    </row>
    <row r="561" ht="15.75" customHeight="1">
      <c r="A561" s="57" t="str">
        <f t="shared" si="6"/>
        <v/>
      </c>
      <c r="B561" s="63"/>
      <c r="C561" s="38" t="s">
        <v>278</v>
      </c>
      <c r="D561" s="38"/>
      <c r="E561" s="67"/>
      <c r="F561" s="67"/>
      <c r="G561" s="66"/>
      <c r="H561" s="67"/>
      <c r="I561" s="67"/>
      <c r="J561" s="67"/>
      <c r="K561" s="38"/>
      <c r="L561" s="38"/>
      <c r="M561" s="56" t="str">
        <f>VLOOKUP(E561,'Hedef Liste'!A:I,9,false)</f>
        <v>#N/A</v>
      </c>
      <c r="N561" s="56" t="b">
        <v>0</v>
      </c>
      <c r="O561" s="56" t="b">
        <v>0</v>
      </c>
      <c r="P561" s="56"/>
      <c r="Q561" s="56"/>
      <c r="R561" s="56"/>
      <c r="S561" s="56"/>
      <c r="T561" s="56"/>
      <c r="U561" s="56"/>
      <c r="V561" s="56"/>
      <c r="W561" s="56"/>
      <c r="X561" s="56"/>
      <c r="Y561" s="56"/>
      <c r="Z561" s="56"/>
      <c r="AA561" s="56"/>
      <c r="AB561" s="56"/>
    </row>
    <row r="562" ht="15.75" customHeight="1">
      <c r="A562" s="57" t="str">
        <f t="shared" si="6"/>
        <v/>
      </c>
      <c r="B562" s="63"/>
      <c r="C562" s="38" t="s">
        <v>278</v>
      </c>
      <c r="D562" s="38"/>
      <c r="E562" s="67"/>
      <c r="F562" s="67"/>
      <c r="G562" s="66"/>
      <c r="H562" s="38"/>
      <c r="I562" s="38"/>
      <c r="J562" s="67"/>
      <c r="K562" s="38"/>
      <c r="L562" s="38"/>
      <c r="M562" s="56" t="str">
        <f>VLOOKUP(E562,'Hedef Liste'!A:I,9,false)</f>
        <v>#N/A</v>
      </c>
      <c r="N562" s="56" t="b">
        <v>0</v>
      </c>
      <c r="O562" s="56" t="b">
        <v>0</v>
      </c>
      <c r="P562" s="56"/>
      <c r="Q562" s="56"/>
      <c r="R562" s="56"/>
      <c r="S562" s="56"/>
      <c r="T562" s="56"/>
      <c r="U562" s="56"/>
      <c r="V562" s="56"/>
      <c r="W562" s="56"/>
      <c r="X562" s="56"/>
      <c r="Y562" s="56"/>
      <c r="Z562" s="56"/>
      <c r="AA562" s="56"/>
      <c r="AB562" s="56"/>
    </row>
    <row r="563" ht="15.75" customHeight="1">
      <c r="A563" s="57" t="str">
        <f t="shared" si="6"/>
        <v/>
      </c>
      <c r="B563" s="63"/>
      <c r="C563" s="38"/>
      <c r="D563" s="38"/>
      <c r="E563" s="38"/>
      <c r="F563" s="65"/>
      <c r="G563" s="66"/>
      <c r="H563" s="38"/>
      <c r="I563" s="38"/>
      <c r="J563" s="38"/>
      <c r="K563" s="38"/>
      <c r="L563" s="38"/>
      <c r="M563" s="56" t="str">
        <f>VLOOKUP(E563,'Hedef Liste'!A:I,9,false)</f>
        <v>#N/A</v>
      </c>
      <c r="N563" s="56" t="b">
        <v>0</v>
      </c>
      <c r="O563" s="56" t="b">
        <v>0</v>
      </c>
      <c r="P563" s="56"/>
      <c r="Q563" s="56"/>
      <c r="R563" s="56"/>
      <c r="S563" s="56"/>
      <c r="T563" s="56"/>
      <c r="U563" s="56"/>
      <c r="V563" s="56"/>
      <c r="W563" s="56"/>
      <c r="X563" s="56"/>
      <c r="Y563" s="56"/>
      <c r="Z563" s="56"/>
      <c r="AA563" s="56"/>
      <c r="AB563" s="56"/>
    </row>
    <row r="564" ht="15.75" customHeight="1">
      <c r="A564" s="57" t="str">
        <f t="shared" si="6"/>
        <v/>
      </c>
      <c r="B564" s="69"/>
      <c r="C564" s="56"/>
      <c r="D564" s="38"/>
      <c r="E564" s="38"/>
      <c r="F564" s="65"/>
      <c r="G564" s="66"/>
      <c r="H564" s="38"/>
      <c r="I564" s="38"/>
      <c r="J564" s="38"/>
      <c r="K564" s="38"/>
      <c r="L564" s="38"/>
      <c r="M564" s="56"/>
      <c r="N564" s="56" t="b">
        <v>0</v>
      </c>
      <c r="O564" s="56" t="b">
        <v>0</v>
      </c>
      <c r="P564" s="56"/>
      <c r="Q564" s="56"/>
      <c r="R564" s="56"/>
      <c r="S564" s="56"/>
      <c r="T564" s="56"/>
      <c r="U564" s="56"/>
      <c r="V564" s="56"/>
      <c r="W564" s="56"/>
      <c r="X564" s="56"/>
      <c r="Y564" s="56"/>
      <c r="Z564" s="56"/>
      <c r="AA564" s="56"/>
      <c r="AB564" s="56"/>
    </row>
    <row r="565" ht="15.75" customHeight="1">
      <c r="A565" s="57" t="str">
        <f>#REF!</f>
        <v>#REF!</v>
      </c>
      <c r="B565" s="51"/>
      <c r="C565" s="52">
        <v>44309.0</v>
      </c>
      <c r="D565" s="38"/>
      <c r="E565" s="153" t="s">
        <v>5686</v>
      </c>
      <c r="F565" s="54"/>
      <c r="G565" s="54"/>
      <c r="H565" s="54"/>
      <c r="I565" s="54"/>
      <c r="J565" s="54"/>
      <c r="K565" s="54"/>
      <c r="L565" s="55"/>
      <c r="M565" s="56"/>
      <c r="N565" s="56"/>
      <c r="O565" s="56"/>
      <c r="P565" s="56"/>
      <c r="Q565" s="56"/>
      <c r="R565" s="56"/>
      <c r="S565" s="56"/>
      <c r="T565" s="56"/>
      <c r="U565" s="56"/>
      <c r="V565" s="56"/>
      <c r="W565" s="56"/>
      <c r="X565" s="56"/>
      <c r="Y565" s="56"/>
      <c r="Z565" s="56"/>
      <c r="AA565" s="56"/>
      <c r="AB565" s="56"/>
    </row>
    <row r="566" ht="15.75" customHeight="1">
      <c r="A566" s="57" t="str">
        <f t="shared" ref="A566:A604" si="7">E566</f>
        <v/>
      </c>
      <c r="B566" s="58" t="s">
        <v>4827</v>
      </c>
      <c r="C566" s="56" t="s">
        <v>66</v>
      </c>
      <c r="D566" s="56"/>
      <c r="E566" s="56"/>
      <c r="F566" s="56"/>
      <c r="G566" s="90"/>
      <c r="H566" s="56"/>
      <c r="I566" s="56"/>
      <c r="J566" s="56"/>
      <c r="K566" s="68"/>
      <c r="L566" s="38"/>
      <c r="M566" s="56" t="str">
        <f>VLOOKUP(#REF!,'Hedef Liste'!A:I,9,false)</f>
        <v>#REF!</v>
      </c>
      <c r="N566" s="56" t="b">
        <v>0</v>
      </c>
      <c r="O566" s="56" t="b">
        <v>0</v>
      </c>
      <c r="P566" s="56"/>
      <c r="Q566" s="56"/>
      <c r="R566" s="56"/>
      <c r="S566" s="56"/>
      <c r="T566" s="56"/>
      <c r="U566" s="56"/>
      <c r="V566" s="56"/>
      <c r="W566" s="56"/>
      <c r="X566" s="56"/>
      <c r="Y566" s="56"/>
      <c r="Z566" s="56"/>
      <c r="AA566" s="56"/>
      <c r="AB566" s="56"/>
    </row>
    <row r="567" ht="15.75" customHeight="1">
      <c r="A567" s="57" t="str">
        <f t="shared" si="7"/>
        <v>5fdf309dd3f42b5253aea0a0</v>
      </c>
      <c r="B567" s="63"/>
      <c r="C567" s="56" t="s">
        <v>66</v>
      </c>
      <c r="D567" s="38" t="s">
        <v>52</v>
      </c>
      <c r="E567" s="67" t="s">
        <v>1684</v>
      </c>
      <c r="F567" s="67" t="s">
        <v>1685</v>
      </c>
      <c r="G567" s="122">
        <v>0.4166666666666667</v>
      </c>
      <c r="H567" s="56" t="s">
        <v>5142</v>
      </c>
      <c r="I567" s="67" t="s">
        <v>5687</v>
      </c>
      <c r="J567" s="67" t="s">
        <v>1687</v>
      </c>
      <c r="K567" s="68"/>
      <c r="L567" s="38"/>
      <c r="M567" s="56">
        <f>VLOOKUP(E567,'Hedef Liste'!A:I,9,false)</f>
        <v>89</v>
      </c>
      <c r="N567" s="56" t="b">
        <v>0</v>
      </c>
      <c r="O567" s="56" t="b">
        <v>0</v>
      </c>
      <c r="P567" s="56"/>
      <c r="Q567" s="56"/>
      <c r="R567" s="56"/>
      <c r="S567" s="56"/>
      <c r="T567" s="56"/>
      <c r="U567" s="56"/>
      <c r="V567" s="56"/>
      <c r="W567" s="56"/>
      <c r="X567" s="56"/>
      <c r="Y567" s="56"/>
      <c r="Z567" s="56"/>
      <c r="AA567" s="56"/>
      <c r="AB567" s="56"/>
    </row>
    <row r="568" ht="15.75" customHeight="1">
      <c r="A568" s="57" t="str">
        <f t="shared" si="7"/>
        <v>5fdf3a5edaff164c676db02a</v>
      </c>
      <c r="B568" s="63"/>
      <c r="C568" s="56" t="s">
        <v>66</v>
      </c>
      <c r="D568" s="56" t="s">
        <v>52</v>
      </c>
      <c r="E568" s="67" t="s">
        <v>1689</v>
      </c>
      <c r="F568" s="67" t="s">
        <v>1690</v>
      </c>
      <c r="G568" s="79">
        <v>0.5</v>
      </c>
      <c r="H568" s="56" t="s">
        <v>4832</v>
      </c>
      <c r="I568" s="56" t="s">
        <v>5688</v>
      </c>
      <c r="J568" s="67" t="s">
        <v>1692</v>
      </c>
      <c r="K568" s="38"/>
      <c r="L568" s="38"/>
      <c r="M568" s="56" t="str">
        <f>VLOOKUP(E575,'Hedef Liste'!A:I,9,false)</f>
        <v>#N/A</v>
      </c>
      <c r="N568" s="56" t="b">
        <v>0</v>
      </c>
      <c r="O568" s="56" t="b">
        <v>0</v>
      </c>
      <c r="P568" s="56"/>
      <c r="Q568" s="56"/>
      <c r="R568" s="56"/>
      <c r="S568" s="56"/>
      <c r="T568" s="56"/>
      <c r="U568" s="56"/>
      <c r="V568" s="56"/>
      <c r="W568" s="56"/>
      <c r="X568" s="56"/>
      <c r="Y568" s="56"/>
      <c r="Z568" s="56"/>
      <c r="AA568" s="56"/>
      <c r="AB568" s="56"/>
    </row>
    <row r="569" ht="15.75" customHeight="1">
      <c r="A569" s="57" t="str">
        <f t="shared" si="7"/>
        <v>5fdf3e8e24561e176695d04e</v>
      </c>
      <c r="B569" s="63"/>
      <c r="C569" s="56" t="s">
        <v>66</v>
      </c>
      <c r="D569" s="38" t="s">
        <v>52</v>
      </c>
      <c r="E569" s="67" t="s">
        <v>2122</v>
      </c>
      <c r="F569" s="67" t="s">
        <v>2123</v>
      </c>
      <c r="G569" s="122">
        <v>0.5833333333333334</v>
      </c>
      <c r="H569" s="38" t="s">
        <v>5689</v>
      </c>
      <c r="I569" s="67" t="s">
        <v>5690</v>
      </c>
      <c r="J569" s="67" t="s">
        <v>2125</v>
      </c>
      <c r="K569" s="38"/>
      <c r="L569" s="38"/>
      <c r="M569" s="56">
        <f>VLOOKUP(E569,'Hedef Liste'!A:I,9,false)</f>
        <v>76</v>
      </c>
      <c r="N569" s="56" t="b">
        <v>0</v>
      </c>
      <c r="O569" s="56" t="b">
        <v>0</v>
      </c>
      <c r="P569" s="56"/>
      <c r="Q569" s="56"/>
      <c r="R569" s="56"/>
      <c r="S569" s="56"/>
      <c r="T569" s="56"/>
      <c r="U569" s="56"/>
      <c r="V569" s="56"/>
      <c r="W569" s="56"/>
      <c r="X569" s="56"/>
      <c r="Y569" s="56"/>
      <c r="Z569" s="56"/>
      <c r="AA569" s="56"/>
      <c r="AB569" s="56"/>
    </row>
    <row r="570" ht="15.75" customHeight="1">
      <c r="A570" s="57" t="str">
        <f t="shared" si="7"/>
        <v/>
      </c>
      <c r="B570" s="63"/>
      <c r="C570" s="56"/>
      <c r="D570" s="38"/>
      <c r="E570" s="67"/>
      <c r="F570" s="67"/>
      <c r="G570" s="66"/>
      <c r="H570" s="38"/>
      <c r="I570" s="38"/>
      <c r="J570" s="38"/>
      <c r="K570" s="68"/>
      <c r="L570" s="38"/>
      <c r="M570" s="56"/>
      <c r="N570" s="56" t="b">
        <v>0</v>
      </c>
      <c r="O570" s="56" t="b">
        <v>0</v>
      </c>
      <c r="P570" s="56"/>
      <c r="Q570" s="56"/>
      <c r="R570" s="56"/>
      <c r="S570" s="56"/>
      <c r="T570" s="56"/>
      <c r="U570" s="56"/>
      <c r="V570" s="56"/>
      <c r="W570" s="56"/>
      <c r="X570" s="56"/>
      <c r="Y570" s="56"/>
      <c r="Z570" s="56"/>
      <c r="AA570" s="56"/>
      <c r="AB570" s="56"/>
    </row>
    <row r="571" ht="15.75" customHeight="1">
      <c r="A571" s="57" t="str">
        <f t="shared" si="7"/>
        <v/>
      </c>
      <c r="B571" s="69"/>
      <c r="C571" s="56"/>
      <c r="D571" s="38"/>
      <c r="E571" s="38"/>
      <c r="F571" s="65"/>
      <c r="G571" s="66"/>
      <c r="H571" s="38"/>
      <c r="I571" s="38"/>
      <c r="J571" s="38"/>
      <c r="K571" s="38"/>
      <c r="L571" s="38"/>
      <c r="M571" s="56"/>
      <c r="N571" s="56" t="b">
        <v>0</v>
      </c>
      <c r="O571" s="56" t="b">
        <v>0</v>
      </c>
      <c r="P571" s="56"/>
      <c r="Q571" s="56"/>
      <c r="R571" s="56"/>
      <c r="S571" s="56"/>
      <c r="T571" s="56"/>
      <c r="U571" s="56"/>
      <c r="V571" s="56"/>
      <c r="W571" s="56"/>
      <c r="X571" s="56"/>
      <c r="Y571" s="56"/>
      <c r="Z571" s="56"/>
      <c r="AA571" s="56"/>
      <c r="AB571" s="56"/>
    </row>
    <row r="572" ht="15.75" customHeight="1">
      <c r="A572" s="57" t="str">
        <f t="shared" si="7"/>
        <v/>
      </c>
      <c r="B572" s="58" t="s">
        <v>4836</v>
      </c>
      <c r="C572" s="56" t="s">
        <v>53</v>
      </c>
      <c r="D572" s="56"/>
      <c r="E572" s="56"/>
      <c r="F572" s="89"/>
      <c r="G572" s="90"/>
      <c r="H572" s="56"/>
      <c r="I572" s="56"/>
      <c r="J572" s="56"/>
      <c r="K572" s="68"/>
      <c r="L572" s="38"/>
      <c r="M572" s="56" t="str">
        <f>VLOOKUP(E573,'Hedef Liste'!A:I,9,false)</f>
        <v>#N/A</v>
      </c>
      <c r="N572" s="56" t="b">
        <v>0</v>
      </c>
      <c r="O572" s="56" t="b">
        <v>0</v>
      </c>
      <c r="P572" s="56"/>
      <c r="Q572" s="56"/>
      <c r="R572" s="56"/>
      <c r="S572" s="56"/>
      <c r="T572" s="56"/>
      <c r="U572" s="56"/>
      <c r="V572" s="56"/>
      <c r="W572" s="56"/>
      <c r="X572" s="56"/>
      <c r="Y572" s="56"/>
      <c r="Z572" s="56"/>
      <c r="AA572" s="56"/>
      <c r="AB572" s="56"/>
    </row>
    <row r="573" ht="15.75" customHeight="1">
      <c r="A573" s="57" t="str">
        <f t="shared" si="7"/>
        <v/>
      </c>
      <c r="B573" s="63"/>
      <c r="C573" s="56" t="s">
        <v>53</v>
      </c>
      <c r="D573" s="38"/>
      <c r="E573" s="67"/>
      <c r="F573" s="67"/>
      <c r="G573" s="122"/>
      <c r="H573" s="56"/>
      <c r="I573" s="56"/>
      <c r="J573" s="67"/>
      <c r="K573" s="68"/>
      <c r="L573" s="38"/>
      <c r="M573" s="56" t="str">
        <f>VLOOKUP(#REF!,'Hedef Liste'!A:I,9,false)</f>
        <v>#REF!</v>
      </c>
      <c r="N573" s="56" t="b">
        <v>0</v>
      </c>
      <c r="O573" s="56" t="b">
        <v>0</v>
      </c>
      <c r="P573" s="56"/>
      <c r="Q573" s="56"/>
      <c r="R573" s="56"/>
      <c r="S573" s="56"/>
      <c r="T573" s="56"/>
      <c r="U573" s="56"/>
      <c r="V573" s="56"/>
      <c r="W573" s="56"/>
      <c r="X573" s="56"/>
      <c r="Y573" s="56"/>
      <c r="Z573" s="56"/>
      <c r="AA573" s="56"/>
      <c r="AB573" s="56"/>
    </row>
    <row r="574" ht="15.75" customHeight="1">
      <c r="A574" s="57" t="str">
        <f t="shared" si="7"/>
        <v/>
      </c>
      <c r="B574" s="63"/>
      <c r="C574" s="56" t="s">
        <v>53</v>
      </c>
      <c r="D574" s="38"/>
      <c r="E574" s="67"/>
      <c r="F574" s="67"/>
      <c r="G574" s="66"/>
      <c r="H574" s="38"/>
      <c r="I574" s="38"/>
      <c r="J574" s="67"/>
      <c r="K574" s="68"/>
      <c r="L574" s="38"/>
      <c r="M574" s="56" t="str">
        <f>VLOOKUP(E574,'Hedef Liste'!A:I,9,false)</f>
        <v>#N/A</v>
      </c>
      <c r="N574" s="56" t="b">
        <v>0</v>
      </c>
      <c r="O574" s="56" t="b">
        <v>0</v>
      </c>
      <c r="P574" s="56"/>
      <c r="Q574" s="56"/>
      <c r="R574" s="56"/>
      <c r="S574" s="56"/>
      <c r="T574" s="56"/>
      <c r="U574" s="56"/>
      <c r="V574" s="56"/>
      <c r="W574" s="56"/>
      <c r="X574" s="56"/>
      <c r="Y574" s="56"/>
      <c r="Z574" s="56"/>
      <c r="AA574" s="56"/>
      <c r="AB574" s="56"/>
    </row>
    <row r="575" ht="15.75" customHeight="1">
      <c r="A575" s="57" t="str">
        <f t="shared" si="7"/>
        <v/>
      </c>
      <c r="B575" s="63"/>
      <c r="C575" s="56" t="s">
        <v>53</v>
      </c>
      <c r="D575" s="38"/>
      <c r="E575" s="67"/>
      <c r="F575" s="67"/>
      <c r="G575" s="66"/>
      <c r="H575" s="67"/>
      <c r="I575" s="67"/>
      <c r="J575" s="67"/>
      <c r="K575" s="38"/>
      <c r="L575" s="38"/>
      <c r="M575" s="56" t="str">
        <f>VLOOKUP(#REF!,'Hedef Liste'!A:I,9,false)</f>
        <v>#REF!</v>
      </c>
      <c r="N575" s="56" t="b">
        <v>0</v>
      </c>
      <c r="O575" s="56" t="b">
        <v>0</v>
      </c>
      <c r="P575" s="56"/>
      <c r="Q575" s="56"/>
      <c r="R575" s="56"/>
      <c r="S575" s="56"/>
      <c r="T575" s="56"/>
      <c r="U575" s="56"/>
      <c r="V575" s="56"/>
      <c r="W575" s="56"/>
      <c r="X575" s="56"/>
      <c r="Y575" s="56"/>
      <c r="Z575" s="56"/>
      <c r="AA575" s="56"/>
      <c r="AB575" s="56"/>
    </row>
    <row r="576" ht="15.75" customHeight="1">
      <c r="A576" s="57" t="str">
        <f t="shared" si="7"/>
        <v/>
      </c>
      <c r="B576" s="63"/>
      <c r="C576" s="56"/>
      <c r="D576" s="64"/>
      <c r="E576" s="64"/>
      <c r="F576" s="65"/>
      <c r="G576" s="66"/>
      <c r="H576" s="38"/>
      <c r="I576" s="38"/>
      <c r="J576" s="38"/>
      <c r="K576" s="68"/>
      <c r="L576" s="38"/>
      <c r="M576" s="56"/>
      <c r="N576" s="56" t="b">
        <v>0</v>
      </c>
      <c r="O576" s="56" t="b">
        <v>0</v>
      </c>
      <c r="P576" s="56"/>
      <c r="Q576" s="56"/>
      <c r="R576" s="56"/>
      <c r="S576" s="56"/>
      <c r="T576" s="56"/>
      <c r="U576" s="56"/>
      <c r="V576" s="56"/>
      <c r="W576" s="56"/>
      <c r="X576" s="56"/>
      <c r="Y576" s="56"/>
      <c r="Z576" s="56"/>
      <c r="AA576" s="56"/>
      <c r="AB576" s="56"/>
    </row>
    <row r="577" ht="15.75" customHeight="1">
      <c r="A577" s="57" t="str">
        <f t="shared" si="7"/>
        <v/>
      </c>
      <c r="B577" s="69"/>
      <c r="C577" s="56"/>
      <c r="D577" s="38"/>
      <c r="E577" s="38"/>
      <c r="F577" s="65"/>
      <c r="G577" s="66"/>
      <c r="H577" s="38"/>
      <c r="I577" s="38"/>
      <c r="J577" s="38"/>
      <c r="K577" s="38"/>
      <c r="L577" s="38"/>
      <c r="M577" s="56"/>
      <c r="N577" s="56" t="b">
        <v>0</v>
      </c>
      <c r="O577" s="56" t="b">
        <v>0</v>
      </c>
      <c r="P577" s="56"/>
      <c r="Q577" s="56"/>
      <c r="R577" s="56"/>
      <c r="S577" s="56"/>
      <c r="T577" s="56"/>
      <c r="U577" s="56"/>
      <c r="V577" s="56"/>
      <c r="W577" s="56"/>
      <c r="X577" s="56"/>
      <c r="Y577" s="56"/>
      <c r="Z577" s="56"/>
      <c r="AA577" s="56"/>
      <c r="AB577" s="56"/>
    </row>
    <row r="578" ht="15.75" customHeight="1">
      <c r="A578" s="57" t="str">
        <f t="shared" si="7"/>
        <v/>
      </c>
      <c r="B578" s="58" t="s">
        <v>4850</v>
      </c>
      <c r="C578" s="38" t="s">
        <v>278</v>
      </c>
      <c r="D578" s="38"/>
      <c r="E578" s="67"/>
      <c r="F578" s="67"/>
      <c r="G578" s="122"/>
      <c r="H578" s="56"/>
      <c r="I578" s="56"/>
      <c r="J578" s="67"/>
      <c r="K578" s="38"/>
      <c r="L578" s="38"/>
      <c r="M578" s="56"/>
      <c r="N578" s="56" t="b">
        <v>0</v>
      </c>
      <c r="O578" s="56" t="b">
        <v>0</v>
      </c>
      <c r="P578" s="56"/>
      <c r="Q578" s="56"/>
      <c r="R578" s="56"/>
      <c r="S578" s="56"/>
      <c r="T578" s="56"/>
      <c r="U578" s="56"/>
      <c r="V578" s="56"/>
      <c r="W578" s="56"/>
      <c r="X578" s="56"/>
      <c r="Y578" s="56"/>
      <c r="Z578" s="56"/>
      <c r="AA578" s="56"/>
      <c r="AB578" s="56"/>
    </row>
    <row r="579" ht="15.75" customHeight="1">
      <c r="A579" s="57" t="str">
        <f t="shared" si="7"/>
        <v/>
      </c>
      <c r="B579" s="63"/>
      <c r="C579" s="38" t="s">
        <v>278</v>
      </c>
      <c r="D579" s="38"/>
      <c r="E579" s="67"/>
      <c r="F579" s="67"/>
      <c r="G579" s="122"/>
      <c r="H579" s="38"/>
      <c r="I579" s="67"/>
      <c r="J579" s="67"/>
      <c r="K579" s="38"/>
      <c r="L579" s="38"/>
      <c r="M579" s="56" t="str">
        <f>VLOOKUP(E579,'Hedef Liste'!A:I,9,false)</f>
        <v>#N/A</v>
      </c>
      <c r="N579" s="56" t="b">
        <v>0</v>
      </c>
      <c r="O579" s="56" t="b">
        <v>0</v>
      </c>
      <c r="P579" s="56"/>
      <c r="Q579" s="56"/>
      <c r="R579" s="56"/>
      <c r="S579" s="56"/>
      <c r="T579" s="56"/>
      <c r="U579" s="56"/>
      <c r="V579" s="56"/>
      <c r="W579" s="56"/>
      <c r="X579" s="56"/>
      <c r="Y579" s="56"/>
      <c r="Z579" s="56"/>
      <c r="AA579" s="56"/>
      <c r="AB579" s="56"/>
    </row>
    <row r="580" ht="15.75" customHeight="1">
      <c r="A580" s="57" t="str">
        <f t="shared" si="7"/>
        <v/>
      </c>
      <c r="B580" s="63"/>
      <c r="C580" s="38" t="s">
        <v>278</v>
      </c>
      <c r="D580" s="38"/>
      <c r="E580" s="67"/>
      <c r="F580" s="67"/>
      <c r="G580" s="66"/>
      <c r="H580" s="67"/>
      <c r="I580" s="67"/>
      <c r="J580" s="67"/>
      <c r="K580" s="38"/>
      <c r="L580" s="38"/>
      <c r="M580" s="56" t="str">
        <f>VLOOKUP(E580,'Hedef Liste'!A:I,9,false)</f>
        <v>#N/A</v>
      </c>
      <c r="N580" s="56" t="b">
        <v>0</v>
      </c>
      <c r="O580" s="56" t="b">
        <v>0</v>
      </c>
      <c r="P580" s="56"/>
      <c r="Q580" s="56"/>
      <c r="R580" s="56"/>
      <c r="S580" s="56"/>
      <c r="T580" s="56"/>
      <c r="U580" s="56"/>
      <c r="V580" s="56"/>
      <c r="W580" s="56"/>
      <c r="X580" s="56"/>
      <c r="Y580" s="56"/>
      <c r="Z580" s="56"/>
      <c r="AA580" s="56"/>
      <c r="AB580" s="56"/>
    </row>
    <row r="581" ht="15.75" customHeight="1">
      <c r="A581" s="57" t="str">
        <f t="shared" si="7"/>
        <v/>
      </c>
      <c r="B581" s="63"/>
      <c r="C581" s="38" t="s">
        <v>278</v>
      </c>
      <c r="D581" s="38"/>
      <c r="E581" s="67"/>
      <c r="F581" s="67"/>
      <c r="G581" s="66"/>
      <c r="H581" s="38"/>
      <c r="I581" s="38"/>
      <c r="J581" s="67"/>
      <c r="K581" s="38"/>
      <c r="L581" s="38"/>
      <c r="M581" s="56" t="str">
        <f>VLOOKUP(E581,'Hedef Liste'!A:I,9,false)</f>
        <v>#N/A</v>
      </c>
      <c r="N581" s="56" t="b">
        <v>0</v>
      </c>
      <c r="O581" s="56" t="b">
        <v>0</v>
      </c>
      <c r="P581" s="56"/>
      <c r="Q581" s="56"/>
      <c r="R581" s="56"/>
      <c r="S581" s="56"/>
      <c r="T581" s="56"/>
      <c r="U581" s="56"/>
      <c r="V581" s="56"/>
      <c r="W581" s="56"/>
      <c r="X581" s="56"/>
      <c r="Y581" s="56"/>
      <c r="Z581" s="56"/>
      <c r="AA581" s="56"/>
      <c r="AB581" s="56"/>
    </row>
    <row r="582" ht="15.75" customHeight="1">
      <c r="A582" s="57" t="str">
        <f t="shared" si="7"/>
        <v/>
      </c>
      <c r="B582" s="63"/>
      <c r="C582" s="38"/>
      <c r="D582" s="38"/>
      <c r="E582" s="38"/>
      <c r="F582" s="65"/>
      <c r="G582" s="66"/>
      <c r="H582" s="38"/>
      <c r="I582" s="38"/>
      <c r="J582" s="38"/>
      <c r="K582" s="38"/>
      <c r="L582" s="38"/>
      <c r="M582" s="56" t="str">
        <f>VLOOKUP(E582,'Hedef Liste'!A:I,9,false)</f>
        <v>#N/A</v>
      </c>
      <c r="N582" s="56" t="b">
        <v>0</v>
      </c>
      <c r="O582" s="56" t="b">
        <v>0</v>
      </c>
      <c r="P582" s="56"/>
      <c r="Q582" s="56"/>
      <c r="R582" s="56"/>
      <c r="S582" s="56"/>
      <c r="T582" s="56"/>
      <c r="U582" s="56"/>
      <c r="V582" s="56"/>
      <c r="W582" s="56"/>
      <c r="X582" s="56"/>
      <c r="Y582" s="56"/>
      <c r="Z582" s="56"/>
      <c r="AA582" s="56"/>
      <c r="AB582" s="56"/>
    </row>
    <row r="583" ht="15.75" customHeight="1">
      <c r="A583" s="57" t="str">
        <f t="shared" si="7"/>
        <v/>
      </c>
      <c r="B583" s="69"/>
      <c r="C583" s="56"/>
      <c r="D583" s="38"/>
      <c r="E583" s="38"/>
      <c r="F583" s="65"/>
      <c r="G583" s="66"/>
      <c r="H583" s="38"/>
      <c r="I583" s="38"/>
      <c r="J583" s="38"/>
      <c r="K583" s="38"/>
      <c r="L583" s="38"/>
      <c r="M583" s="56"/>
      <c r="N583" s="56" t="b">
        <v>0</v>
      </c>
      <c r="O583" s="56" t="b">
        <v>0</v>
      </c>
      <c r="P583" s="56"/>
      <c r="Q583" s="56"/>
      <c r="R583" s="56"/>
      <c r="S583" s="56"/>
      <c r="T583" s="56"/>
      <c r="U583" s="56"/>
      <c r="V583" s="56"/>
      <c r="W583" s="56"/>
      <c r="X583" s="56"/>
      <c r="Y583" s="56"/>
      <c r="Z583" s="56"/>
      <c r="AA583" s="56"/>
      <c r="AB583" s="56"/>
    </row>
    <row r="584" ht="15.75" customHeight="1">
      <c r="A584" s="57" t="str">
        <f t="shared" si="7"/>
        <v/>
      </c>
      <c r="B584" s="51"/>
      <c r="C584" s="52">
        <v>44333.0</v>
      </c>
      <c r="D584" s="38"/>
      <c r="E584" s="38"/>
      <c r="F584" s="65"/>
      <c r="G584" s="66"/>
      <c r="H584" s="38"/>
      <c r="I584" s="38"/>
      <c r="J584" s="38"/>
      <c r="K584" s="38"/>
      <c r="L584" s="38"/>
      <c r="M584" s="56"/>
      <c r="N584" s="56" t="b">
        <v>0</v>
      </c>
      <c r="O584" s="56" t="b">
        <v>0</v>
      </c>
      <c r="P584" s="56"/>
      <c r="Q584" s="56"/>
      <c r="R584" s="56"/>
      <c r="S584" s="56"/>
      <c r="T584" s="56"/>
      <c r="U584" s="56"/>
      <c r="V584" s="56"/>
      <c r="W584" s="56"/>
      <c r="X584" s="56"/>
      <c r="Y584" s="56"/>
      <c r="Z584" s="56"/>
      <c r="AA584" s="56"/>
      <c r="AB584" s="56"/>
    </row>
    <row r="585" ht="15.75" customHeight="1">
      <c r="A585" s="57" t="str">
        <f t="shared" si="7"/>
        <v>605b8cb763464d21c7f3cb06</v>
      </c>
      <c r="B585" s="58" t="s">
        <v>4827</v>
      </c>
      <c r="C585" s="56" t="s">
        <v>66</v>
      </c>
      <c r="D585" s="76" t="s">
        <v>52</v>
      </c>
      <c r="E585" s="77" t="s">
        <v>3096</v>
      </c>
      <c r="F585" s="77" t="s">
        <v>3097</v>
      </c>
      <c r="G585" s="120">
        <v>0.4583333333333333</v>
      </c>
      <c r="H585" s="93" t="s">
        <v>5133</v>
      </c>
      <c r="I585" s="93" t="s">
        <v>5559</v>
      </c>
      <c r="J585" s="77" t="s">
        <v>3099</v>
      </c>
      <c r="K585" s="38"/>
      <c r="L585" s="38"/>
      <c r="M585" s="56"/>
      <c r="N585" s="56" t="b">
        <v>0</v>
      </c>
      <c r="O585" s="56" t="b">
        <v>0</v>
      </c>
      <c r="P585" s="56"/>
      <c r="Q585" s="56"/>
      <c r="R585" s="56"/>
      <c r="S585" s="56"/>
      <c r="T585" s="56"/>
      <c r="U585" s="56"/>
      <c r="V585" s="56"/>
      <c r="W585" s="56"/>
      <c r="X585" s="56"/>
      <c r="Y585" s="56"/>
      <c r="Z585" s="56"/>
      <c r="AA585" s="56"/>
      <c r="AB585" s="56"/>
    </row>
    <row r="586" ht="15.75" customHeight="1">
      <c r="A586" s="57" t="str">
        <f t="shared" si="7"/>
        <v>607d9e8b1dc0b088050a3086</v>
      </c>
      <c r="B586" s="63"/>
      <c r="C586" s="56" t="s">
        <v>66</v>
      </c>
      <c r="D586" s="38" t="s">
        <v>1470</v>
      </c>
      <c r="E586" s="67" t="s">
        <v>1466</v>
      </c>
      <c r="F586" s="67" t="s">
        <v>1467</v>
      </c>
      <c r="G586" s="122">
        <v>0.5208333333333334</v>
      </c>
      <c r="H586" s="67" t="s">
        <v>4968</v>
      </c>
      <c r="I586" s="67" t="s">
        <v>5691</v>
      </c>
      <c r="J586" s="67" t="s">
        <v>1469</v>
      </c>
      <c r="K586" s="38"/>
      <c r="L586" s="38"/>
      <c r="M586" s="56"/>
      <c r="N586" s="56" t="b">
        <v>0</v>
      </c>
      <c r="O586" s="56" t="b">
        <v>0</v>
      </c>
      <c r="P586" s="56"/>
      <c r="Q586" s="56"/>
      <c r="R586" s="56"/>
      <c r="S586" s="56"/>
      <c r="T586" s="56"/>
      <c r="U586" s="56"/>
      <c r="V586" s="56"/>
      <c r="W586" s="56"/>
      <c r="X586" s="56"/>
      <c r="Y586" s="56"/>
      <c r="Z586" s="56"/>
      <c r="AA586" s="56"/>
      <c r="AB586" s="56"/>
    </row>
    <row r="587" ht="15.75" customHeight="1">
      <c r="A587" s="57" t="str">
        <f t="shared" si="7"/>
        <v>60799e7bd4c524002d6168cd</v>
      </c>
      <c r="B587" s="63"/>
      <c r="C587" s="56" t="s">
        <v>66</v>
      </c>
      <c r="D587" s="62" t="s">
        <v>52</v>
      </c>
      <c r="E587" s="59" t="s">
        <v>4188</v>
      </c>
      <c r="F587" s="59" t="s">
        <v>4189</v>
      </c>
      <c r="G587" s="61">
        <v>0.5833333333333334</v>
      </c>
      <c r="H587" s="59" t="s">
        <v>5692</v>
      </c>
      <c r="I587" s="59" t="s">
        <v>5693</v>
      </c>
      <c r="J587" s="59" t="s">
        <v>4191</v>
      </c>
      <c r="K587" s="38"/>
      <c r="L587" s="38"/>
      <c r="M587" s="56"/>
      <c r="N587" s="56" t="b">
        <v>0</v>
      </c>
      <c r="O587" s="56" t="b">
        <v>0</v>
      </c>
      <c r="P587" s="56"/>
      <c r="Q587" s="56"/>
      <c r="R587" s="56"/>
      <c r="S587" s="56"/>
      <c r="T587" s="56"/>
      <c r="U587" s="56"/>
      <c r="V587" s="56"/>
      <c r="W587" s="56"/>
      <c r="X587" s="56"/>
      <c r="Y587" s="56"/>
      <c r="Z587" s="56"/>
      <c r="AA587" s="56"/>
      <c r="AB587" s="56"/>
    </row>
    <row r="588" ht="15.75" customHeight="1">
      <c r="A588" s="57" t="str">
        <f t="shared" si="7"/>
        <v>5fe030d3798e59498934701f</v>
      </c>
      <c r="B588" s="63"/>
      <c r="C588" s="56" t="s">
        <v>66</v>
      </c>
      <c r="D588" s="76" t="s">
        <v>52</v>
      </c>
      <c r="E588" s="77" t="s">
        <v>1495</v>
      </c>
      <c r="F588" s="77" t="s">
        <v>1496</v>
      </c>
      <c r="G588" s="82" t="s">
        <v>4858</v>
      </c>
      <c r="H588" s="76" t="s">
        <v>5026</v>
      </c>
      <c r="I588" s="76" t="s">
        <v>5694</v>
      </c>
      <c r="J588" s="77" t="s">
        <v>1498</v>
      </c>
      <c r="K588" s="38"/>
      <c r="L588" s="38"/>
      <c r="M588" s="56"/>
      <c r="N588" s="56" t="b">
        <v>0</v>
      </c>
      <c r="O588" s="56" t="b">
        <v>0</v>
      </c>
      <c r="P588" s="56"/>
      <c r="Q588" s="56"/>
      <c r="R588" s="56"/>
      <c r="S588" s="56"/>
      <c r="T588" s="56"/>
      <c r="U588" s="56"/>
      <c r="V588" s="56"/>
      <c r="W588" s="56"/>
      <c r="X588" s="56"/>
      <c r="Y588" s="56"/>
      <c r="Z588" s="56"/>
      <c r="AA588" s="56"/>
      <c r="AB588" s="56"/>
    </row>
    <row r="589" ht="15.75" customHeight="1">
      <c r="A589" s="57" t="str">
        <f t="shared" si="7"/>
        <v/>
      </c>
      <c r="B589" s="63"/>
      <c r="C589" s="56"/>
      <c r="D589" s="38"/>
      <c r="E589" s="38"/>
      <c r="F589" s="65"/>
      <c r="G589" s="66"/>
      <c r="H589" s="38"/>
      <c r="I589" s="38"/>
      <c r="J589" s="38"/>
      <c r="K589" s="38"/>
      <c r="L589" s="38"/>
      <c r="M589" s="56"/>
      <c r="N589" s="56" t="b">
        <v>0</v>
      </c>
      <c r="O589" s="56" t="b">
        <v>0</v>
      </c>
      <c r="P589" s="56"/>
      <c r="Q589" s="56"/>
      <c r="R589" s="56"/>
      <c r="S589" s="56"/>
      <c r="T589" s="56"/>
      <c r="U589" s="56"/>
      <c r="V589" s="56"/>
      <c r="W589" s="56"/>
      <c r="X589" s="56"/>
      <c r="Y589" s="56"/>
      <c r="Z589" s="56"/>
      <c r="AA589" s="56"/>
      <c r="AB589" s="56"/>
    </row>
    <row r="590" ht="15.75" customHeight="1">
      <c r="A590" s="57" t="str">
        <f t="shared" si="7"/>
        <v/>
      </c>
      <c r="B590" s="69"/>
      <c r="C590" s="56"/>
      <c r="D590" s="38"/>
      <c r="E590" s="38"/>
      <c r="F590" s="65"/>
      <c r="G590" s="66"/>
      <c r="H590" s="38"/>
      <c r="I590" s="38"/>
      <c r="J590" s="38"/>
      <c r="K590" s="38"/>
      <c r="L590" s="38"/>
      <c r="M590" s="56"/>
      <c r="N590" s="56" t="b">
        <v>0</v>
      </c>
      <c r="O590" s="56" t="b">
        <v>0</v>
      </c>
      <c r="P590" s="56"/>
      <c r="Q590" s="56"/>
      <c r="R590" s="56"/>
      <c r="S590" s="56"/>
      <c r="T590" s="56"/>
      <c r="U590" s="56"/>
      <c r="V590" s="56"/>
      <c r="W590" s="56"/>
      <c r="X590" s="56"/>
      <c r="Y590" s="56"/>
      <c r="Z590" s="56"/>
      <c r="AA590" s="56"/>
      <c r="AB590" s="56"/>
    </row>
    <row r="591" ht="15.75" customHeight="1">
      <c r="A591" s="57" t="str">
        <f t="shared" si="7"/>
        <v>6048e0ef9756a09811da9f12</v>
      </c>
      <c r="B591" s="58" t="s">
        <v>4836</v>
      </c>
      <c r="C591" s="56" t="s">
        <v>53</v>
      </c>
      <c r="D591" s="38"/>
      <c r="E591" s="67" t="s">
        <v>5695</v>
      </c>
      <c r="F591" s="67" t="s">
        <v>5696</v>
      </c>
      <c r="G591" s="66"/>
      <c r="H591" s="38"/>
      <c r="I591" s="38"/>
      <c r="J591" s="38"/>
      <c r="K591" s="38"/>
      <c r="L591" s="38"/>
      <c r="M591" s="56"/>
      <c r="N591" s="56" t="b">
        <v>0</v>
      </c>
      <c r="O591" s="56" t="b">
        <v>0</v>
      </c>
      <c r="P591" s="56"/>
      <c r="Q591" s="56"/>
      <c r="R591" s="56"/>
      <c r="S591" s="56"/>
      <c r="T591" s="56"/>
      <c r="U591" s="56"/>
      <c r="V591" s="56"/>
      <c r="W591" s="56"/>
      <c r="X591" s="56"/>
      <c r="Y591" s="56"/>
      <c r="Z591" s="56"/>
      <c r="AA591" s="56"/>
      <c r="AB591" s="56"/>
    </row>
    <row r="592" ht="15.75" customHeight="1">
      <c r="A592" s="57" t="str">
        <f t="shared" si="7"/>
        <v>606f4df718f078221f650d9d</v>
      </c>
      <c r="B592" s="63"/>
      <c r="C592" s="56" t="s">
        <v>53</v>
      </c>
      <c r="D592" s="38"/>
      <c r="E592" s="57" t="s">
        <v>2419</v>
      </c>
      <c r="F592" s="57" t="s">
        <v>2420</v>
      </c>
      <c r="G592" s="66"/>
      <c r="H592" s="38"/>
      <c r="I592" s="38"/>
      <c r="J592" s="38"/>
      <c r="K592" s="38"/>
      <c r="L592" s="38"/>
      <c r="M592" s="56"/>
      <c r="N592" s="56" t="b">
        <v>0</v>
      </c>
      <c r="O592" s="56" t="b">
        <v>0</v>
      </c>
      <c r="P592" s="56"/>
      <c r="Q592" s="56"/>
      <c r="R592" s="56"/>
      <c r="S592" s="56"/>
      <c r="T592" s="56"/>
      <c r="U592" s="56"/>
      <c r="V592" s="56"/>
      <c r="W592" s="56"/>
      <c r="X592" s="56"/>
      <c r="Y592" s="56"/>
      <c r="Z592" s="56"/>
      <c r="AA592" s="56"/>
      <c r="AB592" s="56"/>
    </row>
    <row r="593" ht="15.75" customHeight="1">
      <c r="A593" s="57" t="str">
        <f t="shared" si="7"/>
        <v>60661b5f55a700249cacd7d5</v>
      </c>
      <c r="B593" s="63"/>
      <c r="C593" s="56" t="s">
        <v>53</v>
      </c>
      <c r="D593" s="38"/>
      <c r="E593" s="67" t="s">
        <v>5697</v>
      </c>
      <c r="F593" s="67" t="s">
        <v>5698</v>
      </c>
      <c r="G593" s="66"/>
      <c r="H593" s="38"/>
      <c r="I593" s="38"/>
      <c r="J593" s="38"/>
      <c r="K593" s="38"/>
      <c r="L593" s="38"/>
      <c r="M593" s="56"/>
      <c r="N593" s="56" t="b">
        <v>0</v>
      </c>
      <c r="O593" s="56" t="b">
        <v>0</v>
      </c>
      <c r="P593" s="56"/>
      <c r="Q593" s="56"/>
      <c r="R593" s="56"/>
      <c r="S593" s="56"/>
      <c r="T593" s="56"/>
      <c r="U593" s="56"/>
      <c r="V593" s="56"/>
      <c r="W593" s="56"/>
      <c r="X593" s="56"/>
      <c r="Y593" s="56"/>
      <c r="Z593" s="56"/>
      <c r="AA593" s="56"/>
      <c r="AB593" s="56"/>
    </row>
    <row r="594" ht="15.75" customHeight="1">
      <c r="A594" s="57" t="str">
        <f t="shared" si="7"/>
        <v/>
      </c>
      <c r="B594" s="63"/>
      <c r="C594" s="56" t="s">
        <v>53</v>
      </c>
      <c r="D594" s="38"/>
      <c r="E594" s="38"/>
      <c r="F594" s="65"/>
      <c r="G594" s="66"/>
      <c r="H594" s="38"/>
      <c r="I594" s="38"/>
      <c r="J594" s="38"/>
      <c r="K594" s="38"/>
      <c r="L594" s="38"/>
      <c r="M594" s="56"/>
      <c r="N594" s="56" t="b">
        <v>0</v>
      </c>
      <c r="O594" s="56" t="b">
        <v>0</v>
      </c>
      <c r="P594" s="56"/>
      <c r="Q594" s="56"/>
      <c r="R594" s="56"/>
      <c r="S594" s="56"/>
      <c r="T594" s="56"/>
      <c r="U594" s="56"/>
      <c r="V594" s="56"/>
      <c r="W594" s="56"/>
      <c r="X594" s="56"/>
      <c r="Y594" s="56"/>
      <c r="Z594" s="56"/>
      <c r="AA594" s="56"/>
      <c r="AB594" s="56"/>
    </row>
    <row r="595" ht="15.75" customHeight="1">
      <c r="A595" s="57" t="str">
        <f t="shared" si="7"/>
        <v/>
      </c>
      <c r="B595" s="63"/>
      <c r="C595" s="56"/>
      <c r="D595" s="38"/>
      <c r="E595" s="38"/>
      <c r="F595" s="65"/>
      <c r="G595" s="66"/>
      <c r="H595" s="38"/>
      <c r="I595" s="38"/>
      <c r="J595" s="38"/>
      <c r="K595" s="38"/>
      <c r="L595" s="38"/>
      <c r="M595" s="56"/>
      <c r="N595" s="56" t="b">
        <v>0</v>
      </c>
      <c r="O595" s="56" t="b">
        <v>0</v>
      </c>
      <c r="P595" s="56"/>
      <c r="Q595" s="56"/>
      <c r="R595" s="56"/>
      <c r="S595" s="56"/>
      <c r="T595" s="56"/>
      <c r="U595" s="56"/>
      <c r="V595" s="56"/>
      <c r="W595" s="56"/>
      <c r="X595" s="56"/>
      <c r="Y595" s="56"/>
      <c r="Z595" s="56"/>
      <c r="AA595" s="56"/>
      <c r="AB595" s="56"/>
    </row>
    <row r="596" ht="15.75" customHeight="1">
      <c r="A596" s="57" t="str">
        <f t="shared" si="7"/>
        <v/>
      </c>
      <c r="B596" s="69"/>
      <c r="C596" s="56"/>
      <c r="D596" s="38"/>
      <c r="E596" s="38"/>
      <c r="F596" s="65"/>
      <c r="G596" s="66"/>
      <c r="H596" s="38"/>
      <c r="I596" s="38"/>
      <c r="J596" s="38"/>
      <c r="K596" s="38"/>
      <c r="L596" s="38"/>
      <c r="M596" s="56"/>
      <c r="N596" s="56" t="b">
        <v>0</v>
      </c>
      <c r="O596" s="56" t="b">
        <v>0</v>
      </c>
      <c r="P596" s="56"/>
      <c r="Q596" s="56"/>
      <c r="R596" s="56"/>
      <c r="S596" s="56"/>
      <c r="T596" s="56"/>
      <c r="U596" s="56"/>
      <c r="V596" s="56"/>
      <c r="W596" s="56"/>
      <c r="X596" s="56"/>
      <c r="Y596" s="56"/>
      <c r="Z596" s="56"/>
      <c r="AA596" s="56"/>
      <c r="AB596" s="56"/>
    </row>
    <row r="597" ht="15.75" customHeight="1">
      <c r="A597" s="57" t="str">
        <f t="shared" si="7"/>
        <v/>
      </c>
      <c r="B597" s="51"/>
      <c r="C597" s="52">
        <v>44334.0</v>
      </c>
      <c r="D597" s="38"/>
      <c r="E597" s="38"/>
      <c r="F597" s="65"/>
      <c r="G597" s="66"/>
      <c r="H597" s="38"/>
      <c r="I597" s="38"/>
      <c r="J597" s="38"/>
      <c r="K597" s="38"/>
      <c r="L597" s="38"/>
      <c r="M597" s="56"/>
      <c r="N597" s="56" t="b">
        <v>0</v>
      </c>
      <c r="O597" s="56" t="b">
        <v>0</v>
      </c>
      <c r="P597" s="56"/>
      <c r="Q597" s="56"/>
      <c r="R597" s="56"/>
      <c r="S597" s="56"/>
      <c r="T597" s="56"/>
      <c r="U597" s="56"/>
      <c r="V597" s="56"/>
      <c r="W597" s="56"/>
      <c r="X597" s="56"/>
      <c r="Y597" s="56"/>
      <c r="Z597" s="56"/>
      <c r="AA597" s="56"/>
      <c r="AB597" s="56"/>
    </row>
    <row r="598" ht="15.75" customHeight="1">
      <c r="A598" s="57" t="str">
        <f t="shared" si="7"/>
        <v>6074421cb71d5c5e27f93abc</v>
      </c>
      <c r="B598" s="58" t="s">
        <v>4836</v>
      </c>
      <c r="C598" s="56" t="s">
        <v>53</v>
      </c>
      <c r="D598" s="38" t="s">
        <v>52</v>
      </c>
      <c r="E598" s="67" t="s">
        <v>1934</v>
      </c>
      <c r="F598" s="67" t="s">
        <v>1935</v>
      </c>
      <c r="G598" s="122">
        <v>0.4166666666666667</v>
      </c>
      <c r="H598" s="56" t="s">
        <v>5699</v>
      </c>
      <c r="I598" s="56" t="s">
        <v>5700</v>
      </c>
      <c r="J598" s="67" t="s">
        <v>800</v>
      </c>
      <c r="K598" s="38"/>
      <c r="L598" s="38"/>
      <c r="M598" s="56"/>
      <c r="N598" s="56" t="b">
        <v>0</v>
      </c>
      <c r="O598" s="56" t="b">
        <v>0</v>
      </c>
      <c r="P598" s="56"/>
      <c r="Q598" s="56"/>
      <c r="R598" s="56"/>
      <c r="S598" s="56"/>
      <c r="T598" s="56"/>
      <c r="U598" s="56"/>
      <c r="V598" s="56"/>
      <c r="W598" s="56"/>
      <c r="X598" s="56"/>
      <c r="Y598" s="56"/>
      <c r="Z598" s="56"/>
      <c r="AA598" s="56"/>
      <c r="AB598" s="56"/>
    </row>
    <row r="599" ht="15.75" customHeight="1">
      <c r="A599" s="57" t="str">
        <f t="shared" si="7"/>
        <v>6047640795464abc5885727c</v>
      </c>
      <c r="B599" s="63"/>
      <c r="C599" s="56" t="s">
        <v>53</v>
      </c>
      <c r="D599" s="38" t="s">
        <v>52</v>
      </c>
      <c r="E599" s="67" t="s">
        <v>5365</v>
      </c>
      <c r="F599" s="67" t="s">
        <v>5366</v>
      </c>
      <c r="G599" s="79">
        <v>0.5</v>
      </c>
      <c r="H599" s="38" t="s">
        <v>5701</v>
      </c>
      <c r="I599" s="67" t="s">
        <v>5702</v>
      </c>
      <c r="J599" s="67" t="s">
        <v>5369</v>
      </c>
      <c r="K599" s="38"/>
      <c r="L599" s="38"/>
      <c r="M599" s="56"/>
      <c r="N599" s="56" t="b">
        <v>0</v>
      </c>
      <c r="O599" s="56" t="b">
        <v>0</v>
      </c>
      <c r="P599" s="56"/>
      <c r="Q599" s="56"/>
      <c r="R599" s="56"/>
      <c r="S599" s="56"/>
      <c r="T599" s="56"/>
      <c r="U599" s="56"/>
      <c r="V599" s="56"/>
      <c r="W599" s="56"/>
      <c r="X599" s="56"/>
      <c r="Y599" s="56"/>
      <c r="Z599" s="56"/>
      <c r="AA599" s="56"/>
      <c r="AB599" s="56"/>
    </row>
    <row r="600" ht="15.75" customHeight="1">
      <c r="A600" s="57" t="str">
        <f t="shared" si="7"/>
        <v>601f7aeaa3e4010051001bdc</v>
      </c>
      <c r="B600" s="63"/>
      <c r="C600" s="56" t="s">
        <v>53</v>
      </c>
      <c r="D600" s="76" t="s">
        <v>52</v>
      </c>
      <c r="E600" s="77" t="s">
        <v>569</v>
      </c>
      <c r="F600" s="77" t="s">
        <v>570</v>
      </c>
      <c r="G600" s="120">
        <v>0.5833333333333334</v>
      </c>
      <c r="H600" s="77" t="s">
        <v>5165</v>
      </c>
      <c r="I600" s="77" t="s">
        <v>5703</v>
      </c>
      <c r="J600" s="77" t="s">
        <v>572</v>
      </c>
      <c r="K600" s="38"/>
      <c r="L600" s="38"/>
      <c r="M600" s="56"/>
      <c r="N600" s="56" t="b">
        <v>0</v>
      </c>
      <c r="O600" s="56" t="b">
        <v>0</v>
      </c>
      <c r="P600" s="56"/>
      <c r="Q600" s="56"/>
      <c r="R600" s="56"/>
      <c r="S600" s="56"/>
      <c r="T600" s="56"/>
      <c r="U600" s="56"/>
      <c r="V600" s="56"/>
      <c r="W600" s="56"/>
      <c r="X600" s="56"/>
      <c r="Y600" s="56"/>
      <c r="Z600" s="56"/>
      <c r="AA600" s="56"/>
      <c r="AB600" s="56"/>
    </row>
    <row r="601" ht="15.75" customHeight="1">
      <c r="A601" s="57" t="str">
        <f t="shared" si="7"/>
        <v>604e2512d977096de84ebaf0</v>
      </c>
      <c r="B601" s="63"/>
      <c r="C601" s="56" t="s">
        <v>53</v>
      </c>
      <c r="D601" s="38" t="s">
        <v>52</v>
      </c>
      <c r="E601" s="67" t="s">
        <v>2117</v>
      </c>
      <c r="F601" s="67" t="s">
        <v>2118</v>
      </c>
      <c r="G601" s="66" t="s">
        <v>4858</v>
      </c>
      <c r="H601" s="38" t="s">
        <v>5390</v>
      </c>
      <c r="I601" s="38" t="s">
        <v>5462</v>
      </c>
      <c r="J601" s="67" t="s">
        <v>2120</v>
      </c>
      <c r="K601" s="38"/>
      <c r="L601" s="38"/>
      <c r="M601" s="56"/>
      <c r="N601" s="56" t="b">
        <v>0</v>
      </c>
      <c r="O601" s="56" t="b">
        <v>0</v>
      </c>
      <c r="P601" s="56"/>
      <c r="Q601" s="56"/>
      <c r="R601" s="56"/>
      <c r="S601" s="56"/>
      <c r="T601" s="56"/>
      <c r="U601" s="56"/>
      <c r="V601" s="56"/>
      <c r="W601" s="56"/>
      <c r="X601" s="56"/>
      <c r="Y601" s="56"/>
      <c r="Z601" s="56"/>
      <c r="AA601" s="56"/>
      <c r="AB601" s="56"/>
    </row>
    <row r="602" ht="15.75" customHeight="1">
      <c r="A602" s="57" t="str">
        <f t="shared" si="7"/>
        <v/>
      </c>
      <c r="B602" s="63"/>
      <c r="C602" s="56"/>
      <c r="D602" s="38"/>
      <c r="E602" s="38"/>
      <c r="F602" s="65"/>
      <c r="G602" s="66"/>
      <c r="H602" s="38"/>
      <c r="I602" s="38"/>
      <c r="J602" s="38"/>
      <c r="K602" s="38"/>
      <c r="L602" s="38"/>
      <c r="M602" s="56"/>
      <c r="N602" s="56" t="b">
        <v>0</v>
      </c>
      <c r="O602" s="56" t="b">
        <v>0</v>
      </c>
      <c r="P602" s="56"/>
      <c r="Q602" s="56"/>
      <c r="R602" s="56"/>
      <c r="S602" s="56"/>
      <c r="T602" s="56"/>
      <c r="U602" s="56"/>
      <c r="V602" s="56"/>
      <c r="W602" s="56"/>
      <c r="X602" s="56"/>
      <c r="Y602" s="56"/>
      <c r="Z602" s="56"/>
      <c r="AA602" s="56"/>
      <c r="AB602" s="56"/>
    </row>
    <row r="603" ht="15.75" customHeight="1">
      <c r="A603" s="57" t="str">
        <f t="shared" si="7"/>
        <v/>
      </c>
      <c r="B603" s="69"/>
      <c r="C603" s="56"/>
      <c r="D603" s="38"/>
      <c r="E603" s="38"/>
      <c r="F603" s="65"/>
      <c r="G603" s="66"/>
      <c r="H603" s="38"/>
      <c r="I603" s="38"/>
      <c r="J603" s="38"/>
      <c r="K603" s="38"/>
      <c r="L603" s="38"/>
      <c r="M603" s="56"/>
      <c r="N603" s="56" t="b">
        <v>0</v>
      </c>
      <c r="O603" s="56" t="b">
        <v>0</v>
      </c>
      <c r="P603" s="56"/>
      <c r="Q603" s="56"/>
      <c r="R603" s="56"/>
      <c r="S603" s="56"/>
      <c r="T603" s="56"/>
      <c r="U603" s="56"/>
      <c r="V603" s="56"/>
      <c r="W603" s="56"/>
      <c r="X603" s="56"/>
      <c r="Y603" s="56"/>
      <c r="Z603" s="56"/>
      <c r="AA603" s="56"/>
      <c r="AB603" s="56"/>
    </row>
    <row r="604" ht="15.75" customHeight="1">
      <c r="A604" s="57" t="str">
        <f t="shared" si="7"/>
        <v/>
      </c>
      <c r="B604" s="51"/>
      <c r="C604" s="52">
        <v>44335.0</v>
      </c>
      <c r="D604" s="38"/>
      <c r="E604" s="38"/>
      <c r="F604" s="65"/>
      <c r="G604" s="66"/>
      <c r="H604" s="38"/>
      <c r="I604" s="38"/>
      <c r="J604" s="38"/>
      <c r="K604" s="38"/>
      <c r="L604" s="38"/>
      <c r="M604" s="56"/>
      <c r="N604" s="56" t="b">
        <v>0</v>
      </c>
      <c r="O604" s="56" t="b">
        <v>0</v>
      </c>
      <c r="P604" s="56"/>
      <c r="Q604" s="56"/>
      <c r="R604" s="56"/>
      <c r="S604" s="56"/>
      <c r="T604" s="56"/>
      <c r="U604" s="56"/>
      <c r="V604" s="56"/>
      <c r="W604" s="56"/>
      <c r="X604" s="56"/>
      <c r="Y604" s="56"/>
      <c r="Z604" s="56"/>
      <c r="AA604" s="56"/>
      <c r="AB604" s="56"/>
    </row>
    <row r="605" ht="15.75" customHeight="1">
      <c r="A605" s="57"/>
      <c r="B605" s="58" t="s">
        <v>4836</v>
      </c>
      <c r="C605" s="56" t="s">
        <v>53</v>
      </c>
      <c r="D605" s="38" t="s">
        <v>52</v>
      </c>
      <c r="E605" s="38" t="s">
        <v>2359</v>
      </c>
      <c r="F605" s="65" t="s">
        <v>2360</v>
      </c>
      <c r="G605" s="66" t="s">
        <v>5704</v>
      </c>
      <c r="H605" s="38" t="s">
        <v>5705</v>
      </c>
      <c r="I605" s="38" t="s">
        <v>5706</v>
      </c>
      <c r="J605" s="38" t="s">
        <v>2362</v>
      </c>
      <c r="K605" s="38"/>
      <c r="L605" s="38"/>
      <c r="M605" s="56"/>
      <c r="N605" s="56" t="b">
        <v>0</v>
      </c>
      <c r="O605" s="56" t="b">
        <v>0</v>
      </c>
      <c r="P605" s="56"/>
      <c r="Q605" s="56"/>
      <c r="R605" s="56"/>
      <c r="S605" s="56"/>
      <c r="T605" s="56"/>
      <c r="U605" s="56"/>
      <c r="V605" s="56"/>
      <c r="W605" s="56"/>
      <c r="X605" s="56"/>
      <c r="Y605" s="56"/>
      <c r="Z605" s="56"/>
      <c r="AA605" s="56"/>
      <c r="AB605" s="56"/>
    </row>
    <row r="606" ht="15.75" customHeight="1">
      <c r="A606" s="57"/>
      <c r="B606" s="63"/>
      <c r="C606" s="56" t="s">
        <v>53</v>
      </c>
      <c r="D606" s="38" t="s">
        <v>52</v>
      </c>
      <c r="E606" s="38" t="s">
        <v>3548</v>
      </c>
      <c r="F606" s="65" t="s">
        <v>3549</v>
      </c>
      <c r="G606" s="66" t="s">
        <v>5134</v>
      </c>
      <c r="H606" s="38" t="s">
        <v>5707</v>
      </c>
      <c r="I606" s="38" t="s">
        <v>5708</v>
      </c>
      <c r="J606" s="38" t="s">
        <v>3551</v>
      </c>
      <c r="K606" s="38"/>
      <c r="L606" s="38"/>
      <c r="M606" s="56"/>
      <c r="N606" s="56" t="b">
        <v>0</v>
      </c>
      <c r="O606" s="56" t="b">
        <v>0</v>
      </c>
      <c r="P606" s="56"/>
      <c r="Q606" s="56"/>
      <c r="R606" s="56"/>
      <c r="S606" s="56"/>
      <c r="T606" s="56"/>
      <c r="U606" s="56"/>
      <c r="V606" s="56"/>
      <c r="W606" s="56"/>
      <c r="X606" s="56"/>
      <c r="Y606" s="56"/>
      <c r="Z606" s="56"/>
      <c r="AA606" s="56"/>
      <c r="AB606" s="56"/>
    </row>
    <row r="607" ht="15.75" customHeight="1">
      <c r="A607" s="57"/>
      <c r="B607" s="63"/>
      <c r="C607" s="56" t="s">
        <v>53</v>
      </c>
      <c r="D607" s="38" t="s">
        <v>52</v>
      </c>
      <c r="E607" s="67" t="s">
        <v>3576</v>
      </c>
      <c r="F607" s="67" t="s">
        <v>3577</v>
      </c>
      <c r="G607" s="66" t="s">
        <v>4856</v>
      </c>
      <c r="H607" s="38" t="s">
        <v>5709</v>
      </c>
      <c r="I607" s="38" t="s">
        <v>5710</v>
      </c>
      <c r="J607" s="67" t="s">
        <v>3579</v>
      </c>
      <c r="K607" s="38"/>
      <c r="L607" s="38"/>
      <c r="M607" s="56"/>
      <c r="N607" s="56" t="b">
        <v>0</v>
      </c>
      <c r="O607" s="56" t="b">
        <v>0</v>
      </c>
      <c r="P607" s="56"/>
      <c r="Q607" s="56"/>
      <c r="R607" s="56"/>
      <c r="S607" s="56"/>
      <c r="T607" s="56"/>
      <c r="U607" s="56"/>
      <c r="V607" s="56"/>
      <c r="W607" s="56"/>
      <c r="X607" s="56"/>
      <c r="Y607" s="56"/>
      <c r="Z607" s="56"/>
      <c r="AA607" s="56"/>
      <c r="AB607" s="56"/>
    </row>
    <row r="608" ht="15.75" customHeight="1">
      <c r="A608" s="57"/>
      <c r="B608" s="63"/>
      <c r="C608" s="56" t="s">
        <v>53</v>
      </c>
      <c r="D608" s="76" t="s">
        <v>52</v>
      </c>
      <c r="E608" s="93" t="s">
        <v>3918</v>
      </c>
      <c r="F608" s="93" t="s">
        <v>3919</v>
      </c>
      <c r="G608" s="92">
        <v>0.6666666666666666</v>
      </c>
      <c r="H608" s="93" t="s">
        <v>5711</v>
      </c>
      <c r="I608" s="93" t="s">
        <v>5712</v>
      </c>
      <c r="J608" s="93" t="s">
        <v>3921</v>
      </c>
      <c r="K608" s="38"/>
      <c r="L608" s="38"/>
      <c r="M608" s="56"/>
      <c r="N608" s="56" t="b">
        <v>0</v>
      </c>
      <c r="O608" s="56" t="b">
        <v>0</v>
      </c>
      <c r="P608" s="56"/>
      <c r="Q608" s="56"/>
      <c r="R608" s="56"/>
      <c r="S608" s="56"/>
      <c r="T608" s="56"/>
      <c r="U608" s="56"/>
      <c r="V608" s="56"/>
      <c r="W608" s="56"/>
      <c r="X608" s="56"/>
      <c r="Y608" s="56"/>
      <c r="Z608" s="56"/>
      <c r="AA608" s="56"/>
      <c r="AB608" s="56"/>
    </row>
    <row r="609" ht="15.75" customHeight="1">
      <c r="A609" s="57"/>
      <c r="B609" s="63"/>
      <c r="C609" s="56"/>
      <c r="D609" s="38"/>
      <c r="E609" s="38"/>
      <c r="F609" s="65"/>
      <c r="G609" s="66"/>
      <c r="H609" s="38"/>
      <c r="I609" s="38"/>
      <c r="J609" s="38"/>
      <c r="K609" s="38"/>
      <c r="L609" s="38"/>
      <c r="M609" s="56"/>
      <c r="N609" s="56" t="b">
        <v>0</v>
      </c>
      <c r="O609" s="56" t="b">
        <v>0</v>
      </c>
      <c r="P609" s="56"/>
      <c r="Q609" s="56"/>
      <c r="R609" s="56"/>
      <c r="S609" s="56"/>
      <c r="T609" s="56"/>
      <c r="U609" s="56"/>
      <c r="V609" s="56"/>
      <c r="W609" s="56"/>
      <c r="X609" s="56"/>
      <c r="Y609" s="56"/>
      <c r="Z609" s="56"/>
      <c r="AA609" s="56"/>
      <c r="AB609" s="56"/>
    </row>
    <row r="610" ht="15.75" customHeight="1">
      <c r="A610" s="57"/>
      <c r="B610" s="69"/>
      <c r="C610" s="56"/>
      <c r="D610" s="38"/>
      <c r="E610" s="38"/>
      <c r="F610" s="65"/>
      <c r="G610" s="66"/>
      <c r="H610" s="38"/>
      <c r="I610" s="38"/>
      <c r="J610" s="38"/>
      <c r="K610" s="38"/>
      <c r="L610" s="38"/>
      <c r="M610" s="56"/>
      <c r="N610" s="56" t="b">
        <v>0</v>
      </c>
      <c r="O610" s="56" t="b">
        <v>0</v>
      </c>
      <c r="P610" s="56"/>
      <c r="Q610" s="56"/>
      <c r="R610" s="56"/>
      <c r="S610" s="56"/>
      <c r="T610" s="56"/>
      <c r="U610" s="56"/>
      <c r="V610" s="56"/>
      <c r="W610" s="56"/>
      <c r="X610" s="56"/>
      <c r="Y610" s="56"/>
      <c r="Z610" s="56"/>
      <c r="AA610" s="56"/>
      <c r="AB610" s="56"/>
    </row>
    <row r="611" ht="15.75" customHeight="1">
      <c r="A611" s="57" t="str">
        <f t="shared" ref="A611:A635" si="8">E611</f>
        <v/>
      </c>
      <c r="B611" s="51"/>
      <c r="C611" s="52">
        <v>44336.0</v>
      </c>
      <c r="D611" s="38"/>
      <c r="E611" s="38"/>
      <c r="F611" s="65"/>
      <c r="G611" s="66"/>
      <c r="H611" s="38"/>
      <c r="I611" s="38"/>
      <c r="J611" s="38"/>
      <c r="K611" s="38"/>
      <c r="L611" s="38"/>
      <c r="M611" s="56"/>
      <c r="N611" s="56" t="b">
        <v>0</v>
      </c>
      <c r="O611" s="56" t="b">
        <v>0</v>
      </c>
      <c r="P611" s="56"/>
      <c r="Q611" s="56"/>
      <c r="R611" s="56"/>
      <c r="S611" s="56"/>
      <c r="T611" s="56"/>
      <c r="U611" s="56"/>
      <c r="V611" s="56"/>
      <c r="W611" s="56"/>
      <c r="X611" s="56"/>
      <c r="Y611" s="56"/>
      <c r="Z611" s="56"/>
      <c r="AA611" s="56"/>
      <c r="AB611" s="56"/>
    </row>
    <row r="612" ht="15.75" customHeight="1">
      <c r="A612" s="57" t="str">
        <f t="shared" si="8"/>
        <v>608185d40e33f3771df7ebc2</v>
      </c>
      <c r="B612" s="58" t="s">
        <v>4836</v>
      </c>
      <c r="C612" s="38" t="s">
        <v>53</v>
      </c>
      <c r="D612" s="76" t="s">
        <v>52</v>
      </c>
      <c r="E612" s="77" t="s">
        <v>2724</v>
      </c>
      <c r="F612" s="77" t="s">
        <v>2725</v>
      </c>
      <c r="G612" s="82" t="s">
        <v>5713</v>
      </c>
      <c r="H612" s="93" t="s">
        <v>5714</v>
      </c>
      <c r="I612" s="93" t="s">
        <v>5715</v>
      </c>
      <c r="J612" s="77" t="s">
        <v>2727</v>
      </c>
      <c r="K612" s="38"/>
      <c r="L612" s="38"/>
      <c r="M612" s="56"/>
      <c r="N612" s="56" t="b">
        <v>0</v>
      </c>
      <c r="O612" s="56" t="b">
        <v>0</v>
      </c>
      <c r="P612" s="56"/>
      <c r="Q612" s="56"/>
      <c r="R612" s="56"/>
      <c r="S612" s="56"/>
      <c r="T612" s="56"/>
      <c r="U612" s="56"/>
      <c r="V612" s="56"/>
      <c r="W612" s="56"/>
      <c r="X612" s="56"/>
      <c r="Y612" s="56"/>
      <c r="Z612" s="56"/>
      <c r="AA612" s="56"/>
      <c r="AB612" s="56"/>
    </row>
    <row r="613" ht="15.75" customHeight="1">
      <c r="A613" s="57" t="str">
        <f t="shared" si="8"/>
        <v>6086b74a0b0fe7568fbd55a8</v>
      </c>
      <c r="B613" s="63"/>
      <c r="C613" s="38" t="s">
        <v>53</v>
      </c>
      <c r="D613" s="76" t="s">
        <v>52</v>
      </c>
      <c r="E613" s="77" t="s">
        <v>5716</v>
      </c>
      <c r="F613" s="77" t="s">
        <v>5717</v>
      </c>
      <c r="G613" s="82" t="s">
        <v>5134</v>
      </c>
      <c r="H613" s="76" t="s">
        <v>5707</v>
      </c>
      <c r="I613" s="77" t="s">
        <v>5718</v>
      </c>
      <c r="J613" s="77" t="s">
        <v>5719</v>
      </c>
      <c r="K613" s="38"/>
      <c r="L613" s="38"/>
      <c r="M613" s="56"/>
      <c r="N613" s="56" t="b">
        <v>0</v>
      </c>
      <c r="O613" s="56" t="b">
        <v>0</v>
      </c>
      <c r="P613" s="56"/>
      <c r="Q613" s="56"/>
      <c r="R613" s="56"/>
      <c r="S613" s="56"/>
      <c r="T613" s="56"/>
      <c r="U613" s="56"/>
      <c r="V613" s="56"/>
      <c r="W613" s="56"/>
      <c r="X613" s="56"/>
      <c r="Y613" s="56"/>
      <c r="Z613" s="56"/>
      <c r="AA613" s="56"/>
      <c r="AB613" s="56"/>
    </row>
    <row r="614" ht="15.75" customHeight="1">
      <c r="A614" s="57" t="str">
        <f t="shared" si="8"/>
        <v>606842a20a774fc9c48ed28d</v>
      </c>
      <c r="B614" s="63"/>
      <c r="C614" s="38" t="s">
        <v>53</v>
      </c>
      <c r="D614" s="38" t="s">
        <v>52</v>
      </c>
      <c r="E614" s="67" t="s">
        <v>5720</v>
      </c>
      <c r="F614" s="67" t="s">
        <v>5721</v>
      </c>
      <c r="G614" s="66" t="s">
        <v>4856</v>
      </c>
      <c r="H614" s="67" t="s">
        <v>5205</v>
      </c>
      <c r="I614" s="67" t="s">
        <v>5722</v>
      </c>
      <c r="J614" s="67" t="s">
        <v>5723</v>
      </c>
      <c r="K614" s="38"/>
      <c r="L614" s="38"/>
      <c r="M614" s="56"/>
      <c r="N614" s="56" t="b">
        <v>0</v>
      </c>
      <c r="O614" s="56" t="b">
        <v>0</v>
      </c>
      <c r="P614" s="56"/>
      <c r="Q614" s="56"/>
      <c r="R614" s="56"/>
      <c r="S614" s="56"/>
      <c r="T614" s="56"/>
      <c r="U614" s="56"/>
      <c r="V614" s="56"/>
      <c r="W614" s="56"/>
      <c r="X614" s="56"/>
      <c r="Y614" s="56"/>
      <c r="Z614" s="56"/>
      <c r="AA614" s="56"/>
      <c r="AB614" s="56"/>
    </row>
    <row r="615" ht="15.75" customHeight="1">
      <c r="A615" s="57" t="str">
        <f t="shared" si="8"/>
        <v>6087028dae73ef4ebe60893b</v>
      </c>
      <c r="B615" s="63"/>
      <c r="C615" s="76" t="s">
        <v>53</v>
      </c>
      <c r="D615" s="76" t="s">
        <v>52</v>
      </c>
      <c r="E615" s="77" t="s">
        <v>5724</v>
      </c>
      <c r="F615" s="77" t="s">
        <v>5725</v>
      </c>
      <c r="G615" s="92">
        <v>0.6666666666666666</v>
      </c>
      <c r="H615" s="76" t="s">
        <v>5726</v>
      </c>
      <c r="I615" s="76" t="s">
        <v>5727</v>
      </c>
      <c r="J615" s="77" t="s">
        <v>5728</v>
      </c>
      <c r="K615" s="38"/>
      <c r="L615" s="38"/>
      <c r="M615" s="56"/>
      <c r="N615" s="56" t="b">
        <v>0</v>
      </c>
      <c r="O615" s="56" t="b">
        <v>0</v>
      </c>
      <c r="P615" s="56"/>
      <c r="Q615" s="56"/>
      <c r="R615" s="56"/>
      <c r="S615" s="56"/>
      <c r="T615" s="56"/>
      <c r="U615" s="56"/>
      <c r="V615" s="56"/>
      <c r="W615" s="56"/>
      <c r="X615" s="56"/>
      <c r="Y615" s="56"/>
      <c r="Z615" s="56"/>
      <c r="AA615" s="56"/>
      <c r="AB615" s="56"/>
    </row>
    <row r="616" ht="15.75" customHeight="1">
      <c r="A616" s="57" t="str">
        <f t="shared" si="8"/>
        <v>602bf716965500ca550e1617</v>
      </c>
      <c r="B616" s="63"/>
      <c r="C616" s="38"/>
      <c r="D616" s="38" t="s">
        <v>52</v>
      </c>
      <c r="E616" s="67" t="s">
        <v>921</v>
      </c>
      <c r="F616" s="67" t="s">
        <v>922</v>
      </c>
      <c r="G616" s="79">
        <v>0.7291666666666666</v>
      </c>
      <c r="H616" s="38" t="s">
        <v>5430</v>
      </c>
      <c r="I616" s="38" t="s">
        <v>5729</v>
      </c>
      <c r="J616" s="67" t="s">
        <v>924</v>
      </c>
      <c r="K616" s="38"/>
      <c r="L616" s="38"/>
      <c r="M616" s="56"/>
      <c r="N616" s="56" t="b">
        <v>0</v>
      </c>
      <c r="O616" s="56" t="b">
        <v>0</v>
      </c>
      <c r="P616" s="56"/>
      <c r="Q616" s="56"/>
      <c r="R616" s="56"/>
      <c r="S616" s="56"/>
      <c r="T616" s="56"/>
      <c r="U616" s="56"/>
      <c r="V616" s="56"/>
      <c r="W616" s="56"/>
      <c r="X616" s="56"/>
      <c r="Y616" s="56"/>
      <c r="Z616" s="56"/>
      <c r="AA616" s="56"/>
      <c r="AB616" s="56"/>
    </row>
    <row r="617" ht="15.75" customHeight="1">
      <c r="A617" s="57" t="str">
        <f t="shared" si="8"/>
        <v/>
      </c>
      <c r="B617" s="69"/>
      <c r="C617" s="38"/>
      <c r="D617" s="38"/>
      <c r="E617" s="38"/>
      <c r="F617" s="65"/>
      <c r="G617" s="66"/>
      <c r="H617" s="38"/>
      <c r="I617" s="38"/>
      <c r="J617" s="38"/>
      <c r="K617" s="38"/>
      <c r="L617" s="38"/>
      <c r="M617" s="56"/>
      <c r="N617" s="56" t="b">
        <v>0</v>
      </c>
      <c r="O617" s="56" t="b">
        <v>0</v>
      </c>
      <c r="P617" s="56"/>
      <c r="Q617" s="56"/>
      <c r="R617" s="56"/>
      <c r="S617" s="56"/>
      <c r="T617" s="56"/>
      <c r="U617" s="56"/>
      <c r="V617" s="56"/>
      <c r="W617" s="56"/>
      <c r="X617" s="56"/>
      <c r="Y617" s="56"/>
      <c r="Z617" s="56"/>
      <c r="AA617" s="56"/>
      <c r="AB617" s="56"/>
    </row>
    <row r="618" ht="15.75" customHeight="1">
      <c r="A618" s="57" t="str">
        <f t="shared" si="8"/>
        <v/>
      </c>
      <c r="B618" s="51"/>
      <c r="C618" s="52">
        <v>44337.0</v>
      </c>
      <c r="D618" s="38"/>
      <c r="E618" s="38"/>
      <c r="F618" s="65"/>
      <c r="G618" s="66"/>
      <c r="H618" s="38"/>
      <c r="I618" s="38"/>
      <c r="J618" s="38"/>
      <c r="K618" s="38"/>
      <c r="L618" s="38"/>
      <c r="M618" s="56"/>
      <c r="N618" s="56" t="b">
        <v>0</v>
      </c>
      <c r="O618" s="56" t="b">
        <v>0</v>
      </c>
      <c r="P618" s="56"/>
      <c r="Q618" s="56"/>
      <c r="R618" s="56"/>
      <c r="S618" s="56"/>
      <c r="T618" s="56"/>
      <c r="U618" s="56"/>
      <c r="V618" s="56"/>
      <c r="W618" s="56"/>
      <c r="X618" s="56"/>
      <c r="Y618" s="56"/>
      <c r="Z618" s="56"/>
      <c r="AA618" s="56"/>
      <c r="AB618" s="56"/>
    </row>
    <row r="619" ht="15.75" customHeight="1">
      <c r="A619" s="57" t="str">
        <f t="shared" si="8"/>
        <v>RANDEVU ALINMAYACAK''''''</v>
      </c>
      <c r="B619" s="58" t="s">
        <v>4836</v>
      </c>
      <c r="C619" s="38" t="s">
        <v>53</v>
      </c>
      <c r="D619" s="38"/>
      <c r="E619" s="154" t="s">
        <v>5730</v>
      </c>
      <c r="F619" s="155"/>
      <c r="G619" s="66"/>
      <c r="H619" s="56"/>
      <c r="I619" s="56"/>
      <c r="J619" s="67"/>
      <c r="K619" s="38"/>
      <c r="L619" s="38"/>
      <c r="M619" s="56"/>
      <c r="N619" s="56" t="b">
        <v>0</v>
      </c>
      <c r="O619" s="56" t="b">
        <v>0</v>
      </c>
      <c r="P619" s="56"/>
      <c r="Q619" s="56"/>
      <c r="R619" s="56"/>
      <c r="S619" s="56"/>
      <c r="T619" s="56"/>
      <c r="U619" s="56"/>
      <c r="V619" s="56"/>
      <c r="W619" s="56"/>
      <c r="X619" s="56"/>
      <c r="Y619" s="56"/>
      <c r="Z619" s="56"/>
      <c r="AA619" s="56"/>
      <c r="AB619" s="56"/>
    </row>
    <row r="620" ht="15.75" customHeight="1">
      <c r="A620" s="57" t="str">
        <f t="shared" si="8"/>
        <v/>
      </c>
      <c r="B620" s="63"/>
      <c r="C620" s="38" t="s">
        <v>53</v>
      </c>
      <c r="D620" s="38"/>
      <c r="E620" s="156"/>
      <c r="F620" s="157"/>
      <c r="G620" s="66"/>
      <c r="H620" s="38"/>
      <c r="I620" s="67"/>
      <c r="J620" s="67"/>
      <c r="K620" s="38"/>
      <c r="L620" s="38"/>
      <c r="M620" s="56"/>
      <c r="N620" s="56" t="b">
        <v>0</v>
      </c>
      <c r="O620" s="56" t="b">
        <v>0</v>
      </c>
      <c r="P620" s="56"/>
      <c r="Q620" s="56"/>
      <c r="R620" s="56"/>
      <c r="S620" s="56"/>
      <c r="T620" s="56"/>
      <c r="U620" s="56"/>
      <c r="V620" s="56"/>
      <c r="W620" s="56"/>
      <c r="X620" s="56"/>
      <c r="Y620" s="56"/>
      <c r="Z620" s="56"/>
      <c r="AA620" s="56"/>
      <c r="AB620" s="56"/>
    </row>
    <row r="621" ht="15.75" customHeight="1">
      <c r="A621" s="57" t="str">
        <f t="shared" si="8"/>
        <v/>
      </c>
      <c r="B621" s="63"/>
      <c r="C621" s="38" t="s">
        <v>53</v>
      </c>
      <c r="D621" s="38"/>
      <c r="E621" s="158"/>
      <c r="F621" s="159"/>
      <c r="G621" s="66"/>
      <c r="H621" s="67"/>
      <c r="I621" s="67"/>
      <c r="J621" s="67"/>
      <c r="K621" s="38"/>
      <c r="L621" s="38"/>
      <c r="M621" s="56"/>
      <c r="N621" s="56" t="b">
        <v>0</v>
      </c>
      <c r="O621" s="56" t="b">
        <v>0</v>
      </c>
      <c r="P621" s="56"/>
      <c r="Q621" s="56"/>
      <c r="R621" s="56"/>
      <c r="S621" s="56"/>
      <c r="T621" s="56"/>
      <c r="U621" s="56"/>
      <c r="V621" s="56"/>
      <c r="W621" s="56"/>
      <c r="X621" s="56"/>
      <c r="Y621" s="56"/>
      <c r="Z621" s="56"/>
      <c r="AA621" s="56"/>
      <c r="AB621" s="56"/>
    </row>
    <row r="622" ht="15.75" customHeight="1">
      <c r="A622" s="57" t="str">
        <f t="shared" si="8"/>
        <v/>
      </c>
      <c r="B622" s="63"/>
      <c r="C622" s="38" t="s">
        <v>53</v>
      </c>
      <c r="D622" s="56"/>
      <c r="E622" s="56"/>
      <c r="F622" s="56"/>
      <c r="G622" s="90"/>
      <c r="H622" s="56"/>
      <c r="I622" s="56"/>
      <c r="J622" s="56"/>
      <c r="K622" s="38"/>
      <c r="L622" s="38"/>
      <c r="M622" s="56"/>
      <c r="N622" s="56" t="b">
        <v>0</v>
      </c>
      <c r="O622" s="56" t="b">
        <v>0</v>
      </c>
      <c r="P622" s="56"/>
      <c r="Q622" s="56"/>
      <c r="R622" s="56"/>
      <c r="S622" s="56"/>
      <c r="T622" s="56"/>
      <c r="U622" s="56"/>
      <c r="V622" s="56"/>
      <c r="W622" s="56"/>
      <c r="X622" s="56"/>
      <c r="Y622" s="56"/>
      <c r="Z622" s="56"/>
      <c r="AA622" s="56"/>
      <c r="AB622" s="56"/>
    </row>
    <row r="623" ht="15.75" customHeight="1">
      <c r="A623" s="57" t="str">
        <f t="shared" si="8"/>
        <v/>
      </c>
      <c r="B623" s="63"/>
      <c r="C623" s="38"/>
      <c r="D623" s="38"/>
      <c r="E623" s="38"/>
      <c r="F623" s="65"/>
      <c r="G623" s="66"/>
      <c r="H623" s="38"/>
      <c r="I623" s="38"/>
      <c r="J623" s="38"/>
      <c r="K623" s="38"/>
      <c r="L623" s="38"/>
      <c r="M623" s="56"/>
      <c r="N623" s="56" t="b">
        <v>0</v>
      </c>
      <c r="O623" s="56" t="b">
        <v>0</v>
      </c>
      <c r="P623" s="56"/>
      <c r="Q623" s="56"/>
      <c r="R623" s="56"/>
      <c r="S623" s="56"/>
      <c r="T623" s="56"/>
      <c r="U623" s="56"/>
      <c r="V623" s="56"/>
      <c r="W623" s="56"/>
      <c r="X623" s="56"/>
      <c r="Y623" s="56"/>
      <c r="Z623" s="56"/>
      <c r="AA623" s="56"/>
      <c r="AB623" s="56"/>
    </row>
    <row r="624" ht="15.75" customHeight="1">
      <c r="A624" s="57" t="str">
        <f t="shared" si="8"/>
        <v/>
      </c>
      <c r="B624" s="69"/>
      <c r="C624" s="38"/>
      <c r="D624" s="38"/>
      <c r="E624" s="38"/>
      <c r="F624" s="65"/>
      <c r="G624" s="66"/>
      <c r="H624" s="38"/>
      <c r="I624" s="38"/>
      <c r="J624" s="38"/>
      <c r="K624" s="38"/>
      <c r="L624" s="38"/>
      <c r="M624" s="56"/>
      <c r="N624" s="56" t="b">
        <v>0</v>
      </c>
      <c r="O624" s="56" t="b">
        <v>0</v>
      </c>
      <c r="P624" s="56"/>
      <c r="Q624" s="56"/>
      <c r="R624" s="56"/>
      <c r="S624" s="56"/>
      <c r="T624" s="56"/>
      <c r="U624" s="56"/>
      <c r="V624" s="56"/>
      <c r="W624" s="56"/>
      <c r="X624" s="56"/>
      <c r="Y624" s="56"/>
      <c r="Z624" s="56"/>
      <c r="AA624" s="56"/>
      <c r="AB624" s="56"/>
    </row>
    <row r="625" ht="15.75" customHeight="1">
      <c r="A625" s="57" t="str">
        <f t="shared" si="8"/>
        <v/>
      </c>
      <c r="B625" s="51"/>
      <c r="C625" s="52">
        <v>44340.0</v>
      </c>
      <c r="D625" s="38"/>
      <c r="E625" s="38"/>
      <c r="F625" s="65"/>
      <c r="G625" s="66"/>
      <c r="H625" s="38"/>
      <c r="I625" s="38"/>
      <c r="J625" s="38"/>
      <c r="K625" s="38"/>
      <c r="L625" s="38"/>
      <c r="M625" s="56"/>
      <c r="N625" s="56" t="b">
        <v>0</v>
      </c>
      <c r="O625" s="56" t="b">
        <v>0</v>
      </c>
      <c r="P625" s="56"/>
      <c r="Q625" s="56"/>
      <c r="R625" s="56"/>
      <c r="S625" s="56"/>
      <c r="T625" s="56"/>
      <c r="U625" s="56"/>
      <c r="V625" s="56"/>
      <c r="W625" s="56"/>
      <c r="X625" s="56"/>
      <c r="Y625" s="56"/>
      <c r="Z625" s="56"/>
      <c r="AA625" s="56"/>
      <c r="AB625" s="56"/>
    </row>
    <row r="626" ht="15.75" customHeight="1">
      <c r="A626" s="57" t="str">
        <f t="shared" si="8"/>
        <v>605371afa213e8042a90f1bb</v>
      </c>
      <c r="B626" s="58" t="s">
        <v>4836</v>
      </c>
      <c r="C626" s="38" t="s">
        <v>53</v>
      </c>
      <c r="D626" s="62" t="s">
        <v>52</v>
      </c>
      <c r="E626" s="62" t="s">
        <v>3382</v>
      </c>
      <c r="F626" s="71" t="s">
        <v>3383</v>
      </c>
      <c r="G626" s="73" t="s">
        <v>5731</v>
      </c>
      <c r="H626" s="62" t="s">
        <v>5732</v>
      </c>
      <c r="I626" s="62" t="s">
        <v>5733</v>
      </c>
      <c r="J626" s="62" t="s">
        <v>3385</v>
      </c>
      <c r="K626" s="38"/>
      <c r="L626" s="38"/>
      <c r="M626" s="56"/>
      <c r="N626" s="56" t="b">
        <v>0</v>
      </c>
      <c r="O626" s="56" t="b">
        <v>0</v>
      </c>
      <c r="P626" s="56"/>
      <c r="Q626" s="56"/>
      <c r="R626" s="56"/>
      <c r="S626" s="56"/>
      <c r="T626" s="56"/>
      <c r="U626" s="56"/>
      <c r="V626" s="56"/>
      <c r="W626" s="56"/>
      <c r="X626" s="56"/>
      <c r="Y626" s="56"/>
      <c r="Z626" s="56"/>
      <c r="AA626" s="56"/>
      <c r="AB626" s="56"/>
    </row>
    <row r="627" ht="15.75" customHeight="1">
      <c r="A627" s="57" t="str">
        <f t="shared" si="8"/>
        <v>608befc5ee9c1f9915d0be6a</v>
      </c>
      <c r="B627" s="63"/>
      <c r="C627" s="38" t="s">
        <v>53</v>
      </c>
      <c r="D627" s="76" t="s">
        <v>52</v>
      </c>
      <c r="E627" s="76" t="s">
        <v>2662</v>
      </c>
      <c r="F627" s="160" t="s">
        <v>2663</v>
      </c>
      <c r="G627" s="82" t="s">
        <v>5134</v>
      </c>
      <c r="H627" s="76" t="s">
        <v>5536</v>
      </c>
      <c r="I627" s="76" t="s">
        <v>5734</v>
      </c>
      <c r="J627" s="77" t="s">
        <v>2665</v>
      </c>
      <c r="K627" s="38" t="s">
        <v>5735</v>
      </c>
      <c r="L627" s="38"/>
      <c r="M627" s="56"/>
      <c r="N627" s="56" t="b">
        <v>0</v>
      </c>
      <c r="O627" s="56" t="b">
        <v>0</v>
      </c>
      <c r="P627" s="56"/>
      <c r="Q627" s="56"/>
      <c r="R627" s="56"/>
      <c r="S627" s="56"/>
      <c r="T627" s="56"/>
      <c r="U627" s="56"/>
      <c r="V627" s="56"/>
      <c r="W627" s="56"/>
      <c r="X627" s="56"/>
      <c r="Y627" s="56"/>
      <c r="Z627" s="56"/>
      <c r="AA627" s="56"/>
      <c r="AB627" s="56"/>
    </row>
    <row r="628" ht="15.75" customHeight="1">
      <c r="A628" s="57" t="str">
        <f t="shared" si="8"/>
        <v>608fb9320be4bdee70cda5be</v>
      </c>
      <c r="B628" s="63"/>
      <c r="C628" s="38" t="s">
        <v>53</v>
      </c>
      <c r="D628" s="76" t="s">
        <v>52</v>
      </c>
      <c r="E628" s="77" t="s">
        <v>5736</v>
      </c>
      <c r="F628" s="160" t="s">
        <v>5737</v>
      </c>
      <c r="G628" s="82" t="s">
        <v>4856</v>
      </c>
      <c r="H628" s="76" t="s">
        <v>5738</v>
      </c>
      <c r="I628" s="77" t="s">
        <v>5739</v>
      </c>
      <c r="J628" s="77" t="s">
        <v>5740</v>
      </c>
      <c r="K628" s="38" t="s">
        <v>5741</v>
      </c>
      <c r="L628" s="38"/>
      <c r="M628" s="56"/>
      <c r="N628" s="56" t="b">
        <v>0</v>
      </c>
      <c r="O628" s="56" t="b">
        <v>0</v>
      </c>
      <c r="P628" s="56"/>
      <c r="Q628" s="56"/>
      <c r="R628" s="56"/>
      <c r="S628" s="56"/>
      <c r="T628" s="56"/>
      <c r="U628" s="56"/>
      <c r="V628" s="56"/>
      <c r="W628" s="56"/>
      <c r="X628" s="56"/>
      <c r="Y628" s="56"/>
      <c r="Z628" s="56"/>
      <c r="AA628" s="56"/>
      <c r="AB628" s="56"/>
    </row>
    <row r="629" ht="15.75" customHeight="1">
      <c r="A629" s="57" t="str">
        <f t="shared" si="8"/>
        <v>6083ea2a2590ce840622f8eb</v>
      </c>
      <c r="B629" s="63"/>
      <c r="C629" s="38" t="s">
        <v>53</v>
      </c>
      <c r="D629" s="76" t="s">
        <v>52</v>
      </c>
      <c r="E629" s="76" t="s">
        <v>5742</v>
      </c>
      <c r="F629" s="160" t="s">
        <v>5743</v>
      </c>
      <c r="G629" s="82" t="s">
        <v>5461</v>
      </c>
      <c r="H629" s="76" t="s">
        <v>5714</v>
      </c>
      <c r="I629" s="76" t="s">
        <v>5744</v>
      </c>
      <c r="J629" s="76" t="s">
        <v>5745</v>
      </c>
      <c r="K629" s="38" t="s">
        <v>5746</v>
      </c>
      <c r="L629" s="38"/>
      <c r="M629" s="56"/>
      <c r="N629" s="56" t="b">
        <v>0</v>
      </c>
      <c r="O629" s="56" t="b">
        <v>0</v>
      </c>
      <c r="P629" s="56"/>
      <c r="Q629" s="56"/>
      <c r="R629" s="56"/>
      <c r="S629" s="56"/>
      <c r="T629" s="56"/>
      <c r="U629" s="56"/>
      <c r="V629" s="56"/>
      <c r="W629" s="56"/>
      <c r="X629" s="56"/>
      <c r="Y629" s="56"/>
      <c r="Z629" s="56"/>
      <c r="AA629" s="56"/>
      <c r="AB629" s="56"/>
    </row>
    <row r="630" ht="15.75" customHeight="1">
      <c r="A630" s="57" t="str">
        <f t="shared" si="8"/>
        <v/>
      </c>
      <c r="B630" s="63"/>
      <c r="C630" s="38"/>
      <c r="D630" s="38"/>
      <c r="E630" s="38"/>
      <c r="F630" s="65"/>
      <c r="G630" s="66"/>
      <c r="H630" s="38"/>
      <c r="I630" s="38"/>
      <c r="J630" s="38"/>
      <c r="K630" s="38"/>
      <c r="L630" s="38"/>
      <c r="M630" s="56"/>
      <c r="N630" s="56" t="b">
        <v>0</v>
      </c>
      <c r="O630" s="56" t="b">
        <v>0</v>
      </c>
      <c r="P630" s="56"/>
      <c r="Q630" s="56"/>
      <c r="R630" s="56"/>
      <c r="S630" s="56"/>
      <c r="T630" s="56"/>
      <c r="U630" s="56"/>
      <c r="V630" s="56"/>
      <c r="W630" s="56"/>
      <c r="X630" s="56"/>
      <c r="Y630" s="56"/>
      <c r="Z630" s="56"/>
      <c r="AA630" s="56"/>
      <c r="AB630" s="56"/>
    </row>
    <row r="631" ht="15.75" customHeight="1">
      <c r="A631" s="57" t="str">
        <f t="shared" si="8"/>
        <v/>
      </c>
      <c r="B631" s="69"/>
      <c r="C631" s="38"/>
      <c r="D631" s="38"/>
      <c r="E631" s="38"/>
      <c r="F631" s="65"/>
      <c r="G631" s="66"/>
      <c r="H631" s="38"/>
      <c r="I631" s="38"/>
      <c r="J631" s="38"/>
      <c r="K631" s="38"/>
      <c r="L631" s="38"/>
      <c r="M631" s="56"/>
      <c r="N631" s="56" t="b">
        <v>0</v>
      </c>
      <c r="O631" s="56" t="b">
        <v>0</v>
      </c>
      <c r="P631" s="56"/>
      <c r="Q631" s="56"/>
      <c r="R631" s="56"/>
      <c r="S631" s="56"/>
      <c r="T631" s="56"/>
      <c r="U631" s="56"/>
      <c r="V631" s="56"/>
      <c r="W631" s="56"/>
      <c r="X631" s="56"/>
      <c r="Y631" s="56"/>
      <c r="Z631" s="56"/>
      <c r="AA631" s="56"/>
      <c r="AB631" s="56"/>
    </row>
    <row r="632" ht="15.75" customHeight="1">
      <c r="A632" s="57" t="str">
        <f t="shared" si="8"/>
        <v/>
      </c>
      <c r="B632" s="51"/>
      <c r="C632" s="52">
        <v>44341.0</v>
      </c>
      <c r="D632" s="38"/>
      <c r="E632" s="38"/>
      <c r="F632" s="65"/>
      <c r="G632" s="66"/>
      <c r="H632" s="38"/>
      <c r="I632" s="38"/>
      <c r="J632" s="38"/>
      <c r="K632" s="38"/>
      <c r="L632" s="38"/>
      <c r="M632" s="56"/>
      <c r="N632" s="56" t="b">
        <v>0</v>
      </c>
      <c r="O632" s="56" t="b">
        <v>0</v>
      </c>
      <c r="P632" s="56"/>
      <c r="Q632" s="56"/>
      <c r="R632" s="56"/>
      <c r="S632" s="56"/>
      <c r="T632" s="56"/>
      <c r="U632" s="56"/>
      <c r="V632" s="56"/>
      <c r="W632" s="56"/>
      <c r="X632" s="56"/>
      <c r="Y632" s="56"/>
      <c r="Z632" s="56"/>
      <c r="AA632" s="56"/>
      <c r="AB632" s="56"/>
    </row>
    <row r="633" ht="15.75" customHeight="1">
      <c r="A633" s="57" t="str">
        <f t="shared" si="8"/>
        <v>608c1766ea6074b61414ac02</v>
      </c>
      <c r="B633" s="58" t="s">
        <v>4836</v>
      </c>
      <c r="C633" s="38" t="s">
        <v>53</v>
      </c>
      <c r="D633" s="62" t="s">
        <v>52</v>
      </c>
      <c r="E633" s="60" t="s">
        <v>1554</v>
      </c>
      <c r="F633" s="60" t="s">
        <v>1555</v>
      </c>
      <c r="G633" s="73" t="s">
        <v>5247</v>
      </c>
      <c r="H633" s="62" t="s">
        <v>5548</v>
      </c>
      <c r="I633" s="62" t="s">
        <v>5747</v>
      </c>
      <c r="J633" s="60" t="s">
        <v>1557</v>
      </c>
      <c r="K633" s="23" t="s">
        <v>5748</v>
      </c>
      <c r="L633" s="38"/>
      <c r="M633" s="56"/>
      <c r="N633" s="56" t="b">
        <v>0</v>
      </c>
      <c r="O633" s="56" t="b">
        <v>0</v>
      </c>
      <c r="P633" s="56"/>
      <c r="Q633" s="56"/>
      <c r="R633" s="56"/>
      <c r="S633" s="56"/>
      <c r="T633" s="56"/>
      <c r="U633" s="56"/>
      <c r="V633" s="56"/>
      <c r="W633" s="56"/>
      <c r="X633" s="56"/>
      <c r="Y633" s="56"/>
      <c r="Z633" s="56"/>
      <c r="AA633" s="56"/>
      <c r="AB633" s="56"/>
    </row>
    <row r="634" ht="15.75" customHeight="1">
      <c r="A634" s="57" t="str">
        <f t="shared" si="8"/>
        <v>608864a116b1d8994032e07e</v>
      </c>
      <c r="B634" s="63"/>
      <c r="C634" s="38" t="s">
        <v>53</v>
      </c>
      <c r="D634" s="62" t="s">
        <v>52</v>
      </c>
      <c r="E634" s="60" t="s">
        <v>4700</v>
      </c>
      <c r="F634" s="60" t="s">
        <v>4701</v>
      </c>
      <c r="G634" s="73" t="s">
        <v>5602</v>
      </c>
      <c r="H634" s="62" t="s">
        <v>5749</v>
      </c>
      <c r="I634" s="62" t="s">
        <v>5750</v>
      </c>
      <c r="J634" s="60" t="s">
        <v>4703</v>
      </c>
      <c r="K634" s="38"/>
      <c r="L634" s="38"/>
      <c r="M634" s="56"/>
      <c r="N634" s="56" t="b">
        <v>0</v>
      </c>
      <c r="O634" s="56" t="b">
        <v>0</v>
      </c>
      <c r="P634" s="56"/>
      <c r="Q634" s="56"/>
      <c r="R634" s="56"/>
      <c r="S634" s="56"/>
      <c r="T634" s="56"/>
      <c r="U634" s="56"/>
      <c r="V634" s="56"/>
      <c r="W634" s="56"/>
      <c r="X634" s="56"/>
      <c r="Y634" s="56"/>
      <c r="Z634" s="56"/>
      <c r="AA634" s="56"/>
      <c r="AB634" s="56"/>
    </row>
    <row r="635" ht="15.75" customHeight="1">
      <c r="A635" s="57" t="str">
        <f t="shared" si="8"/>
        <v>6076bdf18d60243cffce3c51</v>
      </c>
      <c r="B635" s="63"/>
      <c r="C635" s="38" t="s">
        <v>53</v>
      </c>
      <c r="D635" s="38" t="s">
        <v>52</v>
      </c>
      <c r="E635" s="67" t="s">
        <v>1241</v>
      </c>
      <c r="F635" s="67" t="s">
        <v>1242</v>
      </c>
      <c r="G635" s="66" t="s">
        <v>5461</v>
      </c>
      <c r="H635" s="38" t="s">
        <v>5751</v>
      </c>
      <c r="I635" s="38" t="s">
        <v>5752</v>
      </c>
      <c r="J635" s="67" t="s">
        <v>1244</v>
      </c>
      <c r="K635" s="38"/>
      <c r="L635" s="38"/>
      <c r="M635" s="56"/>
      <c r="N635" s="56" t="b">
        <v>0</v>
      </c>
      <c r="O635" s="56" t="b">
        <v>0</v>
      </c>
      <c r="P635" s="56"/>
      <c r="Q635" s="56"/>
      <c r="R635" s="56"/>
      <c r="S635" s="56"/>
      <c r="T635" s="56"/>
      <c r="U635" s="56"/>
      <c r="V635" s="56"/>
      <c r="W635" s="56"/>
      <c r="X635" s="56"/>
      <c r="Y635" s="56"/>
      <c r="Z635" s="56"/>
      <c r="AA635" s="56"/>
      <c r="AB635" s="56"/>
    </row>
    <row r="636" ht="15.75" customHeight="1">
      <c r="A636" s="57" t="str">
        <f>E650</f>
        <v>608955d3d69d456afc52fd5e</v>
      </c>
      <c r="B636" s="63"/>
      <c r="C636" s="38" t="s">
        <v>53</v>
      </c>
      <c r="D636" s="56"/>
      <c r="E636" s="56"/>
      <c r="F636" s="56"/>
      <c r="G636" s="90"/>
      <c r="H636" s="56"/>
      <c r="I636" s="56"/>
      <c r="J636" s="56"/>
      <c r="K636" s="38"/>
      <c r="L636" s="38"/>
      <c r="M636" s="56"/>
      <c r="N636" s="56" t="b">
        <v>0</v>
      </c>
      <c r="O636" s="56" t="b">
        <v>0</v>
      </c>
      <c r="P636" s="56"/>
      <c r="Q636" s="56"/>
      <c r="R636" s="56"/>
      <c r="S636" s="56"/>
      <c r="T636" s="56"/>
      <c r="U636" s="56"/>
      <c r="V636" s="56"/>
      <c r="W636" s="56"/>
      <c r="X636" s="56"/>
      <c r="Y636" s="56"/>
      <c r="Z636" s="56"/>
      <c r="AA636" s="56"/>
      <c r="AB636" s="56"/>
    </row>
    <row r="637" ht="15.75" customHeight="1">
      <c r="A637" s="57" t="str">
        <f t="shared" ref="A637:A649" si="9">E637</f>
        <v/>
      </c>
      <c r="B637" s="63"/>
      <c r="C637" s="38"/>
      <c r="D637" s="38"/>
      <c r="E637" s="38"/>
      <c r="F637" s="65"/>
      <c r="G637" s="66"/>
      <c r="H637" s="38"/>
      <c r="I637" s="38"/>
      <c r="J637" s="38"/>
      <c r="K637" s="38"/>
      <c r="L637" s="38"/>
      <c r="M637" s="56"/>
      <c r="N637" s="56" t="b">
        <v>0</v>
      </c>
      <c r="O637" s="56" t="b">
        <v>0</v>
      </c>
      <c r="P637" s="56"/>
      <c r="Q637" s="56"/>
      <c r="R637" s="56"/>
      <c r="S637" s="56"/>
      <c r="T637" s="56"/>
      <c r="U637" s="56"/>
      <c r="V637" s="56"/>
      <c r="W637" s="56"/>
      <c r="X637" s="56"/>
      <c r="Y637" s="56"/>
      <c r="Z637" s="56"/>
      <c r="AA637" s="56"/>
      <c r="AB637" s="56"/>
    </row>
    <row r="638" ht="15.75" customHeight="1">
      <c r="A638" s="57" t="str">
        <f t="shared" si="9"/>
        <v/>
      </c>
      <c r="B638" s="69"/>
      <c r="C638" s="38"/>
      <c r="D638" s="38"/>
      <c r="E638" s="38"/>
      <c r="F638" s="65"/>
      <c r="G638" s="66"/>
      <c r="H638" s="38"/>
      <c r="I638" s="38"/>
      <c r="J638" s="38"/>
      <c r="K638" s="38"/>
      <c r="L638" s="38"/>
      <c r="M638" s="56"/>
      <c r="N638" s="56" t="b">
        <v>0</v>
      </c>
      <c r="O638" s="56" t="b">
        <v>0</v>
      </c>
      <c r="P638" s="56"/>
      <c r="Q638" s="56"/>
      <c r="R638" s="56"/>
      <c r="S638" s="56"/>
      <c r="T638" s="56"/>
      <c r="U638" s="56"/>
      <c r="V638" s="56"/>
      <c r="W638" s="56"/>
      <c r="X638" s="56"/>
      <c r="Y638" s="56"/>
      <c r="Z638" s="56"/>
      <c r="AA638" s="56"/>
      <c r="AB638" s="56"/>
    </row>
    <row r="639" ht="15.75" customHeight="1">
      <c r="A639" s="57" t="str">
        <f t="shared" si="9"/>
        <v/>
      </c>
      <c r="B639" s="51"/>
      <c r="C639" s="52">
        <v>44342.0</v>
      </c>
      <c r="D639" s="38"/>
      <c r="E639" s="38"/>
      <c r="F639" s="65"/>
      <c r="G639" s="66"/>
      <c r="H639" s="38"/>
      <c r="I639" s="38"/>
      <c r="J639" s="38"/>
      <c r="K639" s="38"/>
      <c r="L639" s="38"/>
      <c r="M639" s="56"/>
      <c r="N639" s="56" t="b">
        <v>0</v>
      </c>
      <c r="O639" s="56" t="b">
        <v>0</v>
      </c>
      <c r="P639" s="56"/>
      <c r="Q639" s="56"/>
      <c r="R639" s="56"/>
      <c r="S639" s="56"/>
      <c r="T639" s="56"/>
      <c r="U639" s="56"/>
      <c r="V639" s="56"/>
      <c r="W639" s="56"/>
      <c r="X639" s="56"/>
      <c r="Y639" s="56"/>
      <c r="Z639" s="56"/>
      <c r="AA639" s="56"/>
      <c r="AB639" s="56"/>
    </row>
    <row r="640" ht="15.75" customHeight="1">
      <c r="A640" s="57" t="str">
        <f t="shared" si="9"/>
        <v/>
      </c>
      <c r="B640" s="58" t="s">
        <v>4836</v>
      </c>
      <c r="C640" s="38" t="s">
        <v>53</v>
      </c>
      <c r="D640" s="38"/>
      <c r="E640" s="38"/>
      <c r="F640" s="65"/>
      <c r="G640" s="66"/>
      <c r="H640" s="38"/>
      <c r="I640" s="38"/>
      <c r="J640" s="38"/>
      <c r="K640" s="38"/>
      <c r="L640" s="38"/>
      <c r="M640" s="56"/>
      <c r="N640" s="56" t="b">
        <v>0</v>
      </c>
      <c r="O640" s="56" t="b">
        <v>0</v>
      </c>
      <c r="P640" s="56"/>
      <c r="Q640" s="56"/>
      <c r="R640" s="56"/>
      <c r="S640" s="56"/>
      <c r="T640" s="56"/>
      <c r="U640" s="56"/>
      <c r="V640" s="56"/>
      <c r="W640" s="56"/>
      <c r="X640" s="56"/>
      <c r="Y640" s="56"/>
      <c r="Z640" s="56"/>
      <c r="AA640" s="56"/>
      <c r="AB640" s="56"/>
    </row>
    <row r="641" ht="15.75" customHeight="1">
      <c r="A641" s="57" t="str">
        <f t="shared" si="9"/>
        <v>6079a857910804037b20cad7</v>
      </c>
      <c r="B641" s="63"/>
      <c r="C641" s="38" t="s">
        <v>53</v>
      </c>
      <c r="D641" s="76" t="s">
        <v>52</v>
      </c>
      <c r="E641" s="77" t="s">
        <v>5753</v>
      </c>
      <c r="F641" s="77" t="s">
        <v>5754</v>
      </c>
      <c r="G641" s="82" t="s">
        <v>5247</v>
      </c>
      <c r="H641" s="77" t="s">
        <v>5755</v>
      </c>
      <c r="I641" s="76" t="s">
        <v>5756</v>
      </c>
      <c r="J641" s="77" t="s">
        <v>5757</v>
      </c>
      <c r="K641" s="76" t="s">
        <v>5758</v>
      </c>
      <c r="L641" s="38"/>
      <c r="M641" s="56"/>
      <c r="N641" s="56" t="b">
        <v>0</v>
      </c>
      <c r="O641" s="56" t="b">
        <v>0</v>
      </c>
      <c r="P641" s="56"/>
      <c r="Q641" s="56"/>
      <c r="R641" s="56"/>
      <c r="S641" s="56"/>
      <c r="T641" s="56"/>
      <c r="U641" s="56"/>
      <c r="V641" s="56"/>
      <c r="W641" s="56"/>
      <c r="X641" s="56"/>
      <c r="Y641" s="56"/>
      <c r="Z641" s="56"/>
      <c r="AA641" s="56"/>
      <c r="AB641" s="56"/>
    </row>
    <row r="642" ht="15.75" customHeight="1">
      <c r="A642" s="57" t="str">
        <f t="shared" si="9"/>
        <v>60a63dbe443be60cf9080c42</v>
      </c>
      <c r="B642" s="63"/>
      <c r="C642" s="38" t="s">
        <v>53</v>
      </c>
      <c r="D642" s="38" t="s">
        <v>52</v>
      </c>
      <c r="E642" s="67" t="s">
        <v>5759</v>
      </c>
      <c r="F642" s="67" t="s">
        <v>5760</v>
      </c>
      <c r="G642" s="66" t="s">
        <v>5602</v>
      </c>
      <c r="H642" s="38" t="s">
        <v>4994</v>
      </c>
      <c r="I642" s="38" t="s">
        <v>5761</v>
      </c>
      <c r="J642" s="67" t="s">
        <v>5762</v>
      </c>
      <c r="K642" s="23" t="s">
        <v>5763</v>
      </c>
      <c r="L642" s="38"/>
      <c r="M642" s="56"/>
      <c r="N642" s="56" t="b">
        <v>0</v>
      </c>
      <c r="O642" s="56" t="b">
        <v>0</v>
      </c>
      <c r="P642" s="56"/>
      <c r="Q642" s="56"/>
      <c r="R642" s="56"/>
      <c r="S642" s="56"/>
      <c r="T642" s="56"/>
      <c r="U642" s="56"/>
      <c r="V642" s="56"/>
      <c r="W642" s="56"/>
      <c r="X642" s="56"/>
      <c r="Y642" s="56"/>
      <c r="Z642" s="56"/>
      <c r="AA642" s="56"/>
      <c r="AB642" s="56"/>
    </row>
    <row r="643" ht="15.75" customHeight="1">
      <c r="A643" s="57" t="str">
        <f t="shared" si="9"/>
        <v>608fe48e68f4686a097baeee</v>
      </c>
      <c r="B643" s="63"/>
      <c r="C643" s="38" t="s">
        <v>53</v>
      </c>
      <c r="D643" s="38" t="s">
        <v>52</v>
      </c>
      <c r="E643" s="67" t="s">
        <v>2478</v>
      </c>
      <c r="F643" s="67" t="s">
        <v>2479</v>
      </c>
      <c r="G643" s="66" t="s">
        <v>5461</v>
      </c>
      <c r="H643" s="38" t="s">
        <v>5581</v>
      </c>
      <c r="I643" s="38" t="s">
        <v>5764</v>
      </c>
      <c r="J643" s="67" t="s">
        <v>2480</v>
      </c>
      <c r="K643" s="38"/>
      <c r="L643" s="38"/>
      <c r="M643" s="56"/>
      <c r="N643" s="56" t="b">
        <v>0</v>
      </c>
      <c r="O643" s="56" t="b">
        <v>0</v>
      </c>
      <c r="P643" s="56"/>
      <c r="Q643" s="56"/>
      <c r="R643" s="56"/>
      <c r="S643" s="56"/>
      <c r="T643" s="56"/>
      <c r="U643" s="56"/>
      <c r="V643" s="56"/>
      <c r="W643" s="56"/>
      <c r="X643" s="56"/>
      <c r="Y643" s="56"/>
      <c r="Z643" s="56"/>
      <c r="AA643" s="56"/>
      <c r="AB643" s="56"/>
    </row>
    <row r="644" ht="15.75" customHeight="1">
      <c r="A644" s="57" t="str">
        <f t="shared" si="9"/>
        <v>60570e7604fe53d3e2562520</v>
      </c>
      <c r="B644" s="63"/>
      <c r="C644" s="38"/>
      <c r="D644" s="38" t="s">
        <v>52</v>
      </c>
      <c r="E644" s="67" t="s">
        <v>5309</v>
      </c>
      <c r="F644" s="67" t="s">
        <v>5310</v>
      </c>
      <c r="G644" s="66" t="s">
        <v>4914</v>
      </c>
      <c r="H644" s="38" t="s">
        <v>5765</v>
      </c>
      <c r="I644" s="67" t="s">
        <v>5312</v>
      </c>
      <c r="J644" s="67" t="s">
        <v>5313</v>
      </c>
      <c r="K644" s="38" t="s">
        <v>5528</v>
      </c>
      <c r="L644" s="38"/>
      <c r="M644" s="56"/>
      <c r="N644" s="56" t="b">
        <v>0</v>
      </c>
      <c r="O644" s="56" t="b">
        <v>0</v>
      </c>
      <c r="P644" s="56"/>
      <c r="Q644" s="56"/>
      <c r="R644" s="56"/>
      <c r="S644" s="56"/>
      <c r="T644" s="56"/>
      <c r="U644" s="56"/>
      <c r="V644" s="56"/>
      <c r="W644" s="56"/>
      <c r="X644" s="56"/>
      <c r="Y644" s="56"/>
      <c r="Z644" s="56"/>
      <c r="AA644" s="56"/>
      <c r="AB644" s="56"/>
    </row>
    <row r="645" ht="15.75" customHeight="1">
      <c r="A645" s="57" t="str">
        <f t="shared" si="9"/>
        <v/>
      </c>
      <c r="B645" s="69"/>
      <c r="C645" s="38"/>
      <c r="D645" s="38"/>
      <c r="E645" s="38"/>
      <c r="F645" s="65"/>
      <c r="G645" s="66"/>
      <c r="H645" s="38"/>
      <c r="I645" s="38"/>
      <c r="J645" s="38"/>
      <c r="K645" s="38"/>
      <c r="L645" s="38"/>
      <c r="M645" s="56"/>
      <c r="N645" s="56" t="b">
        <v>0</v>
      </c>
      <c r="O645" s="56" t="b">
        <v>0</v>
      </c>
      <c r="P645" s="56"/>
      <c r="Q645" s="56"/>
      <c r="R645" s="56"/>
      <c r="S645" s="56"/>
      <c r="T645" s="56"/>
      <c r="U645" s="56"/>
      <c r="V645" s="56"/>
      <c r="W645" s="56"/>
      <c r="X645" s="56"/>
      <c r="Y645" s="56"/>
      <c r="Z645" s="56"/>
      <c r="AA645" s="56"/>
      <c r="AB645" s="56"/>
    </row>
    <row r="646" ht="15.75" customHeight="1">
      <c r="A646" s="57" t="str">
        <f t="shared" si="9"/>
        <v/>
      </c>
      <c r="B646" s="51"/>
      <c r="C646" s="52">
        <v>44343.0</v>
      </c>
      <c r="D646" s="38"/>
      <c r="E646" s="38"/>
      <c r="F646" s="65"/>
      <c r="G646" s="66"/>
      <c r="H646" s="38"/>
      <c r="I646" s="38"/>
      <c r="J646" s="38"/>
      <c r="K646" s="38"/>
      <c r="L646" s="38"/>
      <c r="M646" s="56"/>
      <c r="N646" s="56" t="b">
        <v>0</v>
      </c>
      <c r="O646" s="56" t="b">
        <v>0</v>
      </c>
      <c r="P646" s="56"/>
      <c r="Q646" s="56"/>
      <c r="R646" s="56"/>
      <c r="S646" s="56"/>
      <c r="T646" s="56"/>
      <c r="U646" s="56"/>
      <c r="V646" s="56"/>
      <c r="W646" s="56"/>
      <c r="X646" s="56"/>
      <c r="Y646" s="56"/>
      <c r="Z646" s="56"/>
      <c r="AA646" s="56"/>
      <c r="AB646" s="56"/>
    </row>
    <row r="647" ht="15.75" customHeight="1">
      <c r="A647" s="57" t="str">
        <f t="shared" si="9"/>
        <v>607997747481550b89de53b8</v>
      </c>
      <c r="B647" s="58" t="s">
        <v>4836</v>
      </c>
      <c r="C647" s="38" t="s">
        <v>53</v>
      </c>
      <c r="D647" s="38" t="s">
        <v>1470</v>
      </c>
      <c r="E647" s="38" t="s">
        <v>2136</v>
      </c>
      <c r="F647" s="67" t="s">
        <v>2137</v>
      </c>
      <c r="G647" s="66" t="s">
        <v>4851</v>
      </c>
      <c r="H647" s="38" t="s">
        <v>5221</v>
      </c>
      <c r="I647" s="67" t="s">
        <v>5766</v>
      </c>
      <c r="J647" s="67" t="s">
        <v>2139</v>
      </c>
      <c r="K647" s="38"/>
      <c r="L647" s="38"/>
      <c r="M647" s="56"/>
      <c r="N647" s="56" t="b">
        <v>0</v>
      </c>
      <c r="O647" s="56" t="b">
        <v>0</v>
      </c>
      <c r="P647" s="56"/>
      <c r="Q647" s="56"/>
      <c r="R647" s="56"/>
      <c r="S647" s="56"/>
      <c r="T647" s="56"/>
      <c r="U647" s="56"/>
      <c r="V647" s="56"/>
      <c r="W647" s="56"/>
      <c r="X647" s="56"/>
      <c r="Y647" s="56"/>
      <c r="Z647" s="56"/>
      <c r="AA647" s="56"/>
      <c r="AB647" s="56"/>
    </row>
    <row r="648" ht="15.75" customHeight="1">
      <c r="A648" s="57" t="str">
        <f t="shared" si="9"/>
        <v>60a66c3bd1cdf4bec38babba</v>
      </c>
      <c r="B648" s="63"/>
      <c r="C648" s="38" t="s">
        <v>53</v>
      </c>
      <c r="D648" s="38" t="s">
        <v>1470</v>
      </c>
      <c r="E648" s="38" t="s">
        <v>2373</v>
      </c>
      <c r="F648" s="65" t="s">
        <v>2374</v>
      </c>
      <c r="G648" s="66" t="s">
        <v>4887</v>
      </c>
      <c r="H648" s="38" t="s">
        <v>5585</v>
      </c>
      <c r="I648" s="38" t="s">
        <v>5767</v>
      </c>
      <c r="J648" s="38" t="s">
        <v>2083</v>
      </c>
      <c r="K648" s="38"/>
      <c r="L648" s="38"/>
      <c r="M648" s="56"/>
      <c r="N648" s="56" t="b">
        <v>0</v>
      </c>
      <c r="O648" s="56" t="b">
        <v>0</v>
      </c>
      <c r="P648" s="56"/>
      <c r="Q648" s="56"/>
      <c r="R648" s="56"/>
      <c r="S648" s="56"/>
      <c r="T648" s="56"/>
      <c r="U648" s="56"/>
      <c r="V648" s="56"/>
      <c r="W648" s="56"/>
      <c r="X648" s="56"/>
      <c r="Y648" s="56"/>
      <c r="Z648" s="56"/>
      <c r="AA648" s="56"/>
      <c r="AB648" s="56"/>
    </row>
    <row r="649" ht="15.75" customHeight="1">
      <c r="A649" s="57" t="str">
        <f t="shared" si="9"/>
        <v>60785dfac298af225692f795</v>
      </c>
      <c r="B649" s="63"/>
      <c r="C649" s="38" t="s">
        <v>53</v>
      </c>
      <c r="D649" s="38" t="s">
        <v>52</v>
      </c>
      <c r="E649" s="67" t="s">
        <v>5768</v>
      </c>
      <c r="F649" s="67" t="s">
        <v>5769</v>
      </c>
      <c r="G649" s="66" t="s">
        <v>4858</v>
      </c>
      <c r="H649" s="38" t="s">
        <v>5548</v>
      </c>
      <c r="I649" s="38" t="s">
        <v>5770</v>
      </c>
      <c r="J649" s="67" t="s">
        <v>5771</v>
      </c>
      <c r="K649" s="38"/>
      <c r="L649" s="38"/>
      <c r="M649" s="56"/>
      <c r="N649" s="56" t="b">
        <v>0</v>
      </c>
      <c r="O649" s="56" t="b">
        <v>0</v>
      </c>
      <c r="P649" s="56"/>
      <c r="Q649" s="56"/>
      <c r="R649" s="56"/>
      <c r="S649" s="56"/>
      <c r="T649" s="56"/>
      <c r="U649" s="56"/>
      <c r="V649" s="56"/>
      <c r="W649" s="56"/>
      <c r="X649" s="56"/>
      <c r="Y649" s="56"/>
      <c r="Z649" s="56"/>
      <c r="AA649" s="56"/>
      <c r="AB649" s="56"/>
    </row>
    <row r="650" ht="15.75" customHeight="1">
      <c r="A650" s="57" t="str">
        <f>#REF!</f>
        <v>#REF!</v>
      </c>
      <c r="B650" s="63"/>
      <c r="C650" s="38" t="s">
        <v>53</v>
      </c>
      <c r="D650" s="38" t="s">
        <v>52</v>
      </c>
      <c r="E650" s="67" t="s">
        <v>3137</v>
      </c>
      <c r="F650" s="67" t="s">
        <v>3138</v>
      </c>
      <c r="G650" s="66" t="s">
        <v>4914</v>
      </c>
      <c r="H650" s="38" t="s">
        <v>4994</v>
      </c>
      <c r="I650" s="38" t="s">
        <v>5772</v>
      </c>
      <c r="J650" s="67" t="s">
        <v>3140</v>
      </c>
      <c r="K650" s="38"/>
      <c r="L650" s="38"/>
      <c r="M650" s="56"/>
      <c r="N650" s="56" t="b">
        <v>0</v>
      </c>
      <c r="O650" s="56" t="b">
        <v>0</v>
      </c>
      <c r="P650" s="56"/>
      <c r="Q650" s="56"/>
      <c r="R650" s="56"/>
      <c r="S650" s="56"/>
      <c r="T650" s="56"/>
      <c r="U650" s="56"/>
      <c r="V650" s="56"/>
      <c r="W650" s="56"/>
      <c r="X650" s="56"/>
      <c r="Y650" s="56"/>
      <c r="Z650" s="56"/>
      <c r="AA650" s="56"/>
      <c r="AB650" s="56"/>
    </row>
    <row r="651" ht="15.75" customHeight="1">
      <c r="A651" s="57" t="str">
        <f t="shared" ref="A651:A668" si="10">E651</f>
        <v/>
      </c>
      <c r="B651" s="63"/>
      <c r="C651" s="38"/>
      <c r="D651" s="38"/>
      <c r="E651" s="38"/>
      <c r="F651" s="65"/>
      <c r="G651" s="66"/>
      <c r="H651" s="38"/>
      <c r="I651" s="38"/>
      <c r="J651" s="38"/>
      <c r="K651" s="38"/>
      <c r="L651" s="38"/>
      <c r="M651" s="56"/>
      <c r="N651" s="56" t="b">
        <v>0</v>
      </c>
      <c r="O651" s="56" t="b">
        <v>0</v>
      </c>
      <c r="P651" s="56"/>
      <c r="Q651" s="56"/>
      <c r="R651" s="56"/>
      <c r="S651" s="56"/>
      <c r="T651" s="56"/>
      <c r="U651" s="56"/>
      <c r="V651" s="56"/>
      <c r="W651" s="56"/>
      <c r="X651" s="56"/>
      <c r="Y651" s="56"/>
      <c r="Z651" s="56"/>
      <c r="AA651" s="56"/>
      <c r="AB651" s="56"/>
    </row>
    <row r="652" ht="15.75" customHeight="1">
      <c r="A652" s="57" t="str">
        <f t="shared" si="10"/>
        <v/>
      </c>
      <c r="B652" s="69"/>
      <c r="C652" s="38"/>
      <c r="D652" s="38"/>
      <c r="E652" s="38"/>
      <c r="F652" s="65"/>
      <c r="G652" s="66"/>
      <c r="H652" s="38"/>
      <c r="I652" s="38"/>
      <c r="J652" s="38"/>
      <c r="K652" s="38"/>
      <c r="L652" s="38"/>
      <c r="M652" s="56"/>
      <c r="N652" s="56" t="b">
        <v>0</v>
      </c>
      <c r="O652" s="56" t="b">
        <v>0</v>
      </c>
      <c r="P652" s="56"/>
      <c r="Q652" s="56"/>
      <c r="R652" s="56"/>
      <c r="S652" s="56"/>
      <c r="T652" s="56"/>
      <c r="U652" s="56"/>
      <c r="V652" s="56"/>
      <c r="W652" s="56"/>
      <c r="X652" s="56"/>
      <c r="Y652" s="56"/>
      <c r="Z652" s="56"/>
      <c r="AA652" s="56"/>
      <c r="AB652" s="56"/>
    </row>
    <row r="653" ht="15.75" customHeight="1">
      <c r="A653" s="57" t="str">
        <f t="shared" si="10"/>
        <v/>
      </c>
      <c r="B653" s="51"/>
      <c r="C653" s="52">
        <v>44344.0</v>
      </c>
      <c r="D653" s="38"/>
      <c r="E653" s="38"/>
      <c r="F653" s="65"/>
      <c r="G653" s="66"/>
      <c r="H653" s="38"/>
      <c r="I653" s="38"/>
      <c r="J653" s="38"/>
      <c r="K653" s="38"/>
      <c r="L653" s="38"/>
      <c r="M653" s="56"/>
      <c r="N653" s="56" t="b">
        <v>0</v>
      </c>
      <c r="O653" s="56" t="b">
        <v>0</v>
      </c>
      <c r="P653" s="56"/>
      <c r="Q653" s="56"/>
      <c r="R653" s="56"/>
      <c r="S653" s="56"/>
      <c r="T653" s="56"/>
      <c r="U653" s="56"/>
      <c r="V653" s="56"/>
      <c r="W653" s="56"/>
      <c r="X653" s="56"/>
      <c r="Y653" s="56"/>
      <c r="Z653" s="56"/>
      <c r="AA653" s="56"/>
      <c r="AB653" s="56"/>
    </row>
    <row r="654" ht="15.75" customHeight="1">
      <c r="A654" s="57" t="str">
        <f t="shared" si="10"/>
        <v>608fe48e68f4686a097baeee</v>
      </c>
      <c r="B654" s="58" t="s">
        <v>4836</v>
      </c>
      <c r="C654" s="38" t="s">
        <v>53</v>
      </c>
      <c r="D654" s="38" t="s">
        <v>52</v>
      </c>
      <c r="E654" s="67" t="s">
        <v>2478</v>
      </c>
      <c r="F654" s="67" t="s">
        <v>2479</v>
      </c>
      <c r="G654" s="66" t="s">
        <v>5704</v>
      </c>
      <c r="H654" s="38" t="s">
        <v>5773</v>
      </c>
      <c r="I654" s="38" t="s">
        <v>5764</v>
      </c>
      <c r="J654" s="67" t="s">
        <v>2480</v>
      </c>
      <c r="K654" s="38"/>
      <c r="L654" s="38"/>
      <c r="M654" s="56"/>
      <c r="N654" s="56" t="b">
        <v>0</v>
      </c>
      <c r="O654" s="56" t="b">
        <v>0</v>
      </c>
      <c r="P654" s="56"/>
      <c r="Q654" s="56"/>
      <c r="R654" s="56"/>
      <c r="S654" s="56"/>
      <c r="T654" s="56"/>
      <c r="U654" s="56"/>
      <c r="V654" s="56"/>
      <c r="W654" s="56"/>
      <c r="X654" s="56"/>
      <c r="Y654" s="56"/>
      <c r="Z654" s="56"/>
      <c r="AA654" s="56"/>
      <c r="AB654" s="56"/>
    </row>
    <row r="655" ht="15.75" customHeight="1">
      <c r="A655" s="57" t="str">
        <f t="shared" si="10"/>
        <v>602ad0999710c010c1d1dfc5</v>
      </c>
      <c r="B655" s="63"/>
      <c r="C655" s="38" t="s">
        <v>53</v>
      </c>
      <c r="D655" s="62" t="s">
        <v>52</v>
      </c>
      <c r="E655" s="60" t="s">
        <v>241</v>
      </c>
      <c r="F655" s="60" t="s">
        <v>242</v>
      </c>
      <c r="G655" s="73" t="s">
        <v>5134</v>
      </c>
      <c r="H655" s="62" t="s">
        <v>5773</v>
      </c>
      <c r="I655" s="60" t="s">
        <v>5774</v>
      </c>
      <c r="J655" s="60" t="s">
        <v>244</v>
      </c>
      <c r="K655" s="38"/>
      <c r="L655" s="38"/>
      <c r="M655" s="56"/>
      <c r="N655" s="56" t="b">
        <v>0</v>
      </c>
      <c r="O655" s="56" t="b">
        <v>0</v>
      </c>
      <c r="P655" s="56"/>
      <c r="Q655" s="56"/>
      <c r="R655" s="56"/>
      <c r="S655" s="56"/>
      <c r="T655" s="56"/>
      <c r="U655" s="56"/>
      <c r="V655" s="56"/>
      <c r="W655" s="56"/>
      <c r="X655" s="56"/>
      <c r="Y655" s="56"/>
      <c r="Z655" s="56"/>
      <c r="AA655" s="56"/>
      <c r="AB655" s="56"/>
    </row>
    <row r="656" ht="15.75" customHeight="1">
      <c r="A656" s="57" t="str">
        <f t="shared" si="10"/>
        <v>6030906e6a39b5862f6e1dbd</v>
      </c>
      <c r="B656" s="63"/>
      <c r="C656" s="38" t="s">
        <v>53</v>
      </c>
      <c r="D656" s="38" t="s">
        <v>3146</v>
      </c>
      <c r="E656" s="67" t="s">
        <v>5775</v>
      </c>
      <c r="F656" s="67" t="s">
        <v>5776</v>
      </c>
      <c r="G656" s="66" t="s">
        <v>4856</v>
      </c>
      <c r="H656" s="38" t="s">
        <v>5548</v>
      </c>
      <c r="I656" s="23" t="s">
        <v>5777</v>
      </c>
      <c r="J656" s="67" t="s">
        <v>5778</v>
      </c>
      <c r="K656" s="38"/>
      <c r="L656" s="38"/>
      <c r="M656" s="56"/>
      <c r="N656" s="56" t="b">
        <v>0</v>
      </c>
      <c r="O656" s="56" t="b">
        <v>0</v>
      </c>
      <c r="P656" s="56"/>
      <c r="Q656" s="56"/>
      <c r="R656" s="56"/>
      <c r="S656" s="56"/>
      <c r="T656" s="56"/>
      <c r="U656" s="56"/>
      <c r="V656" s="56"/>
      <c r="W656" s="56"/>
      <c r="X656" s="56"/>
      <c r="Y656" s="56"/>
      <c r="Z656" s="56"/>
      <c r="AA656" s="56"/>
      <c r="AB656" s="56"/>
    </row>
    <row r="657" ht="15.75" customHeight="1">
      <c r="A657" s="57" t="str">
        <f t="shared" si="10"/>
        <v>60a2ae97d0dd4911b6ab1a93</v>
      </c>
      <c r="B657" s="63"/>
      <c r="C657" s="38" t="s">
        <v>53</v>
      </c>
      <c r="D657" s="38" t="s">
        <v>52</v>
      </c>
      <c r="E657" s="67" t="s">
        <v>5779</v>
      </c>
      <c r="F657" s="67" t="s">
        <v>5780</v>
      </c>
      <c r="G657" s="66" t="s">
        <v>4858</v>
      </c>
      <c r="H657" s="38" t="s">
        <v>5781</v>
      </c>
      <c r="I657" s="38" t="s">
        <v>5782</v>
      </c>
      <c r="J657" s="67" t="s">
        <v>5783</v>
      </c>
      <c r="K657" s="38"/>
      <c r="L657" s="38"/>
      <c r="M657" s="56"/>
      <c r="N657" s="56" t="b">
        <v>0</v>
      </c>
      <c r="O657" s="56" t="b">
        <v>0</v>
      </c>
      <c r="P657" s="56"/>
      <c r="Q657" s="56"/>
      <c r="R657" s="56"/>
      <c r="S657" s="56"/>
      <c r="T657" s="56"/>
      <c r="U657" s="56"/>
      <c r="V657" s="56"/>
      <c r="W657" s="56"/>
      <c r="X657" s="56"/>
      <c r="Y657" s="56"/>
      <c r="Z657" s="56"/>
      <c r="AA657" s="56"/>
      <c r="AB657" s="56"/>
    </row>
    <row r="658" ht="15.75" customHeight="1">
      <c r="A658" s="57" t="str">
        <f t="shared" si="10"/>
        <v/>
      </c>
      <c r="B658" s="63"/>
      <c r="C658" s="38"/>
      <c r="D658" s="38"/>
      <c r="E658" s="38"/>
      <c r="F658" s="65"/>
      <c r="G658" s="66"/>
      <c r="H658" s="38"/>
      <c r="I658" s="38"/>
      <c r="J658" s="38"/>
      <c r="K658" s="38"/>
      <c r="L658" s="38"/>
      <c r="M658" s="56"/>
      <c r="N658" s="56" t="b">
        <v>0</v>
      </c>
      <c r="O658" s="56" t="b">
        <v>0</v>
      </c>
      <c r="P658" s="56"/>
      <c r="Q658" s="56"/>
      <c r="R658" s="56"/>
      <c r="S658" s="56"/>
      <c r="T658" s="56"/>
      <c r="U658" s="56"/>
      <c r="V658" s="56"/>
      <c r="W658" s="56"/>
      <c r="X658" s="56"/>
      <c r="Y658" s="56"/>
      <c r="Z658" s="56"/>
      <c r="AA658" s="56"/>
      <c r="AB658" s="56"/>
    </row>
    <row r="659" ht="15.75" customHeight="1">
      <c r="A659" s="57" t="str">
        <f t="shared" si="10"/>
        <v/>
      </c>
      <c r="B659" s="69"/>
      <c r="C659" s="38"/>
      <c r="D659" s="38"/>
      <c r="E659" s="38"/>
      <c r="F659" s="65"/>
      <c r="G659" s="66"/>
      <c r="H659" s="38"/>
      <c r="I659" s="38"/>
      <c r="J659" s="38"/>
      <c r="K659" s="38"/>
      <c r="L659" s="38"/>
      <c r="M659" s="56"/>
      <c r="N659" s="56" t="b">
        <v>0</v>
      </c>
      <c r="O659" s="56" t="b">
        <v>0</v>
      </c>
      <c r="P659" s="56"/>
      <c r="Q659" s="56"/>
      <c r="R659" s="56"/>
      <c r="S659" s="56"/>
      <c r="T659" s="56"/>
      <c r="U659" s="56"/>
      <c r="V659" s="56"/>
      <c r="W659" s="56"/>
      <c r="X659" s="56"/>
      <c r="Y659" s="56"/>
      <c r="Z659" s="56"/>
      <c r="AA659" s="56"/>
      <c r="AB659" s="56"/>
    </row>
    <row r="660" ht="15.75" customHeight="1">
      <c r="A660" s="57" t="str">
        <f t="shared" si="10"/>
        <v/>
      </c>
      <c r="B660" s="161"/>
      <c r="C660" s="52">
        <v>44347.0</v>
      </c>
      <c r="D660" s="38"/>
      <c r="E660" s="38"/>
      <c r="F660" s="65"/>
      <c r="G660" s="66"/>
      <c r="H660" s="38"/>
      <c r="I660" s="38"/>
      <c r="J660" s="38"/>
      <c r="K660" s="38"/>
      <c r="L660" s="38"/>
      <c r="M660" s="56"/>
      <c r="N660" s="56" t="b">
        <v>0</v>
      </c>
      <c r="O660" s="56" t="b">
        <v>0</v>
      </c>
      <c r="P660" s="56"/>
      <c r="Q660" s="56"/>
      <c r="R660" s="56"/>
      <c r="S660" s="56"/>
      <c r="T660" s="56"/>
      <c r="U660" s="56"/>
      <c r="V660" s="56"/>
      <c r="W660" s="56"/>
      <c r="X660" s="56"/>
      <c r="Y660" s="56"/>
      <c r="Z660" s="56"/>
      <c r="AA660" s="56"/>
      <c r="AB660" s="56"/>
    </row>
    <row r="661" ht="15.75" customHeight="1">
      <c r="A661" s="57" t="str">
        <f t="shared" si="10"/>
        <v>RANDEVU ALINMAYACAK!!!!</v>
      </c>
      <c r="B661" s="58" t="s">
        <v>4836</v>
      </c>
      <c r="C661" s="38" t="s">
        <v>53</v>
      </c>
      <c r="D661" s="38"/>
      <c r="E661" s="162" t="s">
        <v>5784</v>
      </c>
      <c r="F661" s="155"/>
      <c r="G661" s="66"/>
      <c r="H661" s="38"/>
      <c r="I661" s="38"/>
      <c r="J661" s="38"/>
      <c r="K661" s="38"/>
      <c r="L661" s="38"/>
      <c r="M661" s="56"/>
      <c r="N661" s="56" t="b">
        <v>0</v>
      </c>
      <c r="O661" s="56" t="b">
        <v>0</v>
      </c>
      <c r="P661" s="56"/>
      <c r="Q661" s="56"/>
      <c r="R661" s="56"/>
      <c r="S661" s="56"/>
      <c r="T661" s="56"/>
      <c r="U661" s="56"/>
      <c r="V661" s="56"/>
      <c r="W661" s="56"/>
      <c r="X661" s="56"/>
      <c r="Y661" s="56"/>
      <c r="Z661" s="56"/>
      <c r="AA661" s="56"/>
      <c r="AB661" s="56"/>
    </row>
    <row r="662" ht="15.75" customHeight="1">
      <c r="A662" s="57" t="str">
        <f t="shared" si="10"/>
        <v/>
      </c>
      <c r="B662" s="63"/>
      <c r="C662" s="38" t="s">
        <v>53</v>
      </c>
      <c r="D662" s="38"/>
      <c r="E662" s="156"/>
      <c r="F662" s="157"/>
      <c r="G662" s="66"/>
      <c r="H662" s="38"/>
      <c r="I662" s="38"/>
      <c r="J662" s="38"/>
      <c r="K662" s="38"/>
      <c r="L662" s="38"/>
      <c r="M662" s="56"/>
      <c r="N662" s="56" t="b">
        <v>0</v>
      </c>
      <c r="O662" s="56" t="b">
        <v>0</v>
      </c>
      <c r="P662" s="56"/>
      <c r="Q662" s="56"/>
      <c r="R662" s="56"/>
      <c r="S662" s="56"/>
      <c r="T662" s="56"/>
      <c r="U662" s="56"/>
      <c r="V662" s="56"/>
      <c r="W662" s="56"/>
      <c r="X662" s="56"/>
      <c r="Y662" s="56"/>
      <c r="Z662" s="56"/>
      <c r="AA662" s="56"/>
      <c r="AB662" s="56"/>
    </row>
    <row r="663" ht="15.75" customHeight="1">
      <c r="A663" s="57" t="str">
        <f t="shared" si="10"/>
        <v/>
      </c>
      <c r="B663" s="63"/>
      <c r="C663" s="38" t="s">
        <v>53</v>
      </c>
      <c r="D663" s="38"/>
      <c r="E663" s="156"/>
      <c r="F663" s="157"/>
      <c r="G663" s="66"/>
      <c r="H663" s="38"/>
      <c r="I663" s="38"/>
      <c r="J663" s="38"/>
      <c r="K663" s="38"/>
      <c r="L663" s="38"/>
      <c r="M663" s="56"/>
      <c r="N663" s="56" t="b">
        <v>0</v>
      </c>
      <c r="O663" s="56" t="b">
        <v>0</v>
      </c>
      <c r="P663" s="56"/>
      <c r="Q663" s="56"/>
      <c r="R663" s="56"/>
      <c r="S663" s="56"/>
      <c r="T663" s="56"/>
      <c r="U663" s="56"/>
      <c r="V663" s="56"/>
      <c r="W663" s="56"/>
      <c r="X663" s="56"/>
      <c r="Y663" s="56"/>
      <c r="Z663" s="56"/>
      <c r="AA663" s="56"/>
      <c r="AB663" s="56"/>
    </row>
    <row r="664" ht="15.75" customHeight="1">
      <c r="A664" s="57" t="str">
        <f t="shared" si="10"/>
        <v/>
      </c>
      <c r="B664" s="63"/>
      <c r="C664" s="38" t="s">
        <v>53</v>
      </c>
      <c r="D664" s="38"/>
      <c r="E664" s="158"/>
      <c r="F664" s="159"/>
      <c r="G664" s="66"/>
      <c r="H664" s="38"/>
      <c r="I664" s="38"/>
      <c r="J664" s="38"/>
      <c r="K664" s="38"/>
      <c r="L664" s="38"/>
      <c r="M664" s="56"/>
      <c r="N664" s="56" t="b">
        <v>0</v>
      </c>
      <c r="O664" s="56" t="b">
        <v>0</v>
      </c>
      <c r="P664" s="56"/>
      <c r="Q664" s="56"/>
      <c r="R664" s="56"/>
      <c r="S664" s="56"/>
      <c r="T664" s="56"/>
      <c r="U664" s="56"/>
      <c r="V664" s="56"/>
      <c r="W664" s="56"/>
      <c r="X664" s="56"/>
      <c r="Y664" s="56"/>
      <c r="Z664" s="56"/>
      <c r="AA664" s="56"/>
      <c r="AB664" s="56"/>
    </row>
    <row r="665" ht="15.75" customHeight="1">
      <c r="A665" s="57" t="str">
        <f t="shared" si="10"/>
        <v/>
      </c>
      <c r="B665" s="63"/>
      <c r="C665" s="38"/>
      <c r="D665" s="38"/>
      <c r="E665" s="38"/>
      <c r="F665" s="65"/>
      <c r="G665" s="66"/>
      <c r="H665" s="38"/>
      <c r="I665" s="38"/>
      <c r="J665" s="38"/>
      <c r="K665" s="38"/>
      <c r="L665" s="38"/>
      <c r="M665" s="56"/>
      <c r="N665" s="56" t="b">
        <v>0</v>
      </c>
      <c r="O665" s="56" t="b">
        <v>0</v>
      </c>
      <c r="P665" s="56"/>
      <c r="Q665" s="56"/>
      <c r="R665" s="56"/>
      <c r="S665" s="56"/>
      <c r="T665" s="56"/>
      <c r="U665" s="56"/>
      <c r="V665" s="56"/>
      <c r="W665" s="56"/>
      <c r="X665" s="56"/>
      <c r="Y665" s="56"/>
      <c r="Z665" s="56"/>
      <c r="AA665" s="56"/>
      <c r="AB665" s="56"/>
    </row>
    <row r="666" ht="15.75" customHeight="1">
      <c r="A666" s="57" t="str">
        <f t="shared" si="10"/>
        <v/>
      </c>
      <c r="B666" s="69"/>
      <c r="C666" s="38"/>
      <c r="D666" s="38"/>
      <c r="E666" s="38"/>
      <c r="F666" s="65"/>
      <c r="G666" s="66"/>
      <c r="H666" s="38"/>
      <c r="I666" s="38"/>
      <c r="J666" s="38"/>
      <c r="K666" s="38"/>
      <c r="L666" s="38"/>
      <c r="M666" s="56"/>
      <c r="N666" s="56" t="b">
        <v>0</v>
      </c>
      <c r="O666" s="56" t="b">
        <v>0</v>
      </c>
      <c r="P666" s="56"/>
      <c r="Q666" s="56"/>
      <c r="R666" s="56"/>
      <c r="S666" s="56"/>
      <c r="T666" s="56"/>
      <c r="U666" s="56"/>
      <c r="V666" s="56"/>
      <c r="W666" s="56"/>
      <c r="X666" s="56"/>
      <c r="Y666" s="56"/>
      <c r="Z666" s="56"/>
      <c r="AA666" s="56"/>
      <c r="AB666" s="56"/>
    </row>
    <row r="667" ht="15.75" customHeight="1">
      <c r="A667" s="57" t="str">
        <f t="shared" si="10"/>
        <v/>
      </c>
      <c r="B667" s="161"/>
      <c r="C667" s="52">
        <v>44348.0</v>
      </c>
      <c r="D667" s="38"/>
      <c r="E667" s="38"/>
      <c r="F667" s="65"/>
      <c r="G667" s="66"/>
      <c r="H667" s="38"/>
      <c r="I667" s="38"/>
      <c r="J667" s="38"/>
      <c r="K667" s="38"/>
      <c r="L667" s="38"/>
      <c r="M667" s="56"/>
      <c r="N667" s="56" t="b">
        <v>0</v>
      </c>
      <c r="O667" s="56" t="b">
        <v>0</v>
      </c>
      <c r="P667" s="56"/>
      <c r="Q667" s="56"/>
      <c r="R667" s="56"/>
      <c r="S667" s="56"/>
      <c r="T667" s="56"/>
      <c r="U667" s="56"/>
      <c r="V667" s="56"/>
      <c r="W667" s="56"/>
      <c r="X667" s="56"/>
      <c r="Y667" s="56"/>
      <c r="Z667" s="56"/>
      <c r="AA667" s="56"/>
      <c r="AB667" s="56"/>
    </row>
    <row r="668" ht="15.75" customHeight="1">
      <c r="A668" s="57" t="str">
        <f t="shared" si="10"/>
        <v/>
      </c>
      <c r="B668" s="58" t="s">
        <v>4836</v>
      </c>
      <c r="C668" s="38" t="s">
        <v>53</v>
      </c>
      <c r="D668" s="38"/>
      <c r="E668" s="38"/>
      <c r="F668" s="65"/>
      <c r="G668" s="66"/>
      <c r="H668" s="38"/>
      <c r="I668" s="38"/>
      <c r="J668" s="38"/>
      <c r="K668" s="38"/>
      <c r="L668" s="38"/>
      <c r="M668" s="56"/>
      <c r="N668" s="56" t="b">
        <v>0</v>
      </c>
      <c r="O668" s="56" t="b">
        <v>0</v>
      </c>
      <c r="P668" s="56"/>
      <c r="Q668" s="56"/>
      <c r="R668" s="56"/>
      <c r="S668" s="56"/>
      <c r="T668" s="56"/>
      <c r="U668" s="56"/>
      <c r="V668" s="56"/>
      <c r="W668" s="56"/>
      <c r="X668" s="56"/>
      <c r="Y668" s="56"/>
      <c r="Z668" s="56"/>
      <c r="AA668" s="56"/>
      <c r="AB668" s="56"/>
    </row>
    <row r="669" ht="15.75" customHeight="1">
      <c r="A669" s="57"/>
      <c r="B669" s="63"/>
      <c r="C669" s="38" t="s">
        <v>53</v>
      </c>
      <c r="D669" s="76" t="s">
        <v>52</v>
      </c>
      <c r="E669" s="76" t="s">
        <v>1929</v>
      </c>
      <c r="F669" s="160" t="s">
        <v>1930</v>
      </c>
      <c r="G669" s="82" t="s">
        <v>4856</v>
      </c>
      <c r="H669" s="76" t="s">
        <v>5785</v>
      </c>
      <c r="I669" s="76" t="s">
        <v>5786</v>
      </c>
      <c r="J669" s="76" t="s">
        <v>1932</v>
      </c>
      <c r="K669" s="38" t="s">
        <v>5787</v>
      </c>
      <c r="L669" s="38"/>
      <c r="M669" s="56"/>
      <c r="N669" s="56" t="b">
        <v>0</v>
      </c>
      <c r="O669" s="56" t="b">
        <v>0</v>
      </c>
      <c r="P669" s="56"/>
      <c r="Q669" s="56"/>
      <c r="R669" s="56"/>
      <c r="S669" s="56"/>
      <c r="T669" s="56"/>
      <c r="U669" s="56"/>
      <c r="V669" s="56"/>
      <c r="W669" s="56"/>
      <c r="X669" s="56"/>
      <c r="Y669" s="56"/>
      <c r="Z669" s="56"/>
      <c r="AA669" s="56"/>
      <c r="AB669" s="56"/>
    </row>
    <row r="670" ht="15.75" customHeight="1">
      <c r="A670" s="57" t="str">
        <f t="shared" ref="A670:A671" si="11">E670</f>
        <v>60353851ceff7f3751a193b1</v>
      </c>
      <c r="B670" s="63"/>
      <c r="C670" s="38" t="s">
        <v>53</v>
      </c>
      <c r="D670" s="38" t="s">
        <v>52</v>
      </c>
      <c r="E670" s="67" t="s">
        <v>3552</v>
      </c>
      <c r="F670" s="67" t="s">
        <v>3553</v>
      </c>
      <c r="G670" s="66" t="s">
        <v>4858</v>
      </c>
      <c r="H670" s="38" t="s">
        <v>5548</v>
      </c>
      <c r="I670" s="67" t="s">
        <v>5788</v>
      </c>
      <c r="J670" s="67" t="s">
        <v>3555</v>
      </c>
      <c r="K670" s="38"/>
      <c r="L670" s="38"/>
      <c r="M670" s="56"/>
      <c r="N670" s="56" t="b">
        <v>0</v>
      </c>
      <c r="O670" s="56" t="b">
        <v>0</v>
      </c>
      <c r="P670" s="56"/>
      <c r="Q670" s="56"/>
      <c r="R670" s="56"/>
      <c r="S670" s="56"/>
      <c r="T670" s="56"/>
      <c r="U670" s="56"/>
      <c r="V670" s="56"/>
      <c r="W670" s="56"/>
      <c r="X670" s="56"/>
      <c r="Y670" s="56"/>
      <c r="Z670" s="56"/>
      <c r="AA670" s="56"/>
      <c r="AB670" s="56"/>
    </row>
    <row r="671" ht="15.75" customHeight="1">
      <c r="A671" s="57" t="str">
        <f t="shared" si="11"/>
        <v>60ae1c614782709eb4b9d34e</v>
      </c>
      <c r="B671" s="63"/>
      <c r="C671" s="38" t="s">
        <v>53</v>
      </c>
      <c r="D671" s="38" t="s">
        <v>52</v>
      </c>
      <c r="E671" s="67" t="s">
        <v>1564</v>
      </c>
      <c r="F671" s="67" t="s">
        <v>1565</v>
      </c>
      <c r="G671" s="90" t="s">
        <v>4967</v>
      </c>
      <c r="H671" s="38" t="s">
        <v>4994</v>
      </c>
      <c r="I671" s="56" t="s">
        <v>5789</v>
      </c>
      <c r="J671" s="67" t="s">
        <v>5790</v>
      </c>
      <c r="K671" s="38"/>
      <c r="L671" s="38"/>
      <c r="M671" s="56"/>
      <c r="N671" s="56" t="b">
        <v>0</v>
      </c>
      <c r="O671" s="56" t="b">
        <v>0</v>
      </c>
      <c r="P671" s="56"/>
      <c r="Q671" s="56"/>
      <c r="R671" s="56"/>
      <c r="S671" s="56"/>
      <c r="T671" s="56"/>
      <c r="U671" s="56"/>
      <c r="V671" s="56"/>
      <c r="W671" s="56"/>
      <c r="X671" s="56"/>
      <c r="Y671" s="56"/>
      <c r="Z671" s="56"/>
      <c r="AA671" s="56"/>
      <c r="AB671" s="56"/>
    </row>
    <row r="672" ht="15.75" customHeight="1">
      <c r="A672" s="57"/>
      <c r="B672" s="63"/>
      <c r="C672" s="38"/>
      <c r="D672" s="76" t="s">
        <v>52</v>
      </c>
      <c r="E672" s="77" t="s">
        <v>3867</v>
      </c>
      <c r="F672" s="160" t="s">
        <v>3868</v>
      </c>
      <c r="G672" s="82" t="s">
        <v>4947</v>
      </c>
      <c r="H672" s="76" t="s">
        <v>5188</v>
      </c>
      <c r="I672" s="76" t="s">
        <v>5791</v>
      </c>
      <c r="J672" s="77" t="s">
        <v>3870</v>
      </c>
      <c r="K672" s="38" t="s">
        <v>5792</v>
      </c>
      <c r="L672" s="38"/>
      <c r="M672" s="56"/>
      <c r="N672" s="56" t="b">
        <v>0</v>
      </c>
      <c r="O672" s="56" t="b">
        <v>0</v>
      </c>
      <c r="P672" s="56"/>
      <c r="Q672" s="56"/>
      <c r="R672" s="56"/>
      <c r="S672" s="56"/>
      <c r="T672" s="56"/>
      <c r="U672" s="56"/>
      <c r="V672" s="56"/>
      <c r="W672" s="56"/>
      <c r="X672" s="56"/>
      <c r="Y672" s="56"/>
      <c r="Z672" s="56"/>
      <c r="AA672" s="56"/>
      <c r="AB672" s="56"/>
    </row>
    <row r="673" ht="15.75" customHeight="1">
      <c r="A673" s="57" t="str">
        <f t="shared" ref="A673:A682" si="12">E673</f>
        <v/>
      </c>
      <c r="B673" s="69"/>
      <c r="C673" s="38"/>
      <c r="D673" s="38"/>
      <c r="E673" s="38"/>
      <c r="F673" s="65"/>
      <c r="G673" s="66"/>
      <c r="H673" s="38"/>
      <c r="I673" s="38"/>
      <c r="J673" s="38"/>
      <c r="K673" s="38"/>
      <c r="L673" s="38"/>
      <c r="M673" s="56"/>
      <c r="N673" s="56" t="b">
        <v>0</v>
      </c>
      <c r="O673" s="56" t="b">
        <v>0</v>
      </c>
      <c r="P673" s="56"/>
      <c r="Q673" s="56"/>
      <c r="R673" s="56"/>
      <c r="S673" s="56"/>
      <c r="T673" s="56"/>
      <c r="U673" s="56"/>
      <c r="V673" s="56"/>
      <c r="W673" s="56"/>
      <c r="X673" s="56"/>
      <c r="Y673" s="56"/>
      <c r="Z673" s="56"/>
      <c r="AA673" s="56"/>
      <c r="AB673" s="56"/>
    </row>
    <row r="674" ht="15.75" customHeight="1">
      <c r="A674" s="57" t="str">
        <f t="shared" si="12"/>
        <v/>
      </c>
      <c r="B674" s="161"/>
      <c r="C674" s="52">
        <v>44349.0</v>
      </c>
      <c r="D674" s="38"/>
      <c r="E674" s="38"/>
      <c r="F674" s="65"/>
      <c r="G674" s="66"/>
      <c r="H674" s="38"/>
      <c r="I674" s="38"/>
      <c r="J674" s="38"/>
      <c r="K674" s="38"/>
      <c r="L674" s="38"/>
      <c r="M674" s="56"/>
      <c r="N674" s="56" t="b">
        <v>0</v>
      </c>
      <c r="O674" s="56" t="b">
        <v>0</v>
      </c>
      <c r="P674" s="56"/>
      <c r="Q674" s="56"/>
      <c r="R674" s="56"/>
      <c r="S674" s="56"/>
      <c r="T674" s="56"/>
      <c r="U674" s="56"/>
      <c r="V674" s="56"/>
      <c r="W674" s="56"/>
      <c r="X674" s="56"/>
      <c r="Y674" s="56"/>
      <c r="Z674" s="56"/>
      <c r="AA674" s="56"/>
      <c r="AB674" s="56"/>
    </row>
    <row r="675" ht="15.75" customHeight="1">
      <c r="A675" s="57" t="str">
        <f t="shared" si="12"/>
        <v/>
      </c>
      <c r="B675" s="58" t="s">
        <v>4836</v>
      </c>
      <c r="C675" s="38" t="s">
        <v>53</v>
      </c>
      <c r="D675" s="38"/>
      <c r="E675" s="38"/>
      <c r="F675" s="65"/>
      <c r="G675" s="66"/>
      <c r="H675" s="38"/>
      <c r="I675" s="38"/>
      <c r="J675" s="38"/>
      <c r="K675" s="38"/>
      <c r="L675" s="38"/>
      <c r="M675" s="56"/>
      <c r="N675" s="56" t="b">
        <v>0</v>
      </c>
      <c r="O675" s="56" t="b">
        <v>0</v>
      </c>
      <c r="P675" s="56"/>
      <c r="Q675" s="56"/>
      <c r="R675" s="56"/>
      <c r="S675" s="56"/>
      <c r="T675" s="56"/>
      <c r="U675" s="56"/>
      <c r="V675" s="56"/>
      <c r="W675" s="56"/>
      <c r="X675" s="56"/>
      <c r="Y675" s="56"/>
      <c r="Z675" s="56"/>
      <c r="AA675" s="56"/>
      <c r="AB675" s="56"/>
    </row>
    <row r="676" ht="15.75" customHeight="1">
      <c r="A676" s="57" t="str">
        <f t="shared" si="12"/>
        <v/>
      </c>
      <c r="B676" s="63"/>
      <c r="C676" s="38" t="s">
        <v>53</v>
      </c>
      <c r="D676" s="56"/>
      <c r="E676" s="56"/>
      <c r="F676" s="163" t="s">
        <v>5332</v>
      </c>
      <c r="G676" s="90"/>
      <c r="H676" s="56"/>
      <c r="I676" s="56"/>
      <c r="J676" s="56"/>
      <c r="K676" s="38" t="s">
        <v>5793</v>
      </c>
      <c r="L676" s="38"/>
      <c r="M676" s="56"/>
      <c r="N676" s="56" t="b">
        <v>0</v>
      </c>
      <c r="O676" s="56" t="b">
        <v>0</v>
      </c>
      <c r="P676" s="56"/>
      <c r="Q676" s="56"/>
      <c r="R676" s="56"/>
      <c r="S676" s="56"/>
      <c r="T676" s="56"/>
      <c r="U676" s="56"/>
      <c r="V676" s="56"/>
      <c r="W676" s="56"/>
      <c r="X676" s="56"/>
      <c r="Y676" s="56"/>
      <c r="Z676" s="56"/>
      <c r="AA676" s="56"/>
      <c r="AB676" s="56"/>
    </row>
    <row r="677" ht="15.75" customHeight="1">
      <c r="A677" s="57" t="str">
        <f t="shared" si="12"/>
        <v/>
      </c>
      <c r="B677" s="63"/>
      <c r="C677" s="38" t="s">
        <v>53</v>
      </c>
      <c r="D677" s="56"/>
      <c r="E677" s="56"/>
      <c r="F677" s="69"/>
      <c r="G677" s="90"/>
      <c r="H677" s="56"/>
      <c r="I677" s="56"/>
      <c r="J677" s="56"/>
      <c r="K677" s="38" t="s">
        <v>5794</v>
      </c>
      <c r="L677" s="38"/>
      <c r="M677" s="56"/>
      <c r="N677" s="56" t="b">
        <v>0</v>
      </c>
      <c r="O677" s="56" t="b">
        <v>0</v>
      </c>
      <c r="P677" s="56"/>
      <c r="Q677" s="56"/>
      <c r="R677" s="56"/>
      <c r="S677" s="56"/>
      <c r="T677" s="56"/>
      <c r="U677" s="56"/>
      <c r="V677" s="56"/>
      <c r="W677" s="56"/>
      <c r="X677" s="56"/>
      <c r="Y677" s="56"/>
      <c r="Z677" s="56"/>
      <c r="AA677" s="56"/>
      <c r="AB677" s="56"/>
    </row>
    <row r="678" ht="15.75" customHeight="1">
      <c r="A678" s="57" t="str">
        <f t="shared" si="12"/>
        <v/>
      </c>
      <c r="B678" s="63"/>
      <c r="C678" s="38" t="s">
        <v>53</v>
      </c>
      <c r="D678" s="38"/>
      <c r="E678" s="38"/>
      <c r="F678" s="65"/>
      <c r="G678" s="66"/>
      <c r="H678" s="38"/>
      <c r="I678" s="38"/>
      <c r="J678" s="38"/>
      <c r="K678" s="38"/>
      <c r="L678" s="38"/>
      <c r="M678" s="56"/>
      <c r="N678" s="56" t="b">
        <v>0</v>
      </c>
      <c r="O678" s="56" t="b">
        <v>0</v>
      </c>
      <c r="P678" s="56"/>
      <c r="Q678" s="56"/>
      <c r="R678" s="56"/>
      <c r="S678" s="56"/>
      <c r="T678" s="56"/>
      <c r="U678" s="56"/>
      <c r="V678" s="56"/>
      <c r="W678" s="56"/>
      <c r="X678" s="56"/>
      <c r="Y678" s="56"/>
      <c r="Z678" s="56"/>
      <c r="AA678" s="56"/>
      <c r="AB678" s="56"/>
    </row>
    <row r="679" ht="15.75" customHeight="1">
      <c r="A679" s="57" t="str">
        <f t="shared" si="12"/>
        <v/>
      </c>
      <c r="B679" s="63"/>
      <c r="C679" s="38"/>
      <c r="D679" s="38"/>
      <c r="E679" s="38"/>
      <c r="F679" s="65"/>
      <c r="G679" s="66"/>
      <c r="H679" s="38"/>
      <c r="I679" s="38"/>
      <c r="J679" s="38"/>
      <c r="K679" s="38"/>
      <c r="L679" s="38"/>
      <c r="M679" s="56"/>
      <c r="N679" s="56" t="b">
        <v>0</v>
      </c>
      <c r="O679" s="56" t="b">
        <v>0</v>
      </c>
      <c r="P679" s="56"/>
      <c r="Q679" s="56"/>
      <c r="R679" s="56"/>
      <c r="S679" s="56"/>
      <c r="T679" s="56"/>
      <c r="U679" s="56"/>
      <c r="V679" s="56"/>
      <c r="W679" s="56"/>
      <c r="X679" s="56"/>
      <c r="Y679" s="56"/>
      <c r="Z679" s="56"/>
      <c r="AA679" s="56"/>
      <c r="AB679" s="56"/>
    </row>
    <row r="680" ht="15.75" customHeight="1">
      <c r="A680" s="57" t="str">
        <f t="shared" si="12"/>
        <v/>
      </c>
      <c r="B680" s="69"/>
      <c r="C680" s="38"/>
      <c r="D680" s="38"/>
      <c r="E680" s="38"/>
      <c r="F680" s="65"/>
      <c r="G680" s="66"/>
      <c r="H680" s="38"/>
      <c r="I680" s="38"/>
      <c r="J680" s="38"/>
      <c r="K680" s="38"/>
      <c r="L680" s="38"/>
      <c r="M680" s="56"/>
      <c r="N680" s="56" t="b">
        <v>0</v>
      </c>
      <c r="O680" s="56" t="b">
        <v>0</v>
      </c>
      <c r="P680" s="56"/>
      <c r="Q680" s="56"/>
      <c r="R680" s="56"/>
      <c r="S680" s="56"/>
      <c r="T680" s="56"/>
      <c r="U680" s="56"/>
      <c r="V680" s="56"/>
      <c r="W680" s="56"/>
      <c r="X680" s="56"/>
      <c r="Y680" s="56"/>
      <c r="Z680" s="56"/>
      <c r="AA680" s="56"/>
      <c r="AB680" s="56"/>
    </row>
    <row r="681" ht="15.75" customHeight="1">
      <c r="A681" s="57" t="str">
        <f t="shared" si="12"/>
        <v/>
      </c>
      <c r="B681" s="161"/>
      <c r="C681" s="52">
        <v>44350.0</v>
      </c>
      <c r="D681" s="38"/>
      <c r="E681" s="38"/>
      <c r="F681" s="65"/>
      <c r="G681" s="90"/>
      <c r="H681" s="38"/>
      <c r="I681" s="38"/>
      <c r="J681" s="38"/>
      <c r="K681" s="38"/>
      <c r="L681" s="38"/>
      <c r="M681" s="56"/>
      <c r="N681" s="56" t="b">
        <v>0</v>
      </c>
      <c r="O681" s="56" t="b">
        <v>0</v>
      </c>
      <c r="P681" s="56"/>
      <c r="Q681" s="56"/>
      <c r="R681" s="56"/>
      <c r="S681" s="56"/>
      <c r="T681" s="56"/>
      <c r="U681" s="56"/>
      <c r="V681" s="56"/>
      <c r="W681" s="56"/>
      <c r="X681" s="56"/>
      <c r="Y681" s="56"/>
      <c r="Z681" s="56"/>
      <c r="AA681" s="56"/>
      <c r="AB681" s="56"/>
    </row>
    <row r="682" ht="15.75" customHeight="1">
      <c r="A682" s="57" t="str">
        <f t="shared" si="12"/>
        <v/>
      </c>
      <c r="B682" s="58" t="s">
        <v>4836</v>
      </c>
      <c r="C682" s="38" t="s">
        <v>53</v>
      </c>
      <c r="D682" s="38"/>
      <c r="E682" s="38"/>
      <c r="F682" s="65"/>
      <c r="G682" s="66" t="s">
        <v>5731</v>
      </c>
      <c r="H682" s="38"/>
      <c r="I682" s="38"/>
      <c r="J682" s="38"/>
      <c r="K682" s="38"/>
      <c r="L682" s="38"/>
      <c r="M682" s="56"/>
      <c r="N682" s="56" t="b">
        <v>0</v>
      </c>
      <c r="O682" s="56" t="b">
        <v>0</v>
      </c>
      <c r="P682" s="56"/>
      <c r="Q682" s="56"/>
      <c r="R682" s="56"/>
      <c r="S682" s="56"/>
      <c r="T682" s="56"/>
      <c r="U682" s="56"/>
      <c r="V682" s="56"/>
      <c r="W682" s="56"/>
      <c r="X682" s="56"/>
      <c r="Y682" s="56"/>
      <c r="Z682" s="56"/>
      <c r="AA682" s="56"/>
      <c r="AB682" s="56"/>
    </row>
    <row r="683" ht="15.75" customHeight="1">
      <c r="A683" s="57"/>
      <c r="B683" s="63"/>
      <c r="C683" s="38" t="s">
        <v>53</v>
      </c>
      <c r="D683" s="76" t="s">
        <v>52</v>
      </c>
      <c r="E683" s="77" t="s">
        <v>858</v>
      </c>
      <c r="F683" s="77" t="s">
        <v>859</v>
      </c>
      <c r="G683" s="82" t="s">
        <v>5599</v>
      </c>
      <c r="H683" s="76" t="s">
        <v>5795</v>
      </c>
      <c r="I683" s="76" t="s">
        <v>5796</v>
      </c>
      <c r="J683" s="77" t="s">
        <v>862</v>
      </c>
      <c r="K683" s="38" t="s">
        <v>5797</v>
      </c>
      <c r="L683" s="38"/>
      <c r="M683" s="56"/>
      <c r="N683" s="56" t="b">
        <v>0</v>
      </c>
      <c r="O683" s="56" t="b">
        <v>0</v>
      </c>
      <c r="P683" s="56"/>
      <c r="Q683" s="56"/>
      <c r="R683" s="56"/>
      <c r="S683" s="56"/>
      <c r="T683" s="56"/>
      <c r="U683" s="56"/>
      <c r="V683" s="56"/>
      <c r="W683" s="56"/>
      <c r="X683" s="56"/>
      <c r="Y683" s="56"/>
      <c r="Z683" s="56"/>
      <c r="AA683" s="56"/>
      <c r="AB683" s="56"/>
    </row>
    <row r="684" ht="15.75" customHeight="1">
      <c r="A684" s="57" t="str">
        <f t="shared" ref="A684:A724" si="13">E684</f>
        <v>60929dff709514875611973d</v>
      </c>
      <c r="B684" s="63"/>
      <c r="C684" s="38" t="s">
        <v>53</v>
      </c>
      <c r="D684" s="38" t="s">
        <v>52</v>
      </c>
      <c r="E684" s="38" t="s">
        <v>1209</v>
      </c>
      <c r="F684" s="65" t="s">
        <v>1210</v>
      </c>
      <c r="G684" s="66" t="s">
        <v>5602</v>
      </c>
      <c r="H684" s="38" t="s">
        <v>5798</v>
      </c>
      <c r="I684" s="38" t="s">
        <v>5799</v>
      </c>
      <c r="J684" s="38" t="s">
        <v>1212</v>
      </c>
      <c r="K684" s="38"/>
      <c r="L684" s="38"/>
      <c r="M684" s="56"/>
      <c r="N684" s="56" t="b">
        <v>0</v>
      </c>
      <c r="O684" s="56" t="b">
        <v>0</v>
      </c>
      <c r="P684" s="56"/>
      <c r="Q684" s="56"/>
      <c r="R684" s="56"/>
      <c r="S684" s="56"/>
      <c r="T684" s="56"/>
      <c r="U684" s="56"/>
      <c r="V684" s="56"/>
      <c r="W684" s="56"/>
      <c r="X684" s="56"/>
      <c r="Y684" s="56"/>
      <c r="Z684" s="56"/>
      <c r="AA684" s="56"/>
      <c r="AB684" s="56"/>
    </row>
    <row r="685" ht="15.75" customHeight="1">
      <c r="A685" s="57" t="str">
        <f t="shared" si="13"/>
        <v>60661d62e623c598c1a6d593</v>
      </c>
      <c r="B685" s="63"/>
      <c r="C685" s="38" t="s">
        <v>53</v>
      </c>
      <c r="D685" s="38" t="s">
        <v>52</v>
      </c>
      <c r="E685" s="38" t="s">
        <v>5800</v>
      </c>
      <c r="F685" s="65" t="s">
        <v>5801</v>
      </c>
      <c r="G685" s="66" t="s">
        <v>5461</v>
      </c>
      <c r="H685" s="38" t="s">
        <v>5802</v>
      </c>
      <c r="I685" s="38" t="s">
        <v>5803</v>
      </c>
      <c r="J685" s="38" t="s">
        <v>5804</v>
      </c>
      <c r="K685" s="38"/>
      <c r="L685" s="38"/>
      <c r="M685" s="56"/>
      <c r="N685" s="56" t="b">
        <v>0</v>
      </c>
      <c r="O685" s="56" t="b">
        <v>0</v>
      </c>
      <c r="P685" s="56"/>
      <c r="Q685" s="56"/>
      <c r="R685" s="56"/>
      <c r="S685" s="56"/>
      <c r="T685" s="56"/>
      <c r="U685" s="56"/>
      <c r="V685" s="56"/>
      <c r="W685" s="56"/>
      <c r="X685" s="56"/>
      <c r="Y685" s="56"/>
      <c r="Z685" s="56"/>
      <c r="AA685" s="56"/>
      <c r="AB685" s="56"/>
    </row>
    <row r="686" ht="15.75" customHeight="1">
      <c r="A686" s="57" t="str">
        <f t="shared" si="13"/>
        <v/>
      </c>
      <c r="B686" s="63"/>
      <c r="C686" s="38"/>
      <c r="D686" s="38"/>
      <c r="E686" s="38"/>
      <c r="F686" s="65"/>
      <c r="G686" s="66" t="s">
        <v>5089</v>
      </c>
      <c r="H686" s="38"/>
      <c r="I686" s="38"/>
      <c r="J686" s="38"/>
      <c r="K686" s="38"/>
      <c r="L686" s="38"/>
      <c r="M686" s="56"/>
      <c r="N686" s="56" t="b">
        <v>0</v>
      </c>
      <c r="O686" s="56" t="b">
        <v>0</v>
      </c>
      <c r="P686" s="56"/>
      <c r="Q686" s="56"/>
      <c r="R686" s="56"/>
      <c r="S686" s="56"/>
      <c r="T686" s="56"/>
      <c r="U686" s="56"/>
      <c r="V686" s="56"/>
      <c r="W686" s="56"/>
      <c r="X686" s="56"/>
      <c r="Y686" s="56"/>
      <c r="Z686" s="56"/>
      <c r="AA686" s="56"/>
      <c r="AB686" s="56"/>
    </row>
    <row r="687" ht="15.75" customHeight="1">
      <c r="A687" s="57" t="str">
        <f t="shared" si="13"/>
        <v/>
      </c>
      <c r="B687" s="69"/>
      <c r="C687" s="38"/>
      <c r="D687" s="38"/>
      <c r="E687" s="38"/>
      <c r="F687" s="65"/>
      <c r="G687" s="66"/>
      <c r="H687" s="38"/>
      <c r="I687" s="38"/>
      <c r="J687" s="38"/>
      <c r="K687" s="38"/>
      <c r="L687" s="38"/>
      <c r="M687" s="56"/>
      <c r="N687" s="56" t="b">
        <v>0</v>
      </c>
      <c r="O687" s="56" t="b">
        <v>0</v>
      </c>
      <c r="P687" s="56"/>
      <c r="Q687" s="56"/>
      <c r="R687" s="56"/>
      <c r="S687" s="56"/>
      <c r="T687" s="56"/>
      <c r="U687" s="56"/>
      <c r="V687" s="56"/>
      <c r="W687" s="56"/>
      <c r="X687" s="56"/>
      <c r="Y687" s="56"/>
      <c r="Z687" s="56"/>
      <c r="AA687" s="56"/>
      <c r="AB687" s="56"/>
    </row>
    <row r="688" ht="15.75" customHeight="1">
      <c r="A688" s="57" t="str">
        <f t="shared" si="13"/>
        <v/>
      </c>
      <c r="B688" s="161"/>
      <c r="C688" s="52">
        <v>44351.0</v>
      </c>
      <c r="D688" s="38"/>
      <c r="E688" s="38"/>
      <c r="F688" s="65"/>
      <c r="G688" s="66"/>
      <c r="H688" s="38"/>
      <c r="I688" s="38"/>
      <c r="J688" s="38"/>
      <c r="K688" s="38"/>
      <c r="L688" s="38"/>
      <c r="M688" s="56"/>
      <c r="N688" s="56" t="b">
        <v>0</v>
      </c>
      <c r="O688" s="56" t="b">
        <v>0</v>
      </c>
      <c r="P688" s="56"/>
      <c r="Q688" s="56"/>
      <c r="R688" s="56"/>
      <c r="S688" s="56"/>
      <c r="T688" s="56"/>
      <c r="U688" s="56"/>
      <c r="V688" s="56"/>
      <c r="W688" s="56"/>
      <c r="X688" s="56"/>
      <c r="Y688" s="56"/>
      <c r="Z688" s="56"/>
      <c r="AA688" s="56"/>
      <c r="AB688" s="56"/>
    </row>
    <row r="689" ht="15.75" customHeight="1">
      <c r="A689" s="57" t="str">
        <f t="shared" si="13"/>
        <v/>
      </c>
      <c r="B689" s="58" t="s">
        <v>4836</v>
      </c>
      <c r="C689" s="38" t="s">
        <v>53</v>
      </c>
      <c r="D689" s="38"/>
      <c r="E689" s="38"/>
      <c r="F689" s="65"/>
      <c r="G689" s="66" t="s">
        <v>5704</v>
      </c>
      <c r="H689" s="38"/>
      <c r="I689" s="38"/>
      <c r="J689" s="38"/>
      <c r="K689" s="38"/>
      <c r="L689" s="38"/>
      <c r="M689" s="56"/>
      <c r="N689" s="56" t="b">
        <v>0</v>
      </c>
      <c r="O689" s="56" t="b">
        <v>0</v>
      </c>
      <c r="P689" s="56"/>
      <c r="Q689" s="56"/>
      <c r="R689" s="56"/>
      <c r="S689" s="56"/>
      <c r="T689" s="56"/>
      <c r="U689" s="56"/>
      <c r="V689" s="56"/>
      <c r="W689" s="56"/>
      <c r="X689" s="56"/>
      <c r="Y689" s="56"/>
      <c r="Z689" s="56"/>
      <c r="AA689" s="56"/>
      <c r="AB689" s="56"/>
    </row>
    <row r="690" ht="15.75" customHeight="1">
      <c r="A690" s="57" t="str">
        <f t="shared" si="13"/>
        <v>60632e123730cf1dd15397c3</v>
      </c>
      <c r="B690" s="63"/>
      <c r="C690" s="38" t="s">
        <v>53</v>
      </c>
      <c r="D690" s="76" t="s">
        <v>52</v>
      </c>
      <c r="E690" s="76" t="s">
        <v>551</v>
      </c>
      <c r="F690" s="160" t="s">
        <v>552</v>
      </c>
      <c r="G690" s="82" t="s">
        <v>5134</v>
      </c>
      <c r="H690" s="76" t="s">
        <v>5184</v>
      </c>
      <c r="I690" s="76" t="s">
        <v>5805</v>
      </c>
      <c r="J690" s="76" t="s">
        <v>554</v>
      </c>
      <c r="K690" s="38"/>
      <c r="L690" s="38"/>
      <c r="M690" s="56"/>
      <c r="N690" s="56" t="b">
        <v>0</v>
      </c>
      <c r="O690" s="56" t="b">
        <v>0</v>
      </c>
      <c r="P690" s="56"/>
      <c r="Q690" s="56"/>
      <c r="R690" s="56"/>
      <c r="S690" s="56"/>
      <c r="T690" s="56"/>
      <c r="U690" s="56"/>
      <c r="V690" s="56"/>
      <c r="W690" s="56"/>
      <c r="X690" s="56"/>
      <c r="Y690" s="56"/>
      <c r="Z690" s="56"/>
      <c r="AA690" s="56"/>
      <c r="AB690" s="56"/>
    </row>
    <row r="691" ht="15.75" customHeight="1">
      <c r="A691" s="57" t="str">
        <f t="shared" si="13"/>
        <v>60ae4b505716ffbc40f81ea7</v>
      </c>
      <c r="B691" s="63"/>
      <c r="C691" s="38" t="s">
        <v>53</v>
      </c>
      <c r="D691" s="38" t="s">
        <v>52</v>
      </c>
      <c r="E691" s="38" t="s">
        <v>2794</v>
      </c>
      <c r="F691" s="65" t="s">
        <v>2795</v>
      </c>
      <c r="G691" s="66" t="s">
        <v>4856</v>
      </c>
      <c r="H691" s="38" t="s">
        <v>5311</v>
      </c>
      <c r="I691" s="38" t="s">
        <v>5806</v>
      </c>
      <c r="J691" s="38" t="s">
        <v>2797</v>
      </c>
      <c r="K691" s="38"/>
      <c r="L691" s="38"/>
      <c r="M691" s="56"/>
      <c r="N691" s="56" t="b">
        <v>0</v>
      </c>
      <c r="O691" s="56" t="b">
        <v>0</v>
      </c>
      <c r="P691" s="56"/>
      <c r="Q691" s="56"/>
      <c r="R691" s="56"/>
      <c r="S691" s="56"/>
      <c r="T691" s="56"/>
      <c r="U691" s="56"/>
      <c r="V691" s="56"/>
      <c r="W691" s="56"/>
      <c r="X691" s="56"/>
      <c r="Y691" s="56"/>
      <c r="Z691" s="56"/>
      <c r="AA691" s="56"/>
      <c r="AB691" s="56"/>
    </row>
    <row r="692" ht="15.75" customHeight="1">
      <c r="A692" s="57" t="str">
        <f t="shared" si="13"/>
        <v>60953c09341caca6a6445563</v>
      </c>
      <c r="B692" s="63"/>
      <c r="C692" s="38" t="s">
        <v>53</v>
      </c>
      <c r="D692" s="38" t="s">
        <v>52</v>
      </c>
      <c r="E692" s="38" t="s">
        <v>1929</v>
      </c>
      <c r="F692" s="65" t="s">
        <v>1930</v>
      </c>
      <c r="G692" s="66" t="s">
        <v>4858</v>
      </c>
      <c r="H692" s="38" t="s">
        <v>5785</v>
      </c>
      <c r="I692" s="38" t="s">
        <v>5786</v>
      </c>
      <c r="J692" s="38" t="s">
        <v>1932</v>
      </c>
      <c r="K692" s="38"/>
      <c r="L692" s="38"/>
      <c r="M692" s="56"/>
      <c r="N692" s="56" t="b">
        <v>0</v>
      </c>
      <c r="O692" s="56" t="b">
        <v>0</v>
      </c>
      <c r="P692" s="56"/>
      <c r="Q692" s="56"/>
      <c r="R692" s="56"/>
      <c r="S692" s="56"/>
      <c r="T692" s="56"/>
      <c r="U692" s="56"/>
      <c r="V692" s="56"/>
      <c r="W692" s="56"/>
      <c r="X692" s="56"/>
      <c r="Y692" s="56"/>
      <c r="Z692" s="56"/>
      <c r="AA692" s="56"/>
      <c r="AB692" s="56"/>
    </row>
    <row r="693" ht="15.75" customHeight="1">
      <c r="A693" s="57" t="str">
        <f t="shared" si="13"/>
        <v/>
      </c>
      <c r="B693" s="63"/>
      <c r="C693" s="38"/>
      <c r="D693" s="38"/>
      <c r="E693" s="38"/>
      <c r="F693" s="65"/>
      <c r="G693" s="66"/>
      <c r="H693" s="38"/>
      <c r="I693" s="38"/>
      <c r="J693" s="38"/>
      <c r="K693" s="38"/>
      <c r="L693" s="38"/>
      <c r="M693" s="56"/>
      <c r="N693" s="56" t="b">
        <v>0</v>
      </c>
      <c r="O693" s="56" t="b">
        <v>0</v>
      </c>
      <c r="P693" s="56"/>
      <c r="Q693" s="56"/>
      <c r="R693" s="56"/>
      <c r="S693" s="56"/>
      <c r="T693" s="56"/>
      <c r="U693" s="56"/>
      <c r="V693" s="56"/>
      <c r="W693" s="56"/>
      <c r="X693" s="56"/>
      <c r="Y693" s="56"/>
      <c r="Z693" s="56"/>
      <c r="AA693" s="56"/>
      <c r="AB693" s="56"/>
    </row>
    <row r="694" ht="15.75" customHeight="1">
      <c r="A694" s="57" t="str">
        <f t="shared" si="13"/>
        <v/>
      </c>
      <c r="B694" s="69"/>
      <c r="C694" s="38"/>
      <c r="D694" s="38"/>
      <c r="E694" s="38"/>
      <c r="F694" s="65"/>
      <c r="G694" s="66"/>
      <c r="H694" s="38"/>
      <c r="I694" s="38"/>
      <c r="J694" s="38"/>
      <c r="K694" s="38"/>
      <c r="L694" s="38"/>
      <c r="M694" s="56"/>
      <c r="N694" s="56" t="b">
        <v>0</v>
      </c>
      <c r="O694" s="56" t="b">
        <v>0</v>
      </c>
      <c r="P694" s="56"/>
      <c r="Q694" s="56"/>
      <c r="R694" s="56"/>
      <c r="S694" s="56"/>
      <c r="T694" s="56"/>
      <c r="U694" s="56"/>
      <c r="V694" s="56"/>
      <c r="W694" s="56"/>
      <c r="X694" s="56"/>
      <c r="Y694" s="56"/>
      <c r="Z694" s="56"/>
      <c r="AA694" s="56"/>
      <c r="AB694" s="56"/>
    </row>
    <row r="695" ht="15.75" customHeight="1">
      <c r="A695" s="57" t="str">
        <f t="shared" si="13"/>
        <v/>
      </c>
      <c r="B695" s="161"/>
      <c r="C695" s="52">
        <v>44354.0</v>
      </c>
      <c r="D695" s="38"/>
      <c r="E695" s="38"/>
      <c r="F695" s="65"/>
      <c r="G695" s="66"/>
      <c r="H695" s="38"/>
      <c r="I695" s="38"/>
      <c r="J695" s="38"/>
      <c r="K695" s="38"/>
      <c r="L695" s="38"/>
      <c r="M695" s="56"/>
      <c r="N695" s="56" t="b">
        <v>0</v>
      </c>
      <c r="O695" s="56" t="b">
        <v>0</v>
      </c>
      <c r="P695" s="56"/>
      <c r="Q695" s="56"/>
      <c r="R695" s="56"/>
      <c r="S695" s="56"/>
      <c r="T695" s="56"/>
      <c r="U695" s="56"/>
      <c r="V695" s="56"/>
      <c r="W695" s="56"/>
      <c r="X695" s="56"/>
      <c r="Y695" s="56"/>
      <c r="Z695" s="56"/>
      <c r="AA695" s="56"/>
      <c r="AB695" s="56"/>
    </row>
    <row r="696" ht="15.75" customHeight="1">
      <c r="A696" s="57" t="str">
        <f t="shared" si="13"/>
        <v>60885bad77461ce66af05e36</v>
      </c>
      <c r="B696" s="58" t="s">
        <v>4836</v>
      </c>
      <c r="C696" s="38" t="s">
        <v>53</v>
      </c>
      <c r="D696" s="38" t="s">
        <v>52</v>
      </c>
      <c r="E696" s="67" t="s">
        <v>3872</v>
      </c>
      <c r="F696" s="67" t="s">
        <v>3873</v>
      </c>
      <c r="G696" s="66" t="s">
        <v>5713</v>
      </c>
      <c r="H696" s="67" t="s">
        <v>5807</v>
      </c>
      <c r="I696" s="67" t="s">
        <v>5808</v>
      </c>
      <c r="J696" s="67" t="s">
        <v>3875</v>
      </c>
      <c r="K696" s="38"/>
      <c r="L696" s="38"/>
      <c r="M696" s="56"/>
      <c r="N696" s="56" t="b">
        <v>0</v>
      </c>
      <c r="O696" s="56" t="b">
        <v>0</v>
      </c>
      <c r="P696" s="56"/>
      <c r="Q696" s="56"/>
      <c r="R696" s="56"/>
      <c r="S696" s="56"/>
      <c r="T696" s="56"/>
      <c r="U696" s="56"/>
      <c r="V696" s="56"/>
      <c r="W696" s="56"/>
      <c r="X696" s="56"/>
      <c r="Y696" s="56"/>
      <c r="Z696" s="56"/>
      <c r="AA696" s="56"/>
      <c r="AB696" s="56"/>
    </row>
    <row r="697" ht="15.75" customHeight="1">
      <c r="A697" s="57" t="str">
        <f t="shared" si="13"/>
        <v>6088720d1949c7566f255153</v>
      </c>
      <c r="B697" s="63"/>
      <c r="C697" s="38" t="s">
        <v>53</v>
      </c>
      <c r="D697" s="56" t="s">
        <v>52</v>
      </c>
      <c r="E697" s="67" t="s">
        <v>2535</v>
      </c>
      <c r="F697" s="67" t="s">
        <v>2536</v>
      </c>
      <c r="G697" s="79">
        <v>0.5416666666666666</v>
      </c>
      <c r="H697" s="67" t="s">
        <v>5536</v>
      </c>
      <c r="I697" s="56" t="s">
        <v>5809</v>
      </c>
      <c r="J697" s="67" t="s">
        <v>2537</v>
      </c>
      <c r="K697" s="38"/>
      <c r="L697" s="38"/>
      <c r="M697" s="56"/>
      <c r="N697" s="56" t="b">
        <v>0</v>
      </c>
      <c r="O697" s="56" t="b">
        <v>0</v>
      </c>
      <c r="P697" s="56"/>
      <c r="Q697" s="56"/>
      <c r="R697" s="56"/>
      <c r="S697" s="56"/>
      <c r="T697" s="56"/>
      <c r="U697" s="56"/>
      <c r="V697" s="56"/>
      <c r="W697" s="56"/>
      <c r="X697" s="56"/>
      <c r="Y697" s="56"/>
      <c r="Z697" s="56"/>
      <c r="AA697" s="56"/>
      <c r="AB697" s="56"/>
    </row>
    <row r="698" ht="15.75" customHeight="1">
      <c r="A698" s="57" t="str">
        <f t="shared" si="13"/>
        <v>606e09766fb181a222ce9e0c</v>
      </c>
      <c r="B698" s="63"/>
      <c r="C698" s="38" t="s">
        <v>53</v>
      </c>
      <c r="D698" s="76" t="s">
        <v>52</v>
      </c>
      <c r="E698" s="77" t="s">
        <v>2584</v>
      </c>
      <c r="F698" s="77" t="s">
        <v>2585</v>
      </c>
      <c r="G698" s="82" t="s">
        <v>4892</v>
      </c>
      <c r="H698" s="77" t="s">
        <v>4880</v>
      </c>
      <c r="I698" s="77" t="s">
        <v>5810</v>
      </c>
      <c r="J698" s="77" t="s">
        <v>2587</v>
      </c>
      <c r="K698" s="38" t="s">
        <v>5811</v>
      </c>
      <c r="L698" s="38"/>
      <c r="M698" s="56"/>
      <c r="N698" s="56" t="b">
        <v>0</v>
      </c>
      <c r="O698" s="56" t="b">
        <v>0</v>
      </c>
      <c r="P698" s="56"/>
      <c r="Q698" s="56"/>
      <c r="R698" s="56"/>
      <c r="S698" s="56"/>
      <c r="T698" s="56"/>
      <c r="U698" s="56"/>
      <c r="V698" s="56"/>
      <c r="W698" s="56"/>
      <c r="X698" s="56"/>
      <c r="Y698" s="56"/>
      <c r="Z698" s="56"/>
      <c r="AA698" s="56"/>
      <c r="AB698" s="56"/>
    </row>
    <row r="699" ht="15.75" customHeight="1">
      <c r="A699" s="57" t="str">
        <f t="shared" si="13"/>
        <v>60a2a1e95d669818692a311b</v>
      </c>
      <c r="B699" s="63"/>
      <c r="C699" s="38" t="s">
        <v>53</v>
      </c>
      <c r="D699" s="62" t="s">
        <v>52</v>
      </c>
      <c r="E699" s="74" t="s">
        <v>3867</v>
      </c>
      <c r="F699" s="62" t="s">
        <v>3868</v>
      </c>
      <c r="G699" s="73" t="s">
        <v>4914</v>
      </c>
      <c r="H699" s="62" t="s">
        <v>5188</v>
      </c>
      <c r="I699" s="62" t="s">
        <v>5791</v>
      </c>
      <c r="J699" s="74" t="s">
        <v>3870</v>
      </c>
      <c r="K699" s="38"/>
      <c r="L699" s="38"/>
      <c r="M699" s="56"/>
      <c r="N699" s="56" t="b">
        <v>0</v>
      </c>
      <c r="O699" s="56" t="b">
        <v>0</v>
      </c>
      <c r="P699" s="56"/>
      <c r="Q699" s="56"/>
      <c r="R699" s="56"/>
      <c r="S699" s="56"/>
      <c r="T699" s="56"/>
      <c r="U699" s="56"/>
      <c r="V699" s="56"/>
      <c r="W699" s="56"/>
      <c r="X699" s="56"/>
      <c r="Y699" s="56"/>
      <c r="Z699" s="56"/>
      <c r="AA699" s="56"/>
      <c r="AB699" s="56"/>
    </row>
    <row r="700" ht="15.75" customHeight="1">
      <c r="A700" s="57" t="str">
        <f t="shared" si="13"/>
        <v/>
      </c>
      <c r="B700" s="63"/>
      <c r="C700" s="38"/>
      <c r="D700" s="38"/>
      <c r="E700" s="38"/>
      <c r="F700" s="65"/>
      <c r="G700" s="66"/>
      <c r="H700" s="38"/>
      <c r="I700" s="38"/>
      <c r="J700" s="38"/>
      <c r="K700" s="38"/>
      <c r="L700" s="38"/>
      <c r="M700" s="56"/>
      <c r="N700" s="56" t="b">
        <v>0</v>
      </c>
      <c r="O700" s="56" t="b">
        <v>0</v>
      </c>
      <c r="P700" s="56"/>
      <c r="Q700" s="56"/>
      <c r="R700" s="56"/>
      <c r="S700" s="56"/>
      <c r="T700" s="56"/>
      <c r="U700" s="56"/>
      <c r="V700" s="56"/>
      <c r="W700" s="56"/>
      <c r="X700" s="56"/>
      <c r="Y700" s="56"/>
      <c r="Z700" s="56"/>
      <c r="AA700" s="56"/>
      <c r="AB700" s="56"/>
    </row>
    <row r="701" ht="15.75" customHeight="1">
      <c r="A701" s="57" t="str">
        <f t="shared" si="13"/>
        <v/>
      </c>
      <c r="B701" s="69"/>
      <c r="C701" s="38"/>
      <c r="D701" s="38"/>
      <c r="E701" s="38"/>
      <c r="F701" s="65"/>
      <c r="G701" s="66"/>
      <c r="H701" s="38"/>
      <c r="I701" s="38"/>
      <c r="J701" s="38"/>
      <c r="K701" s="38"/>
      <c r="L701" s="38"/>
      <c r="M701" s="56"/>
      <c r="N701" s="56" t="b">
        <v>0</v>
      </c>
      <c r="O701" s="56" t="b">
        <v>0</v>
      </c>
      <c r="P701" s="56"/>
      <c r="Q701" s="56"/>
      <c r="R701" s="56"/>
      <c r="S701" s="56"/>
      <c r="T701" s="56"/>
      <c r="U701" s="56"/>
      <c r="V701" s="56"/>
      <c r="W701" s="56"/>
      <c r="X701" s="56"/>
      <c r="Y701" s="56"/>
      <c r="Z701" s="56"/>
      <c r="AA701" s="56"/>
      <c r="AB701" s="56"/>
    </row>
    <row r="702" ht="15.75" customHeight="1">
      <c r="A702" s="57" t="str">
        <f t="shared" si="13"/>
        <v/>
      </c>
      <c r="B702" s="161"/>
      <c r="C702" s="52">
        <v>44355.0</v>
      </c>
      <c r="D702" s="38"/>
      <c r="E702" s="38"/>
      <c r="F702" s="65"/>
      <c r="G702" s="66"/>
      <c r="H702" s="38"/>
      <c r="I702" s="38"/>
      <c r="J702" s="38"/>
      <c r="K702" s="38"/>
      <c r="L702" s="38"/>
      <c r="M702" s="56"/>
      <c r="N702" s="56" t="b">
        <v>0</v>
      </c>
      <c r="O702" s="56" t="b">
        <v>0</v>
      </c>
      <c r="P702" s="56"/>
      <c r="Q702" s="56"/>
      <c r="R702" s="56"/>
      <c r="S702" s="56"/>
      <c r="T702" s="56"/>
      <c r="U702" s="56"/>
      <c r="V702" s="56"/>
      <c r="W702" s="56"/>
      <c r="X702" s="56"/>
      <c r="Y702" s="56"/>
      <c r="Z702" s="56"/>
      <c r="AA702" s="56"/>
      <c r="AB702" s="56"/>
    </row>
    <row r="703" ht="15.75" customHeight="1">
      <c r="A703" s="57" t="str">
        <f t="shared" si="13"/>
        <v/>
      </c>
      <c r="B703" s="58" t="s">
        <v>4836</v>
      </c>
      <c r="C703" s="38" t="s">
        <v>53</v>
      </c>
      <c r="D703" s="38"/>
      <c r="E703" s="38"/>
      <c r="F703" s="65"/>
      <c r="G703" s="66"/>
      <c r="H703" s="38"/>
      <c r="I703" s="38"/>
      <c r="J703" s="38"/>
      <c r="K703" s="38"/>
      <c r="L703" s="38"/>
      <c r="M703" s="56"/>
      <c r="N703" s="56" t="b">
        <v>0</v>
      </c>
      <c r="O703" s="56" t="b">
        <v>0</v>
      </c>
      <c r="P703" s="56"/>
      <c r="Q703" s="56"/>
      <c r="R703" s="56"/>
      <c r="S703" s="56"/>
      <c r="T703" s="56"/>
      <c r="U703" s="56"/>
      <c r="V703" s="56"/>
      <c r="W703" s="56"/>
      <c r="X703" s="56"/>
      <c r="Y703" s="56"/>
      <c r="Z703" s="56"/>
      <c r="AA703" s="56"/>
      <c r="AB703" s="56"/>
    </row>
    <row r="704" ht="15.75" customHeight="1">
      <c r="A704" s="57" t="str">
        <f t="shared" si="13"/>
        <v>6019b00a669ec38ecb752630</v>
      </c>
      <c r="B704" s="63"/>
      <c r="C704" s="38" t="s">
        <v>53</v>
      </c>
      <c r="D704" s="76" t="s">
        <v>52</v>
      </c>
      <c r="E704" s="76" t="s">
        <v>4956</v>
      </c>
      <c r="F704" s="160" t="s">
        <v>3853</v>
      </c>
      <c r="G704" s="82" t="s">
        <v>5599</v>
      </c>
      <c r="H704" s="76" t="s">
        <v>4880</v>
      </c>
      <c r="I704" s="76" t="s">
        <v>5812</v>
      </c>
      <c r="J704" s="76" t="s">
        <v>4958</v>
      </c>
      <c r="K704" s="38"/>
      <c r="L704" s="38"/>
      <c r="M704" s="56"/>
      <c r="N704" s="56" t="b">
        <v>0</v>
      </c>
      <c r="O704" s="56" t="b">
        <v>0</v>
      </c>
      <c r="P704" s="56"/>
      <c r="Q704" s="56"/>
      <c r="R704" s="56"/>
      <c r="S704" s="56"/>
      <c r="T704" s="56"/>
      <c r="U704" s="56"/>
      <c r="V704" s="56"/>
      <c r="W704" s="56"/>
      <c r="X704" s="56"/>
      <c r="Y704" s="56"/>
      <c r="Z704" s="56"/>
      <c r="AA704" s="56"/>
      <c r="AB704" s="56"/>
    </row>
    <row r="705" ht="15.75" customHeight="1">
      <c r="A705" s="57" t="str">
        <f t="shared" si="13"/>
        <v>5fdfa7d0bc2d63483612b950</v>
      </c>
      <c r="B705" s="63"/>
      <c r="C705" s="38" t="s">
        <v>53</v>
      </c>
      <c r="D705" s="76" t="s">
        <v>52</v>
      </c>
      <c r="E705" s="76" t="s">
        <v>4878</v>
      </c>
      <c r="F705" s="160" t="s">
        <v>4879</v>
      </c>
      <c r="G705" s="82" t="s">
        <v>5602</v>
      </c>
      <c r="H705" s="76" t="s">
        <v>4880</v>
      </c>
      <c r="I705" s="76" t="s">
        <v>5813</v>
      </c>
      <c r="J705" s="76" t="s">
        <v>4882</v>
      </c>
      <c r="K705" s="38"/>
      <c r="L705" s="38"/>
      <c r="M705" s="56"/>
      <c r="N705" s="56" t="b">
        <v>0</v>
      </c>
      <c r="O705" s="56" t="b">
        <v>0</v>
      </c>
      <c r="P705" s="56"/>
      <c r="Q705" s="56"/>
      <c r="R705" s="56"/>
      <c r="S705" s="56"/>
      <c r="T705" s="56"/>
      <c r="U705" s="56"/>
      <c r="V705" s="56"/>
      <c r="W705" s="56"/>
      <c r="X705" s="56"/>
      <c r="Y705" s="56"/>
      <c r="Z705" s="56"/>
      <c r="AA705" s="56"/>
      <c r="AB705" s="56"/>
    </row>
    <row r="706" ht="15.75" customHeight="1">
      <c r="A706" s="57" t="str">
        <f t="shared" si="13"/>
        <v>5ffe01024a4dfa0712aba0a5</v>
      </c>
      <c r="B706" s="63"/>
      <c r="C706" s="38" t="s">
        <v>53</v>
      </c>
      <c r="D706" s="76" t="s">
        <v>52</v>
      </c>
      <c r="E706" s="77" t="s">
        <v>2864</v>
      </c>
      <c r="F706" s="77" t="s">
        <v>2865</v>
      </c>
      <c r="G706" s="82" t="s">
        <v>5461</v>
      </c>
      <c r="H706" s="76" t="s">
        <v>4880</v>
      </c>
      <c r="I706" s="77" t="s">
        <v>5250</v>
      </c>
      <c r="J706" s="77" t="s">
        <v>2867</v>
      </c>
      <c r="K706" s="38"/>
      <c r="L706" s="38"/>
      <c r="M706" s="56"/>
      <c r="N706" s="56" t="b">
        <v>0</v>
      </c>
      <c r="O706" s="56" t="b">
        <v>0</v>
      </c>
      <c r="P706" s="56"/>
      <c r="Q706" s="56"/>
      <c r="R706" s="56"/>
      <c r="S706" s="56"/>
      <c r="T706" s="56"/>
      <c r="U706" s="56"/>
      <c r="V706" s="56"/>
      <c r="W706" s="56"/>
      <c r="X706" s="56"/>
      <c r="Y706" s="56"/>
      <c r="Z706" s="56"/>
      <c r="AA706" s="56"/>
      <c r="AB706" s="56"/>
    </row>
    <row r="707" ht="15.75" customHeight="1">
      <c r="A707" s="57" t="str">
        <f t="shared" si="13"/>
        <v>601a70035ad05126c49863cd</v>
      </c>
      <c r="B707" s="63"/>
      <c r="C707" s="38"/>
      <c r="D707" s="76" t="s">
        <v>52</v>
      </c>
      <c r="E707" s="77" t="s">
        <v>2513</v>
      </c>
      <c r="F707" s="77" t="s">
        <v>2514</v>
      </c>
      <c r="G707" s="82" t="s">
        <v>4847</v>
      </c>
      <c r="H707" s="76" t="s">
        <v>4880</v>
      </c>
      <c r="I707" s="76" t="s">
        <v>5814</v>
      </c>
      <c r="J707" s="77" t="s">
        <v>2516</v>
      </c>
      <c r="K707" s="38" t="s">
        <v>5815</v>
      </c>
      <c r="L707" s="38"/>
      <c r="M707" s="56"/>
      <c r="N707" s="56" t="b">
        <v>0</v>
      </c>
      <c r="O707" s="56" t="b">
        <v>0</v>
      </c>
      <c r="P707" s="56"/>
      <c r="Q707" s="56"/>
      <c r="R707" s="56"/>
      <c r="S707" s="56"/>
      <c r="T707" s="56"/>
      <c r="U707" s="56"/>
      <c r="V707" s="56"/>
      <c r="W707" s="56"/>
      <c r="X707" s="56"/>
      <c r="Y707" s="56"/>
      <c r="Z707" s="56"/>
      <c r="AA707" s="56"/>
      <c r="AB707" s="56"/>
    </row>
    <row r="708" ht="15.75" customHeight="1">
      <c r="A708" s="57" t="str">
        <f t="shared" si="13"/>
        <v/>
      </c>
      <c r="B708" s="69"/>
      <c r="C708" s="38"/>
      <c r="D708" s="38"/>
      <c r="E708" s="38"/>
      <c r="F708" s="65"/>
      <c r="G708" s="66"/>
      <c r="H708" s="38"/>
      <c r="I708" s="38"/>
      <c r="J708" s="38"/>
      <c r="K708" s="38"/>
      <c r="L708" s="38"/>
      <c r="M708" s="56"/>
      <c r="N708" s="56" t="b">
        <v>0</v>
      </c>
      <c r="O708" s="56" t="b">
        <v>0</v>
      </c>
      <c r="P708" s="56"/>
      <c r="Q708" s="56"/>
      <c r="R708" s="56"/>
      <c r="S708" s="56"/>
      <c r="T708" s="56"/>
      <c r="U708" s="56"/>
      <c r="V708" s="56"/>
      <c r="W708" s="56"/>
      <c r="X708" s="56"/>
      <c r="Y708" s="56"/>
      <c r="Z708" s="56"/>
      <c r="AA708" s="56"/>
      <c r="AB708" s="56"/>
    </row>
    <row r="709" ht="15.75" customHeight="1">
      <c r="A709" s="57" t="str">
        <f t="shared" si="13"/>
        <v/>
      </c>
      <c r="B709" s="161"/>
      <c r="C709" s="52">
        <v>44356.0</v>
      </c>
      <c r="D709" s="38"/>
      <c r="E709" s="38"/>
      <c r="F709" s="65"/>
      <c r="G709" s="66"/>
      <c r="H709" s="38"/>
      <c r="I709" s="38"/>
      <c r="J709" s="38"/>
      <c r="K709" s="38"/>
      <c r="L709" s="38"/>
      <c r="M709" s="56"/>
      <c r="N709" s="56" t="b">
        <v>0</v>
      </c>
      <c r="O709" s="56" t="b">
        <v>0</v>
      </c>
      <c r="P709" s="56"/>
      <c r="Q709" s="56"/>
      <c r="R709" s="56"/>
      <c r="S709" s="56"/>
      <c r="T709" s="56"/>
      <c r="U709" s="56"/>
      <c r="V709" s="56"/>
      <c r="W709" s="56"/>
      <c r="X709" s="56"/>
      <c r="Y709" s="56"/>
      <c r="Z709" s="56"/>
      <c r="AA709" s="56"/>
      <c r="AB709" s="56"/>
    </row>
    <row r="710" ht="15.75" customHeight="1">
      <c r="A710" s="57" t="str">
        <f t="shared" si="13"/>
        <v/>
      </c>
      <c r="B710" s="58" t="s">
        <v>4836</v>
      </c>
      <c r="C710" s="38" t="s">
        <v>53</v>
      </c>
      <c r="D710" s="38"/>
      <c r="E710" s="38"/>
      <c r="F710" s="65"/>
      <c r="G710" s="66"/>
      <c r="H710" s="38"/>
      <c r="I710" s="38"/>
      <c r="J710" s="38"/>
      <c r="K710" s="38"/>
      <c r="L710" s="38"/>
      <c r="M710" s="56"/>
      <c r="N710" s="56" t="b">
        <v>0</v>
      </c>
      <c r="O710" s="56" t="b">
        <v>0</v>
      </c>
      <c r="P710" s="56"/>
      <c r="Q710" s="56"/>
      <c r="R710" s="56"/>
      <c r="S710" s="56"/>
      <c r="T710" s="56"/>
      <c r="U710" s="56"/>
      <c r="V710" s="56"/>
      <c r="W710" s="56"/>
      <c r="X710" s="56"/>
      <c r="Y710" s="56"/>
      <c r="Z710" s="56"/>
      <c r="AA710" s="56"/>
      <c r="AB710" s="56"/>
    </row>
    <row r="711" ht="15.75" customHeight="1">
      <c r="A711" s="57" t="str">
        <f t="shared" si="13"/>
        <v>RANDEVU ALINMYACAK!!!</v>
      </c>
      <c r="B711" s="63"/>
      <c r="C711" s="38" t="s">
        <v>53</v>
      </c>
      <c r="D711" s="38"/>
      <c r="E711" s="162" t="s">
        <v>5816</v>
      </c>
      <c r="F711" s="155"/>
      <c r="G711" s="66"/>
      <c r="H711" s="38"/>
      <c r="I711" s="38"/>
      <c r="J711" s="38"/>
      <c r="K711" s="38"/>
      <c r="L711" s="38"/>
      <c r="M711" s="56"/>
      <c r="N711" s="56" t="b">
        <v>0</v>
      </c>
      <c r="O711" s="56" t="b">
        <v>0</v>
      </c>
      <c r="P711" s="56"/>
      <c r="Q711" s="56"/>
      <c r="R711" s="56"/>
      <c r="S711" s="56"/>
      <c r="T711" s="56"/>
      <c r="U711" s="56"/>
      <c r="V711" s="56"/>
      <c r="W711" s="56"/>
      <c r="X711" s="56"/>
      <c r="Y711" s="56"/>
      <c r="Z711" s="56"/>
      <c r="AA711" s="56"/>
      <c r="AB711" s="56"/>
    </row>
    <row r="712" ht="15.75" customHeight="1">
      <c r="A712" s="57" t="str">
        <f t="shared" si="13"/>
        <v/>
      </c>
      <c r="B712" s="63"/>
      <c r="C712" s="38" t="s">
        <v>53</v>
      </c>
      <c r="D712" s="38"/>
      <c r="E712" s="156"/>
      <c r="F712" s="157"/>
      <c r="G712" s="66"/>
      <c r="H712" s="38"/>
      <c r="I712" s="38"/>
      <c r="J712" s="38"/>
      <c r="K712" s="38"/>
      <c r="L712" s="38"/>
      <c r="M712" s="56"/>
      <c r="N712" s="56" t="b">
        <v>0</v>
      </c>
      <c r="O712" s="56" t="b">
        <v>0</v>
      </c>
      <c r="P712" s="56"/>
      <c r="Q712" s="56"/>
      <c r="R712" s="56"/>
      <c r="S712" s="56"/>
      <c r="T712" s="56"/>
      <c r="U712" s="56"/>
      <c r="V712" s="56"/>
      <c r="W712" s="56"/>
      <c r="X712" s="56"/>
      <c r="Y712" s="56"/>
      <c r="Z712" s="56"/>
      <c r="AA712" s="56"/>
      <c r="AB712" s="56"/>
    </row>
    <row r="713" ht="15.75" customHeight="1">
      <c r="A713" s="57" t="str">
        <f t="shared" si="13"/>
        <v/>
      </c>
      <c r="B713" s="63"/>
      <c r="C713" s="38" t="s">
        <v>53</v>
      </c>
      <c r="D713" s="38"/>
      <c r="E713" s="158"/>
      <c r="F713" s="159"/>
      <c r="G713" s="66"/>
      <c r="H713" s="38"/>
      <c r="I713" s="38"/>
      <c r="J713" s="38"/>
      <c r="K713" s="38"/>
      <c r="L713" s="38"/>
      <c r="M713" s="56"/>
      <c r="N713" s="56" t="b">
        <v>0</v>
      </c>
      <c r="O713" s="56" t="b">
        <v>0</v>
      </c>
      <c r="P713" s="56"/>
      <c r="Q713" s="56"/>
      <c r="R713" s="56"/>
      <c r="S713" s="56"/>
      <c r="T713" s="56"/>
      <c r="U713" s="56"/>
      <c r="V713" s="56"/>
      <c r="W713" s="56"/>
      <c r="X713" s="56"/>
      <c r="Y713" s="56"/>
      <c r="Z713" s="56"/>
      <c r="AA713" s="56"/>
      <c r="AB713" s="56"/>
    </row>
    <row r="714" ht="15.75" customHeight="1">
      <c r="A714" s="57" t="str">
        <f t="shared" si="13"/>
        <v/>
      </c>
      <c r="B714" s="63"/>
      <c r="C714" s="38"/>
      <c r="D714" s="38"/>
      <c r="E714" s="38"/>
      <c r="F714" s="65"/>
      <c r="G714" s="66"/>
      <c r="H714" s="38"/>
      <c r="I714" s="38"/>
      <c r="J714" s="38"/>
      <c r="K714" s="38"/>
      <c r="L714" s="38"/>
      <c r="M714" s="56"/>
      <c r="N714" s="56" t="b">
        <v>0</v>
      </c>
      <c r="O714" s="56" t="b">
        <v>0</v>
      </c>
      <c r="P714" s="56"/>
      <c r="Q714" s="56"/>
      <c r="R714" s="56"/>
      <c r="S714" s="56"/>
      <c r="T714" s="56"/>
      <c r="U714" s="56"/>
      <c r="V714" s="56"/>
      <c r="W714" s="56"/>
      <c r="X714" s="56"/>
      <c r="Y714" s="56"/>
      <c r="Z714" s="56"/>
      <c r="AA714" s="56"/>
      <c r="AB714" s="56"/>
    </row>
    <row r="715" ht="15.75" customHeight="1">
      <c r="A715" s="57" t="str">
        <f t="shared" si="13"/>
        <v/>
      </c>
      <c r="B715" s="69"/>
      <c r="C715" s="38"/>
      <c r="D715" s="38"/>
      <c r="E715" s="38"/>
      <c r="F715" s="65"/>
      <c r="G715" s="66"/>
      <c r="H715" s="38"/>
      <c r="I715" s="38"/>
      <c r="J715" s="38"/>
      <c r="K715" s="38"/>
      <c r="L715" s="38"/>
      <c r="M715" s="56"/>
      <c r="N715" s="56" t="b">
        <v>0</v>
      </c>
      <c r="O715" s="56" t="b">
        <v>0</v>
      </c>
      <c r="P715" s="56"/>
      <c r="Q715" s="56"/>
      <c r="R715" s="56"/>
      <c r="S715" s="56"/>
      <c r="T715" s="56"/>
      <c r="U715" s="56"/>
      <c r="V715" s="56"/>
      <c r="W715" s="56"/>
      <c r="X715" s="56"/>
      <c r="Y715" s="56"/>
      <c r="Z715" s="56"/>
      <c r="AA715" s="56"/>
      <c r="AB715" s="56"/>
    </row>
    <row r="716" ht="15.75" customHeight="1">
      <c r="A716" s="57" t="str">
        <f t="shared" si="13"/>
        <v/>
      </c>
      <c r="B716" s="161"/>
      <c r="C716" s="52">
        <v>44357.0</v>
      </c>
      <c r="D716" s="38"/>
      <c r="E716" s="38"/>
      <c r="F716" s="65"/>
      <c r="G716" s="66"/>
      <c r="H716" s="38"/>
      <c r="I716" s="38"/>
      <c r="J716" s="38"/>
      <c r="K716" s="38"/>
      <c r="L716" s="38"/>
      <c r="M716" s="56"/>
      <c r="N716" s="56" t="b">
        <v>0</v>
      </c>
      <c r="O716" s="56" t="b">
        <v>0</v>
      </c>
      <c r="P716" s="56"/>
      <c r="Q716" s="56"/>
      <c r="R716" s="56"/>
      <c r="S716" s="56"/>
      <c r="T716" s="56"/>
      <c r="U716" s="56"/>
      <c r="V716" s="56"/>
      <c r="W716" s="56"/>
      <c r="X716" s="56"/>
      <c r="Y716" s="56"/>
      <c r="Z716" s="56"/>
      <c r="AA716" s="56"/>
      <c r="AB716" s="56"/>
    </row>
    <row r="717" ht="15.75" customHeight="1">
      <c r="A717" s="57" t="str">
        <f t="shared" si="13"/>
        <v/>
      </c>
      <c r="B717" s="58" t="s">
        <v>4836</v>
      </c>
      <c r="C717" s="164"/>
      <c r="D717" s="38"/>
      <c r="E717" s="38"/>
      <c r="F717" s="65"/>
      <c r="G717" s="66"/>
      <c r="H717" s="38"/>
      <c r="I717" s="38"/>
      <c r="J717" s="38"/>
      <c r="K717" s="38"/>
      <c r="L717" s="38"/>
      <c r="M717" s="56"/>
      <c r="N717" s="56" t="b">
        <v>0</v>
      </c>
      <c r="O717" s="56" t="b">
        <v>0</v>
      </c>
      <c r="P717" s="56"/>
      <c r="Q717" s="56"/>
      <c r="R717" s="56"/>
      <c r="S717" s="56"/>
      <c r="T717" s="56"/>
      <c r="U717" s="56"/>
      <c r="V717" s="56"/>
      <c r="W717" s="56"/>
      <c r="X717" s="56"/>
      <c r="Y717" s="56"/>
      <c r="Z717" s="56"/>
      <c r="AA717" s="56"/>
      <c r="AB717" s="56"/>
    </row>
    <row r="718" ht="15.75" customHeight="1">
      <c r="A718" s="57" t="str">
        <f t="shared" si="13"/>
        <v>606f485b15d7fa25a368f527</v>
      </c>
      <c r="B718" s="63"/>
      <c r="C718" s="38" t="s">
        <v>53</v>
      </c>
      <c r="D718" s="76" t="s">
        <v>52</v>
      </c>
      <c r="E718" s="76" t="s">
        <v>4265</v>
      </c>
      <c r="F718" s="160" t="s">
        <v>4266</v>
      </c>
      <c r="G718" s="82" t="s">
        <v>5704</v>
      </c>
      <c r="H718" s="76" t="s">
        <v>5182</v>
      </c>
      <c r="I718" s="76" t="s">
        <v>5817</v>
      </c>
      <c r="J718" s="76" t="s">
        <v>4268</v>
      </c>
      <c r="K718" s="38"/>
      <c r="L718" s="38"/>
      <c r="M718" s="56"/>
      <c r="N718" s="56" t="b">
        <v>0</v>
      </c>
      <c r="O718" s="56" t="b">
        <v>0</v>
      </c>
      <c r="P718" s="56"/>
      <c r="Q718" s="56"/>
      <c r="R718" s="56"/>
      <c r="S718" s="56"/>
      <c r="T718" s="56"/>
      <c r="U718" s="56"/>
      <c r="V718" s="56"/>
      <c r="W718" s="56"/>
      <c r="X718" s="56"/>
      <c r="Y718" s="56"/>
      <c r="Z718" s="56"/>
      <c r="AA718" s="56"/>
      <c r="AB718" s="56"/>
    </row>
    <row r="719" ht="15.75" customHeight="1">
      <c r="A719" s="57" t="str">
        <f t="shared" si="13"/>
        <v>604ccff6b01c99748c1192f6</v>
      </c>
      <c r="B719" s="63"/>
      <c r="C719" s="38" t="s">
        <v>53</v>
      </c>
      <c r="D719" s="76" t="s">
        <v>52</v>
      </c>
      <c r="E719" s="76" t="s">
        <v>5519</v>
      </c>
      <c r="F719" s="160" t="s">
        <v>2570</v>
      </c>
      <c r="G719" s="82" t="s">
        <v>5599</v>
      </c>
      <c r="H719" s="76" t="s">
        <v>5818</v>
      </c>
      <c r="I719" s="76" t="s">
        <v>5819</v>
      </c>
      <c r="J719" s="76" t="s">
        <v>2572</v>
      </c>
      <c r="K719" s="38"/>
      <c r="L719" s="38"/>
      <c r="M719" s="56"/>
      <c r="N719" s="56" t="b">
        <v>0</v>
      </c>
      <c r="O719" s="56" t="b">
        <v>0</v>
      </c>
      <c r="P719" s="56"/>
      <c r="Q719" s="56"/>
      <c r="R719" s="56"/>
      <c r="S719" s="56"/>
      <c r="T719" s="56"/>
      <c r="U719" s="56"/>
      <c r="V719" s="56"/>
      <c r="W719" s="56"/>
      <c r="X719" s="56"/>
      <c r="Y719" s="56"/>
      <c r="Z719" s="56"/>
      <c r="AA719" s="56"/>
      <c r="AB719" s="56"/>
    </row>
    <row r="720" ht="15.75" customHeight="1">
      <c r="A720" s="57" t="str">
        <f t="shared" si="13"/>
        <v>6090e9c4de884e6268cdf829</v>
      </c>
      <c r="B720" s="63"/>
      <c r="C720" s="38" t="s">
        <v>53</v>
      </c>
      <c r="D720" s="76" t="s">
        <v>52</v>
      </c>
      <c r="E720" s="76" t="s">
        <v>1966</v>
      </c>
      <c r="F720" s="160" t="s">
        <v>1967</v>
      </c>
      <c r="G720" s="82" t="s">
        <v>5602</v>
      </c>
      <c r="H720" s="76" t="s">
        <v>5658</v>
      </c>
      <c r="I720" s="76" t="s">
        <v>5820</v>
      </c>
      <c r="J720" s="76" t="s">
        <v>1969</v>
      </c>
      <c r="K720" s="38" t="s">
        <v>5821</v>
      </c>
      <c r="L720" s="38"/>
      <c r="M720" s="56"/>
      <c r="N720" s="56" t="b">
        <v>0</v>
      </c>
      <c r="O720" s="56" t="b">
        <v>0</v>
      </c>
      <c r="P720" s="56"/>
      <c r="Q720" s="56"/>
      <c r="R720" s="56"/>
      <c r="S720" s="56"/>
      <c r="T720" s="56"/>
      <c r="U720" s="56"/>
      <c r="V720" s="56"/>
      <c r="W720" s="56"/>
      <c r="X720" s="56"/>
      <c r="Y720" s="56"/>
      <c r="Z720" s="56"/>
      <c r="AA720" s="56"/>
      <c r="AB720" s="56"/>
    </row>
    <row r="721" ht="15.75" customHeight="1">
      <c r="A721" s="57" t="str">
        <f t="shared" si="13"/>
        <v>5ff4ca3a333ef5625db0982c</v>
      </c>
      <c r="B721" s="63"/>
      <c r="C721" s="38" t="s">
        <v>53</v>
      </c>
      <c r="D721" s="76" t="s">
        <v>52</v>
      </c>
      <c r="E721" s="77" t="s">
        <v>1008</v>
      </c>
      <c r="F721" s="77" t="s">
        <v>1009</v>
      </c>
      <c r="G721" s="82" t="s">
        <v>4858</v>
      </c>
      <c r="H721" s="76" t="s">
        <v>5822</v>
      </c>
      <c r="I721" s="77" t="s">
        <v>5823</v>
      </c>
      <c r="J721" s="77" t="s">
        <v>1011</v>
      </c>
      <c r="K721" s="38"/>
      <c r="L721" s="38"/>
      <c r="M721" s="56"/>
      <c r="N721" s="56" t="b">
        <v>0</v>
      </c>
      <c r="O721" s="56" t="b">
        <v>0</v>
      </c>
      <c r="P721" s="56"/>
      <c r="Q721" s="56"/>
      <c r="R721" s="56"/>
      <c r="S721" s="56"/>
      <c r="T721" s="56"/>
      <c r="U721" s="56"/>
      <c r="V721" s="56"/>
      <c r="W721" s="56"/>
      <c r="X721" s="56"/>
      <c r="Y721" s="56"/>
      <c r="Z721" s="56"/>
      <c r="AA721" s="56"/>
      <c r="AB721" s="56"/>
    </row>
    <row r="722" ht="15.75" customHeight="1">
      <c r="A722" s="57" t="str">
        <f t="shared" si="13"/>
        <v/>
      </c>
      <c r="B722" s="69"/>
      <c r="C722" s="38"/>
      <c r="D722" s="38"/>
      <c r="E722" s="38"/>
      <c r="F722" s="65"/>
      <c r="G722" s="66"/>
      <c r="H722" s="38"/>
      <c r="I722" s="38"/>
      <c r="J722" s="38"/>
      <c r="K722" s="38"/>
      <c r="L722" s="38"/>
      <c r="M722" s="56"/>
      <c r="N722" s="56" t="b">
        <v>0</v>
      </c>
      <c r="O722" s="56" t="b">
        <v>0</v>
      </c>
      <c r="P722" s="56"/>
      <c r="Q722" s="56"/>
      <c r="R722" s="56"/>
      <c r="S722" s="56"/>
      <c r="T722" s="56"/>
      <c r="U722" s="56"/>
      <c r="V722" s="56"/>
      <c r="W722" s="56"/>
      <c r="X722" s="56"/>
      <c r="Y722" s="56"/>
      <c r="Z722" s="56"/>
      <c r="AA722" s="56"/>
      <c r="AB722" s="56"/>
    </row>
    <row r="723" ht="15.75" customHeight="1">
      <c r="A723" s="57" t="str">
        <f t="shared" si="13"/>
        <v/>
      </c>
      <c r="B723" s="161"/>
      <c r="C723" s="52">
        <v>44358.0</v>
      </c>
      <c r="D723" s="38"/>
      <c r="E723" s="38"/>
      <c r="F723" s="65"/>
      <c r="G723" s="66"/>
      <c r="H723" s="38"/>
      <c r="I723" s="38"/>
      <c r="J723" s="38"/>
      <c r="K723" s="38"/>
      <c r="L723" s="38"/>
      <c r="M723" s="56"/>
      <c r="N723" s="56" t="b">
        <v>0</v>
      </c>
      <c r="O723" s="56" t="b">
        <v>0</v>
      </c>
      <c r="P723" s="56"/>
      <c r="Q723" s="56"/>
      <c r="R723" s="56"/>
      <c r="S723" s="56"/>
      <c r="T723" s="56"/>
      <c r="U723" s="56"/>
      <c r="V723" s="56"/>
      <c r="W723" s="56"/>
      <c r="X723" s="56"/>
      <c r="Y723" s="56"/>
      <c r="Z723" s="56"/>
      <c r="AA723" s="56"/>
      <c r="AB723" s="56"/>
    </row>
    <row r="724" ht="15.75" customHeight="1">
      <c r="A724" s="57" t="str">
        <f t="shared" si="13"/>
        <v>60892106ed7a3e4d6e73f17c</v>
      </c>
      <c r="B724" s="58" t="s">
        <v>4836</v>
      </c>
      <c r="C724" s="38" t="s">
        <v>53</v>
      </c>
      <c r="D724" s="62" t="s">
        <v>52</v>
      </c>
      <c r="E724" s="60" t="s">
        <v>3890</v>
      </c>
      <c r="F724" s="60" t="s">
        <v>3891</v>
      </c>
      <c r="G724" s="73" t="s">
        <v>4851</v>
      </c>
      <c r="H724" s="60" t="s">
        <v>5259</v>
      </c>
      <c r="I724" s="60" t="s">
        <v>5824</v>
      </c>
      <c r="J724" s="60" t="s">
        <v>3893</v>
      </c>
      <c r="K724" s="38"/>
      <c r="L724" s="38"/>
      <c r="M724" s="56"/>
      <c r="N724" s="56" t="b">
        <v>0</v>
      </c>
      <c r="O724" s="56" t="b">
        <v>0</v>
      </c>
      <c r="P724" s="56"/>
      <c r="Q724" s="56"/>
      <c r="R724" s="56"/>
      <c r="S724" s="56"/>
      <c r="T724" s="56"/>
      <c r="U724" s="56"/>
      <c r="V724" s="56"/>
      <c r="W724" s="56"/>
      <c r="X724" s="56"/>
      <c r="Y724" s="56"/>
      <c r="Z724" s="56"/>
      <c r="AA724" s="56"/>
      <c r="AB724" s="56"/>
    </row>
    <row r="725" ht="15.75" customHeight="1">
      <c r="A725" s="57" t="str">
        <f>#REF!</f>
        <v>#REF!</v>
      </c>
      <c r="B725" s="63"/>
      <c r="C725" s="38" t="s">
        <v>53</v>
      </c>
      <c r="D725" s="38" t="s">
        <v>52</v>
      </c>
      <c r="E725" s="67" t="s">
        <v>2680</v>
      </c>
      <c r="F725" s="67" t="s">
        <v>2681</v>
      </c>
      <c r="G725" s="66" t="s">
        <v>4887</v>
      </c>
      <c r="H725" s="67" t="s">
        <v>5536</v>
      </c>
      <c r="I725" s="67" t="s">
        <v>5825</v>
      </c>
      <c r="J725" s="67" t="s">
        <v>2683</v>
      </c>
      <c r="K725" s="38"/>
      <c r="L725" s="38"/>
      <c r="M725" s="56"/>
      <c r="N725" s="56" t="b">
        <v>0</v>
      </c>
      <c r="O725" s="56" t="b">
        <v>0</v>
      </c>
      <c r="P725" s="56"/>
      <c r="Q725" s="56"/>
      <c r="R725" s="56"/>
      <c r="S725" s="56"/>
      <c r="T725" s="56"/>
      <c r="U725" s="56"/>
      <c r="V725" s="56"/>
      <c r="W725" s="56"/>
      <c r="X725" s="56"/>
      <c r="Y725" s="56"/>
      <c r="Z725" s="56"/>
      <c r="AA725" s="56"/>
      <c r="AB725" s="56"/>
    </row>
    <row r="726" ht="15.75" customHeight="1">
      <c r="A726" s="57" t="str">
        <f t="shared" ref="A726:A743" si="14">E726</f>
        <v>606e09766fb181a222ce9e0c</v>
      </c>
      <c r="B726" s="63"/>
      <c r="C726" s="38" t="s">
        <v>53</v>
      </c>
      <c r="D726" s="76" t="s">
        <v>52</v>
      </c>
      <c r="E726" s="165" t="s">
        <v>2584</v>
      </c>
      <c r="F726" s="165" t="s">
        <v>2585</v>
      </c>
      <c r="G726" s="82" t="s">
        <v>4892</v>
      </c>
      <c r="H726" s="165" t="s">
        <v>4880</v>
      </c>
      <c r="I726" s="165" t="s">
        <v>5810</v>
      </c>
      <c r="J726" s="165" t="s">
        <v>2587</v>
      </c>
      <c r="K726" s="38"/>
      <c r="L726" s="38"/>
      <c r="M726" s="56"/>
      <c r="N726" s="56" t="b">
        <v>0</v>
      </c>
      <c r="O726" s="56" t="b">
        <v>0</v>
      </c>
      <c r="P726" s="56"/>
      <c r="Q726" s="56"/>
      <c r="R726" s="56"/>
      <c r="S726" s="56"/>
      <c r="T726" s="56"/>
      <c r="U726" s="56"/>
      <c r="V726" s="56"/>
      <c r="W726" s="56"/>
      <c r="X726" s="56"/>
      <c r="Y726" s="56"/>
      <c r="Z726" s="56"/>
      <c r="AA726" s="56"/>
      <c r="AB726" s="56"/>
    </row>
    <row r="727" ht="15.75" customHeight="1">
      <c r="A727" s="57" t="str">
        <f t="shared" si="14"/>
        <v>603028708364b83200993c49</v>
      </c>
      <c r="B727" s="63"/>
      <c r="C727" s="38" t="s">
        <v>53</v>
      </c>
      <c r="D727" s="38" t="s">
        <v>52</v>
      </c>
      <c r="E727" s="67" t="s">
        <v>159</v>
      </c>
      <c r="F727" s="67" t="s">
        <v>160</v>
      </c>
      <c r="G727" s="66" t="s">
        <v>4899</v>
      </c>
      <c r="H727" s="67" t="s">
        <v>5342</v>
      </c>
      <c r="I727" s="67" t="s">
        <v>5826</v>
      </c>
      <c r="J727" s="67" t="s">
        <v>162</v>
      </c>
      <c r="K727" s="38"/>
      <c r="L727" s="38"/>
      <c r="M727" s="56"/>
      <c r="N727" s="56" t="b">
        <v>0</v>
      </c>
      <c r="O727" s="56" t="b">
        <v>0</v>
      </c>
      <c r="P727" s="56"/>
      <c r="Q727" s="56"/>
      <c r="R727" s="56"/>
      <c r="S727" s="56"/>
      <c r="T727" s="56"/>
      <c r="U727" s="56"/>
      <c r="V727" s="56"/>
      <c r="W727" s="56"/>
      <c r="X727" s="56"/>
      <c r="Y727" s="56"/>
      <c r="Z727" s="56"/>
      <c r="AA727" s="56"/>
      <c r="AB727" s="56"/>
    </row>
    <row r="728" ht="15.75" customHeight="1">
      <c r="A728" s="57" t="str">
        <f t="shared" si="14"/>
        <v/>
      </c>
      <c r="B728" s="63"/>
      <c r="C728" s="38"/>
      <c r="D728" s="38"/>
      <c r="E728" s="38"/>
      <c r="F728" s="65"/>
      <c r="G728" s="66"/>
      <c r="H728" s="38"/>
      <c r="I728" s="38"/>
      <c r="J728" s="38"/>
      <c r="K728" s="38"/>
      <c r="L728" s="38"/>
      <c r="M728" s="56"/>
      <c r="N728" s="56" t="b">
        <v>0</v>
      </c>
      <c r="O728" s="56" t="b">
        <v>0</v>
      </c>
      <c r="P728" s="56"/>
      <c r="Q728" s="56"/>
      <c r="R728" s="56"/>
      <c r="S728" s="56"/>
      <c r="T728" s="56"/>
      <c r="U728" s="56"/>
      <c r="V728" s="56"/>
      <c r="W728" s="56"/>
      <c r="X728" s="56"/>
      <c r="Y728" s="56"/>
      <c r="Z728" s="56"/>
      <c r="AA728" s="56"/>
      <c r="AB728" s="56"/>
    </row>
    <row r="729" ht="15.75" customHeight="1">
      <c r="A729" s="57" t="str">
        <f t="shared" si="14"/>
        <v/>
      </c>
      <c r="B729" s="69"/>
      <c r="C729" s="38"/>
      <c r="D729" s="38"/>
      <c r="E729" s="38"/>
      <c r="F729" s="65"/>
      <c r="G729" s="66"/>
      <c r="H729" s="38"/>
      <c r="I729" s="38"/>
      <c r="J729" s="38"/>
      <c r="K729" s="38"/>
      <c r="L729" s="38"/>
      <c r="M729" s="56"/>
      <c r="N729" s="56" t="b">
        <v>0</v>
      </c>
      <c r="O729" s="56" t="b">
        <v>0</v>
      </c>
      <c r="P729" s="56"/>
      <c r="Q729" s="56"/>
      <c r="R729" s="56"/>
      <c r="S729" s="56"/>
      <c r="T729" s="56"/>
      <c r="U729" s="56"/>
      <c r="V729" s="56"/>
      <c r="W729" s="56"/>
      <c r="X729" s="56"/>
      <c r="Y729" s="56"/>
      <c r="Z729" s="56"/>
      <c r="AA729" s="56"/>
      <c r="AB729" s="56"/>
    </row>
    <row r="730" ht="15.75" customHeight="1">
      <c r="A730" s="57" t="str">
        <f t="shared" si="14"/>
        <v/>
      </c>
      <c r="B730" s="161"/>
      <c r="C730" s="52">
        <v>44361.0</v>
      </c>
      <c r="D730" s="38"/>
      <c r="E730" s="38"/>
      <c r="F730" s="65"/>
      <c r="G730" s="66"/>
      <c r="H730" s="38"/>
      <c r="I730" s="38"/>
      <c r="J730" s="38"/>
      <c r="K730" s="38"/>
      <c r="L730" s="38"/>
      <c r="M730" s="56"/>
      <c r="N730" s="56" t="b">
        <v>0</v>
      </c>
      <c r="O730" s="56" t="b">
        <v>0</v>
      </c>
      <c r="P730" s="56"/>
      <c r="Q730" s="56"/>
      <c r="R730" s="56"/>
      <c r="S730" s="56"/>
      <c r="T730" s="56"/>
      <c r="U730" s="56"/>
      <c r="V730" s="56"/>
      <c r="W730" s="56"/>
      <c r="X730" s="56"/>
      <c r="Y730" s="56"/>
      <c r="Z730" s="56"/>
      <c r="AA730" s="56"/>
      <c r="AB730" s="56"/>
    </row>
    <row r="731" ht="15.75" customHeight="1">
      <c r="A731" s="57" t="str">
        <f t="shared" si="14"/>
        <v>60aa250ab96a64963edc5c8f</v>
      </c>
      <c r="B731" s="58" t="s">
        <v>4836</v>
      </c>
      <c r="C731" s="38" t="s">
        <v>53</v>
      </c>
      <c r="D731" s="38" t="s">
        <v>52</v>
      </c>
      <c r="E731" s="38" t="s">
        <v>4630</v>
      </c>
      <c r="F731" s="65" t="s">
        <v>4631</v>
      </c>
      <c r="G731" s="66" t="s">
        <v>5827</v>
      </c>
      <c r="H731" s="38" t="s">
        <v>5828</v>
      </c>
      <c r="I731" s="38" t="s">
        <v>5829</v>
      </c>
      <c r="J731" s="38" t="s">
        <v>5830</v>
      </c>
      <c r="K731" s="38"/>
      <c r="L731" s="38"/>
      <c r="M731" s="56"/>
      <c r="N731" s="56" t="b">
        <v>0</v>
      </c>
      <c r="O731" s="56" t="b">
        <v>0</v>
      </c>
      <c r="P731" s="56"/>
      <c r="Q731" s="56"/>
      <c r="R731" s="56"/>
      <c r="S731" s="56"/>
      <c r="T731" s="56"/>
      <c r="U731" s="56"/>
      <c r="V731" s="56"/>
      <c r="W731" s="56"/>
      <c r="X731" s="56"/>
      <c r="Y731" s="56"/>
      <c r="Z731" s="56"/>
      <c r="AA731" s="56"/>
      <c r="AB731" s="56"/>
    </row>
    <row r="732" ht="15.75" customHeight="1">
      <c r="A732" s="57" t="str">
        <f t="shared" si="14"/>
        <v>6026be358474c4467338b4d2</v>
      </c>
      <c r="B732" s="63"/>
      <c r="C732" s="38" t="s">
        <v>53</v>
      </c>
      <c r="D732" s="38" t="s">
        <v>52</v>
      </c>
      <c r="E732" s="77" t="s">
        <v>5831</v>
      </c>
      <c r="F732" s="77" t="s">
        <v>5832</v>
      </c>
      <c r="G732" s="82" t="s">
        <v>5134</v>
      </c>
      <c r="H732" s="76" t="s">
        <v>5833</v>
      </c>
      <c r="I732" s="76" t="s">
        <v>5834</v>
      </c>
      <c r="J732" s="77" t="s">
        <v>5835</v>
      </c>
      <c r="K732" s="23" t="s">
        <v>5836</v>
      </c>
      <c r="L732" s="38"/>
      <c r="M732" s="56"/>
      <c r="N732" s="56" t="b">
        <v>0</v>
      </c>
      <c r="O732" s="56" t="b">
        <v>0</v>
      </c>
      <c r="P732" s="56"/>
      <c r="Q732" s="56"/>
      <c r="R732" s="56"/>
      <c r="S732" s="56"/>
      <c r="T732" s="56"/>
      <c r="U732" s="56"/>
      <c r="V732" s="56"/>
      <c r="W732" s="56"/>
      <c r="X732" s="56"/>
      <c r="Y732" s="56"/>
      <c r="Z732" s="56"/>
      <c r="AA732" s="56"/>
      <c r="AB732" s="56"/>
    </row>
    <row r="733" ht="15.75" customHeight="1">
      <c r="A733" s="57" t="str">
        <f t="shared" si="14"/>
        <v>6033881baa09e0a37e2b409e</v>
      </c>
      <c r="B733" s="63"/>
      <c r="C733" s="38" t="s">
        <v>53</v>
      </c>
      <c r="D733" s="38" t="s">
        <v>52</v>
      </c>
      <c r="E733" s="38" t="s">
        <v>506</v>
      </c>
      <c r="F733" s="65" t="s">
        <v>507</v>
      </c>
      <c r="G733" s="66" t="s">
        <v>4856</v>
      </c>
      <c r="H733" s="38" t="s">
        <v>5378</v>
      </c>
      <c r="I733" s="38" t="s">
        <v>5837</v>
      </c>
      <c r="J733" s="38" t="s">
        <v>510</v>
      </c>
      <c r="K733" s="38"/>
      <c r="L733" s="38"/>
      <c r="M733" s="56"/>
      <c r="N733" s="56" t="b">
        <v>0</v>
      </c>
      <c r="O733" s="56" t="b">
        <v>0</v>
      </c>
      <c r="P733" s="56"/>
      <c r="Q733" s="56"/>
      <c r="R733" s="56"/>
      <c r="S733" s="56"/>
      <c r="T733" s="56"/>
      <c r="U733" s="56"/>
      <c r="V733" s="56"/>
      <c r="W733" s="56"/>
      <c r="X733" s="56"/>
      <c r="Y733" s="56"/>
      <c r="Z733" s="56"/>
      <c r="AA733" s="56"/>
      <c r="AB733" s="56"/>
    </row>
    <row r="734" ht="15.75" customHeight="1">
      <c r="A734" s="57" t="str">
        <f t="shared" si="14"/>
        <v>5fdfaa4322f5bd69f9d6fa06</v>
      </c>
      <c r="B734" s="63"/>
      <c r="C734" s="38" t="s">
        <v>53</v>
      </c>
      <c r="D734" s="76" t="s">
        <v>52</v>
      </c>
      <c r="E734" s="165" t="s">
        <v>1945</v>
      </c>
      <c r="F734" s="165" t="s">
        <v>1946</v>
      </c>
      <c r="G734" s="82" t="s">
        <v>5036</v>
      </c>
      <c r="H734" s="76" t="s">
        <v>5338</v>
      </c>
      <c r="I734" s="76" t="s">
        <v>5838</v>
      </c>
      <c r="J734" s="77" t="s">
        <v>1949</v>
      </c>
      <c r="K734" s="38"/>
      <c r="L734" s="38"/>
      <c r="M734" s="56"/>
      <c r="N734" s="56" t="b">
        <v>0</v>
      </c>
      <c r="O734" s="56" t="b">
        <v>0</v>
      </c>
      <c r="P734" s="56"/>
      <c r="Q734" s="56"/>
      <c r="R734" s="56"/>
      <c r="S734" s="56"/>
      <c r="T734" s="56"/>
      <c r="U734" s="56"/>
      <c r="V734" s="56"/>
      <c r="W734" s="56"/>
      <c r="X734" s="56"/>
      <c r="Y734" s="56"/>
      <c r="Z734" s="56"/>
      <c r="AA734" s="56"/>
      <c r="AB734" s="56"/>
    </row>
    <row r="735" ht="15.75" customHeight="1">
      <c r="A735" s="57" t="str">
        <f t="shared" si="14"/>
        <v>602d2a5a29d1d3acae8b9ba9</v>
      </c>
      <c r="B735" s="63"/>
      <c r="C735" s="38"/>
      <c r="D735" s="76" t="s">
        <v>52</v>
      </c>
      <c r="E735" s="77" t="s">
        <v>4120</v>
      </c>
      <c r="F735" s="77" t="s">
        <v>4121</v>
      </c>
      <c r="G735" s="82" t="s">
        <v>5089</v>
      </c>
      <c r="H735" s="76" t="s">
        <v>5033</v>
      </c>
      <c r="I735" s="76" t="s">
        <v>5839</v>
      </c>
      <c r="J735" s="77" t="s">
        <v>4123</v>
      </c>
      <c r="K735" s="38"/>
      <c r="L735" s="38"/>
      <c r="M735" s="56"/>
      <c r="N735" s="56" t="b">
        <v>0</v>
      </c>
      <c r="O735" s="56" t="b">
        <v>0</v>
      </c>
      <c r="P735" s="56"/>
      <c r="Q735" s="56"/>
      <c r="R735" s="56"/>
      <c r="S735" s="56"/>
      <c r="T735" s="56"/>
      <c r="U735" s="56"/>
      <c r="V735" s="56"/>
      <c r="W735" s="56"/>
      <c r="X735" s="56"/>
      <c r="Y735" s="56"/>
      <c r="Z735" s="56"/>
      <c r="AA735" s="56"/>
      <c r="AB735" s="56"/>
    </row>
    <row r="736" ht="15.75" customHeight="1">
      <c r="A736" s="57" t="str">
        <f t="shared" si="14"/>
        <v/>
      </c>
      <c r="B736" s="69"/>
      <c r="C736" s="38"/>
      <c r="D736" s="38"/>
      <c r="E736" s="38"/>
      <c r="F736" s="65"/>
      <c r="G736" s="66"/>
      <c r="H736" s="38"/>
      <c r="I736" s="38"/>
      <c r="J736" s="38"/>
      <c r="K736" s="38"/>
      <c r="L736" s="38"/>
      <c r="M736" s="56"/>
      <c r="N736" s="56" t="b">
        <v>0</v>
      </c>
      <c r="O736" s="56" t="b">
        <v>0</v>
      </c>
      <c r="P736" s="56"/>
      <c r="Q736" s="56"/>
      <c r="R736" s="56"/>
      <c r="S736" s="56"/>
      <c r="T736" s="56"/>
      <c r="U736" s="56"/>
      <c r="V736" s="56"/>
      <c r="W736" s="56"/>
      <c r="X736" s="56"/>
      <c r="Y736" s="56"/>
      <c r="Z736" s="56"/>
      <c r="AA736" s="56"/>
      <c r="AB736" s="56"/>
    </row>
    <row r="737" ht="15.75" customHeight="1">
      <c r="A737" s="57" t="str">
        <f t="shared" si="14"/>
        <v/>
      </c>
      <c r="B737" s="161"/>
      <c r="C737" s="52">
        <v>44362.0</v>
      </c>
      <c r="D737" s="38"/>
      <c r="E737" s="38"/>
      <c r="F737" s="65"/>
      <c r="G737" s="66"/>
      <c r="H737" s="38"/>
      <c r="I737" s="38"/>
      <c r="J737" s="38"/>
      <c r="K737" s="38"/>
      <c r="L737" s="38"/>
      <c r="M737" s="56"/>
      <c r="N737" s="56" t="b">
        <v>0</v>
      </c>
      <c r="O737" s="56" t="b">
        <v>0</v>
      </c>
      <c r="P737" s="56"/>
      <c r="Q737" s="56"/>
      <c r="R737" s="56"/>
      <c r="S737" s="56"/>
      <c r="T737" s="56"/>
      <c r="U737" s="56"/>
      <c r="V737" s="56"/>
      <c r="W737" s="56"/>
      <c r="X737" s="56"/>
      <c r="Y737" s="56"/>
      <c r="Z737" s="56"/>
      <c r="AA737" s="56"/>
      <c r="AB737" s="56"/>
    </row>
    <row r="738" ht="15.75" customHeight="1">
      <c r="A738" s="57" t="str">
        <f t="shared" si="14"/>
        <v/>
      </c>
      <c r="B738" s="58" t="s">
        <v>4836</v>
      </c>
      <c r="C738" s="164"/>
      <c r="D738" s="38"/>
      <c r="E738" s="38"/>
      <c r="F738" s="65"/>
      <c r="G738" s="66"/>
      <c r="H738" s="38"/>
      <c r="I738" s="38"/>
      <c r="J738" s="38"/>
      <c r="K738" s="38"/>
      <c r="L738" s="38"/>
      <c r="M738" s="56"/>
      <c r="N738" s="56" t="b">
        <v>0</v>
      </c>
      <c r="O738" s="56" t="b">
        <v>0</v>
      </c>
      <c r="P738" s="56"/>
      <c r="Q738" s="56"/>
      <c r="R738" s="56"/>
      <c r="S738" s="56"/>
      <c r="T738" s="56"/>
      <c r="U738" s="56"/>
      <c r="V738" s="56"/>
      <c r="W738" s="56"/>
      <c r="X738" s="56"/>
      <c r="Y738" s="56"/>
      <c r="Z738" s="56"/>
      <c r="AA738" s="56"/>
      <c r="AB738" s="56"/>
    </row>
    <row r="739" ht="15.75" customHeight="1">
      <c r="A739" s="57" t="str">
        <f t="shared" si="14"/>
        <v/>
      </c>
      <c r="B739" s="63"/>
      <c r="C739" s="38" t="s">
        <v>53</v>
      </c>
      <c r="D739" s="38"/>
      <c r="E739" s="38"/>
      <c r="F739" s="65"/>
      <c r="G739" s="66"/>
      <c r="H739" s="38"/>
      <c r="I739" s="38"/>
      <c r="J739" s="38"/>
      <c r="K739" s="38"/>
      <c r="L739" s="38"/>
      <c r="M739" s="56"/>
      <c r="N739" s="56" t="b">
        <v>0</v>
      </c>
      <c r="O739" s="56" t="b">
        <v>0</v>
      </c>
      <c r="P739" s="56"/>
      <c r="Q739" s="56"/>
      <c r="R739" s="56"/>
      <c r="S739" s="56"/>
      <c r="T739" s="56"/>
      <c r="U739" s="56"/>
      <c r="V739" s="56"/>
      <c r="W739" s="56"/>
      <c r="X739" s="56"/>
      <c r="Y739" s="56"/>
      <c r="Z739" s="56"/>
      <c r="AA739" s="56"/>
      <c r="AB739" s="56"/>
    </row>
    <row r="740" ht="15.75" customHeight="1">
      <c r="A740" s="57" t="str">
        <f t="shared" si="14"/>
        <v/>
      </c>
      <c r="B740" s="63"/>
      <c r="C740" s="38" t="s">
        <v>53</v>
      </c>
      <c r="D740" s="38"/>
      <c r="E740" s="38"/>
      <c r="F740" s="65"/>
      <c r="G740" s="166"/>
      <c r="H740" s="38"/>
      <c r="I740" s="38"/>
      <c r="J740" s="38"/>
      <c r="K740" s="38"/>
      <c r="L740" s="38"/>
      <c r="M740" s="56"/>
      <c r="N740" s="56" t="b">
        <v>0</v>
      </c>
      <c r="O740" s="56" t="b">
        <v>0</v>
      </c>
      <c r="P740" s="56"/>
      <c r="Q740" s="56"/>
      <c r="R740" s="56"/>
      <c r="S740" s="56"/>
      <c r="T740" s="56"/>
      <c r="U740" s="56"/>
      <c r="V740" s="56"/>
      <c r="W740" s="56"/>
      <c r="X740" s="56"/>
      <c r="Y740" s="56"/>
      <c r="Z740" s="56"/>
      <c r="AA740" s="56"/>
      <c r="AB740" s="56"/>
    </row>
    <row r="741" ht="15.75" customHeight="1">
      <c r="A741" s="57" t="str">
        <f t="shared" si="14"/>
        <v>608befc5ee9c1f9915d0be6a</v>
      </c>
      <c r="B741" s="63"/>
      <c r="C741" s="38" t="s">
        <v>53</v>
      </c>
      <c r="D741" s="76" t="s">
        <v>52</v>
      </c>
      <c r="E741" s="77" t="s">
        <v>2662</v>
      </c>
      <c r="F741" s="77" t="s">
        <v>2663</v>
      </c>
      <c r="G741" s="82" t="s">
        <v>5134</v>
      </c>
      <c r="H741" s="76" t="s">
        <v>5135</v>
      </c>
      <c r="I741" s="76" t="s">
        <v>5840</v>
      </c>
      <c r="J741" s="77" t="s">
        <v>2665</v>
      </c>
      <c r="K741" s="38"/>
      <c r="L741" s="38"/>
      <c r="M741" s="56"/>
      <c r="N741" s="56" t="b">
        <v>0</v>
      </c>
      <c r="O741" s="56" t="b">
        <v>0</v>
      </c>
      <c r="P741" s="56"/>
      <c r="Q741" s="56"/>
      <c r="R741" s="56"/>
      <c r="S741" s="56"/>
      <c r="T741" s="56"/>
      <c r="U741" s="56"/>
      <c r="V741" s="56"/>
      <c r="W741" s="56"/>
      <c r="X741" s="56"/>
      <c r="Y741" s="56"/>
      <c r="Z741" s="56"/>
      <c r="AA741" s="56"/>
      <c r="AB741" s="56"/>
    </row>
    <row r="742" ht="15.75" customHeight="1">
      <c r="A742" s="57" t="str">
        <f t="shared" si="14"/>
        <v>6027d8996c06ceef08791d93</v>
      </c>
      <c r="B742" s="63"/>
      <c r="C742" s="38" t="s">
        <v>53</v>
      </c>
      <c r="D742" s="76" t="s">
        <v>52</v>
      </c>
      <c r="E742" s="76" t="s">
        <v>354</v>
      </c>
      <c r="F742" s="160" t="s">
        <v>355</v>
      </c>
      <c r="G742" s="82" t="s">
        <v>4856</v>
      </c>
      <c r="H742" s="76" t="s">
        <v>5026</v>
      </c>
      <c r="I742" s="76" t="s">
        <v>5841</v>
      </c>
      <c r="J742" s="76" t="s">
        <v>358</v>
      </c>
      <c r="K742" s="38" t="s">
        <v>5842</v>
      </c>
      <c r="L742" s="38"/>
      <c r="M742" s="56"/>
      <c r="N742" s="56" t="b">
        <v>0</v>
      </c>
      <c r="O742" s="56" t="b">
        <v>0</v>
      </c>
      <c r="P742" s="56"/>
      <c r="Q742" s="56"/>
      <c r="R742" s="56"/>
      <c r="S742" s="56"/>
      <c r="T742" s="56"/>
      <c r="U742" s="56"/>
      <c r="V742" s="56"/>
      <c r="W742" s="56"/>
      <c r="X742" s="56"/>
      <c r="Y742" s="56"/>
      <c r="Z742" s="56"/>
      <c r="AA742" s="56"/>
      <c r="AB742" s="56"/>
    </row>
    <row r="743" ht="15.75" customHeight="1">
      <c r="A743" s="57" t="str">
        <f t="shared" si="14"/>
        <v>5fe6b71c3458672d21458cea</v>
      </c>
      <c r="B743" s="69"/>
      <c r="C743" s="38" t="s">
        <v>53</v>
      </c>
      <c r="D743" s="76" t="s">
        <v>52</v>
      </c>
      <c r="E743" s="77" t="s">
        <v>393</v>
      </c>
      <c r="F743" s="77" t="s">
        <v>394</v>
      </c>
      <c r="G743" s="82" t="s">
        <v>4858</v>
      </c>
      <c r="H743" s="76" t="s">
        <v>5029</v>
      </c>
      <c r="I743" s="76" t="s">
        <v>5843</v>
      </c>
      <c r="J743" s="77" t="s">
        <v>396</v>
      </c>
      <c r="K743" s="38"/>
      <c r="L743" s="38"/>
      <c r="M743" s="56"/>
      <c r="N743" s="56" t="b">
        <v>0</v>
      </c>
      <c r="O743" s="56" t="b">
        <v>0</v>
      </c>
      <c r="P743" s="56"/>
      <c r="Q743" s="56"/>
      <c r="R743" s="56"/>
      <c r="S743" s="56"/>
      <c r="T743" s="56"/>
      <c r="U743" s="56"/>
      <c r="V743" s="56"/>
      <c r="W743" s="56"/>
      <c r="X743" s="56"/>
      <c r="Y743" s="56"/>
      <c r="Z743" s="56"/>
      <c r="AA743" s="56"/>
      <c r="AB743" s="56"/>
    </row>
    <row r="744" ht="15.75" customHeight="1">
      <c r="A744" s="57"/>
      <c r="B744" s="118"/>
      <c r="C744" s="38" t="s">
        <v>53</v>
      </c>
      <c r="D744" s="38"/>
      <c r="E744" s="167" t="s">
        <v>5844</v>
      </c>
      <c r="F744" s="55"/>
      <c r="G744" s="66"/>
      <c r="H744" s="38"/>
      <c r="I744" s="38"/>
      <c r="J744" s="67"/>
      <c r="K744" s="38"/>
      <c r="L744" s="38"/>
      <c r="M744" s="56"/>
      <c r="N744" s="56" t="b">
        <v>0</v>
      </c>
      <c r="O744" s="56" t="b">
        <v>0</v>
      </c>
      <c r="P744" s="56"/>
      <c r="Q744" s="56"/>
      <c r="R744" s="56"/>
      <c r="S744" s="56"/>
      <c r="T744" s="56"/>
      <c r="U744" s="56"/>
      <c r="V744" s="56"/>
      <c r="W744" s="56"/>
      <c r="X744" s="56"/>
      <c r="Y744" s="56"/>
      <c r="Z744" s="56"/>
      <c r="AA744" s="56"/>
      <c r="AB744" s="56"/>
    </row>
    <row r="745" ht="15.75" customHeight="1">
      <c r="A745" s="57" t="str">
        <f t="shared" ref="A745:A760" si="15">E745</f>
        <v/>
      </c>
      <c r="B745" s="161"/>
      <c r="C745" s="52">
        <v>44363.0</v>
      </c>
      <c r="D745" s="38"/>
      <c r="E745" s="38"/>
      <c r="F745" s="65"/>
      <c r="G745" s="66"/>
      <c r="H745" s="38"/>
      <c r="I745" s="38"/>
      <c r="J745" s="38"/>
      <c r="K745" s="38"/>
      <c r="L745" s="38"/>
      <c r="M745" s="56"/>
      <c r="N745" s="56" t="b">
        <v>0</v>
      </c>
      <c r="O745" s="56" t="b">
        <v>0</v>
      </c>
      <c r="P745" s="56"/>
      <c r="Q745" s="56"/>
      <c r="R745" s="56"/>
      <c r="S745" s="56"/>
      <c r="T745" s="56"/>
      <c r="U745" s="56"/>
      <c r="V745" s="56"/>
      <c r="W745" s="56"/>
      <c r="X745" s="56"/>
      <c r="Y745" s="56"/>
      <c r="Z745" s="56"/>
      <c r="AA745" s="56"/>
      <c r="AB745" s="56"/>
    </row>
    <row r="746" ht="15.75" customHeight="1">
      <c r="A746" s="57" t="str">
        <f t="shared" si="15"/>
        <v>14'ten sonra randevu oluşturulmayacak!!!!</v>
      </c>
      <c r="B746" s="58" t="s">
        <v>4836</v>
      </c>
      <c r="C746" s="38" t="s">
        <v>53</v>
      </c>
      <c r="D746" s="38"/>
      <c r="E746" s="168" t="s">
        <v>5845</v>
      </c>
      <c r="F746" s="55"/>
      <c r="G746" s="66"/>
      <c r="H746" s="38"/>
      <c r="I746" s="38"/>
      <c r="J746" s="38"/>
      <c r="K746" s="38"/>
      <c r="L746" s="38"/>
      <c r="M746" s="56"/>
      <c r="N746" s="56" t="b">
        <v>0</v>
      </c>
      <c r="O746" s="56" t="b">
        <v>0</v>
      </c>
      <c r="P746" s="56"/>
      <c r="Q746" s="56"/>
      <c r="R746" s="56"/>
      <c r="S746" s="56"/>
      <c r="T746" s="56"/>
      <c r="U746" s="56"/>
      <c r="V746" s="56"/>
      <c r="W746" s="56"/>
      <c r="X746" s="56"/>
      <c r="Y746" s="56"/>
      <c r="Z746" s="56"/>
      <c r="AA746" s="56"/>
      <c r="AB746" s="56"/>
    </row>
    <row r="747" ht="15.75" customHeight="1">
      <c r="A747" s="57" t="str">
        <f t="shared" si="15"/>
        <v>5ff62d9fa1e3212d5887542c</v>
      </c>
      <c r="B747" s="63"/>
      <c r="C747" s="38" t="s">
        <v>53</v>
      </c>
      <c r="D747" s="76" t="s">
        <v>52</v>
      </c>
      <c r="E747" s="77" t="s">
        <v>535</v>
      </c>
      <c r="F747" s="77" t="s">
        <v>536</v>
      </c>
      <c r="G747" s="82" t="s">
        <v>5713</v>
      </c>
      <c r="H747" s="76" t="s">
        <v>5846</v>
      </c>
      <c r="I747" s="76" t="s">
        <v>5847</v>
      </c>
      <c r="J747" s="77" t="s">
        <v>539</v>
      </c>
      <c r="K747" s="38"/>
      <c r="L747" s="38"/>
      <c r="M747" s="56"/>
      <c r="N747" s="56" t="b">
        <v>0</v>
      </c>
      <c r="O747" s="56" t="b">
        <v>0</v>
      </c>
      <c r="P747" s="56"/>
      <c r="Q747" s="56"/>
      <c r="R747" s="56"/>
      <c r="S747" s="56"/>
      <c r="T747" s="56"/>
      <c r="U747" s="56"/>
      <c r="V747" s="56"/>
      <c r="W747" s="56"/>
      <c r="X747" s="56"/>
      <c r="Y747" s="56"/>
      <c r="Z747" s="56"/>
      <c r="AA747" s="56"/>
      <c r="AB747" s="56"/>
    </row>
    <row r="748" ht="15.75" customHeight="1">
      <c r="A748" s="57" t="str">
        <f t="shared" si="15"/>
        <v>6027f128de46fc2c4be394cb</v>
      </c>
      <c r="B748" s="63"/>
      <c r="C748" s="38" t="s">
        <v>53</v>
      </c>
      <c r="D748" s="76" t="s">
        <v>52</v>
      </c>
      <c r="E748" s="77" t="s">
        <v>2399</v>
      </c>
      <c r="F748" s="77" t="s">
        <v>2400</v>
      </c>
      <c r="G748" s="82" t="s">
        <v>5134</v>
      </c>
      <c r="H748" s="76" t="s">
        <v>4900</v>
      </c>
      <c r="I748" s="76" t="s">
        <v>5848</v>
      </c>
      <c r="J748" s="77" t="s">
        <v>5849</v>
      </c>
      <c r="K748" s="38" t="s">
        <v>5850</v>
      </c>
      <c r="L748" s="38"/>
      <c r="M748" s="56"/>
      <c r="N748" s="56" t="b">
        <v>0</v>
      </c>
      <c r="O748" s="56" t="b">
        <v>0</v>
      </c>
      <c r="P748" s="56"/>
      <c r="Q748" s="56"/>
      <c r="R748" s="56"/>
      <c r="S748" s="56"/>
      <c r="T748" s="56"/>
      <c r="U748" s="56"/>
      <c r="V748" s="56"/>
      <c r="W748" s="56"/>
      <c r="X748" s="56"/>
      <c r="Y748" s="56"/>
      <c r="Z748" s="56"/>
      <c r="AA748" s="56"/>
      <c r="AB748" s="56"/>
    </row>
    <row r="749" ht="15.75" customHeight="1">
      <c r="A749" s="57" t="str">
        <f t="shared" si="15"/>
        <v>6054f868dedd7802246b9908</v>
      </c>
      <c r="B749" s="63"/>
      <c r="C749" s="38" t="s">
        <v>53</v>
      </c>
      <c r="D749" s="76" t="s">
        <v>52</v>
      </c>
      <c r="E749" s="77" t="s">
        <v>5851</v>
      </c>
      <c r="F749" s="77" t="s">
        <v>5852</v>
      </c>
      <c r="G749" s="82" t="s">
        <v>4856</v>
      </c>
      <c r="H749" s="76" t="s">
        <v>4927</v>
      </c>
      <c r="I749" s="77" t="s">
        <v>5853</v>
      </c>
      <c r="J749" s="77" t="s">
        <v>5854</v>
      </c>
      <c r="K749" s="38"/>
      <c r="L749" s="38"/>
      <c r="M749" s="56"/>
      <c r="N749" s="56" t="b">
        <v>0</v>
      </c>
      <c r="O749" s="56" t="b">
        <v>0</v>
      </c>
      <c r="P749" s="56"/>
      <c r="Q749" s="56"/>
      <c r="R749" s="56"/>
      <c r="S749" s="56"/>
      <c r="T749" s="56"/>
      <c r="U749" s="56"/>
      <c r="V749" s="56"/>
      <c r="W749" s="56"/>
      <c r="X749" s="56"/>
      <c r="Y749" s="56"/>
      <c r="Z749" s="56"/>
      <c r="AA749" s="56"/>
      <c r="AB749" s="56"/>
    </row>
    <row r="750" ht="15.75" customHeight="1">
      <c r="A750" s="57" t="str">
        <f t="shared" si="15"/>
        <v/>
      </c>
      <c r="B750" s="69"/>
      <c r="C750" s="38" t="s">
        <v>53</v>
      </c>
      <c r="D750" s="38"/>
      <c r="E750" s="38"/>
      <c r="F750" s="65"/>
      <c r="G750" s="66"/>
      <c r="H750" s="38"/>
      <c r="I750" s="38"/>
      <c r="J750" s="38"/>
      <c r="K750" s="38"/>
      <c r="L750" s="38"/>
      <c r="M750" s="56"/>
      <c r="N750" s="56" t="b">
        <v>0</v>
      </c>
      <c r="O750" s="56" t="b">
        <v>0</v>
      </c>
      <c r="P750" s="56"/>
      <c r="Q750" s="56"/>
      <c r="R750" s="56"/>
      <c r="S750" s="56"/>
      <c r="T750" s="56"/>
      <c r="U750" s="56"/>
      <c r="V750" s="56"/>
      <c r="W750" s="56"/>
      <c r="X750" s="56"/>
      <c r="Y750" s="56"/>
      <c r="Z750" s="56"/>
      <c r="AA750" s="56"/>
      <c r="AB750" s="56"/>
    </row>
    <row r="751" ht="15.75" customHeight="1">
      <c r="A751" s="57" t="str">
        <f t="shared" si="15"/>
        <v/>
      </c>
      <c r="B751" s="161"/>
      <c r="C751" s="52">
        <v>44364.0</v>
      </c>
      <c r="D751" s="38"/>
      <c r="E751" s="38"/>
      <c r="F751" s="65"/>
      <c r="G751" s="66"/>
      <c r="H751" s="38"/>
      <c r="I751" s="38"/>
      <c r="J751" s="38"/>
      <c r="K751" s="38"/>
      <c r="L751" s="38"/>
      <c r="M751" s="56"/>
      <c r="N751" s="56" t="b">
        <v>0</v>
      </c>
      <c r="O751" s="56" t="b">
        <v>0</v>
      </c>
      <c r="P751" s="56"/>
      <c r="Q751" s="56"/>
      <c r="R751" s="56"/>
      <c r="S751" s="56"/>
      <c r="T751" s="56"/>
      <c r="U751" s="56"/>
      <c r="V751" s="56"/>
      <c r="W751" s="56"/>
      <c r="X751" s="56"/>
      <c r="Y751" s="56"/>
      <c r="Z751" s="56"/>
      <c r="AA751" s="56"/>
      <c r="AB751" s="56"/>
    </row>
    <row r="752" ht="15.75" customHeight="1">
      <c r="A752" s="57" t="str">
        <f t="shared" si="15"/>
        <v/>
      </c>
      <c r="B752" s="58" t="s">
        <v>4836</v>
      </c>
      <c r="C752" s="38" t="s">
        <v>53</v>
      </c>
      <c r="D752" s="38"/>
      <c r="E752" s="38"/>
      <c r="F752" s="65"/>
      <c r="G752" s="66"/>
      <c r="H752" s="38"/>
      <c r="I752" s="38"/>
      <c r="J752" s="38"/>
      <c r="K752" s="38"/>
      <c r="L752" s="38"/>
      <c r="M752" s="56"/>
      <c r="N752" s="56" t="b">
        <v>0</v>
      </c>
      <c r="O752" s="56" t="b">
        <v>0</v>
      </c>
      <c r="P752" s="56"/>
      <c r="Q752" s="56"/>
      <c r="R752" s="56"/>
      <c r="S752" s="56"/>
      <c r="T752" s="56"/>
      <c r="U752" s="56"/>
      <c r="V752" s="56"/>
      <c r="W752" s="56"/>
      <c r="X752" s="56"/>
      <c r="Y752" s="56"/>
      <c r="Z752" s="56"/>
      <c r="AA752" s="56"/>
      <c r="AB752" s="56"/>
    </row>
    <row r="753" ht="15.75" customHeight="1">
      <c r="A753" s="57" t="str">
        <f t="shared" si="15"/>
        <v>5fdfd13a22f5bdb49cd6fb99</v>
      </c>
      <c r="B753" s="63"/>
      <c r="C753" s="38" t="s">
        <v>53</v>
      </c>
      <c r="D753" s="76" t="s">
        <v>52</v>
      </c>
      <c r="E753" s="77" t="s">
        <v>2579</v>
      </c>
      <c r="F753" s="77" t="s">
        <v>2580</v>
      </c>
      <c r="G753" s="82" t="s">
        <v>5134</v>
      </c>
      <c r="H753" s="76" t="s">
        <v>5058</v>
      </c>
      <c r="I753" s="76" t="s">
        <v>5855</v>
      </c>
      <c r="J753" s="77" t="s">
        <v>5856</v>
      </c>
      <c r="K753" s="38" t="s">
        <v>5857</v>
      </c>
      <c r="L753" s="38"/>
      <c r="M753" s="56"/>
      <c r="N753" s="56" t="b">
        <v>0</v>
      </c>
      <c r="O753" s="56" t="b">
        <v>0</v>
      </c>
      <c r="P753" s="56"/>
      <c r="Q753" s="56"/>
      <c r="R753" s="56"/>
      <c r="S753" s="56"/>
      <c r="T753" s="56"/>
      <c r="U753" s="56"/>
      <c r="V753" s="56"/>
      <c r="W753" s="56"/>
      <c r="X753" s="56"/>
      <c r="Y753" s="56"/>
      <c r="Z753" s="56"/>
      <c r="AA753" s="56"/>
      <c r="AB753" s="56"/>
    </row>
    <row r="754" ht="15.75" customHeight="1">
      <c r="A754" s="57" t="str">
        <f t="shared" si="15"/>
        <v>609144522bf28920b58050c5</v>
      </c>
      <c r="B754" s="63"/>
      <c r="C754" s="38" t="s">
        <v>53</v>
      </c>
      <c r="D754" s="76" t="s">
        <v>52</v>
      </c>
      <c r="E754" s="77" t="s">
        <v>1471</v>
      </c>
      <c r="F754" s="77" t="s">
        <v>1472</v>
      </c>
      <c r="G754" s="82" t="s">
        <v>4856</v>
      </c>
      <c r="H754" s="76" t="s">
        <v>4888</v>
      </c>
      <c r="I754" s="77" t="s">
        <v>5858</v>
      </c>
      <c r="J754" s="77" t="s">
        <v>1474</v>
      </c>
      <c r="K754" s="38" t="s">
        <v>5859</v>
      </c>
      <c r="L754" s="38"/>
      <c r="M754" s="56"/>
      <c r="N754" s="56" t="b">
        <v>0</v>
      </c>
      <c r="O754" s="56" t="b">
        <v>0</v>
      </c>
      <c r="P754" s="56"/>
      <c r="Q754" s="56"/>
      <c r="R754" s="56"/>
      <c r="S754" s="56"/>
      <c r="T754" s="56"/>
      <c r="U754" s="56"/>
      <c r="V754" s="56"/>
      <c r="W754" s="56"/>
      <c r="X754" s="56"/>
      <c r="Y754" s="56"/>
      <c r="Z754" s="56"/>
      <c r="AA754" s="56"/>
      <c r="AB754" s="56"/>
    </row>
    <row r="755" ht="15.75" customHeight="1">
      <c r="A755" s="57" t="str">
        <f t="shared" si="15"/>
        <v>60be60d7eb49656b46730648</v>
      </c>
      <c r="B755" s="63"/>
      <c r="C755" s="38" t="s">
        <v>53</v>
      </c>
      <c r="D755" s="76" t="s">
        <v>52</v>
      </c>
      <c r="E755" s="77" t="s">
        <v>2036</v>
      </c>
      <c r="F755" s="77" t="s">
        <v>2037</v>
      </c>
      <c r="G755" s="82" t="s">
        <v>4858</v>
      </c>
      <c r="H755" s="76" t="s">
        <v>5860</v>
      </c>
      <c r="I755" s="76" t="s">
        <v>5861</v>
      </c>
      <c r="J755" s="77" t="s">
        <v>2039</v>
      </c>
      <c r="K755" s="38" t="s">
        <v>5862</v>
      </c>
      <c r="L755" s="38"/>
      <c r="M755" s="56"/>
      <c r="N755" s="56" t="b">
        <v>0</v>
      </c>
      <c r="O755" s="56" t="b">
        <v>0</v>
      </c>
      <c r="P755" s="56"/>
      <c r="Q755" s="56"/>
      <c r="R755" s="56"/>
      <c r="S755" s="56"/>
      <c r="T755" s="56"/>
      <c r="U755" s="56"/>
      <c r="V755" s="56"/>
      <c r="W755" s="56"/>
      <c r="X755" s="56"/>
      <c r="Y755" s="56"/>
      <c r="Z755" s="56"/>
      <c r="AA755" s="56"/>
      <c r="AB755" s="56"/>
    </row>
    <row r="756" ht="15.75" customHeight="1">
      <c r="A756" s="57" t="str">
        <f t="shared" si="15"/>
        <v>6005ec7b3c420030aebedd0c</v>
      </c>
      <c r="B756" s="69"/>
      <c r="C756" s="38" t="s">
        <v>53</v>
      </c>
      <c r="D756" s="76" t="s">
        <v>52</v>
      </c>
      <c r="E756" s="77" t="s">
        <v>2447</v>
      </c>
      <c r="F756" s="77" t="s">
        <v>2448</v>
      </c>
      <c r="G756" s="82" t="s">
        <v>4847</v>
      </c>
      <c r="H756" s="76" t="s">
        <v>5863</v>
      </c>
      <c r="I756" s="76" t="s">
        <v>5864</v>
      </c>
      <c r="J756" s="77" t="s">
        <v>2450</v>
      </c>
      <c r="K756" s="38" t="s">
        <v>5865</v>
      </c>
      <c r="L756" s="38"/>
      <c r="M756" s="56"/>
      <c r="N756" s="56" t="b">
        <v>0</v>
      </c>
      <c r="O756" s="56" t="b">
        <v>0</v>
      </c>
      <c r="P756" s="56"/>
      <c r="Q756" s="56"/>
      <c r="R756" s="56"/>
      <c r="S756" s="56"/>
      <c r="T756" s="56"/>
      <c r="U756" s="56"/>
      <c r="V756" s="56"/>
      <c r="W756" s="56"/>
      <c r="X756" s="56"/>
      <c r="Y756" s="56"/>
      <c r="Z756" s="56"/>
      <c r="AA756" s="56"/>
      <c r="AB756" s="56"/>
    </row>
    <row r="757" ht="15.75" customHeight="1">
      <c r="A757" s="57" t="str">
        <f t="shared" si="15"/>
        <v/>
      </c>
      <c r="B757" s="161"/>
      <c r="C757" s="52">
        <v>44365.0</v>
      </c>
      <c r="D757" s="38"/>
      <c r="E757" s="38"/>
      <c r="F757" s="65"/>
      <c r="G757" s="66"/>
      <c r="H757" s="38"/>
      <c r="I757" s="38"/>
      <c r="J757" s="38"/>
      <c r="K757" s="38"/>
      <c r="L757" s="38"/>
      <c r="M757" s="56"/>
      <c r="N757" s="56" t="b">
        <v>0</v>
      </c>
      <c r="O757" s="56" t="b">
        <v>0</v>
      </c>
      <c r="P757" s="56"/>
      <c r="Q757" s="56"/>
      <c r="R757" s="56"/>
      <c r="S757" s="56"/>
      <c r="T757" s="56"/>
      <c r="U757" s="56"/>
      <c r="V757" s="56"/>
      <c r="W757" s="56"/>
      <c r="X757" s="56"/>
      <c r="Y757" s="56"/>
      <c r="Z757" s="56"/>
      <c r="AA757" s="56"/>
      <c r="AB757" s="56"/>
    </row>
    <row r="758" ht="15.75" customHeight="1">
      <c r="A758" s="57" t="str">
        <f t="shared" si="15"/>
        <v>6009e9488c17d695f3e2a8fd</v>
      </c>
      <c r="B758" s="58" t="s">
        <v>4836</v>
      </c>
      <c r="C758" s="38" t="s">
        <v>53</v>
      </c>
      <c r="D758" s="62" t="s">
        <v>52</v>
      </c>
      <c r="E758" s="60" t="s">
        <v>3423</v>
      </c>
      <c r="F758" s="60" t="s">
        <v>3424</v>
      </c>
      <c r="G758" s="73" t="s">
        <v>4851</v>
      </c>
      <c r="H758" s="62" t="s">
        <v>5866</v>
      </c>
      <c r="I758" s="62" t="s">
        <v>5867</v>
      </c>
      <c r="J758" s="60" t="s">
        <v>3425</v>
      </c>
      <c r="K758" s="38" t="s">
        <v>5868</v>
      </c>
      <c r="L758" s="38"/>
      <c r="M758" s="56"/>
      <c r="N758" s="56" t="b">
        <v>0</v>
      </c>
      <c r="O758" s="56" t="b">
        <v>0</v>
      </c>
      <c r="P758" s="56"/>
      <c r="Q758" s="56"/>
      <c r="R758" s="56"/>
      <c r="S758" s="56"/>
      <c r="T758" s="56"/>
      <c r="U758" s="56"/>
      <c r="V758" s="56"/>
      <c r="W758" s="56"/>
      <c r="X758" s="56"/>
      <c r="Y758" s="56"/>
      <c r="Z758" s="56"/>
      <c r="AA758" s="56"/>
      <c r="AB758" s="56"/>
    </row>
    <row r="759" ht="15.75" customHeight="1">
      <c r="A759" s="57" t="str">
        <f t="shared" si="15"/>
        <v>6094f97c4b60a1b18865c12c</v>
      </c>
      <c r="B759" s="63"/>
      <c r="C759" s="38" t="s">
        <v>53</v>
      </c>
      <c r="D759" s="62" t="s">
        <v>52</v>
      </c>
      <c r="E759" s="62" t="s">
        <v>1460</v>
      </c>
      <c r="F759" s="71" t="s">
        <v>1461</v>
      </c>
      <c r="G759" s="73" t="s">
        <v>4938</v>
      </c>
      <c r="H759" s="62" t="s">
        <v>5866</v>
      </c>
      <c r="I759" s="62" t="s">
        <v>5869</v>
      </c>
      <c r="J759" s="62" t="s">
        <v>1463</v>
      </c>
      <c r="K759" s="38" t="s">
        <v>5868</v>
      </c>
      <c r="L759" s="38"/>
      <c r="M759" s="56"/>
      <c r="N759" s="56" t="b">
        <v>0</v>
      </c>
      <c r="O759" s="56" t="b">
        <v>0</v>
      </c>
      <c r="P759" s="56"/>
      <c r="Q759" s="56"/>
      <c r="R759" s="56"/>
      <c r="S759" s="56"/>
      <c r="T759" s="56"/>
      <c r="U759" s="56"/>
      <c r="V759" s="56"/>
      <c r="W759" s="56"/>
      <c r="X759" s="56"/>
      <c r="Y759" s="56"/>
      <c r="Z759" s="56"/>
      <c r="AA759" s="56"/>
      <c r="AB759" s="56"/>
    </row>
    <row r="760" ht="15.75" customHeight="1">
      <c r="A760" s="57" t="str">
        <f t="shared" si="15"/>
        <v>603a1310982a6728600a9580</v>
      </c>
      <c r="B760" s="63"/>
      <c r="C760" s="38" t="s">
        <v>53</v>
      </c>
      <c r="D760" s="62" t="s">
        <v>52</v>
      </c>
      <c r="E760" s="62" t="s">
        <v>4776</v>
      </c>
      <c r="F760" s="71" t="s">
        <v>4777</v>
      </c>
      <c r="G760" s="73" t="s">
        <v>5870</v>
      </c>
      <c r="H760" s="62" t="s">
        <v>5871</v>
      </c>
      <c r="I760" s="62" t="s">
        <v>5872</v>
      </c>
      <c r="J760" s="62" t="s">
        <v>4780</v>
      </c>
      <c r="K760" s="38" t="s">
        <v>5868</v>
      </c>
      <c r="L760" s="38"/>
      <c r="M760" s="56"/>
      <c r="N760" s="56" t="b">
        <v>0</v>
      </c>
      <c r="O760" s="56" t="b">
        <v>0</v>
      </c>
      <c r="P760" s="56"/>
      <c r="Q760" s="56"/>
      <c r="R760" s="56"/>
      <c r="S760" s="56"/>
      <c r="T760" s="56"/>
      <c r="U760" s="56"/>
      <c r="V760" s="56"/>
      <c r="W760" s="56"/>
      <c r="X760" s="56"/>
      <c r="Y760" s="56"/>
      <c r="Z760" s="56"/>
      <c r="AA760" s="56"/>
      <c r="AB760" s="56"/>
    </row>
    <row r="761" ht="15.75" customHeight="1">
      <c r="A761" s="169"/>
      <c r="B761" s="63"/>
      <c r="C761" s="38" t="s">
        <v>53</v>
      </c>
      <c r="D761" s="62" t="s">
        <v>52</v>
      </c>
      <c r="E761" s="62" t="s">
        <v>5873</v>
      </c>
      <c r="F761" s="71" t="s">
        <v>5874</v>
      </c>
      <c r="G761" s="73" t="s">
        <v>5461</v>
      </c>
      <c r="H761" s="62" t="s">
        <v>5875</v>
      </c>
      <c r="I761" s="62" t="s">
        <v>5876</v>
      </c>
      <c r="J761" s="62" t="s">
        <v>5877</v>
      </c>
      <c r="K761" s="38" t="s">
        <v>5868</v>
      </c>
      <c r="L761" s="38"/>
      <c r="M761" s="56"/>
      <c r="N761" s="56" t="b">
        <v>0</v>
      </c>
      <c r="O761" s="56" t="b">
        <v>0</v>
      </c>
      <c r="P761" s="56"/>
      <c r="Q761" s="56"/>
      <c r="R761" s="56"/>
      <c r="S761" s="56"/>
      <c r="T761" s="56"/>
      <c r="U761" s="56"/>
      <c r="V761" s="56"/>
      <c r="W761" s="56"/>
      <c r="X761" s="56"/>
      <c r="Y761" s="56"/>
      <c r="Z761" s="56"/>
      <c r="AA761" s="56"/>
      <c r="AB761" s="56"/>
    </row>
    <row r="762" ht="15.75" customHeight="1">
      <c r="A762" s="169"/>
      <c r="B762" s="69"/>
      <c r="C762" s="38" t="s">
        <v>53</v>
      </c>
      <c r="D762" s="38"/>
      <c r="E762" s="38"/>
      <c r="F762" s="65"/>
      <c r="G762" s="66"/>
      <c r="H762" s="38"/>
      <c r="I762" s="38"/>
      <c r="J762" s="38"/>
      <c r="K762" s="38"/>
      <c r="L762" s="38"/>
      <c r="M762" s="56"/>
      <c r="N762" s="56" t="b">
        <v>0</v>
      </c>
      <c r="O762" s="56" t="b">
        <v>0</v>
      </c>
      <c r="P762" s="56"/>
      <c r="Q762" s="56"/>
      <c r="R762" s="56"/>
      <c r="S762" s="56"/>
      <c r="T762" s="56"/>
      <c r="U762" s="56"/>
      <c r="V762" s="56"/>
      <c r="W762" s="56"/>
      <c r="X762" s="56"/>
      <c r="Y762" s="56"/>
      <c r="Z762" s="56"/>
      <c r="AA762" s="56"/>
      <c r="AB762" s="56"/>
    </row>
    <row r="763" ht="15.75" customHeight="1">
      <c r="A763" s="169"/>
      <c r="B763" s="161"/>
      <c r="C763" s="52">
        <v>44368.0</v>
      </c>
      <c r="D763" s="38"/>
      <c r="E763" s="38"/>
      <c r="F763" s="65"/>
      <c r="G763" s="66"/>
      <c r="H763" s="38"/>
      <c r="I763" s="38"/>
      <c r="J763" s="38"/>
      <c r="K763" s="38"/>
      <c r="L763" s="38"/>
      <c r="M763" s="56"/>
      <c r="N763" s="56" t="b">
        <v>0</v>
      </c>
      <c r="O763" s="56" t="b">
        <v>0</v>
      </c>
      <c r="P763" s="56"/>
      <c r="Q763" s="56"/>
      <c r="R763" s="56"/>
      <c r="S763" s="56"/>
      <c r="T763" s="56"/>
      <c r="U763" s="56"/>
      <c r="V763" s="56"/>
      <c r="W763" s="56"/>
      <c r="X763" s="56"/>
      <c r="Y763" s="56"/>
      <c r="Z763" s="56"/>
      <c r="AA763" s="56"/>
      <c r="AB763" s="56"/>
    </row>
    <row r="764" ht="15.75" customHeight="1">
      <c r="A764" s="169"/>
      <c r="B764" s="58" t="s">
        <v>4836</v>
      </c>
      <c r="C764" s="38" t="s">
        <v>53</v>
      </c>
      <c r="D764" s="38"/>
      <c r="E764" s="38"/>
      <c r="F764" s="65"/>
      <c r="G764" s="66"/>
      <c r="H764" s="38"/>
      <c r="I764" s="38"/>
      <c r="J764" s="38"/>
      <c r="K764" s="38"/>
      <c r="L764" s="38"/>
      <c r="M764" s="56"/>
      <c r="N764" s="56" t="b">
        <v>0</v>
      </c>
      <c r="O764" s="56" t="b">
        <v>0</v>
      </c>
      <c r="P764" s="56"/>
      <c r="Q764" s="56"/>
      <c r="R764" s="56"/>
      <c r="S764" s="56"/>
      <c r="T764" s="56"/>
      <c r="U764" s="56"/>
      <c r="V764" s="56"/>
      <c r="W764" s="56"/>
      <c r="X764" s="56"/>
      <c r="Y764" s="56"/>
      <c r="Z764" s="56"/>
      <c r="AA764" s="56"/>
      <c r="AB764" s="56"/>
    </row>
    <row r="765" ht="15.75" customHeight="1">
      <c r="A765" s="169"/>
      <c r="B765" s="63"/>
      <c r="C765" s="38" t="s">
        <v>53</v>
      </c>
      <c r="D765" s="38" t="s">
        <v>52</v>
      </c>
      <c r="E765" s="67" t="s">
        <v>2579</v>
      </c>
      <c r="F765" s="67" t="s">
        <v>2580</v>
      </c>
      <c r="G765" s="66" t="s">
        <v>4851</v>
      </c>
      <c r="H765" s="38" t="s">
        <v>5058</v>
      </c>
      <c r="I765" s="38" t="s">
        <v>5855</v>
      </c>
      <c r="J765" s="67" t="s">
        <v>5856</v>
      </c>
      <c r="K765" s="38" t="s">
        <v>5878</v>
      </c>
      <c r="L765" s="38"/>
      <c r="M765" s="56"/>
      <c r="N765" s="56" t="b">
        <v>0</v>
      </c>
      <c r="O765" s="56" t="b">
        <v>0</v>
      </c>
      <c r="P765" s="56"/>
      <c r="Q765" s="56"/>
      <c r="R765" s="56"/>
      <c r="S765" s="56"/>
      <c r="T765" s="56"/>
      <c r="U765" s="56"/>
      <c r="V765" s="56"/>
      <c r="W765" s="56"/>
      <c r="X765" s="56"/>
      <c r="Y765" s="56"/>
      <c r="Z765" s="56"/>
      <c r="AA765" s="56"/>
      <c r="AB765" s="56"/>
    </row>
    <row r="766" ht="15.75" customHeight="1">
      <c r="A766" s="169"/>
      <c r="B766" s="63"/>
      <c r="C766" s="38" t="s">
        <v>53</v>
      </c>
      <c r="D766" s="76" t="s">
        <v>52</v>
      </c>
      <c r="E766" s="77" t="s">
        <v>1471</v>
      </c>
      <c r="F766" s="77" t="s">
        <v>1472</v>
      </c>
      <c r="G766" s="82" t="s">
        <v>4856</v>
      </c>
      <c r="H766" s="76" t="s">
        <v>4888</v>
      </c>
      <c r="I766" s="77" t="s">
        <v>5858</v>
      </c>
      <c r="J766" s="77" t="s">
        <v>1474</v>
      </c>
      <c r="K766" s="38"/>
      <c r="L766" s="38"/>
      <c r="M766" s="56"/>
      <c r="N766" s="56" t="b">
        <v>0</v>
      </c>
      <c r="O766" s="56" t="b">
        <v>0</v>
      </c>
      <c r="P766" s="56"/>
      <c r="Q766" s="56"/>
      <c r="R766" s="56"/>
      <c r="S766" s="56"/>
      <c r="T766" s="56"/>
      <c r="U766" s="56"/>
      <c r="V766" s="56"/>
      <c r="W766" s="56"/>
      <c r="X766" s="56"/>
      <c r="Y766" s="56"/>
      <c r="Z766" s="56"/>
      <c r="AA766" s="56"/>
      <c r="AB766" s="56"/>
    </row>
    <row r="767" ht="15.75" customHeight="1">
      <c r="A767" s="169"/>
      <c r="B767" s="63"/>
      <c r="C767" s="38" t="s">
        <v>53</v>
      </c>
      <c r="D767" s="62" t="s">
        <v>52</v>
      </c>
      <c r="E767" s="60" t="s">
        <v>2036</v>
      </c>
      <c r="F767" s="60" t="s">
        <v>2037</v>
      </c>
      <c r="G767" s="73" t="s">
        <v>4858</v>
      </c>
      <c r="H767" s="62" t="s">
        <v>5860</v>
      </c>
      <c r="I767" s="62" t="s">
        <v>5861</v>
      </c>
      <c r="J767" s="60" t="s">
        <v>2039</v>
      </c>
      <c r="K767" s="38" t="s">
        <v>5879</v>
      </c>
      <c r="L767" s="38"/>
      <c r="M767" s="56"/>
      <c r="N767" s="56" t="b">
        <v>0</v>
      </c>
      <c r="O767" s="56" t="b">
        <v>0</v>
      </c>
      <c r="P767" s="56"/>
      <c r="Q767" s="56"/>
      <c r="R767" s="56"/>
      <c r="S767" s="56"/>
      <c r="T767" s="56"/>
      <c r="U767" s="56"/>
      <c r="V767" s="56"/>
      <c r="W767" s="56"/>
      <c r="X767" s="56"/>
      <c r="Y767" s="56"/>
      <c r="Z767" s="56"/>
      <c r="AA767" s="56"/>
      <c r="AB767" s="56"/>
    </row>
    <row r="768" ht="15.75" customHeight="1">
      <c r="A768" s="169"/>
      <c r="B768" s="63"/>
      <c r="C768" s="38" t="s">
        <v>53</v>
      </c>
      <c r="D768" s="62" t="s">
        <v>52</v>
      </c>
      <c r="E768" s="60" t="s">
        <v>2447</v>
      </c>
      <c r="F768" s="60" t="s">
        <v>2448</v>
      </c>
      <c r="G768" s="73" t="s">
        <v>4847</v>
      </c>
      <c r="H768" s="62" t="s">
        <v>5863</v>
      </c>
      <c r="I768" s="62" t="s">
        <v>5864</v>
      </c>
      <c r="J768" s="60" t="s">
        <v>2450</v>
      </c>
      <c r="K768" s="38" t="s">
        <v>5879</v>
      </c>
      <c r="L768" s="38"/>
      <c r="M768" s="56"/>
      <c r="N768" s="56" t="b">
        <v>0</v>
      </c>
      <c r="O768" s="56" t="b">
        <v>0</v>
      </c>
      <c r="P768" s="56"/>
      <c r="Q768" s="56"/>
      <c r="R768" s="56"/>
      <c r="S768" s="56"/>
      <c r="T768" s="56"/>
      <c r="U768" s="56"/>
      <c r="V768" s="56"/>
      <c r="W768" s="56"/>
      <c r="X768" s="56"/>
      <c r="Y768" s="56"/>
      <c r="Z768" s="56"/>
      <c r="AA768" s="56"/>
      <c r="AB768" s="56"/>
    </row>
    <row r="769" ht="15.75" customHeight="1">
      <c r="A769" s="169"/>
      <c r="B769" s="69"/>
      <c r="C769" s="38"/>
      <c r="D769" s="38"/>
      <c r="E769" s="67"/>
      <c r="F769" s="67"/>
      <c r="G769" s="66"/>
      <c r="H769" s="38"/>
      <c r="I769" s="38"/>
      <c r="J769" s="67"/>
      <c r="K769" s="38"/>
      <c r="L769" s="38"/>
      <c r="M769" s="56"/>
      <c r="N769" s="56" t="b">
        <v>0</v>
      </c>
      <c r="O769" s="56" t="b">
        <v>0</v>
      </c>
      <c r="P769" s="56"/>
      <c r="Q769" s="56"/>
      <c r="R769" s="56"/>
      <c r="S769" s="56"/>
      <c r="T769" s="56"/>
      <c r="U769" s="56"/>
      <c r="V769" s="56"/>
      <c r="W769" s="56"/>
      <c r="X769" s="56"/>
      <c r="Y769" s="56"/>
      <c r="Z769" s="56"/>
      <c r="AA769" s="56"/>
      <c r="AB769" s="56"/>
    </row>
    <row r="770" ht="15.75" customHeight="1">
      <c r="A770" s="169"/>
      <c r="B770" s="161"/>
      <c r="C770" s="52">
        <v>44369.0</v>
      </c>
      <c r="D770" s="38"/>
      <c r="E770" s="38"/>
      <c r="F770" s="65"/>
      <c r="G770" s="66"/>
      <c r="H770" s="38"/>
      <c r="I770" s="38"/>
      <c r="J770" s="38"/>
      <c r="K770" s="38"/>
      <c r="L770" s="38"/>
      <c r="M770" s="56"/>
      <c r="N770" s="56" t="b">
        <v>0</v>
      </c>
      <c r="O770" s="56" t="b">
        <v>0</v>
      </c>
      <c r="P770" s="56"/>
      <c r="Q770" s="56"/>
      <c r="R770" s="56"/>
      <c r="S770" s="56"/>
      <c r="T770" s="56"/>
      <c r="U770" s="56"/>
      <c r="V770" s="56"/>
      <c r="W770" s="56"/>
      <c r="X770" s="56"/>
      <c r="Y770" s="56"/>
      <c r="Z770" s="56"/>
      <c r="AA770" s="56"/>
      <c r="AB770" s="56"/>
    </row>
    <row r="771" ht="15.75" customHeight="1">
      <c r="A771" s="169"/>
      <c r="B771" s="58" t="s">
        <v>4836</v>
      </c>
      <c r="C771" s="38" t="s">
        <v>53</v>
      </c>
      <c r="D771" s="38"/>
      <c r="E771" s="162" t="s">
        <v>5784</v>
      </c>
      <c r="F771" s="155"/>
      <c r="G771" s="66"/>
      <c r="H771" s="38"/>
      <c r="I771" s="38"/>
      <c r="J771" s="38"/>
      <c r="K771" s="38"/>
      <c r="L771" s="38"/>
      <c r="M771" s="56"/>
      <c r="N771" s="56" t="b">
        <v>0</v>
      </c>
      <c r="O771" s="56" t="b">
        <v>0</v>
      </c>
      <c r="P771" s="56"/>
      <c r="Q771" s="56"/>
      <c r="R771" s="56"/>
      <c r="S771" s="56"/>
      <c r="T771" s="56"/>
      <c r="U771" s="56"/>
      <c r="V771" s="56"/>
      <c r="W771" s="56"/>
      <c r="X771" s="56"/>
      <c r="Y771" s="56"/>
      <c r="Z771" s="56"/>
      <c r="AA771" s="56"/>
      <c r="AB771" s="56"/>
    </row>
    <row r="772" ht="15.75" customHeight="1">
      <c r="A772" s="169"/>
      <c r="B772" s="63"/>
      <c r="C772" s="38" t="s">
        <v>53</v>
      </c>
      <c r="D772" s="38"/>
      <c r="E772" s="156"/>
      <c r="F772" s="157"/>
      <c r="G772" s="66"/>
      <c r="H772" s="38"/>
      <c r="I772" s="38"/>
      <c r="J772" s="38"/>
      <c r="K772" s="38"/>
      <c r="L772" s="38"/>
      <c r="M772" s="56"/>
      <c r="N772" s="56" t="b">
        <v>0</v>
      </c>
      <c r="O772" s="56" t="b">
        <v>0</v>
      </c>
      <c r="P772" s="56"/>
      <c r="Q772" s="56"/>
      <c r="R772" s="56"/>
      <c r="S772" s="56"/>
      <c r="T772" s="56"/>
      <c r="U772" s="56"/>
      <c r="V772" s="56"/>
      <c r="W772" s="56"/>
      <c r="X772" s="56"/>
      <c r="Y772" s="56"/>
      <c r="Z772" s="56"/>
      <c r="AA772" s="56"/>
      <c r="AB772" s="56"/>
    </row>
    <row r="773" ht="15.75" customHeight="1">
      <c r="A773" s="169"/>
      <c r="B773" s="63"/>
      <c r="C773" s="38" t="s">
        <v>53</v>
      </c>
      <c r="D773" s="38"/>
      <c r="E773" s="158"/>
      <c r="F773" s="159"/>
      <c r="G773" s="66"/>
      <c r="H773" s="38"/>
      <c r="I773" s="38"/>
      <c r="J773" s="38"/>
      <c r="K773" s="38"/>
      <c r="L773" s="38"/>
      <c r="M773" s="56"/>
      <c r="N773" s="56" t="b">
        <v>0</v>
      </c>
      <c r="O773" s="56" t="b">
        <v>0</v>
      </c>
      <c r="P773" s="56"/>
      <c r="Q773" s="56"/>
      <c r="R773" s="56"/>
      <c r="S773" s="56"/>
      <c r="T773" s="56"/>
      <c r="U773" s="56"/>
      <c r="V773" s="56"/>
      <c r="W773" s="56"/>
      <c r="X773" s="56"/>
      <c r="Y773" s="56"/>
      <c r="Z773" s="56"/>
      <c r="AA773" s="56"/>
      <c r="AB773" s="56"/>
    </row>
    <row r="774" ht="15.75" customHeight="1">
      <c r="A774" s="169"/>
      <c r="B774" s="63"/>
      <c r="C774" s="38" t="s">
        <v>53</v>
      </c>
      <c r="D774" s="38"/>
      <c r="E774" s="38"/>
      <c r="F774" s="65"/>
      <c r="G774" s="66"/>
      <c r="H774" s="38"/>
      <c r="I774" s="38"/>
      <c r="J774" s="38"/>
      <c r="K774" s="38"/>
      <c r="L774" s="38"/>
      <c r="M774" s="56"/>
      <c r="N774" s="56" t="b">
        <v>0</v>
      </c>
      <c r="O774" s="56" t="b">
        <v>0</v>
      </c>
      <c r="P774" s="56"/>
      <c r="Q774" s="56"/>
      <c r="R774" s="56"/>
      <c r="S774" s="56"/>
      <c r="T774" s="56"/>
      <c r="U774" s="56"/>
      <c r="V774" s="56"/>
      <c r="W774" s="56"/>
      <c r="X774" s="56"/>
      <c r="Y774" s="56"/>
      <c r="Z774" s="56"/>
      <c r="AA774" s="56"/>
      <c r="AB774" s="56"/>
    </row>
    <row r="775" ht="15.75" customHeight="1">
      <c r="A775" s="169"/>
      <c r="B775" s="69"/>
      <c r="C775" s="38" t="s">
        <v>53</v>
      </c>
      <c r="D775" s="38"/>
      <c r="E775" s="38"/>
      <c r="F775" s="65"/>
      <c r="G775" s="66"/>
      <c r="H775" s="38"/>
      <c r="I775" s="38"/>
      <c r="J775" s="38"/>
      <c r="K775" s="38"/>
      <c r="L775" s="38"/>
      <c r="M775" s="56"/>
      <c r="N775" s="56" t="b">
        <v>0</v>
      </c>
      <c r="O775" s="56" t="b">
        <v>0</v>
      </c>
      <c r="P775" s="56"/>
      <c r="Q775" s="56"/>
      <c r="R775" s="56"/>
      <c r="S775" s="56"/>
      <c r="T775" s="56"/>
      <c r="U775" s="56"/>
      <c r="V775" s="56"/>
      <c r="W775" s="56"/>
      <c r="X775" s="56"/>
      <c r="Y775" s="56"/>
      <c r="Z775" s="56"/>
      <c r="AA775" s="56"/>
      <c r="AB775" s="56"/>
    </row>
    <row r="776" ht="15.75" customHeight="1">
      <c r="A776" s="169"/>
      <c r="B776" s="161"/>
      <c r="C776" s="52">
        <v>44370.0</v>
      </c>
      <c r="D776" s="38"/>
      <c r="E776" s="38"/>
      <c r="F776" s="65"/>
      <c r="G776" s="66"/>
      <c r="H776" s="38"/>
      <c r="I776" s="38"/>
      <c r="J776" s="38"/>
      <c r="K776" s="38"/>
      <c r="L776" s="38"/>
      <c r="M776" s="56"/>
      <c r="N776" s="56" t="b">
        <v>0</v>
      </c>
      <c r="O776" s="56" t="b">
        <v>0</v>
      </c>
      <c r="P776" s="56"/>
      <c r="Q776" s="56"/>
      <c r="R776" s="56"/>
      <c r="S776" s="56"/>
      <c r="T776" s="56"/>
      <c r="U776" s="56"/>
      <c r="V776" s="56"/>
      <c r="W776" s="56"/>
      <c r="X776" s="56"/>
      <c r="Y776" s="56"/>
      <c r="Z776" s="56"/>
      <c r="AA776" s="56"/>
      <c r="AB776" s="56"/>
    </row>
    <row r="777" ht="15.75" customHeight="1">
      <c r="A777" s="169"/>
      <c r="B777" s="58" t="s">
        <v>4836</v>
      </c>
      <c r="C777" s="38" t="s">
        <v>53</v>
      </c>
      <c r="D777" s="38"/>
      <c r="E777" s="38"/>
      <c r="F777" s="65"/>
      <c r="G777" s="66"/>
      <c r="H777" s="38"/>
      <c r="I777" s="38"/>
      <c r="J777" s="38"/>
      <c r="K777" s="38"/>
      <c r="L777" s="38"/>
      <c r="M777" s="56"/>
      <c r="N777" s="56" t="b">
        <v>0</v>
      </c>
      <c r="O777" s="56" t="b">
        <v>0</v>
      </c>
      <c r="P777" s="56"/>
      <c r="Q777" s="56"/>
      <c r="R777" s="56"/>
      <c r="S777" s="56"/>
      <c r="T777" s="56"/>
      <c r="U777" s="56"/>
      <c r="V777" s="56"/>
      <c r="W777" s="56"/>
      <c r="X777" s="56"/>
      <c r="Y777" s="56"/>
      <c r="Z777" s="56"/>
      <c r="AA777" s="56"/>
      <c r="AB777" s="56"/>
    </row>
    <row r="778" ht="15.75" customHeight="1">
      <c r="A778" s="169"/>
      <c r="B778" s="63"/>
      <c r="C778" s="38" t="s">
        <v>53</v>
      </c>
      <c r="D778" s="38"/>
      <c r="E778" s="162" t="s">
        <v>5784</v>
      </c>
      <c r="F778" s="155"/>
      <c r="G778" s="66"/>
      <c r="H778" s="38"/>
      <c r="I778" s="38"/>
      <c r="J778" s="38"/>
      <c r="K778" s="38"/>
      <c r="L778" s="38"/>
      <c r="M778" s="56"/>
      <c r="N778" s="56" t="b">
        <v>0</v>
      </c>
      <c r="O778" s="56" t="b">
        <v>0</v>
      </c>
      <c r="P778" s="56"/>
      <c r="Q778" s="56"/>
      <c r="R778" s="56"/>
      <c r="S778" s="56"/>
      <c r="T778" s="56"/>
      <c r="U778" s="56"/>
      <c r="V778" s="56"/>
      <c r="W778" s="56"/>
      <c r="X778" s="56"/>
      <c r="Y778" s="56"/>
      <c r="Z778" s="56"/>
      <c r="AA778" s="56"/>
      <c r="AB778" s="56"/>
    </row>
    <row r="779" ht="15.75" customHeight="1">
      <c r="A779" s="169"/>
      <c r="B779" s="63"/>
      <c r="C779" s="38" t="s">
        <v>53</v>
      </c>
      <c r="D779" s="38"/>
      <c r="E779" s="156"/>
      <c r="F779" s="157"/>
      <c r="G779" s="66"/>
      <c r="H779" s="38"/>
      <c r="I779" s="38"/>
      <c r="J779" s="38"/>
      <c r="K779" s="38"/>
      <c r="L779" s="38"/>
      <c r="M779" s="56"/>
      <c r="N779" s="56" t="b">
        <v>0</v>
      </c>
      <c r="O779" s="56" t="b">
        <v>0</v>
      </c>
      <c r="P779" s="56"/>
      <c r="Q779" s="56"/>
      <c r="R779" s="56"/>
      <c r="S779" s="56"/>
      <c r="T779" s="56"/>
      <c r="U779" s="56"/>
      <c r="V779" s="56"/>
      <c r="W779" s="56"/>
      <c r="X779" s="56"/>
      <c r="Y779" s="56"/>
      <c r="Z779" s="56"/>
      <c r="AA779" s="56"/>
      <c r="AB779" s="56"/>
    </row>
    <row r="780" ht="15.75" customHeight="1">
      <c r="A780" s="169"/>
      <c r="B780" s="63"/>
      <c r="C780" s="38" t="s">
        <v>53</v>
      </c>
      <c r="D780" s="38"/>
      <c r="E780" s="158"/>
      <c r="F780" s="159"/>
      <c r="G780" s="66"/>
      <c r="H780" s="38"/>
      <c r="I780" s="38"/>
      <c r="J780" s="38"/>
      <c r="K780" s="38"/>
      <c r="L780" s="38"/>
      <c r="M780" s="56"/>
      <c r="N780" s="56" t="b">
        <v>0</v>
      </c>
      <c r="O780" s="56" t="b">
        <v>0</v>
      </c>
      <c r="P780" s="56"/>
      <c r="Q780" s="56"/>
      <c r="R780" s="56"/>
      <c r="S780" s="56"/>
      <c r="T780" s="56"/>
      <c r="U780" s="56"/>
      <c r="V780" s="56"/>
      <c r="W780" s="56"/>
      <c r="X780" s="56"/>
      <c r="Y780" s="56"/>
      <c r="Z780" s="56"/>
      <c r="AA780" s="56"/>
      <c r="AB780" s="56"/>
    </row>
    <row r="781" ht="15.75" customHeight="1">
      <c r="A781" s="169"/>
      <c r="B781" s="69"/>
      <c r="C781" s="38" t="s">
        <v>53</v>
      </c>
      <c r="D781" s="38"/>
      <c r="E781" s="38"/>
      <c r="F781" s="65"/>
      <c r="G781" s="66"/>
      <c r="H781" s="38"/>
      <c r="I781" s="38"/>
      <c r="J781" s="38"/>
      <c r="K781" s="38"/>
      <c r="L781" s="38"/>
      <c r="M781" s="56"/>
      <c r="N781" s="56" t="b">
        <v>0</v>
      </c>
      <c r="O781" s="56" t="b">
        <v>0</v>
      </c>
      <c r="P781" s="56"/>
      <c r="Q781" s="56"/>
      <c r="R781" s="56"/>
      <c r="S781" s="56"/>
      <c r="T781" s="56"/>
      <c r="U781" s="56"/>
      <c r="V781" s="56"/>
      <c r="W781" s="56"/>
      <c r="X781" s="56"/>
      <c r="Y781" s="56"/>
      <c r="Z781" s="56"/>
      <c r="AA781" s="56"/>
      <c r="AB781" s="56"/>
    </row>
    <row r="782" ht="15.75" customHeight="1">
      <c r="A782" s="169"/>
      <c r="B782" s="161"/>
      <c r="C782" s="52">
        <v>44371.0</v>
      </c>
      <c r="D782" s="38"/>
      <c r="E782" s="38"/>
      <c r="F782" s="38"/>
      <c r="G782" s="66"/>
      <c r="H782" s="38"/>
      <c r="I782" s="38"/>
      <c r="J782" s="38"/>
      <c r="K782" s="38"/>
      <c r="L782" s="38"/>
      <c r="M782" s="56"/>
      <c r="N782" s="56" t="b">
        <v>0</v>
      </c>
      <c r="O782" s="56" t="b">
        <v>0</v>
      </c>
      <c r="P782" s="56"/>
      <c r="Q782" s="56"/>
      <c r="R782" s="56"/>
      <c r="S782" s="56"/>
      <c r="T782" s="56"/>
      <c r="U782" s="56"/>
      <c r="V782" s="56"/>
      <c r="W782" s="56"/>
      <c r="X782" s="56"/>
      <c r="Y782" s="56"/>
      <c r="Z782" s="56"/>
      <c r="AA782" s="56"/>
      <c r="AB782" s="56"/>
    </row>
    <row r="783" ht="15.75" customHeight="1">
      <c r="A783" s="169"/>
      <c r="B783" s="58" t="s">
        <v>4836</v>
      </c>
      <c r="C783" s="38" t="s">
        <v>53</v>
      </c>
      <c r="D783" s="38"/>
      <c r="E783" s="38"/>
      <c r="F783" s="65"/>
      <c r="G783" s="66"/>
      <c r="H783" s="38"/>
      <c r="I783" s="38"/>
      <c r="J783" s="38"/>
      <c r="K783" s="38"/>
      <c r="L783" s="38"/>
      <c r="M783" s="56"/>
      <c r="N783" s="56" t="b">
        <v>0</v>
      </c>
      <c r="O783" s="56" t="b">
        <v>0</v>
      </c>
      <c r="P783" s="56"/>
      <c r="Q783" s="56"/>
      <c r="R783" s="56"/>
      <c r="S783" s="56"/>
      <c r="T783" s="56"/>
      <c r="U783" s="56"/>
      <c r="V783" s="56"/>
      <c r="W783" s="56"/>
      <c r="X783" s="56"/>
      <c r="Y783" s="56"/>
      <c r="Z783" s="56"/>
      <c r="AA783" s="56"/>
      <c r="AB783" s="56"/>
    </row>
    <row r="784" ht="15.75" customHeight="1">
      <c r="A784" s="169"/>
      <c r="B784" s="63"/>
      <c r="C784" s="38" t="s">
        <v>53</v>
      </c>
      <c r="D784" s="38"/>
      <c r="E784" s="162" t="s">
        <v>5784</v>
      </c>
      <c r="F784" s="155"/>
      <c r="G784" s="66"/>
      <c r="H784" s="38"/>
      <c r="I784" s="38"/>
      <c r="J784" s="38"/>
      <c r="K784" s="38"/>
      <c r="L784" s="38"/>
      <c r="M784" s="56"/>
      <c r="N784" s="56" t="b">
        <v>0</v>
      </c>
      <c r="O784" s="56" t="b">
        <v>0</v>
      </c>
      <c r="P784" s="56"/>
      <c r="Q784" s="56"/>
      <c r="R784" s="56"/>
      <c r="S784" s="56"/>
      <c r="T784" s="56"/>
      <c r="U784" s="56"/>
      <c r="V784" s="56"/>
      <c r="W784" s="56"/>
      <c r="X784" s="56"/>
      <c r="Y784" s="56"/>
      <c r="Z784" s="56"/>
      <c r="AA784" s="56"/>
      <c r="AB784" s="56"/>
    </row>
    <row r="785" ht="15.75" customHeight="1">
      <c r="A785" s="169"/>
      <c r="B785" s="63"/>
      <c r="C785" s="38" t="s">
        <v>53</v>
      </c>
      <c r="D785" s="38"/>
      <c r="E785" s="156"/>
      <c r="F785" s="157"/>
      <c r="G785" s="66"/>
      <c r="H785" s="38"/>
      <c r="I785" s="38"/>
      <c r="J785" s="38"/>
      <c r="K785" s="38"/>
      <c r="L785" s="38"/>
      <c r="M785" s="56"/>
      <c r="N785" s="56" t="b">
        <v>0</v>
      </c>
      <c r="O785" s="56" t="b">
        <v>0</v>
      </c>
      <c r="P785" s="56"/>
      <c r="Q785" s="56"/>
      <c r="R785" s="56"/>
      <c r="S785" s="56"/>
      <c r="T785" s="56"/>
      <c r="U785" s="56"/>
      <c r="V785" s="56"/>
      <c r="W785" s="56"/>
      <c r="X785" s="56"/>
      <c r="Y785" s="56"/>
      <c r="Z785" s="56"/>
      <c r="AA785" s="56"/>
      <c r="AB785" s="56"/>
    </row>
    <row r="786" ht="15.75" customHeight="1">
      <c r="A786" s="169"/>
      <c r="B786" s="63"/>
      <c r="C786" s="38" t="s">
        <v>53</v>
      </c>
      <c r="D786" s="38"/>
      <c r="E786" s="158"/>
      <c r="F786" s="159"/>
      <c r="G786" s="66"/>
      <c r="H786" s="38"/>
      <c r="I786" s="38"/>
      <c r="J786" s="38"/>
      <c r="K786" s="38"/>
      <c r="L786" s="38"/>
      <c r="M786" s="56"/>
      <c r="N786" s="56" t="b">
        <v>0</v>
      </c>
      <c r="O786" s="56" t="b">
        <v>0</v>
      </c>
      <c r="P786" s="56"/>
      <c r="Q786" s="56"/>
      <c r="R786" s="56"/>
      <c r="S786" s="56"/>
      <c r="T786" s="56"/>
      <c r="U786" s="56"/>
      <c r="V786" s="56"/>
      <c r="W786" s="56"/>
      <c r="X786" s="56"/>
      <c r="Y786" s="56"/>
      <c r="Z786" s="56"/>
      <c r="AA786" s="56"/>
      <c r="AB786" s="56"/>
    </row>
    <row r="787" ht="15.75" customHeight="1">
      <c r="A787" s="169"/>
      <c r="B787" s="69"/>
      <c r="C787" s="38" t="s">
        <v>53</v>
      </c>
      <c r="D787" s="38"/>
      <c r="E787" s="38"/>
      <c r="F787" s="65"/>
      <c r="G787" s="66"/>
      <c r="H787" s="38"/>
      <c r="I787" s="38"/>
      <c r="J787" s="38"/>
      <c r="K787" s="38"/>
      <c r="L787" s="38"/>
      <c r="M787" s="56"/>
      <c r="N787" s="56" t="b">
        <v>0</v>
      </c>
      <c r="O787" s="56" t="b">
        <v>0</v>
      </c>
      <c r="P787" s="56"/>
      <c r="Q787" s="56"/>
      <c r="R787" s="56"/>
      <c r="S787" s="56"/>
      <c r="T787" s="56"/>
      <c r="U787" s="56"/>
      <c r="V787" s="56"/>
      <c r="W787" s="56"/>
      <c r="X787" s="56"/>
      <c r="Y787" s="56"/>
      <c r="Z787" s="56"/>
      <c r="AA787" s="56"/>
      <c r="AB787" s="56"/>
    </row>
    <row r="788" ht="15.75" customHeight="1">
      <c r="A788" s="169"/>
      <c r="B788" s="161"/>
      <c r="C788" s="52">
        <v>44372.0</v>
      </c>
      <c r="D788" s="38"/>
      <c r="E788" s="38"/>
      <c r="F788" s="65"/>
      <c r="G788" s="66"/>
      <c r="H788" s="38"/>
      <c r="I788" s="38"/>
      <c r="J788" s="38"/>
      <c r="K788" s="38"/>
      <c r="L788" s="38"/>
      <c r="M788" s="56"/>
      <c r="N788" s="56" t="b">
        <v>0</v>
      </c>
      <c r="O788" s="56" t="b">
        <v>0</v>
      </c>
      <c r="P788" s="56"/>
      <c r="Q788" s="56"/>
      <c r="R788" s="56"/>
      <c r="S788" s="56"/>
      <c r="T788" s="56"/>
      <c r="U788" s="56"/>
      <c r="V788" s="56"/>
      <c r="W788" s="56"/>
      <c r="X788" s="56"/>
      <c r="Y788" s="56"/>
      <c r="Z788" s="56"/>
      <c r="AA788" s="56"/>
      <c r="AB788" s="56"/>
    </row>
    <row r="789" ht="15.75" customHeight="1">
      <c r="A789" s="169"/>
      <c r="B789" s="58" t="s">
        <v>4836</v>
      </c>
      <c r="C789" s="38" t="s">
        <v>53</v>
      </c>
      <c r="D789" s="38"/>
      <c r="E789" s="38"/>
      <c r="F789" s="65"/>
      <c r="G789" s="66"/>
      <c r="H789" s="38"/>
      <c r="I789" s="38"/>
      <c r="J789" s="38"/>
      <c r="K789" s="38"/>
      <c r="L789" s="38"/>
      <c r="M789" s="56"/>
      <c r="N789" s="56" t="b">
        <v>0</v>
      </c>
      <c r="O789" s="56" t="b">
        <v>0</v>
      </c>
      <c r="P789" s="56"/>
      <c r="Q789" s="56"/>
      <c r="R789" s="56"/>
      <c r="S789" s="56"/>
      <c r="T789" s="56"/>
      <c r="U789" s="56"/>
      <c r="V789" s="56"/>
      <c r="W789" s="56"/>
      <c r="X789" s="56"/>
      <c r="Y789" s="56"/>
      <c r="Z789" s="56"/>
      <c r="AA789" s="56"/>
      <c r="AB789" s="56"/>
    </row>
    <row r="790" ht="15.75" customHeight="1">
      <c r="A790" s="169"/>
      <c r="B790" s="63"/>
      <c r="C790" s="38" t="s">
        <v>53</v>
      </c>
      <c r="D790" s="38"/>
      <c r="E790" s="38"/>
      <c r="F790" s="65"/>
      <c r="G790" s="66"/>
      <c r="H790" s="38"/>
      <c r="I790" s="38"/>
      <c r="J790" s="38"/>
      <c r="K790" s="38"/>
      <c r="L790" s="38"/>
      <c r="M790" s="56"/>
      <c r="N790" s="56" t="b">
        <v>0</v>
      </c>
      <c r="O790" s="56" t="b">
        <v>0</v>
      </c>
      <c r="P790" s="56"/>
      <c r="Q790" s="56"/>
      <c r="R790" s="56"/>
      <c r="S790" s="56"/>
      <c r="T790" s="56"/>
      <c r="U790" s="56"/>
      <c r="V790" s="56"/>
      <c r="W790" s="56"/>
      <c r="X790" s="56"/>
      <c r="Y790" s="56"/>
      <c r="Z790" s="56"/>
      <c r="AA790" s="56"/>
      <c r="AB790" s="56"/>
    </row>
    <row r="791" ht="15.75" customHeight="1">
      <c r="A791" s="169"/>
      <c r="B791" s="63"/>
      <c r="C791" s="38" t="s">
        <v>53</v>
      </c>
      <c r="D791" s="38"/>
      <c r="E791" s="162" t="s">
        <v>5784</v>
      </c>
      <c r="F791" s="155"/>
      <c r="G791" s="66"/>
      <c r="H791" s="38"/>
      <c r="I791" s="38"/>
      <c r="J791" s="38"/>
      <c r="K791" s="38"/>
      <c r="L791" s="38"/>
      <c r="M791" s="56"/>
      <c r="N791" s="56" t="b">
        <v>0</v>
      </c>
      <c r="O791" s="56" t="b">
        <v>0</v>
      </c>
      <c r="P791" s="56"/>
      <c r="Q791" s="56"/>
      <c r="R791" s="56"/>
      <c r="S791" s="56"/>
      <c r="T791" s="56"/>
      <c r="U791" s="56"/>
      <c r="V791" s="56"/>
      <c r="W791" s="56"/>
      <c r="X791" s="56"/>
      <c r="Y791" s="56"/>
      <c r="Z791" s="56"/>
      <c r="AA791" s="56"/>
      <c r="AB791" s="56"/>
    </row>
    <row r="792" ht="15.75" customHeight="1">
      <c r="A792" s="169"/>
      <c r="B792" s="63"/>
      <c r="C792" s="38" t="s">
        <v>53</v>
      </c>
      <c r="D792" s="38"/>
      <c r="E792" s="156"/>
      <c r="F792" s="157"/>
      <c r="G792" s="66"/>
      <c r="H792" s="38"/>
      <c r="I792" s="38"/>
      <c r="J792" s="38"/>
      <c r="K792" s="38"/>
      <c r="L792" s="38"/>
      <c r="M792" s="56"/>
      <c r="N792" s="56" t="b">
        <v>0</v>
      </c>
      <c r="O792" s="56" t="b">
        <v>0</v>
      </c>
      <c r="P792" s="56"/>
      <c r="Q792" s="56"/>
      <c r="R792" s="56"/>
      <c r="S792" s="56"/>
      <c r="T792" s="56"/>
      <c r="U792" s="56"/>
      <c r="V792" s="56"/>
      <c r="W792" s="56"/>
      <c r="X792" s="56"/>
      <c r="Y792" s="56"/>
      <c r="Z792" s="56"/>
      <c r="AA792" s="56"/>
      <c r="AB792" s="56"/>
    </row>
    <row r="793" ht="15.75" customHeight="1">
      <c r="A793" s="169"/>
      <c r="B793" s="63"/>
      <c r="C793" s="38" t="s">
        <v>53</v>
      </c>
      <c r="D793" s="38"/>
      <c r="E793" s="158"/>
      <c r="F793" s="159"/>
      <c r="G793" s="66"/>
      <c r="H793" s="38"/>
      <c r="I793" s="38"/>
      <c r="J793" s="38"/>
      <c r="K793" s="38"/>
      <c r="L793" s="38"/>
      <c r="M793" s="56"/>
      <c r="N793" s="56" t="b">
        <v>0</v>
      </c>
      <c r="O793" s="56" t="b">
        <v>0</v>
      </c>
      <c r="P793" s="56"/>
      <c r="Q793" s="56"/>
      <c r="R793" s="56"/>
      <c r="S793" s="56"/>
      <c r="T793" s="56"/>
      <c r="U793" s="56"/>
      <c r="V793" s="56"/>
      <c r="W793" s="56"/>
      <c r="X793" s="56"/>
      <c r="Y793" s="56"/>
      <c r="Z793" s="56"/>
      <c r="AA793" s="56"/>
      <c r="AB793" s="56"/>
    </row>
    <row r="794" ht="15.75" customHeight="1">
      <c r="A794" s="169"/>
      <c r="B794" s="69"/>
      <c r="C794" s="38"/>
      <c r="D794" s="38"/>
      <c r="E794" s="38"/>
      <c r="F794" s="65"/>
      <c r="G794" s="66"/>
      <c r="H794" s="38"/>
      <c r="I794" s="38"/>
      <c r="J794" s="38"/>
      <c r="K794" s="38"/>
      <c r="L794" s="38"/>
      <c r="M794" s="56"/>
      <c r="N794" s="56" t="b">
        <v>0</v>
      </c>
      <c r="O794" s="56" t="b">
        <v>0</v>
      </c>
      <c r="P794" s="56"/>
      <c r="Q794" s="56"/>
      <c r="R794" s="56"/>
      <c r="S794" s="56"/>
      <c r="T794" s="56"/>
      <c r="U794" s="56"/>
      <c r="V794" s="56"/>
      <c r="W794" s="56"/>
      <c r="X794" s="56"/>
      <c r="Y794" s="56"/>
      <c r="Z794" s="56"/>
      <c r="AA794" s="56"/>
      <c r="AB794" s="56"/>
    </row>
    <row r="795" ht="15.75" customHeight="1">
      <c r="A795" s="169"/>
      <c r="B795" s="161"/>
      <c r="C795" s="52">
        <v>44375.0</v>
      </c>
      <c r="D795" s="38"/>
      <c r="E795" s="38"/>
      <c r="F795" s="65"/>
      <c r="G795" s="66"/>
      <c r="H795" s="38"/>
      <c r="I795" s="38"/>
      <c r="J795" s="38"/>
      <c r="K795" s="38"/>
      <c r="L795" s="38"/>
      <c r="M795" s="56"/>
      <c r="N795" s="56" t="b">
        <v>0</v>
      </c>
      <c r="O795" s="56" t="b">
        <v>0</v>
      </c>
      <c r="P795" s="56"/>
      <c r="Q795" s="56"/>
      <c r="R795" s="56"/>
      <c r="S795" s="56"/>
      <c r="T795" s="56"/>
      <c r="U795" s="56"/>
      <c r="V795" s="56"/>
      <c r="W795" s="56"/>
      <c r="X795" s="56"/>
      <c r="Y795" s="56"/>
      <c r="Z795" s="56"/>
      <c r="AA795" s="56"/>
      <c r="AB795" s="56"/>
    </row>
    <row r="796" ht="15.75" customHeight="1">
      <c r="A796" s="169"/>
      <c r="B796" s="58" t="s">
        <v>4836</v>
      </c>
      <c r="C796" s="38" t="s">
        <v>53</v>
      </c>
      <c r="D796" s="38"/>
      <c r="E796" s="38"/>
      <c r="F796" s="65"/>
      <c r="G796" s="66"/>
      <c r="H796" s="38"/>
      <c r="I796" s="38"/>
      <c r="J796" s="38"/>
      <c r="K796" s="38"/>
      <c r="L796" s="38"/>
      <c r="M796" s="56"/>
      <c r="N796" s="56" t="b">
        <v>0</v>
      </c>
      <c r="O796" s="56" t="b">
        <v>0</v>
      </c>
      <c r="P796" s="56"/>
      <c r="Q796" s="56"/>
      <c r="R796" s="56"/>
      <c r="S796" s="56"/>
      <c r="T796" s="56"/>
      <c r="U796" s="56"/>
      <c r="V796" s="56"/>
      <c r="W796" s="56"/>
      <c r="X796" s="56"/>
      <c r="Y796" s="56"/>
      <c r="Z796" s="56"/>
      <c r="AA796" s="56"/>
      <c r="AB796" s="56"/>
    </row>
    <row r="797" ht="15.75" customHeight="1">
      <c r="A797" s="169"/>
      <c r="B797" s="63"/>
      <c r="C797" s="38" t="s">
        <v>53</v>
      </c>
      <c r="D797" s="38" t="s">
        <v>52</v>
      </c>
      <c r="E797" s="38" t="s">
        <v>5880</v>
      </c>
      <c r="F797" s="65" t="s">
        <v>5881</v>
      </c>
      <c r="G797" s="66" t="s">
        <v>5134</v>
      </c>
      <c r="H797" s="38" t="s">
        <v>5882</v>
      </c>
      <c r="I797" s="38" t="s">
        <v>5883</v>
      </c>
      <c r="J797" s="38" t="s">
        <v>5884</v>
      </c>
      <c r="K797" s="38"/>
      <c r="L797" s="38"/>
      <c r="M797" s="56"/>
      <c r="N797" s="56" t="b">
        <v>0</v>
      </c>
      <c r="O797" s="56" t="b">
        <v>0</v>
      </c>
      <c r="P797" s="56"/>
      <c r="Q797" s="56"/>
      <c r="R797" s="56"/>
      <c r="S797" s="56"/>
      <c r="T797" s="56"/>
      <c r="U797" s="56"/>
      <c r="V797" s="56"/>
      <c r="W797" s="56"/>
      <c r="X797" s="56"/>
      <c r="Y797" s="56"/>
      <c r="Z797" s="56"/>
      <c r="AA797" s="56"/>
      <c r="AB797" s="56"/>
    </row>
    <row r="798" ht="15.75" customHeight="1">
      <c r="A798" s="169"/>
      <c r="B798" s="63"/>
      <c r="C798" s="38" t="s">
        <v>53</v>
      </c>
      <c r="D798" s="38" t="s">
        <v>52</v>
      </c>
      <c r="E798" s="67" t="s">
        <v>2579</v>
      </c>
      <c r="F798" s="67" t="s">
        <v>2580</v>
      </c>
      <c r="G798" s="66" t="s">
        <v>4856</v>
      </c>
      <c r="H798" s="38" t="s">
        <v>5058</v>
      </c>
      <c r="I798" s="38" t="s">
        <v>5855</v>
      </c>
      <c r="J798" s="67" t="s">
        <v>5856</v>
      </c>
      <c r="K798" s="38" t="s">
        <v>2008</v>
      </c>
      <c r="L798" s="38"/>
      <c r="M798" s="56"/>
      <c r="N798" s="56" t="b">
        <v>0</v>
      </c>
      <c r="O798" s="56" t="b">
        <v>0</v>
      </c>
      <c r="P798" s="56"/>
      <c r="Q798" s="56"/>
      <c r="R798" s="56"/>
      <c r="S798" s="56"/>
      <c r="T798" s="56"/>
      <c r="U798" s="56"/>
      <c r="V798" s="56"/>
      <c r="W798" s="56"/>
      <c r="X798" s="56"/>
      <c r="Y798" s="56"/>
      <c r="Z798" s="56"/>
      <c r="AA798" s="56"/>
      <c r="AB798" s="56"/>
    </row>
    <row r="799" ht="15.75" customHeight="1">
      <c r="A799" s="169"/>
      <c r="B799" s="63"/>
      <c r="C799" s="38" t="s">
        <v>53</v>
      </c>
      <c r="D799" s="38" t="s">
        <v>52</v>
      </c>
      <c r="E799" s="67" t="s">
        <v>2036</v>
      </c>
      <c r="F799" s="67" t="s">
        <v>2037</v>
      </c>
      <c r="G799" s="66" t="s">
        <v>4858</v>
      </c>
      <c r="H799" s="38" t="s">
        <v>5860</v>
      </c>
      <c r="I799" s="38" t="s">
        <v>5861</v>
      </c>
      <c r="J799" s="67" t="s">
        <v>2039</v>
      </c>
      <c r="K799" s="38" t="s">
        <v>2008</v>
      </c>
      <c r="L799" s="38"/>
      <c r="M799" s="56"/>
      <c r="N799" s="56" t="b">
        <v>0</v>
      </c>
      <c r="O799" s="56" t="b">
        <v>0</v>
      </c>
      <c r="P799" s="56"/>
      <c r="Q799" s="56"/>
      <c r="R799" s="56"/>
      <c r="S799" s="56"/>
      <c r="T799" s="56"/>
      <c r="U799" s="56"/>
      <c r="V799" s="56"/>
      <c r="W799" s="56"/>
      <c r="X799" s="56"/>
      <c r="Y799" s="56"/>
      <c r="Z799" s="56"/>
      <c r="AA799" s="56"/>
      <c r="AB799" s="56"/>
    </row>
    <row r="800" ht="15.75" customHeight="1">
      <c r="A800" s="169"/>
      <c r="B800" s="63"/>
      <c r="C800" s="38" t="s">
        <v>53</v>
      </c>
      <c r="D800" s="38" t="s">
        <v>52</v>
      </c>
      <c r="E800" s="38" t="s">
        <v>4109</v>
      </c>
      <c r="F800" s="65" t="s">
        <v>4110</v>
      </c>
      <c r="G800" s="66" t="s">
        <v>4847</v>
      </c>
      <c r="H800" s="38" t="s">
        <v>5525</v>
      </c>
      <c r="I800" s="38" t="s">
        <v>5885</v>
      </c>
      <c r="J800" s="38" t="s">
        <v>4112</v>
      </c>
      <c r="K800" s="38"/>
      <c r="L800" s="38"/>
      <c r="M800" s="56"/>
      <c r="N800" s="56" t="b">
        <v>0</v>
      </c>
      <c r="O800" s="56" t="b">
        <v>0</v>
      </c>
      <c r="P800" s="56"/>
      <c r="Q800" s="56"/>
      <c r="R800" s="56"/>
      <c r="S800" s="56"/>
      <c r="T800" s="56"/>
      <c r="U800" s="56"/>
      <c r="V800" s="56"/>
      <c r="W800" s="56"/>
      <c r="X800" s="56"/>
      <c r="Y800" s="56"/>
      <c r="Z800" s="56"/>
      <c r="AA800" s="56"/>
      <c r="AB800" s="56"/>
    </row>
    <row r="801" ht="15.75" customHeight="1">
      <c r="A801" s="169"/>
      <c r="B801" s="69"/>
      <c r="C801" s="38"/>
      <c r="D801" s="38"/>
      <c r="E801" s="38"/>
      <c r="F801" s="65"/>
      <c r="G801" s="66"/>
      <c r="H801" s="38"/>
      <c r="I801" s="38"/>
      <c r="J801" s="38"/>
      <c r="K801" s="38"/>
      <c r="L801" s="38"/>
      <c r="M801" s="56"/>
      <c r="N801" s="56" t="b">
        <v>0</v>
      </c>
      <c r="O801" s="56" t="b">
        <v>0</v>
      </c>
      <c r="P801" s="56"/>
      <c r="Q801" s="56"/>
      <c r="R801" s="56"/>
      <c r="S801" s="56"/>
      <c r="T801" s="56"/>
      <c r="U801" s="56"/>
      <c r="V801" s="56"/>
      <c r="W801" s="56"/>
      <c r="X801" s="56"/>
      <c r="Y801" s="56"/>
      <c r="Z801" s="56"/>
      <c r="AA801" s="56"/>
      <c r="AB801" s="56"/>
    </row>
    <row r="802" ht="15.75" customHeight="1">
      <c r="A802" s="169"/>
      <c r="B802" s="161"/>
      <c r="C802" s="52">
        <v>44403.0</v>
      </c>
      <c r="D802" s="38"/>
      <c r="E802" s="38"/>
      <c r="F802" s="65"/>
      <c r="G802" s="66"/>
      <c r="H802" s="38"/>
      <c r="I802" s="38"/>
      <c r="J802" s="38"/>
      <c r="K802" s="38"/>
      <c r="L802" s="38"/>
      <c r="M802" s="56"/>
      <c r="N802" s="56" t="b">
        <v>0</v>
      </c>
      <c r="O802" s="56" t="b">
        <v>0</v>
      </c>
      <c r="P802" s="56"/>
      <c r="Q802" s="56"/>
      <c r="R802" s="56"/>
      <c r="S802" s="56"/>
      <c r="T802" s="56"/>
      <c r="U802" s="56"/>
      <c r="V802" s="56"/>
      <c r="W802" s="56"/>
      <c r="X802" s="56"/>
      <c r="Y802" s="56"/>
      <c r="Z802" s="56"/>
      <c r="AA802" s="56"/>
      <c r="AB802" s="56"/>
    </row>
    <row r="803" ht="15.75" customHeight="1">
      <c r="A803" s="169"/>
      <c r="B803" s="58" t="s">
        <v>4836</v>
      </c>
      <c r="C803" s="38" t="s">
        <v>53</v>
      </c>
      <c r="D803" s="38" t="s">
        <v>52</v>
      </c>
      <c r="E803" s="38" t="s">
        <v>1694</v>
      </c>
      <c r="F803" s="65" t="s">
        <v>1695</v>
      </c>
      <c r="G803" s="66" t="s">
        <v>5704</v>
      </c>
      <c r="H803" s="38" t="s">
        <v>5026</v>
      </c>
      <c r="I803" s="38" t="s">
        <v>5886</v>
      </c>
      <c r="J803" s="38" t="s">
        <v>1697</v>
      </c>
      <c r="K803" s="38" t="s">
        <v>5887</v>
      </c>
      <c r="L803" s="38"/>
      <c r="M803" s="56"/>
      <c r="N803" s="56" t="b">
        <v>0</v>
      </c>
      <c r="O803" s="56" t="b">
        <v>0</v>
      </c>
      <c r="P803" s="56"/>
      <c r="Q803" s="56"/>
      <c r="R803" s="56"/>
      <c r="S803" s="56"/>
      <c r="T803" s="56"/>
      <c r="U803" s="56"/>
      <c r="V803" s="56"/>
      <c r="W803" s="56"/>
      <c r="X803" s="56"/>
      <c r="Y803" s="56"/>
      <c r="Z803" s="56"/>
      <c r="AA803" s="56"/>
      <c r="AB803" s="56"/>
    </row>
    <row r="804" ht="15.75" customHeight="1">
      <c r="A804" s="169"/>
      <c r="B804" s="63"/>
      <c r="C804" s="38" t="s">
        <v>53</v>
      </c>
      <c r="D804" s="76" t="s">
        <v>52</v>
      </c>
      <c r="E804" s="77" t="s">
        <v>5888</v>
      </c>
      <c r="F804" s="77" t="s">
        <v>5889</v>
      </c>
      <c r="G804" s="82" t="s">
        <v>4887</v>
      </c>
      <c r="H804" s="88" t="s">
        <v>5205</v>
      </c>
      <c r="I804" s="76" t="s">
        <v>5890</v>
      </c>
      <c r="J804" s="77" t="s">
        <v>5891</v>
      </c>
      <c r="K804" s="38" t="s">
        <v>5892</v>
      </c>
      <c r="L804" s="38"/>
      <c r="M804" s="56"/>
      <c r="N804" s="56" t="b">
        <v>0</v>
      </c>
      <c r="O804" s="56" t="b">
        <v>0</v>
      </c>
      <c r="P804" s="56"/>
      <c r="Q804" s="56"/>
      <c r="R804" s="56"/>
      <c r="S804" s="56"/>
      <c r="T804" s="56"/>
      <c r="U804" s="56"/>
      <c r="V804" s="56"/>
      <c r="W804" s="56"/>
      <c r="X804" s="56"/>
      <c r="Y804" s="56"/>
      <c r="Z804" s="56"/>
      <c r="AA804" s="56"/>
      <c r="AB804" s="56"/>
    </row>
    <row r="805" ht="15.75" customHeight="1">
      <c r="A805" s="169"/>
      <c r="B805" s="63"/>
      <c r="C805" s="38" t="s">
        <v>53</v>
      </c>
      <c r="D805" s="38" t="s">
        <v>52</v>
      </c>
      <c r="E805" s="38" t="s">
        <v>5893</v>
      </c>
      <c r="F805" s="65" t="s">
        <v>5894</v>
      </c>
      <c r="G805" s="66" t="s">
        <v>4858</v>
      </c>
      <c r="H805" s="38" t="s">
        <v>5895</v>
      </c>
      <c r="I805" s="38" t="s">
        <v>5896</v>
      </c>
      <c r="J805" s="38" t="s">
        <v>5897</v>
      </c>
      <c r="K805" s="38" t="s">
        <v>5898</v>
      </c>
      <c r="L805" s="38"/>
      <c r="M805" s="56"/>
      <c r="N805" s="56" t="b">
        <v>0</v>
      </c>
      <c r="O805" s="56" t="b">
        <v>0</v>
      </c>
      <c r="P805" s="56"/>
      <c r="Q805" s="56"/>
      <c r="R805" s="56"/>
      <c r="S805" s="56"/>
      <c r="T805" s="56"/>
      <c r="U805" s="56"/>
      <c r="V805" s="56"/>
      <c r="W805" s="56"/>
      <c r="X805" s="56"/>
      <c r="Y805" s="56"/>
      <c r="Z805" s="56"/>
      <c r="AA805" s="56"/>
      <c r="AB805" s="56"/>
    </row>
    <row r="806" ht="15.75" customHeight="1">
      <c r="A806" s="169"/>
      <c r="B806" s="63"/>
      <c r="C806" s="38" t="s">
        <v>53</v>
      </c>
      <c r="D806" s="76" t="s">
        <v>52</v>
      </c>
      <c r="E806" s="77" t="s">
        <v>965</v>
      </c>
      <c r="F806" s="77" t="s">
        <v>966</v>
      </c>
      <c r="G806" s="82" t="s">
        <v>4980</v>
      </c>
      <c r="H806" s="76" t="s">
        <v>5899</v>
      </c>
      <c r="I806" s="76" t="s">
        <v>5900</v>
      </c>
      <c r="J806" s="77" t="s">
        <v>968</v>
      </c>
      <c r="K806" s="38" t="s">
        <v>5528</v>
      </c>
      <c r="L806" s="38" t="s">
        <v>5901</v>
      </c>
      <c r="M806" s="56"/>
      <c r="N806" s="56" t="b">
        <v>0</v>
      </c>
      <c r="O806" s="56" t="b">
        <v>0</v>
      </c>
      <c r="P806" s="56"/>
      <c r="Q806" s="56"/>
      <c r="R806" s="56"/>
      <c r="S806" s="56"/>
      <c r="T806" s="56"/>
      <c r="U806" s="56"/>
      <c r="V806" s="56"/>
      <c r="W806" s="56"/>
      <c r="X806" s="56"/>
      <c r="Y806" s="56"/>
      <c r="Z806" s="56"/>
      <c r="AA806" s="56"/>
      <c r="AB806" s="56"/>
    </row>
    <row r="807" ht="15.75" customHeight="1">
      <c r="A807" s="169"/>
      <c r="B807" s="69"/>
      <c r="C807" s="38"/>
      <c r="D807" s="38"/>
      <c r="E807" s="38"/>
      <c r="F807" s="65"/>
      <c r="G807" s="66"/>
      <c r="H807" s="38"/>
      <c r="I807" s="38"/>
      <c r="J807" s="38"/>
      <c r="K807" s="38"/>
      <c r="L807" s="38"/>
      <c r="M807" s="56"/>
      <c r="N807" s="56" t="b">
        <v>0</v>
      </c>
      <c r="O807" s="56" t="b">
        <v>0</v>
      </c>
      <c r="P807" s="56"/>
      <c r="Q807" s="56"/>
      <c r="R807" s="56"/>
      <c r="S807" s="56"/>
      <c r="T807" s="56"/>
      <c r="U807" s="56"/>
      <c r="V807" s="56"/>
      <c r="W807" s="56"/>
      <c r="X807" s="56"/>
      <c r="Y807" s="56"/>
      <c r="Z807" s="56"/>
      <c r="AA807" s="56"/>
      <c r="AB807" s="56"/>
    </row>
    <row r="808" ht="15.75" customHeight="1">
      <c r="A808" s="169"/>
      <c r="B808" s="161"/>
      <c r="C808" s="52">
        <v>44406.0</v>
      </c>
      <c r="D808" s="38"/>
      <c r="E808" s="38"/>
      <c r="F808" s="65"/>
      <c r="G808" s="66"/>
      <c r="H808" s="38"/>
      <c r="I808" s="38"/>
      <c r="J808" s="38"/>
      <c r="K808" s="38"/>
      <c r="L808" s="38"/>
      <c r="M808" s="56"/>
      <c r="N808" s="56" t="b">
        <v>0</v>
      </c>
      <c r="O808" s="56" t="b">
        <v>0</v>
      </c>
      <c r="P808" s="56"/>
      <c r="Q808" s="56"/>
      <c r="R808" s="56"/>
      <c r="S808" s="56"/>
      <c r="T808" s="56"/>
      <c r="U808" s="56"/>
      <c r="V808" s="56"/>
      <c r="W808" s="56"/>
      <c r="X808" s="56"/>
      <c r="Y808" s="56"/>
      <c r="Z808" s="56"/>
      <c r="AA808" s="56"/>
      <c r="AB808" s="56"/>
    </row>
    <row r="809" ht="15.75" customHeight="1">
      <c r="A809" s="169"/>
      <c r="B809" s="58" t="s">
        <v>4836</v>
      </c>
      <c r="C809" s="38" t="s">
        <v>53</v>
      </c>
      <c r="D809" s="38" t="s">
        <v>52</v>
      </c>
      <c r="E809" s="67" t="s">
        <v>5753</v>
      </c>
      <c r="F809" s="67" t="s">
        <v>5754</v>
      </c>
      <c r="G809" s="66" t="s">
        <v>4851</v>
      </c>
      <c r="H809" s="38" t="s">
        <v>5902</v>
      </c>
      <c r="I809" s="38" t="s">
        <v>5903</v>
      </c>
      <c r="J809" s="67" t="s">
        <v>5757</v>
      </c>
      <c r="K809" s="38" t="s">
        <v>5898</v>
      </c>
      <c r="L809" s="38"/>
      <c r="M809" s="56"/>
      <c r="N809" s="56" t="b">
        <v>0</v>
      </c>
      <c r="O809" s="56" t="b">
        <v>0</v>
      </c>
      <c r="P809" s="56"/>
      <c r="Q809" s="56"/>
      <c r="R809" s="56"/>
      <c r="S809" s="56"/>
      <c r="T809" s="56"/>
      <c r="U809" s="56"/>
      <c r="V809" s="56"/>
      <c r="W809" s="56"/>
      <c r="X809" s="56"/>
      <c r="Y809" s="56"/>
      <c r="Z809" s="56"/>
      <c r="AA809" s="56"/>
      <c r="AB809" s="56"/>
    </row>
    <row r="810" ht="15.75" customHeight="1">
      <c r="A810" s="169"/>
      <c r="B810" s="63"/>
      <c r="C810" s="38" t="s">
        <v>53</v>
      </c>
      <c r="D810" s="38" t="s">
        <v>52</v>
      </c>
      <c r="E810" s="38" t="s">
        <v>5888</v>
      </c>
      <c r="F810" s="65" t="s">
        <v>5889</v>
      </c>
      <c r="G810" s="66" t="s">
        <v>4887</v>
      </c>
      <c r="H810" s="38" t="s">
        <v>5904</v>
      </c>
      <c r="I810" s="38" t="s">
        <v>5890</v>
      </c>
      <c r="J810" s="38" t="s">
        <v>5891</v>
      </c>
      <c r="K810" s="38" t="s">
        <v>5898</v>
      </c>
      <c r="L810" s="38"/>
      <c r="M810" s="56"/>
      <c r="N810" s="56" t="b">
        <v>0</v>
      </c>
      <c r="O810" s="56" t="b">
        <v>0</v>
      </c>
      <c r="P810" s="56"/>
      <c r="Q810" s="56"/>
      <c r="R810" s="56"/>
      <c r="S810" s="56"/>
      <c r="T810" s="56"/>
      <c r="U810" s="56"/>
      <c r="V810" s="56"/>
      <c r="W810" s="56"/>
      <c r="X810" s="56"/>
      <c r="Y810" s="56"/>
      <c r="Z810" s="56"/>
      <c r="AA810" s="56"/>
      <c r="AB810" s="56"/>
    </row>
    <row r="811" ht="15.75" customHeight="1">
      <c r="A811" s="169"/>
      <c r="B811" s="63"/>
      <c r="C811" s="38" t="s">
        <v>53</v>
      </c>
      <c r="D811" s="62" t="s">
        <v>52</v>
      </c>
      <c r="E811" s="60" t="s">
        <v>965</v>
      </c>
      <c r="F811" s="60" t="s">
        <v>966</v>
      </c>
      <c r="G811" s="73" t="s">
        <v>4892</v>
      </c>
      <c r="H811" s="62" t="s">
        <v>5899</v>
      </c>
      <c r="I811" s="62" t="s">
        <v>5900</v>
      </c>
      <c r="J811" s="60" t="s">
        <v>968</v>
      </c>
      <c r="K811" s="38" t="s">
        <v>5905</v>
      </c>
      <c r="L811" s="38"/>
      <c r="M811" s="56"/>
      <c r="N811" s="56" t="b">
        <v>0</v>
      </c>
      <c r="O811" s="56" t="b">
        <v>0</v>
      </c>
      <c r="P811" s="56"/>
      <c r="Q811" s="56"/>
      <c r="R811" s="56"/>
      <c r="S811" s="56"/>
      <c r="T811" s="56"/>
      <c r="U811" s="56"/>
      <c r="V811" s="56"/>
      <c r="W811" s="56"/>
      <c r="X811" s="56"/>
      <c r="Y811" s="56"/>
      <c r="Z811" s="56"/>
      <c r="AA811" s="56"/>
      <c r="AB811" s="56"/>
    </row>
    <row r="812" ht="15.75" customHeight="1">
      <c r="A812" s="169"/>
      <c r="B812" s="63"/>
      <c r="C812" s="38" t="s">
        <v>53</v>
      </c>
      <c r="D812" s="38" t="s">
        <v>52</v>
      </c>
      <c r="E812" s="67" t="s">
        <v>3686</v>
      </c>
      <c r="F812" s="67" t="s">
        <v>3687</v>
      </c>
      <c r="G812" s="66" t="s">
        <v>4899</v>
      </c>
      <c r="H812" s="38" t="s">
        <v>5906</v>
      </c>
      <c r="I812" s="38" t="s">
        <v>5907</v>
      </c>
      <c r="J812" s="67" t="s">
        <v>3689</v>
      </c>
      <c r="K812" s="38" t="s">
        <v>5898</v>
      </c>
      <c r="L812" s="38"/>
      <c r="M812" s="56"/>
      <c r="N812" s="56" t="b">
        <v>0</v>
      </c>
      <c r="O812" s="56" t="b">
        <v>0</v>
      </c>
      <c r="P812" s="56"/>
      <c r="Q812" s="56"/>
      <c r="R812" s="56"/>
      <c r="S812" s="56"/>
      <c r="T812" s="56"/>
      <c r="U812" s="56"/>
      <c r="V812" s="56"/>
      <c r="W812" s="56"/>
      <c r="X812" s="56"/>
      <c r="Y812" s="56"/>
      <c r="Z812" s="56"/>
      <c r="AA812" s="56"/>
      <c r="AB812" s="56"/>
    </row>
    <row r="813" ht="15.75" customHeight="1">
      <c r="A813" s="169"/>
      <c r="B813" s="63"/>
      <c r="C813" s="38" t="s">
        <v>53</v>
      </c>
      <c r="D813" s="62" t="s">
        <v>52</v>
      </c>
      <c r="E813" s="60" t="s">
        <v>4130</v>
      </c>
      <c r="F813" s="60" t="s">
        <v>4131</v>
      </c>
      <c r="G813" s="73" t="s">
        <v>4997</v>
      </c>
      <c r="H813" s="62" t="s">
        <v>5908</v>
      </c>
      <c r="I813" s="60" t="s">
        <v>5909</v>
      </c>
      <c r="J813" s="60" t="s">
        <v>4133</v>
      </c>
      <c r="K813" s="38" t="s">
        <v>5898</v>
      </c>
      <c r="L813" s="38"/>
      <c r="M813" s="56"/>
      <c r="N813" s="56" t="b">
        <v>0</v>
      </c>
      <c r="O813" s="56" t="b">
        <v>0</v>
      </c>
      <c r="P813" s="56"/>
      <c r="Q813" s="56"/>
      <c r="R813" s="56"/>
      <c r="S813" s="56"/>
      <c r="T813" s="56"/>
      <c r="U813" s="56"/>
      <c r="V813" s="56"/>
      <c r="W813" s="56"/>
      <c r="X813" s="56"/>
      <c r="Y813" s="56"/>
      <c r="Z813" s="56"/>
      <c r="AA813" s="56"/>
      <c r="AB813" s="56"/>
    </row>
    <row r="814" ht="15.75" customHeight="1">
      <c r="A814" s="169"/>
      <c r="B814" s="69"/>
      <c r="C814" s="38" t="s">
        <v>53</v>
      </c>
      <c r="D814" s="62" t="s">
        <v>52</v>
      </c>
      <c r="E814" s="60" t="s">
        <v>3590</v>
      </c>
      <c r="F814" s="60" t="s">
        <v>3591</v>
      </c>
      <c r="G814" s="73" t="s">
        <v>5910</v>
      </c>
      <c r="H814" s="62" t="s">
        <v>5911</v>
      </c>
      <c r="I814" s="62" t="s">
        <v>5912</v>
      </c>
      <c r="J814" s="60" t="s">
        <v>3593</v>
      </c>
      <c r="K814" s="38" t="s">
        <v>5898</v>
      </c>
      <c r="L814" s="38"/>
      <c r="M814" s="56"/>
      <c r="N814" s="56" t="b">
        <v>0</v>
      </c>
      <c r="O814" s="56" t="b">
        <v>0</v>
      </c>
      <c r="P814" s="56"/>
      <c r="Q814" s="56"/>
      <c r="R814" s="56"/>
      <c r="S814" s="56"/>
      <c r="T814" s="56"/>
      <c r="U814" s="56"/>
      <c r="V814" s="56"/>
      <c r="W814" s="56"/>
      <c r="X814" s="56"/>
      <c r="Y814" s="56"/>
      <c r="Z814" s="56"/>
      <c r="AA814" s="56"/>
      <c r="AB814" s="56"/>
    </row>
    <row r="815" ht="15.75" customHeight="1">
      <c r="A815" s="169"/>
      <c r="B815" s="161"/>
      <c r="C815" s="52">
        <v>44410.0</v>
      </c>
      <c r="D815" s="38"/>
      <c r="E815" s="38"/>
      <c r="F815" s="65"/>
      <c r="G815" s="66"/>
      <c r="H815" s="38"/>
      <c r="I815" s="38"/>
      <c r="J815" s="38"/>
      <c r="K815" s="38"/>
      <c r="L815" s="38"/>
      <c r="M815" s="56"/>
      <c r="N815" s="56" t="b">
        <v>0</v>
      </c>
      <c r="O815" s="56" t="b">
        <v>0</v>
      </c>
      <c r="P815" s="56"/>
      <c r="Q815" s="56"/>
      <c r="R815" s="56"/>
      <c r="S815" s="56"/>
      <c r="T815" s="56"/>
      <c r="U815" s="56"/>
      <c r="V815" s="56"/>
      <c r="W815" s="56"/>
      <c r="X815" s="56"/>
      <c r="Y815" s="56"/>
      <c r="Z815" s="56"/>
      <c r="AA815" s="56"/>
      <c r="AB815" s="56"/>
    </row>
    <row r="816" ht="15.75" customHeight="1">
      <c r="A816" s="169"/>
      <c r="B816" s="58" t="s">
        <v>4836</v>
      </c>
      <c r="C816" s="38" t="s">
        <v>53</v>
      </c>
      <c r="D816" s="38"/>
      <c r="E816" s="38"/>
      <c r="F816" s="65"/>
      <c r="G816" s="66"/>
      <c r="H816" s="38"/>
      <c r="I816" s="38"/>
      <c r="J816" s="38"/>
      <c r="K816" s="38"/>
      <c r="L816" s="38"/>
      <c r="M816" s="56"/>
      <c r="N816" s="56" t="b">
        <v>0</v>
      </c>
      <c r="O816" s="56" t="b">
        <v>0</v>
      </c>
      <c r="P816" s="56"/>
      <c r="Q816" s="56"/>
      <c r="R816" s="56"/>
      <c r="S816" s="56"/>
      <c r="T816" s="56"/>
      <c r="U816" s="56"/>
      <c r="V816" s="56"/>
      <c r="W816" s="56"/>
      <c r="X816" s="56"/>
      <c r="Y816" s="56"/>
      <c r="Z816" s="56"/>
      <c r="AA816" s="56"/>
      <c r="AB816" s="56"/>
    </row>
    <row r="817" ht="15.75" customHeight="1">
      <c r="A817" s="169"/>
      <c r="B817" s="63"/>
      <c r="C817" s="38" t="s">
        <v>53</v>
      </c>
      <c r="D817" s="38" t="s">
        <v>1470</v>
      </c>
      <c r="E817" s="77" t="s">
        <v>4265</v>
      </c>
      <c r="F817" s="77" t="s">
        <v>4266</v>
      </c>
      <c r="G817" s="82" t="s">
        <v>5704</v>
      </c>
      <c r="H817" s="76" t="s">
        <v>5182</v>
      </c>
      <c r="I817" s="76" t="s">
        <v>5913</v>
      </c>
      <c r="J817" s="77" t="s">
        <v>4268</v>
      </c>
      <c r="K817" s="38" t="s">
        <v>5914</v>
      </c>
      <c r="L817" s="38"/>
      <c r="M817" s="56"/>
      <c r="N817" s="56" t="b">
        <v>0</v>
      </c>
      <c r="O817" s="56" t="b">
        <v>0</v>
      </c>
      <c r="P817" s="56"/>
      <c r="Q817" s="56"/>
      <c r="R817" s="56"/>
      <c r="S817" s="56"/>
      <c r="T817" s="56"/>
      <c r="U817" s="56"/>
      <c r="V817" s="56"/>
      <c r="W817" s="56"/>
      <c r="X817" s="56"/>
      <c r="Y817" s="56"/>
      <c r="Z817" s="56"/>
      <c r="AA817" s="56"/>
      <c r="AB817" s="56"/>
    </row>
    <row r="818" ht="15.75" customHeight="1">
      <c r="A818" s="169"/>
      <c r="B818" s="63"/>
      <c r="C818" s="38" t="s">
        <v>53</v>
      </c>
      <c r="D818" s="38" t="s">
        <v>1470</v>
      </c>
      <c r="E818" s="67" t="s">
        <v>1961</v>
      </c>
      <c r="F818" s="67" t="s">
        <v>1962</v>
      </c>
      <c r="G818" s="66" t="s">
        <v>4856</v>
      </c>
      <c r="H818" s="38" t="s">
        <v>5517</v>
      </c>
      <c r="I818" s="38" t="s">
        <v>5915</v>
      </c>
      <c r="J818" s="67" t="s">
        <v>1964</v>
      </c>
      <c r="K818" s="38" t="s">
        <v>5916</v>
      </c>
      <c r="L818" s="38"/>
      <c r="M818" s="56"/>
      <c r="N818" s="56" t="b">
        <v>0</v>
      </c>
      <c r="O818" s="56" t="b">
        <v>0</v>
      </c>
      <c r="P818" s="56"/>
      <c r="Q818" s="56"/>
      <c r="R818" s="56"/>
      <c r="S818" s="56"/>
      <c r="T818" s="56"/>
      <c r="U818" s="56"/>
      <c r="V818" s="56"/>
      <c r="W818" s="56"/>
      <c r="X818" s="56"/>
      <c r="Y818" s="56"/>
      <c r="Z818" s="56"/>
      <c r="AA818" s="56"/>
      <c r="AB818" s="56"/>
    </row>
    <row r="819" ht="15.75" customHeight="1">
      <c r="A819" s="169"/>
      <c r="B819" s="63"/>
      <c r="C819" s="38" t="s">
        <v>53</v>
      </c>
      <c r="D819" s="38" t="s">
        <v>1470</v>
      </c>
      <c r="E819" s="67" t="s">
        <v>5917</v>
      </c>
      <c r="F819" s="67" t="s">
        <v>5918</v>
      </c>
      <c r="G819" s="66" t="s">
        <v>4858</v>
      </c>
      <c r="H819" s="38" t="s">
        <v>5574</v>
      </c>
      <c r="I819" s="38" t="s">
        <v>5919</v>
      </c>
      <c r="J819" s="67" t="s">
        <v>2092</v>
      </c>
      <c r="K819" s="38" t="s">
        <v>5898</v>
      </c>
      <c r="L819" s="38"/>
      <c r="M819" s="56"/>
      <c r="N819" s="56" t="b">
        <v>0</v>
      </c>
      <c r="O819" s="56" t="b">
        <v>0</v>
      </c>
      <c r="P819" s="56"/>
      <c r="Q819" s="56"/>
      <c r="R819" s="56"/>
      <c r="S819" s="56"/>
      <c r="T819" s="56"/>
      <c r="U819" s="56"/>
      <c r="V819" s="56"/>
      <c r="W819" s="56"/>
      <c r="X819" s="56"/>
      <c r="Y819" s="56"/>
      <c r="Z819" s="56"/>
      <c r="AA819" s="56"/>
      <c r="AB819" s="56"/>
    </row>
    <row r="820" ht="15.75" customHeight="1">
      <c r="A820" s="169"/>
      <c r="B820" s="63"/>
      <c r="C820" s="38" t="s">
        <v>53</v>
      </c>
      <c r="D820" s="38" t="s">
        <v>1470</v>
      </c>
      <c r="E820" s="67" t="s">
        <v>1008</v>
      </c>
      <c r="F820" s="67" t="s">
        <v>1009</v>
      </c>
      <c r="G820" s="66" t="s">
        <v>5089</v>
      </c>
      <c r="H820" s="38" t="s">
        <v>5182</v>
      </c>
      <c r="I820" s="38" t="s">
        <v>5920</v>
      </c>
      <c r="J820" s="67" t="s">
        <v>1011</v>
      </c>
      <c r="K820" s="38" t="s">
        <v>5898</v>
      </c>
      <c r="L820" s="38"/>
      <c r="M820" s="56"/>
      <c r="N820" s="56" t="b">
        <v>0</v>
      </c>
      <c r="O820" s="56" t="b">
        <v>0</v>
      </c>
      <c r="P820" s="56"/>
      <c r="Q820" s="56"/>
      <c r="R820" s="56"/>
      <c r="S820" s="56"/>
      <c r="T820" s="56"/>
      <c r="U820" s="56"/>
      <c r="V820" s="56"/>
      <c r="W820" s="56"/>
      <c r="X820" s="56"/>
      <c r="Y820" s="56"/>
      <c r="Z820" s="56"/>
      <c r="AA820" s="56"/>
      <c r="AB820" s="56"/>
    </row>
    <row r="821" ht="15.75" customHeight="1">
      <c r="A821" s="169"/>
      <c r="B821" s="69"/>
      <c r="C821" s="38" t="s">
        <v>53</v>
      </c>
      <c r="D821" s="38"/>
      <c r="E821" s="38"/>
      <c r="F821" s="65"/>
      <c r="G821" s="66"/>
      <c r="H821" s="38"/>
      <c r="I821" s="38"/>
      <c r="J821" s="38"/>
      <c r="K821" s="38"/>
      <c r="L821" s="38"/>
      <c r="M821" s="56"/>
      <c r="N821" s="56" t="b">
        <v>0</v>
      </c>
      <c r="O821" s="56" t="b">
        <v>0</v>
      </c>
      <c r="P821" s="56"/>
      <c r="Q821" s="56"/>
      <c r="R821" s="56"/>
      <c r="S821" s="56"/>
      <c r="T821" s="56"/>
      <c r="U821" s="56"/>
      <c r="V821" s="56"/>
      <c r="W821" s="56"/>
      <c r="X821" s="56"/>
      <c r="Y821" s="56"/>
      <c r="Z821" s="56"/>
      <c r="AA821" s="56"/>
      <c r="AB821" s="56"/>
    </row>
    <row r="822" ht="15.75" customHeight="1">
      <c r="A822" s="169"/>
      <c r="B822" s="161"/>
      <c r="C822" s="52">
        <v>44413.0</v>
      </c>
      <c r="D822" s="38"/>
      <c r="E822" s="38"/>
      <c r="F822" s="127" t="s">
        <v>5921</v>
      </c>
      <c r="G822" s="66"/>
      <c r="H822" s="38"/>
      <c r="I822" s="38"/>
      <c r="J822" s="38"/>
      <c r="K822" s="38"/>
      <c r="L822" s="38"/>
      <c r="M822" s="56"/>
      <c r="N822" s="56" t="b">
        <v>0</v>
      </c>
      <c r="O822" s="56" t="b">
        <v>0</v>
      </c>
      <c r="P822" s="56"/>
      <c r="Q822" s="56"/>
      <c r="R822" s="56"/>
      <c r="S822" s="56"/>
      <c r="T822" s="56"/>
      <c r="U822" s="56"/>
      <c r="V822" s="56"/>
      <c r="W822" s="56"/>
      <c r="X822" s="56"/>
      <c r="Y822" s="56"/>
      <c r="Z822" s="56"/>
      <c r="AA822" s="56"/>
      <c r="AB822" s="56"/>
    </row>
    <row r="823" ht="15.75" customHeight="1">
      <c r="A823" s="169"/>
      <c r="B823" s="58" t="s">
        <v>4836</v>
      </c>
      <c r="C823" s="38" t="s">
        <v>53</v>
      </c>
      <c r="D823" s="38" t="s">
        <v>171</v>
      </c>
      <c r="E823" s="67" t="s">
        <v>4585</v>
      </c>
      <c r="F823" s="67" t="s">
        <v>4586</v>
      </c>
      <c r="G823" s="66" t="s">
        <v>5704</v>
      </c>
      <c r="H823" s="38" t="s">
        <v>5922</v>
      </c>
      <c r="I823" s="67" t="s">
        <v>5923</v>
      </c>
      <c r="J823" s="67" t="s">
        <v>4588</v>
      </c>
      <c r="K823" s="38" t="s">
        <v>5528</v>
      </c>
      <c r="L823" s="38"/>
      <c r="M823" s="56"/>
      <c r="N823" s="56" t="b">
        <v>0</v>
      </c>
      <c r="O823" s="56" t="b">
        <v>0</v>
      </c>
      <c r="P823" s="56"/>
      <c r="Q823" s="56"/>
      <c r="R823" s="56"/>
      <c r="S823" s="56"/>
      <c r="T823" s="56"/>
      <c r="U823" s="56"/>
      <c r="V823" s="56"/>
      <c r="W823" s="56"/>
      <c r="X823" s="56"/>
      <c r="Y823" s="56"/>
      <c r="Z823" s="56"/>
      <c r="AA823" s="56"/>
      <c r="AB823" s="56"/>
    </row>
    <row r="824" ht="15.75" customHeight="1">
      <c r="A824" s="169"/>
      <c r="B824" s="63"/>
      <c r="C824" s="38" t="s">
        <v>53</v>
      </c>
      <c r="D824" s="38" t="s">
        <v>52</v>
      </c>
      <c r="E824" s="67" t="s">
        <v>1758</v>
      </c>
      <c r="F824" s="67" t="s">
        <v>1759</v>
      </c>
      <c r="G824" s="66" t="s">
        <v>5134</v>
      </c>
      <c r="H824" s="38" t="s">
        <v>5924</v>
      </c>
      <c r="I824" s="38" t="s">
        <v>5925</v>
      </c>
      <c r="J824" s="67" t="s">
        <v>1761</v>
      </c>
      <c r="K824" s="38"/>
      <c r="L824" s="38"/>
      <c r="M824" s="56"/>
      <c r="N824" s="56" t="b">
        <v>0</v>
      </c>
      <c r="O824" s="56" t="b">
        <v>0</v>
      </c>
      <c r="P824" s="56"/>
      <c r="Q824" s="56"/>
      <c r="R824" s="56"/>
      <c r="S824" s="56"/>
      <c r="T824" s="56"/>
      <c r="U824" s="56"/>
      <c r="V824" s="56"/>
      <c r="W824" s="56"/>
      <c r="X824" s="56"/>
      <c r="Y824" s="56"/>
      <c r="Z824" s="56"/>
      <c r="AA824" s="56"/>
      <c r="AB824" s="56"/>
    </row>
    <row r="825" ht="15.75" customHeight="1">
      <c r="A825" s="169"/>
      <c r="B825" s="63"/>
      <c r="C825" s="38" t="s">
        <v>53</v>
      </c>
      <c r="D825" s="38" t="s">
        <v>52</v>
      </c>
      <c r="E825" s="38" t="s">
        <v>1961</v>
      </c>
      <c r="F825" s="65" t="s">
        <v>1962</v>
      </c>
      <c r="G825" s="66" t="s">
        <v>4856</v>
      </c>
      <c r="H825" s="38" t="s">
        <v>5924</v>
      </c>
      <c r="I825" s="38" t="s">
        <v>5915</v>
      </c>
      <c r="J825" s="38" t="s">
        <v>1964</v>
      </c>
      <c r="K825" s="38" t="s">
        <v>5528</v>
      </c>
      <c r="L825" s="38"/>
      <c r="M825" s="56"/>
      <c r="N825" s="56" t="b">
        <v>0</v>
      </c>
      <c r="O825" s="56" t="b">
        <v>0</v>
      </c>
      <c r="P825" s="56"/>
      <c r="Q825" s="56"/>
      <c r="R825" s="56"/>
      <c r="S825" s="56"/>
      <c r="T825" s="56"/>
      <c r="U825" s="56"/>
      <c r="V825" s="56"/>
      <c r="W825" s="56"/>
      <c r="X825" s="56"/>
      <c r="Y825" s="56"/>
      <c r="Z825" s="56"/>
      <c r="AA825" s="56"/>
      <c r="AB825" s="56"/>
    </row>
    <row r="826" ht="15.75" customHeight="1">
      <c r="A826" s="169"/>
      <c r="B826" s="63"/>
      <c r="C826" s="38" t="s">
        <v>53</v>
      </c>
      <c r="D826" s="38" t="s">
        <v>171</v>
      </c>
      <c r="E826" s="57" t="s">
        <v>1564</v>
      </c>
      <c r="F826" s="57" t="s">
        <v>1565</v>
      </c>
      <c r="G826" s="66" t="s">
        <v>4892</v>
      </c>
      <c r="H826" s="38" t="s">
        <v>4994</v>
      </c>
      <c r="I826" s="38" t="s">
        <v>5926</v>
      </c>
      <c r="J826" s="67" t="s">
        <v>5790</v>
      </c>
      <c r="K826" s="38" t="s">
        <v>5528</v>
      </c>
      <c r="L826" s="38"/>
      <c r="M826" s="56"/>
      <c r="N826" s="56" t="b">
        <v>0</v>
      </c>
      <c r="O826" s="56" t="b">
        <v>0</v>
      </c>
      <c r="P826" s="56"/>
      <c r="Q826" s="56"/>
      <c r="R826" s="56"/>
      <c r="S826" s="56"/>
      <c r="T826" s="56"/>
      <c r="U826" s="56"/>
      <c r="V826" s="56"/>
      <c r="W826" s="56"/>
      <c r="X826" s="56"/>
      <c r="Y826" s="56"/>
      <c r="Z826" s="56"/>
      <c r="AA826" s="56"/>
      <c r="AB826" s="56"/>
    </row>
    <row r="827" ht="15.75" customHeight="1">
      <c r="A827" s="169"/>
      <c r="B827" s="63"/>
      <c r="C827" s="38" t="s">
        <v>53</v>
      </c>
      <c r="D827" s="38" t="s">
        <v>171</v>
      </c>
      <c r="E827" s="57" t="s">
        <v>5927</v>
      </c>
      <c r="F827" s="57" t="s">
        <v>5928</v>
      </c>
      <c r="G827" s="66" t="s">
        <v>4858</v>
      </c>
      <c r="H827" s="38" t="s">
        <v>4984</v>
      </c>
      <c r="I827" s="38" t="s">
        <v>5929</v>
      </c>
      <c r="J827" s="67" t="s">
        <v>5930</v>
      </c>
      <c r="K827" s="38"/>
      <c r="L827" s="38"/>
      <c r="M827" s="56"/>
      <c r="N827" s="56" t="b">
        <v>0</v>
      </c>
      <c r="O827" s="56" t="b">
        <v>0</v>
      </c>
      <c r="P827" s="56"/>
      <c r="Q827" s="56"/>
      <c r="R827" s="56"/>
      <c r="S827" s="56"/>
      <c r="T827" s="56"/>
      <c r="U827" s="56"/>
      <c r="V827" s="56"/>
      <c r="W827" s="56"/>
      <c r="X827" s="56"/>
      <c r="Y827" s="56"/>
      <c r="Z827" s="56"/>
      <c r="AA827" s="56"/>
      <c r="AB827" s="56"/>
    </row>
    <row r="828" ht="15.75" customHeight="1">
      <c r="A828" s="169"/>
      <c r="B828" s="63"/>
      <c r="C828" s="38" t="s">
        <v>53</v>
      </c>
      <c r="D828" s="38" t="s">
        <v>171</v>
      </c>
      <c r="E828" s="67" t="s">
        <v>3325</v>
      </c>
      <c r="F828" s="67" t="s">
        <v>3326</v>
      </c>
      <c r="G828" s="66" t="s">
        <v>4847</v>
      </c>
      <c r="H828" s="38" t="s">
        <v>4990</v>
      </c>
      <c r="I828" s="67" t="s">
        <v>5931</v>
      </c>
      <c r="J828" s="67" t="s">
        <v>3328</v>
      </c>
      <c r="K828" s="38" t="s">
        <v>5528</v>
      </c>
      <c r="L828" s="38"/>
      <c r="M828" s="56"/>
      <c r="N828" s="56" t="b">
        <v>0</v>
      </c>
      <c r="O828" s="56" t="b">
        <v>0</v>
      </c>
      <c r="P828" s="56"/>
      <c r="Q828" s="56"/>
      <c r="R828" s="56"/>
      <c r="S828" s="56"/>
      <c r="T828" s="56"/>
      <c r="U828" s="56"/>
      <c r="V828" s="56"/>
      <c r="W828" s="56"/>
      <c r="X828" s="56"/>
      <c r="Y828" s="56"/>
      <c r="Z828" s="56"/>
      <c r="AA828" s="56"/>
      <c r="AB828" s="56"/>
    </row>
    <row r="829" ht="15.75" customHeight="1">
      <c r="A829" s="169"/>
      <c r="B829" s="69"/>
      <c r="C829" s="38" t="s">
        <v>53</v>
      </c>
      <c r="D829" s="38" t="s">
        <v>171</v>
      </c>
      <c r="E829" s="57" t="s">
        <v>5519</v>
      </c>
      <c r="F829" s="57" t="s">
        <v>2570</v>
      </c>
      <c r="G829" s="66" t="s">
        <v>5932</v>
      </c>
      <c r="H829" s="57" t="s">
        <v>5933</v>
      </c>
      <c r="I829" s="57" t="s">
        <v>5934</v>
      </c>
      <c r="J829" s="57" t="s">
        <v>5935</v>
      </c>
      <c r="K829" s="38" t="s">
        <v>5936</v>
      </c>
      <c r="L829" s="38"/>
      <c r="M829" s="56"/>
      <c r="N829" s="56" t="b">
        <v>0</v>
      </c>
      <c r="O829" s="56" t="b">
        <v>0</v>
      </c>
      <c r="P829" s="56"/>
      <c r="Q829" s="56"/>
      <c r="R829" s="56"/>
      <c r="S829" s="56"/>
      <c r="T829" s="56"/>
      <c r="U829" s="56"/>
      <c r="V829" s="56"/>
      <c r="W829" s="56"/>
      <c r="X829" s="56"/>
      <c r="Y829" s="56"/>
      <c r="Z829" s="56"/>
      <c r="AA829" s="56"/>
      <c r="AB829" s="56"/>
    </row>
    <row r="830" ht="15.75" customHeight="1">
      <c r="A830" s="169"/>
      <c r="B830" s="161"/>
      <c r="C830" s="52">
        <v>44417.0</v>
      </c>
      <c r="D830" s="38"/>
      <c r="E830" s="67"/>
      <c r="F830" s="67"/>
      <c r="G830" s="66"/>
      <c r="H830" s="38"/>
      <c r="I830" s="38"/>
      <c r="J830" s="38"/>
      <c r="K830" s="38"/>
      <c r="L830" s="38"/>
      <c r="M830" s="56"/>
      <c r="N830" s="56" t="b">
        <v>0</v>
      </c>
      <c r="O830" s="56" t="b">
        <v>0</v>
      </c>
      <c r="P830" s="56"/>
      <c r="Q830" s="56"/>
      <c r="R830" s="56"/>
      <c r="S830" s="56"/>
      <c r="T830" s="56"/>
      <c r="U830" s="56"/>
      <c r="V830" s="56"/>
      <c r="W830" s="56"/>
      <c r="X830" s="56"/>
      <c r="Y830" s="56"/>
      <c r="Z830" s="56"/>
      <c r="AA830" s="56"/>
      <c r="AB830" s="56"/>
    </row>
    <row r="831" ht="15.75" customHeight="1">
      <c r="A831" s="169"/>
      <c r="B831" s="58" t="s">
        <v>4836</v>
      </c>
      <c r="C831" s="38" t="s">
        <v>53</v>
      </c>
      <c r="D831" s="38"/>
      <c r="E831" s="38"/>
      <c r="F831" s="65"/>
      <c r="G831" s="66"/>
      <c r="H831" s="38"/>
      <c r="I831" s="38"/>
      <c r="J831" s="38"/>
      <c r="K831" s="38"/>
      <c r="L831" s="38"/>
      <c r="M831" s="56"/>
      <c r="N831" s="56" t="b">
        <v>0</v>
      </c>
      <c r="O831" s="56" t="b">
        <v>0</v>
      </c>
      <c r="P831" s="56"/>
      <c r="Q831" s="56"/>
      <c r="R831" s="56"/>
      <c r="S831" s="56"/>
      <c r="T831" s="56"/>
      <c r="U831" s="56"/>
      <c r="V831" s="56"/>
      <c r="W831" s="56"/>
      <c r="X831" s="56"/>
      <c r="Y831" s="56"/>
      <c r="Z831" s="56"/>
      <c r="AA831" s="56"/>
      <c r="AB831" s="56"/>
    </row>
    <row r="832" ht="15.75" customHeight="1">
      <c r="A832" s="169"/>
      <c r="B832" s="63"/>
      <c r="C832" s="38" t="s">
        <v>53</v>
      </c>
      <c r="D832" s="38"/>
      <c r="E832" s="38"/>
      <c r="F832" s="65"/>
      <c r="G832" s="66"/>
      <c r="H832" s="38"/>
      <c r="I832" s="38"/>
      <c r="J832" s="38"/>
      <c r="K832" s="38"/>
      <c r="L832" s="38"/>
      <c r="M832" s="56"/>
      <c r="N832" s="56" t="b">
        <v>0</v>
      </c>
      <c r="O832" s="56" t="b">
        <v>0</v>
      </c>
      <c r="P832" s="56"/>
      <c r="Q832" s="56"/>
      <c r="R832" s="56"/>
      <c r="S832" s="56"/>
      <c r="T832" s="56"/>
      <c r="U832" s="56"/>
      <c r="V832" s="56"/>
      <c r="W832" s="56"/>
      <c r="X832" s="56"/>
      <c r="Y832" s="56"/>
      <c r="Z832" s="56"/>
      <c r="AA832" s="56"/>
      <c r="AB832" s="56"/>
    </row>
    <row r="833" ht="15.75" customHeight="1">
      <c r="A833" s="169"/>
      <c r="B833" s="63"/>
      <c r="C833" s="38" t="s">
        <v>53</v>
      </c>
      <c r="D833" s="38" t="s">
        <v>52</v>
      </c>
      <c r="E833" s="67" t="s">
        <v>1615</v>
      </c>
      <c r="F833" s="67" t="s">
        <v>1616</v>
      </c>
      <c r="G833" s="66" t="s">
        <v>5704</v>
      </c>
      <c r="H833" s="38" t="s">
        <v>5017</v>
      </c>
      <c r="I833" s="38" t="s">
        <v>5937</v>
      </c>
      <c r="J833" s="67" t="s">
        <v>1618</v>
      </c>
      <c r="K833" s="38"/>
      <c r="L833" s="38"/>
      <c r="M833" s="56"/>
      <c r="N833" s="56" t="b">
        <v>0</v>
      </c>
      <c r="O833" s="56" t="b">
        <v>0</v>
      </c>
      <c r="P833" s="56"/>
      <c r="Q833" s="56"/>
      <c r="R833" s="56"/>
      <c r="S833" s="56"/>
      <c r="T833" s="56"/>
      <c r="U833" s="56"/>
      <c r="V833" s="56"/>
      <c r="W833" s="56"/>
      <c r="X833" s="56"/>
      <c r="Y833" s="56"/>
      <c r="Z833" s="56"/>
      <c r="AA833" s="56"/>
      <c r="AB833" s="56"/>
    </row>
    <row r="834" ht="15.75" customHeight="1">
      <c r="A834" s="169"/>
      <c r="B834" s="63"/>
      <c r="C834" s="38" t="s">
        <v>53</v>
      </c>
      <c r="D834" s="38" t="s">
        <v>52</v>
      </c>
      <c r="E834" s="67" t="s">
        <v>3351</v>
      </c>
      <c r="F834" s="67" t="s">
        <v>3352</v>
      </c>
      <c r="G834" s="66" t="s">
        <v>5134</v>
      </c>
      <c r="H834" s="38" t="s">
        <v>5938</v>
      </c>
      <c r="I834" s="38" t="s">
        <v>5939</v>
      </c>
      <c r="J834" s="67" t="s">
        <v>3354</v>
      </c>
      <c r="K834" s="38"/>
      <c r="L834" s="38"/>
      <c r="M834" s="56"/>
      <c r="N834" s="56" t="b">
        <v>0</v>
      </c>
      <c r="O834" s="56" t="b">
        <v>0</v>
      </c>
      <c r="P834" s="56"/>
      <c r="Q834" s="56"/>
      <c r="R834" s="56"/>
      <c r="S834" s="56"/>
      <c r="T834" s="56"/>
      <c r="U834" s="56"/>
      <c r="V834" s="56"/>
      <c r="W834" s="56"/>
      <c r="X834" s="56"/>
      <c r="Y834" s="56"/>
      <c r="Z834" s="56"/>
      <c r="AA834" s="56"/>
      <c r="AB834" s="56"/>
    </row>
    <row r="835" ht="15.75" customHeight="1">
      <c r="A835" s="169"/>
      <c r="B835" s="63"/>
      <c r="C835" s="38" t="s">
        <v>53</v>
      </c>
      <c r="D835" s="62" t="s">
        <v>52</v>
      </c>
      <c r="E835" s="60" t="s">
        <v>1816</v>
      </c>
      <c r="F835" s="60" t="s">
        <v>1817</v>
      </c>
      <c r="G835" s="73" t="s">
        <v>4856</v>
      </c>
      <c r="H835" s="62" t="s">
        <v>5940</v>
      </c>
      <c r="I835" s="83" t="s">
        <v>5941</v>
      </c>
      <c r="J835" s="60" t="s">
        <v>1819</v>
      </c>
      <c r="K835" s="38"/>
      <c r="L835" s="38"/>
      <c r="M835" s="56"/>
      <c r="N835" s="56" t="b">
        <v>0</v>
      </c>
      <c r="O835" s="56" t="b">
        <v>0</v>
      </c>
      <c r="P835" s="56"/>
      <c r="Q835" s="56"/>
      <c r="R835" s="56"/>
      <c r="S835" s="56"/>
      <c r="T835" s="56"/>
      <c r="U835" s="56"/>
      <c r="V835" s="56"/>
      <c r="W835" s="56"/>
      <c r="X835" s="56"/>
      <c r="Y835" s="56"/>
      <c r="Z835" s="56"/>
      <c r="AA835" s="56"/>
      <c r="AB835" s="56"/>
    </row>
    <row r="836" ht="15.75" customHeight="1">
      <c r="A836" s="169"/>
      <c r="B836" s="63"/>
      <c r="C836" s="38" t="s">
        <v>53</v>
      </c>
      <c r="D836" s="62" t="s">
        <v>52</v>
      </c>
      <c r="E836" s="60" t="s">
        <v>5942</v>
      </c>
      <c r="F836" s="60" t="s">
        <v>5943</v>
      </c>
      <c r="G836" s="73" t="s">
        <v>4858</v>
      </c>
      <c r="H836" s="62" t="s">
        <v>5944</v>
      </c>
      <c r="I836" s="62" t="s">
        <v>5945</v>
      </c>
      <c r="J836" s="60" t="s">
        <v>5946</v>
      </c>
      <c r="K836" s="38"/>
      <c r="L836" s="38"/>
      <c r="M836" s="56"/>
      <c r="N836" s="56" t="b">
        <v>0</v>
      </c>
      <c r="O836" s="56" t="b">
        <v>0</v>
      </c>
      <c r="P836" s="56"/>
      <c r="Q836" s="56"/>
      <c r="R836" s="56"/>
      <c r="S836" s="56"/>
      <c r="T836" s="56"/>
      <c r="U836" s="56"/>
      <c r="V836" s="56"/>
      <c r="W836" s="56"/>
      <c r="X836" s="56"/>
      <c r="Y836" s="56"/>
      <c r="Z836" s="56"/>
      <c r="AA836" s="56"/>
      <c r="AB836" s="56"/>
    </row>
    <row r="837" ht="15.75" customHeight="1">
      <c r="A837" s="169"/>
      <c r="B837" s="69"/>
      <c r="C837" s="38" t="s">
        <v>53</v>
      </c>
      <c r="D837" s="38" t="s">
        <v>52</v>
      </c>
      <c r="E837" s="77" t="s">
        <v>3785</v>
      </c>
      <c r="F837" s="77" t="s">
        <v>3786</v>
      </c>
      <c r="G837" s="82" t="s">
        <v>5089</v>
      </c>
      <c r="H837" s="76" t="s">
        <v>5940</v>
      </c>
      <c r="I837" s="97" t="s">
        <v>5947</v>
      </c>
      <c r="J837" s="77" t="s">
        <v>3788</v>
      </c>
      <c r="K837" s="38" t="s">
        <v>5948</v>
      </c>
      <c r="L837" s="38"/>
      <c r="M837" s="56"/>
      <c r="N837" s="56" t="b">
        <v>0</v>
      </c>
      <c r="O837" s="56" t="b">
        <v>0</v>
      </c>
      <c r="P837" s="56"/>
      <c r="Q837" s="56"/>
      <c r="R837" s="56"/>
      <c r="S837" s="56"/>
      <c r="T837" s="56"/>
      <c r="U837" s="56"/>
      <c r="V837" s="56"/>
      <c r="W837" s="56"/>
      <c r="X837" s="56"/>
      <c r="Y837" s="56"/>
      <c r="Z837" s="56"/>
      <c r="AA837" s="56"/>
      <c r="AB837" s="56"/>
    </row>
    <row r="838" ht="15.75" customHeight="1">
      <c r="A838" s="169"/>
      <c r="B838" s="118"/>
      <c r="C838" s="38" t="s">
        <v>53</v>
      </c>
      <c r="D838" s="38"/>
      <c r="E838" s="38"/>
      <c r="F838" s="65"/>
      <c r="G838" s="66"/>
      <c r="H838" s="38"/>
      <c r="I838" s="38"/>
      <c r="J838" s="38"/>
      <c r="K838" s="38"/>
      <c r="L838" s="38"/>
      <c r="M838" s="56"/>
      <c r="N838" s="56" t="b">
        <v>0</v>
      </c>
      <c r="O838" s="56" t="b">
        <v>0</v>
      </c>
      <c r="P838" s="56"/>
      <c r="Q838" s="56"/>
      <c r="R838" s="56"/>
      <c r="S838" s="56"/>
      <c r="T838" s="56"/>
      <c r="U838" s="56"/>
      <c r="V838" s="56"/>
      <c r="W838" s="56"/>
      <c r="X838" s="56"/>
      <c r="Y838" s="56"/>
      <c r="Z838" s="56"/>
      <c r="AA838" s="56"/>
      <c r="AB838" s="56"/>
    </row>
    <row r="839" ht="15.75" customHeight="1">
      <c r="A839" s="169"/>
      <c r="B839" s="161"/>
      <c r="C839" s="52">
        <v>44420.0</v>
      </c>
      <c r="D839" s="38"/>
      <c r="E839" s="38"/>
      <c r="F839" s="65"/>
      <c r="G839" s="66"/>
      <c r="H839" s="38"/>
      <c r="I839" s="38"/>
      <c r="J839" s="38"/>
      <c r="K839" s="38"/>
      <c r="L839" s="38"/>
      <c r="M839" s="56"/>
      <c r="N839" s="56" t="b">
        <v>0</v>
      </c>
      <c r="O839" s="56" t="b">
        <v>0</v>
      </c>
      <c r="P839" s="56"/>
      <c r="Q839" s="56"/>
      <c r="R839" s="56"/>
      <c r="S839" s="56"/>
      <c r="T839" s="56"/>
      <c r="U839" s="56"/>
      <c r="V839" s="56"/>
      <c r="W839" s="56"/>
      <c r="X839" s="56"/>
      <c r="Y839" s="56"/>
      <c r="Z839" s="56"/>
      <c r="AA839" s="56"/>
      <c r="AB839" s="56"/>
    </row>
    <row r="840" ht="15.75" customHeight="1">
      <c r="A840" s="169"/>
      <c r="B840" s="118"/>
      <c r="C840" s="38" t="s">
        <v>53</v>
      </c>
      <c r="D840" s="38" t="s">
        <v>52</v>
      </c>
      <c r="E840" s="67" t="s">
        <v>1615</v>
      </c>
      <c r="F840" s="67" t="s">
        <v>1616</v>
      </c>
      <c r="G840" s="66" t="s">
        <v>5949</v>
      </c>
      <c r="H840" s="38" t="s">
        <v>5017</v>
      </c>
      <c r="I840" s="38" t="s">
        <v>5937</v>
      </c>
      <c r="J840" s="67" t="s">
        <v>1618</v>
      </c>
      <c r="K840" s="38" t="s">
        <v>5950</v>
      </c>
      <c r="L840" s="38"/>
      <c r="M840" s="56"/>
      <c r="N840" s="56" t="b">
        <v>0</v>
      </c>
      <c r="O840" s="56" t="b">
        <v>0</v>
      </c>
      <c r="P840" s="56"/>
      <c r="Q840" s="56"/>
      <c r="R840" s="56"/>
      <c r="S840" s="56"/>
      <c r="T840" s="56"/>
      <c r="U840" s="56"/>
      <c r="V840" s="56"/>
      <c r="W840" s="56"/>
      <c r="X840" s="56"/>
      <c r="Y840" s="56"/>
      <c r="Z840" s="56"/>
      <c r="AA840" s="56"/>
      <c r="AB840" s="56"/>
    </row>
    <row r="841" ht="15.75" customHeight="1">
      <c r="A841" s="169"/>
      <c r="B841" s="58" t="s">
        <v>4836</v>
      </c>
      <c r="C841" s="38" t="s">
        <v>53</v>
      </c>
      <c r="D841" s="38" t="s">
        <v>5951</v>
      </c>
      <c r="E841" s="38" t="s">
        <v>1785</v>
      </c>
      <c r="F841" s="65" t="s">
        <v>1786</v>
      </c>
      <c r="G841" s="66" t="s">
        <v>5704</v>
      </c>
      <c r="H841" s="38" t="s">
        <v>5188</v>
      </c>
      <c r="I841" s="38" t="s">
        <v>5952</v>
      </c>
      <c r="J841" s="38" t="s">
        <v>1788</v>
      </c>
      <c r="K841" s="38" t="s">
        <v>5953</v>
      </c>
      <c r="L841" s="38"/>
      <c r="M841" s="56"/>
      <c r="N841" s="56" t="b">
        <v>0</v>
      </c>
      <c r="O841" s="56" t="b">
        <v>0</v>
      </c>
      <c r="P841" s="56"/>
      <c r="Q841" s="56"/>
      <c r="R841" s="56"/>
      <c r="S841" s="56"/>
      <c r="T841" s="56"/>
      <c r="U841" s="56"/>
      <c r="V841" s="56"/>
      <c r="W841" s="56"/>
      <c r="X841" s="56"/>
      <c r="Y841" s="56"/>
      <c r="Z841" s="56"/>
      <c r="AA841" s="56"/>
      <c r="AB841" s="56"/>
    </row>
    <row r="842" ht="15.75" customHeight="1">
      <c r="A842" s="169"/>
      <c r="B842" s="69"/>
      <c r="C842" s="38" t="s">
        <v>53</v>
      </c>
      <c r="D842" s="38"/>
      <c r="E842" s="67"/>
      <c r="F842" s="67"/>
      <c r="G842" s="166"/>
      <c r="H842" s="164"/>
      <c r="I842" s="164"/>
      <c r="J842" s="67"/>
      <c r="K842" s="38"/>
      <c r="L842" s="38"/>
      <c r="M842" s="56"/>
      <c r="N842" s="56" t="b">
        <v>0</v>
      </c>
      <c r="O842" s="56" t="b">
        <v>0</v>
      </c>
      <c r="P842" s="56"/>
      <c r="Q842" s="56"/>
      <c r="R842" s="56"/>
      <c r="S842" s="56"/>
      <c r="T842" s="56"/>
      <c r="U842" s="56"/>
      <c r="V842" s="56"/>
      <c r="W842" s="56"/>
      <c r="X842" s="56"/>
      <c r="Y842" s="56"/>
      <c r="Z842" s="56"/>
      <c r="AA842" s="56"/>
      <c r="AB842" s="56"/>
    </row>
    <row r="843" ht="15.75" customHeight="1">
      <c r="A843" s="169"/>
      <c r="B843" s="161"/>
      <c r="C843" s="52">
        <v>44424.0</v>
      </c>
      <c r="D843" s="38"/>
      <c r="E843" s="38"/>
      <c r="F843" s="65"/>
      <c r="G843" s="66"/>
      <c r="H843" s="38"/>
      <c r="I843" s="38"/>
      <c r="J843" s="38"/>
      <c r="K843" s="38"/>
      <c r="L843" s="38"/>
      <c r="M843" s="56"/>
      <c r="N843" s="56" t="b">
        <v>0</v>
      </c>
      <c r="O843" s="56" t="b">
        <v>0</v>
      </c>
      <c r="P843" s="56"/>
      <c r="Q843" s="56"/>
      <c r="R843" s="56"/>
      <c r="S843" s="56"/>
      <c r="T843" s="56"/>
      <c r="U843" s="56"/>
      <c r="V843" s="56"/>
      <c r="W843" s="56"/>
      <c r="X843" s="56"/>
      <c r="Y843" s="56"/>
      <c r="Z843" s="56"/>
      <c r="AA843" s="56"/>
      <c r="AB843" s="56"/>
    </row>
    <row r="844" ht="15.75" customHeight="1">
      <c r="A844" s="169"/>
      <c r="B844" s="58" t="s">
        <v>4836</v>
      </c>
      <c r="C844" s="38" t="s">
        <v>53</v>
      </c>
      <c r="D844" s="62" t="s">
        <v>52</v>
      </c>
      <c r="E844" s="60" t="s">
        <v>4062</v>
      </c>
      <c r="F844" s="60" t="s">
        <v>4063</v>
      </c>
      <c r="G844" s="73" t="s">
        <v>5954</v>
      </c>
      <c r="H844" s="62" t="s">
        <v>4971</v>
      </c>
      <c r="I844" s="62" t="s">
        <v>5955</v>
      </c>
      <c r="J844" s="60" t="s">
        <v>5956</v>
      </c>
      <c r="K844" s="38"/>
      <c r="L844" s="38"/>
      <c r="M844" s="56"/>
      <c r="N844" s="56" t="b">
        <v>0</v>
      </c>
      <c r="O844" s="56" t="b">
        <v>0</v>
      </c>
      <c r="P844" s="56"/>
      <c r="Q844" s="56"/>
      <c r="R844" s="56"/>
      <c r="S844" s="56"/>
      <c r="T844" s="56"/>
      <c r="U844" s="56"/>
      <c r="V844" s="56"/>
      <c r="W844" s="56"/>
      <c r="X844" s="56"/>
      <c r="Y844" s="56"/>
      <c r="Z844" s="56"/>
      <c r="AA844" s="56"/>
      <c r="AB844" s="56"/>
    </row>
    <row r="845" ht="15.75" customHeight="1">
      <c r="A845" s="169"/>
      <c r="B845" s="63"/>
      <c r="C845" s="38"/>
      <c r="D845" s="38" t="s">
        <v>52</v>
      </c>
      <c r="E845" s="67" t="s">
        <v>5957</v>
      </c>
      <c r="F845" s="67" t="s">
        <v>5958</v>
      </c>
      <c r="G845" s="66" t="s">
        <v>5949</v>
      </c>
      <c r="H845" s="38" t="s">
        <v>5959</v>
      </c>
      <c r="I845" s="38" t="s">
        <v>5960</v>
      </c>
      <c r="J845" s="67" t="s">
        <v>5961</v>
      </c>
      <c r="K845" s="38"/>
      <c r="L845" s="38"/>
      <c r="M845" s="56"/>
      <c r="N845" s="56" t="b">
        <v>0</v>
      </c>
      <c r="O845" s="56" t="b">
        <v>0</v>
      </c>
      <c r="P845" s="56"/>
      <c r="Q845" s="56"/>
      <c r="R845" s="56"/>
      <c r="S845" s="56"/>
      <c r="T845" s="56"/>
      <c r="U845" s="56"/>
      <c r="V845" s="56"/>
      <c r="W845" s="56"/>
      <c r="X845" s="56"/>
      <c r="Y845" s="56"/>
      <c r="Z845" s="56"/>
      <c r="AA845" s="56"/>
      <c r="AB845" s="56"/>
    </row>
    <row r="846" ht="15.75" customHeight="1">
      <c r="A846" s="169"/>
      <c r="B846" s="63"/>
      <c r="C846" s="38" t="s">
        <v>53</v>
      </c>
      <c r="D846" s="62" t="s">
        <v>52</v>
      </c>
      <c r="E846" s="60" t="s">
        <v>3668</v>
      </c>
      <c r="F846" s="60" t="s">
        <v>3669</v>
      </c>
      <c r="G846" s="73" t="s">
        <v>5704</v>
      </c>
      <c r="H846" s="62" t="s">
        <v>4908</v>
      </c>
      <c r="I846" s="62" t="s">
        <v>5962</v>
      </c>
      <c r="J846" s="60" t="s">
        <v>3671</v>
      </c>
      <c r="K846" s="38"/>
      <c r="L846" s="38"/>
      <c r="M846" s="56"/>
      <c r="N846" s="56" t="b">
        <v>0</v>
      </c>
      <c r="O846" s="56" t="b">
        <v>0</v>
      </c>
      <c r="P846" s="56"/>
      <c r="Q846" s="56"/>
      <c r="R846" s="56"/>
      <c r="S846" s="56"/>
      <c r="T846" s="56"/>
      <c r="U846" s="56"/>
      <c r="V846" s="56"/>
      <c r="W846" s="56"/>
      <c r="X846" s="56"/>
      <c r="Y846" s="56"/>
      <c r="Z846" s="56"/>
      <c r="AA846" s="56"/>
      <c r="AB846" s="56"/>
    </row>
    <row r="847" ht="15.75" customHeight="1">
      <c r="A847" s="169"/>
      <c r="B847" s="63"/>
      <c r="C847" s="38" t="s">
        <v>53</v>
      </c>
      <c r="D847" s="38" t="s">
        <v>52</v>
      </c>
      <c r="E847" s="67" t="s">
        <v>2363</v>
      </c>
      <c r="F847" s="67" t="s">
        <v>2364</v>
      </c>
      <c r="G847" s="166">
        <v>0.5</v>
      </c>
      <c r="H847" s="38" t="s">
        <v>4908</v>
      </c>
      <c r="I847" s="38" t="s">
        <v>5963</v>
      </c>
      <c r="J847" s="67" t="s">
        <v>2366</v>
      </c>
      <c r="K847" s="38"/>
      <c r="L847" s="38"/>
      <c r="M847" s="56"/>
      <c r="N847" s="56" t="b">
        <v>0</v>
      </c>
      <c r="O847" s="56" t="b">
        <v>0</v>
      </c>
      <c r="P847" s="56"/>
      <c r="Q847" s="56"/>
      <c r="R847" s="56"/>
      <c r="S847" s="56"/>
      <c r="T847" s="56"/>
      <c r="U847" s="56"/>
      <c r="V847" s="56"/>
      <c r="W847" s="56"/>
      <c r="X847" s="56"/>
      <c r="Y847" s="56"/>
      <c r="Z847" s="56"/>
      <c r="AA847" s="56"/>
      <c r="AB847" s="56"/>
    </row>
    <row r="848" ht="15.75" customHeight="1">
      <c r="A848" s="169"/>
      <c r="B848" s="63"/>
      <c r="C848" s="38" t="s">
        <v>53</v>
      </c>
      <c r="D848" s="38" t="s">
        <v>52</v>
      </c>
      <c r="E848" s="67" t="s">
        <v>90</v>
      </c>
      <c r="F848" s="67" t="s">
        <v>91</v>
      </c>
      <c r="G848" s="66" t="s">
        <v>4856</v>
      </c>
      <c r="H848" s="38" t="s">
        <v>4908</v>
      </c>
      <c r="I848" s="38" t="s">
        <v>5964</v>
      </c>
      <c r="J848" s="67" t="s">
        <v>94</v>
      </c>
      <c r="K848" s="38"/>
      <c r="L848" s="38"/>
      <c r="M848" s="56"/>
      <c r="N848" s="56" t="b">
        <v>0</v>
      </c>
      <c r="O848" s="56" t="b">
        <v>0</v>
      </c>
      <c r="P848" s="56"/>
      <c r="Q848" s="56"/>
      <c r="R848" s="56"/>
      <c r="S848" s="56"/>
      <c r="T848" s="56"/>
      <c r="U848" s="56"/>
      <c r="V848" s="56"/>
      <c r="W848" s="56"/>
      <c r="X848" s="56"/>
      <c r="Y848" s="56"/>
      <c r="Z848" s="56"/>
      <c r="AA848" s="56"/>
      <c r="AB848" s="56"/>
    </row>
    <row r="849" ht="15.75" customHeight="1">
      <c r="A849" s="169"/>
      <c r="B849" s="63"/>
      <c r="C849" s="38" t="s">
        <v>53</v>
      </c>
      <c r="D849" s="76" t="s">
        <v>52</v>
      </c>
      <c r="E849" s="77" t="s">
        <v>1848</v>
      </c>
      <c r="F849" s="77" t="s">
        <v>1849</v>
      </c>
      <c r="G849" s="82" t="s">
        <v>4858</v>
      </c>
      <c r="H849" s="76" t="s">
        <v>4908</v>
      </c>
      <c r="I849" s="76" t="s">
        <v>5965</v>
      </c>
      <c r="J849" s="77" t="s">
        <v>1851</v>
      </c>
      <c r="K849" s="38" t="s">
        <v>5966</v>
      </c>
      <c r="L849" s="38"/>
      <c r="M849" s="56"/>
      <c r="N849" s="56" t="b">
        <v>0</v>
      </c>
      <c r="O849" s="56" t="b">
        <v>0</v>
      </c>
      <c r="P849" s="56"/>
      <c r="Q849" s="56"/>
      <c r="R849" s="56"/>
      <c r="S849" s="56"/>
      <c r="T849" s="56"/>
      <c r="U849" s="56"/>
      <c r="V849" s="56"/>
      <c r="W849" s="56"/>
      <c r="X849" s="56"/>
      <c r="Y849" s="56"/>
      <c r="Z849" s="56"/>
      <c r="AA849" s="56"/>
      <c r="AB849" s="56"/>
    </row>
    <row r="850" ht="15.75" customHeight="1">
      <c r="A850" s="169"/>
      <c r="B850" s="63"/>
      <c r="C850" s="38" t="s">
        <v>53</v>
      </c>
      <c r="D850" s="38" t="s">
        <v>52</v>
      </c>
      <c r="E850" s="67" t="s">
        <v>3360</v>
      </c>
      <c r="F850" s="67" t="s">
        <v>3361</v>
      </c>
      <c r="G850" s="66" t="s">
        <v>5089</v>
      </c>
      <c r="H850" s="38" t="s">
        <v>4828</v>
      </c>
      <c r="I850" s="38" t="s">
        <v>5967</v>
      </c>
      <c r="J850" s="67" t="s">
        <v>3363</v>
      </c>
      <c r="K850" s="38"/>
      <c r="L850" s="38"/>
      <c r="M850" s="56"/>
      <c r="N850" s="56" t="b">
        <v>0</v>
      </c>
      <c r="O850" s="56" t="b">
        <v>0</v>
      </c>
      <c r="P850" s="56"/>
      <c r="Q850" s="56"/>
      <c r="R850" s="56"/>
      <c r="S850" s="56"/>
      <c r="T850" s="56"/>
      <c r="U850" s="56"/>
      <c r="V850" s="56"/>
      <c r="W850" s="56"/>
      <c r="X850" s="56"/>
      <c r="Y850" s="56"/>
      <c r="Z850" s="56"/>
      <c r="AA850" s="56"/>
      <c r="AB850" s="56"/>
    </row>
    <row r="851" ht="15.75" customHeight="1">
      <c r="A851" s="169"/>
      <c r="B851" s="69"/>
      <c r="C851" s="38" t="s">
        <v>53</v>
      </c>
      <c r="D851" s="76" t="s">
        <v>52</v>
      </c>
      <c r="E851" s="77" t="s">
        <v>4945</v>
      </c>
      <c r="F851" s="77" t="s">
        <v>4946</v>
      </c>
      <c r="G851" s="82" t="s">
        <v>5910</v>
      </c>
      <c r="H851" s="76" t="s">
        <v>4908</v>
      </c>
      <c r="I851" s="76" t="s">
        <v>5968</v>
      </c>
      <c r="J851" s="77" t="s">
        <v>4949</v>
      </c>
      <c r="K851" s="38"/>
      <c r="L851" s="38"/>
      <c r="M851" s="56"/>
      <c r="N851" s="56" t="b">
        <v>0</v>
      </c>
      <c r="O851" s="56" t="b">
        <v>0</v>
      </c>
      <c r="P851" s="56"/>
      <c r="Q851" s="56"/>
      <c r="R851" s="56"/>
      <c r="S851" s="56"/>
      <c r="T851" s="56"/>
      <c r="U851" s="56"/>
      <c r="V851" s="56"/>
      <c r="W851" s="56"/>
      <c r="X851" s="56"/>
      <c r="Y851" s="56"/>
      <c r="Z851" s="56"/>
      <c r="AA851" s="56"/>
      <c r="AB851" s="56"/>
    </row>
    <row r="852" ht="15.75" customHeight="1">
      <c r="A852" s="169"/>
      <c r="B852" s="118"/>
      <c r="C852" s="38" t="s">
        <v>53</v>
      </c>
      <c r="D852" s="38"/>
      <c r="E852" s="38"/>
      <c r="F852" s="65"/>
      <c r="G852" s="66"/>
      <c r="H852" s="38"/>
      <c r="I852" s="38"/>
      <c r="J852" s="38"/>
      <c r="K852" s="38"/>
      <c r="L852" s="38"/>
      <c r="M852" s="56"/>
      <c r="N852" s="56" t="b">
        <v>0</v>
      </c>
      <c r="O852" s="56" t="b">
        <v>0</v>
      </c>
      <c r="P852" s="56"/>
      <c r="Q852" s="56"/>
      <c r="R852" s="56"/>
      <c r="S852" s="56"/>
      <c r="T852" s="56"/>
      <c r="U852" s="56"/>
      <c r="V852" s="56"/>
      <c r="W852" s="56"/>
      <c r="X852" s="56"/>
      <c r="Y852" s="56"/>
      <c r="Z852" s="56"/>
      <c r="AA852" s="56"/>
      <c r="AB852" s="56"/>
    </row>
    <row r="853" ht="15.75" customHeight="1">
      <c r="A853" s="169"/>
      <c r="B853" s="161"/>
      <c r="C853" s="52">
        <v>44427.0</v>
      </c>
      <c r="D853" s="38"/>
      <c r="E853" s="38"/>
      <c r="F853" s="65"/>
      <c r="G853" s="66"/>
      <c r="H853" s="38"/>
      <c r="I853" s="38"/>
      <c r="J853" s="38"/>
      <c r="K853" s="38"/>
      <c r="L853" s="38"/>
      <c r="M853" s="56"/>
      <c r="N853" s="56" t="b">
        <v>0</v>
      </c>
      <c r="O853" s="56" t="b">
        <v>0</v>
      </c>
      <c r="P853" s="56"/>
      <c r="Q853" s="56"/>
      <c r="R853" s="56"/>
      <c r="S853" s="56"/>
      <c r="T853" s="56"/>
      <c r="U853" s="56"/>
      <c r="V853" s="56"/>
      <c r="W853" s="56"/>
      <c r="X853" s="56"/>
      <c r="Y853" s="56"/>
      <c r="Z853" s="56"/>
      <c r="AA853" s="56"/>
      <c r="AB853" s="56"/>
    </row>
    <row r="854" ht="15.75" customHeight="1">
      <c r="A854" s="169"/>
      <c r="B854" s="58" t="s">
        <v>4836</v>
      </c>
      <c r="C854" s="164"/>
      <c r="D854" s="38"/>
      <c r="E854" s="38"/>
      <c r="F854" s="65"/>
      <c r="G854" s="66"/>
      <c r="H854" s="38"/>
      <c r="I854" s="38"/>
      <c r="J854" s="38"/>
      <c r="K854" s="38"/>
      <c r="L854" s="38"/>
      <c r="M854" s="56"/>
      <c r="N854" s="56" t="b">
        <v>0</v>
      </c>
      <c r="O854" s="56" t="b">
        <v>0</v>
      </c>
      <c r="P854" s="56"/>
      <c r="Q854" s="56"/>
      <c r="R854" s="56"/>
      <c r="S854" s="56"/>
      <c r="T854" s="56"/>
      <c r="U854" s="56"/>
      <c r="V854" s="56"/>
      <c r="W854" s="56"/>
      <c r="X854" s="56"/>
      <c r="Y854" s="56"/>
      <c r="Z854" s="56"/>
      <c r="AA854" s="56"/>
      <c r="AB854" s="56"/>
    </row>
    <row r="855" ht="15.75" customHeight="1">
      <c r="A855" s="169"/>
      <c r="B855" s="63"/>
      <c r="C855" s="38" t="s">
        <v>53</v>
      </c>
      <c r="D855" s="38" t="s">
        <v>52</v>
      </c>
      <c r="E855" s="67" t="s">
        <v>5969</v>
      </c>
      <c r="F855" s="67" t="s">
        <v>5970</v>
      </c>
      <c r="G855" s="66" t="s">
        <v>5004</v>
      </c>
      <c r="H855" s="38" t="s">
        <v>5971</v>
      </c>
      <c r="I855" s="38" t="s">
        <v>5972</v>
      </c>
      <c r="J855" s="67" t="s">
        <v>5973</v>
      </c>
      <c r="K855" s="38"/>
      <c r="L855" s="38"/>
      <c r="M855" s="56"/>
      <c r="N855" s="56" t="b">
        <v>0</v>
      </c>
      <c r="O855" s="56" t="b">
        <v>0</v>
      </c>
      <c r="P855" s="56"/>
      <c r="Q855" s="56"/>
      <c r="R855" s="56"/>
      <c r="S855" s="56"/>
      <c r="T855" s="56"/>
      <c r="U855" s="56"/>
      <c r="V855" s="56"/>
      <c r="W855" s="56"/>
      <c r="X855" s="56"/>
      <c r="Y855" s="56"/>
      <c r="Z855" s="56"/>
      <c r="AA855" s="56"/>
      <c r="AB855" s="56"/>
    </row>
    <row r="856" ht="15.75" customHeight="1">
      <c r="A856" s="169"/>
      <c r="B856" s="63"/>
      <c r="C856" s="38" t="s">
        <v>53</v>
      </c>
      <c r="D856" s="38" t="s">
        <v>52</v>
      </c>
      <c r="E856" s="67" t="s">
        <v>3117</v>
      </c>
      <c r="F856" s="67" t="s">
        <v>3118</v>
      </c>
      <c r="G856" s="66" t="s">
        <v>4851</v>
      </c>
      <c r="H856" s="38" t="s">
        <v>5974</v>
      </c>
      <c r="I856" s="38" t="s">
        <v>5975</v>
      </c>
      <c r="J856" s="67" t="s">
        <v>3120</v>
      </c>
      <c r="K856" s="38"/>
      <c r="L856" s="38"/>
      <c r="M856" s="56"/>
      <c r="N856" s="56" t="b">
        <v>0</v>
      </c>
      <c r="O856" s="56" t="b">
        <v>0</v>
      </c>
      <c r="P856" s="56"/>
      <c r="Q856" s="56"/>
      <c r="R856" s="56"/>
      <c r="S856" s="56"/>
      <c r="T856" s="56"/>
      <c r="U856" s="56"/>
      <c r="V856" s="56"/>
      <c r="W856" s="56"/>
      <c r="X856" s="56"/>
      <c r="Y856" s="56"/>
      <c r="Z856" s="56"/>
      <c r="AA856" s="56"/>
      <c r="AB856" s="56"/>
    </row>
    <row r="857" ht="15.75" customHeight="1">
      <c r="A857" s="169"/>
      <c r="B857" s="63"/>
      <c r="C857" s="38" t="s">
        <v>53</v>
      </c>
      <c r="D857" s="38" t="s">
        <v>52</v>
      </c>
      <c r="E857" s="31" t="s">
        <v>2169</v>
      </c>
      <c r="F857" s="31" t="s">
        <v>2170</v>
      </c>
      <c r="G857" s="166">
        <v>0.5208333333333334</v>
      </c>
      <c r="H857" s="164" t="s">
        <v>5205</v>
      </c>
      <c r="I857" s="164" t="s">
        <v>5976</v>
      </c>
      <c r="J857" s="164" t="s">
        <v>2172</v>
      </c>
      <c r="K857" s="38"/>
      <c r="L857" s="38"/>
      <c r="M857" s="56"/>
      <c r="N857" s="56" t="b">
        <v>0</v>
      </c>
      <c r="O857" s="56" t="b">
        <v>0</v>
      </c>
      <c r="P857" s="56"/>
      <c r="Q857" s="56"/>
      <c r="R857" s="56"/>
      <c r="S857" s="56"/>
      <c r="T857" s="56"/>
      <c r="U857" s="56"/>
      <c r="V857" s="56"/>
      <c r="W857" s="56"/>
      <c r="X857" s="56"/>
      <c r="Y857" s="56"/>
      <c r="Z857" s="56"/>
      <c r="AA857" s="56"/>
      <c r="AB857" s="56"/>
    </row>
    <row r="858" ht="15.75" customHeight="1">
      <c r="A858" s="169"/>
      <c r="B858" s="63"/>
      <c r="C858" s="38" t="s">
        <v>53</v>
      </c>
      <c r="D858" s="38" t="s">
        <v>52</v>
      </c>
      <c r="E858" s="97" t="s">
        <v>4662</v>
      </c>
      <c r="F858" s="160" t="s">
        <v>4663</v>
      </c>
      <c r="G858" s="82" t="s">
        <v>4856</v>
      </c>
      <c r="H858" s="76" t="s">
        <v>5188</v>
      </c>
      <c r="I858" s="76" t="s">
        <v>5977</v>
      </c>
      <c r="J858" s="77" t="s">
        <v>1788</v>
      </c>
      <c r="K858" s="38"/>
      <c r="L858" s="38"/>
      <c r="M858" s="56"/>
      <c r="N858" s="56" t="b">
        <v>0</v>
      </c>
      <c r="O858" s="56" t="b">
        <v>0</v>
      </c>
      <c r="P858" s="56"/>
      <c r="Q858" s="56"/>
      <c r="R858" s="56"/>
      <c r="S858" s="56"/>
      <c r="T858" s="56"/>
      <c r="U858" s="56"/>
      <c r="V858" s="56"/>
      <c r="W858" s="56"/>
      <c r="X858" s="56"/>
      <c r="Y858" s="56"/>
      <c r="Z858" s="56"/>
      <c r="AA858" s="56"/>
      <c r="AB858" s="56"/>
    </row>
    <row r="859" ht="15.75" customHeight="1">
      <c r="A859" s="169"/>
      <c r="B859" s="63"/>
      <c r="C859" s="38" t="s">
        <v>53</v>
      </c>
      <c r="D859" s="38" t="s">
        <v>52</v>
      </c>
      <c r="E859" s="38" t="s">
        <v>1706</v>
      </c>
      <c r="F859" s="65" t="s">
        <v>1707</v>
      </c>
      <c r="G859" s="66" t="s">
        <v>4858</v>
      </c>
      <c r="H859" s="38" t="s">
        <v>5978</v>
      </c>
      <c r="I859" s="38" t="s">
        <v>5979</v>
      </c>
      <c r="J859" s="38" t="s">
        <v>1709</v>
      </c>
      <c r="K859" s="38"/>
      <c r="L859" s="38"/>
      <c r="M859" s="56"/>
      <c r="N859" s="56" t="b">
        <v>0</v>
      </c>
      <c r="O859" s="56" t="b">
        <v>0</v>
      </c>
      <c r="P859" s="56"/>
      <c r="Q859" s="56"/>
      <c r="R859" s="56"/>
      <c r="S859" s="56"/>
      <c r="T859" s="56"/>
      <c r="U859" s="56"/>
      <c r="V859" s="56"/>
      <c r="W859" s="56"/>
      <c r="X859" s="56"/>
      <c r="Y859" s="56"/>
      <c r="Z859" s="56"/>
      <c r="AA859" s="56"/>
      <c r="AB859" s="56"/>
    </row>
    <row r="860" ht="15.75" customHeight="1">
      <c r="A860" s="169"/>
      <c r="B860" s="63"/>
      <c r="C860" s="38" t="s">
        <v>53</v>
      </c>
      <c r="D860" s="38" t="s">
        <v>52</v>
      </c>
      <c r="E860" s="76" t="s">
        <v>1956</v>
      </c>
      <c r="F860" s="160" t="s">
        <v>1957</v>
      </c>
      <c r="G860" s="82" t="s">
        <v>5089</v>
      </c>
      <c r="H860" s="76" t="s">
        <v>5978</v>
      </c>
      <c r="I860" s="76" t="s">
        <v>5980</v>
      </c>
      <c r="J860" s="76" t="s">
        <v>1959</v>
      </c>
      <c r="K860" s="38"/>
      <c r="L860" s="38"/>
      <c r="M860" s="56"/>
      <c r="N860" s="56" t="b">
        <v>0</v>
      </c>
      <c r="O860" s="56" t="b">
        <v>0</v>
      </c>
      <c r="P860" s="56"/>
      <c r="Q860" s="56"/>
      <c r="R860" s="56"/>
      <c r="S860" s="56"/>
      <c r="T860" s="56"/>
      <c r="U860" s="56"/>
      <c r="V860" s="56"/>
      <c r="W860" s="56"/>
      <c r="X860" s="56"/>
      <c r="Y860" s="56"/>
      <c r="Z860" s="56"/>
      <c r="AA860" s="56"/>
      <c r="AB860" s="56"/>
    </row>
    <row r="861" ht="15.75" customHeight="1">
      <c r="A861" s="169"/>
      <c r="B861" s="69"/>
      <c r="C861" s="38" t="s">
        <v>53</v>
      </c>
      <c r="D861" s="62" t="s">
        <v>52</v>
      </c>
      <c r="E861" s="60" t="s">
        <v>4635</v>
      </c>
      <c r="F861" s="60" t="s">
        <v>4636</v>
      </c>
      <c r="G861" s="73" t="s">
        <v>5981</v>
      </c>
      <c r="H861" s="170" t="s">
        <v>5338</v>
      </c>
      <c r="I861" s="170" t="s">
        <v>5982</v>
      </c>
      <c r="J861" s="60" t="s">
        <v>4638</v>
      </c>
      <c r="K861" s="38"/>
      <c r="L861" s="38"/>
      <c r="M861" s="56"/>
      <c r="N861" s="56" t="b">
        <v>0</v>
      </c>
      <c r="O861" s="56" t="b">
        <v>0</v>
      </c>
      <c r="P861" s="56"/>
      <c r="Q861" s="56"/>
      <c r="R861" s="56"/>
      <c r="S861" s="56"/>
      <c r="T861" s="56"/>
      <c r="U861" s="56"/>
      <c r="V861" s="56"/>
      <c r="W861" s="56"/>
      <c r="X861" s="56"/>
      <c r="Y861" s="56"/>
      <c r="Z861" s="56"/>
      <c r="AA861" s="56"/>
      <c r="AB861" s="56"/>
    </row>
    <row r="862" ht="15.75" customHeight="1">
      <c r="A862" s="169"/>
      <c r="B862" s="161"/>
      <c r="C862" s="52">
        <v>44428.0</v>
      </c>
      <c r="D862" s="38"/>
      <c r="E862" s="38"/>
      <c r="F862" s="65"/>
      <c r="G862" s="66"/>
      <c r="H862" s="38"/>
      <c r="I862" s="38"/>
      <c r="J862" s="38"/>
      <c r="K862" s="38"/>
      <c r="L862" s="38"/>
      <c r="M862" s="56"/>
      <c r="N862" s="56" t="b">
        <v>0</v>
      </c>
      <c r="O862" s="56" t="b">
        <v>0</v>
      </c>
      <c r="P862" s="56"/>
      <c r="Q862" s="56"/>
      <c r="R862" s="56"/>
      <c r="S862" s="56"/>
      <c r="T862" s="56"/>
      <c r="U862" s="56"/>
      <c r="V862" s="56"/>
      <c r="W862" s="56"/>
      <c r="X862" s="56"/>
      <c r="Y862" s="56"/>
      <c r="Z862" s="56"/>
      <c r="AA862" s="56"/>
      <c r="AB862" s="56"/>
    </row>
    <row r="863" ht="15.75" customHeight="1">
      <c r="A863" s="169"/>
      <c r="B863" s="58" t="s">
        <v>4836</v>
      </c>
      <c r="C863" s="164"/>
      <c r="D863" s="38"/>
      <c r="E863" s="38"/>
      <c r="F863" s="65"/>
      <c r="G863" s="66"/>
      <c r="H863" s="38"/>
      <c r="I863" s="38"/>
      <c r="J863" s="38"/>
      <c r="K863" s="38"/>
      <c r="L863" s="38"/>
      <c r="M863" s="56"/>
      <c r="N863" s="56" t="b">
        <v>0</v>
      </c>
      <c r="O863" s="56" t="b">
        <v>0</v>
      </c>
      <c r="P863" s="56"/>
      <c r="Q863" s="56"/>
      <c r="R863" s="56"/>
      <c r="S863" s="56"/>
      <c r="T863" s="56"/>
      <c r="U863" s="56"/>
      <c r="V863" s="56"/>
      <c r="W863" s="56"/>
      <c r="X863" s="56"/>
      <c r="Y863" s="56"/>
      <c r="Z863" s="56"/>
      <c r="AA863" s="56"/>
      <c r="AB863" s="56"/>
    </row>
    <row r="864" ht="15.75" customHeight="1">
      <c r="A864" s="169"/>
      <c r="B864" s="63"/>
      <c r="C864" s="38" t="s">
        <v>53</v>
      </c>
      <c r="D864" s="38"/>
      <c r="E864" s="38"/>
      <c r="F864" s="65"/>
      <c r="G864" s="66"/>
      <c r="H864" s="38"/>
      <c r="I864" s="38"/>
      <c r="J864" s="38"/>
      <c r="K864" s="38"/>
      <c r="L864" s="38"/>
      <c r="M864" s="56"/>
      <c r="N864" s="56" t="b">
        <v>0</v>
      </c>
      <c r="O864" s="56" t="b">
        <v>0</v>
      </c>
      <c r="P864" s="56"/>
      <c r="Q864" s="56"/>
      <c r="R864" s="56"/>
      <c r="S864" s="56"/>
      <c r="T864" s="56"/>
      <c r="U864" s="56"/>
      <c r="V864" s="56"/>
      <c r="W864" s="56"/>
      <c r="X864" s="56"/>
      <c r="Y864" s="56"/>
      <c r="Z864" s="56"/>
      <c r="AA864" s="56"/>
      <c r="AB864" s="56"/>
    </row>
    <row r="865" ht="15.75" customHeight="1">
      <c r="A865" s="169"/>
      <c r="B865" s="63"/>
      <c r="C865" s="38" t="s">
        <v>53</v>
      </c>
      <c r="D865" s="38"/>
      <c r="E865" s="38"/>
      <c r="F865" s="65"/>
      <c r="G865" s="66"/>
      <c r="H865" s="38"/>
      <c r="I865" s="38"/>
      <c r="J865" s="38"/>
      <c r="K865" s="38"/>
      <c r="L865" s="38"/>
      <c r="M865" s="56"/>
      <c r="N865" s="56" t="b">
        <v>0</v>
      </c>
      <c r="O865" s="56" t="b">
        <v>0</v>
      </c>
      <c r="P865" s="56"/>
      <c r="Q865" s="56"/>
      <c r="R865" s="56"/>
      <c r="S865" s="56"/>
      <c r="T865" s="56"/>
      <c r="U865" s="56"/>
      <c r="V865" s="56"/>
      <c r="W865" s="56"/>
      <c r="X865" s="56"/>
      <c r="Y865" s="56"/>
      <c r="Z865" s="56"/>
      <c r="AA865" s="56"/>
      <c r="AB865" s="56"/>
    </row>
    <row r="866" ht="15.75" customHeight="1">
      <c r="A866" s="169"/>
      <c r="B866" s="63"/>
      <c r="C866" s="38" t="s">
        <v>53</v>
      </c>
      <c r="D866" s="38"/>
      <c r="E866" s="38"/>
      <c r="F866" s="162" t="s">
        <v>5784</v>
      </c>
      <c r="G866" s="155"/>
      <c r="H866" s="38"/>
      <c r="I866" s="38"/>
      <c r="J866" s="38"/>
      <c r="K866" s="38"/>
      <c r="L866" s="38"/>
      <c r="M866" s="56"/>
      <c r="N866" s="56" t="b">
        <v>0</v>
      </c>
      <c r="O866" s="56" t="b">
        <v>0</v>
      </c>
      <c r="P866" s="56"/>
      <c r="Q866" s="56"/>
      <c r="R866" s="56"/>
      <c r="S866" s="56"/>
      <c r="T866" s="56"/>
      <c r="U866" s="56"/>
      <c r="V866" s="56"/>
      <c r="W866" s="56"/>
      <c r="X866" s="56"/>
      <c r="Y866" s="56"/>
      <c r="Z866" s="56"/>
      <c r="AA866" s="56"/>
      <c r="AB866" s="56"/>
    </row>
    <row r="867" ht="15.75" customHeight="1">
      <c r="A867" s="169"/>
      <c r="B867" s="63"/>
      <c r="C867" s="38" t="s">
        <v>53</v>
      </c>
      <c r="D867" s="38"/>
      <c r="E867" s="38"/>
      <c r="F867" s="156"/>
      <c r="G867" s="157"/>
      <c r="H867" s="38"/>
      <c r="I867" s="38"/>
      <c r="J867" s="38"/>
      <c r="K867" s="38"/>
      <c r="L867" s="38"/>
      <c r="M867" s="56"/>
      <c r="N867" s="56" t="b">
        <v>0</v>
      </c>
      <c r="O867" s="56" t="b">
        <v>0</v>
      </c>
      <c r="P867" s="56"/>
      <c r="Q867" s="56"/>
      <c r="R867" s="56"/>
      <c r="S867" s="56"/>
      <c r="T867" s="56"/>
      <c r="U867" s="56"/>
      <c r="V867" s="56"/>
      <c r="W867" s="56"/>
      <c r="X867" s="56"/>
      <c r="Y867" s="56"/>
      <c r="Z867" s="56"/>
      <c r="AA867" s="56"/>
      <c r="AB867" s="56"/>
    </row>
    <row r="868" ht="15.75" customHeight="1">
      <c r="A868" s="169"/>
      <c r="B868" s="63"/>
      <c r="C868" s="38" t="s">
        <v>53</v>
      </c>
      <c r="D868" s="38"/>
      <c r="E868" s="38"/>
      <c r="F868" s="158"/>
      <c r="G868" s="159"/>
      <c r="H868" s="38"/>
      <c r="I868" s="38"/>
      <c r="J868" s="38"/>
      <c r="K868" s="38"/>
      <c r="L868" s="38"/>
      <c r="M868" s="56"/>
      <c r="N868" s="56" t="b">
        <v>0</v>
      </c>
      <c r="O868" s="56" t="b">
        <v>0</v>
      </c>
      <c r="P868" s="56"/>
      <c r="Q868" s="56"/>
      <c r="R868" s="56"/>
      <c r="S868" s="56"/>
      <c r="T868" s="56"/>
      <c r="U868" s="56"/>
      <c r="V868" s="56"/>
      <c r="W868" s="56"/>
      <c r="X868" s="56"/>
      <c r="Y868" s="56"/>
      <c r="Z868" s="56"/>
      <c r="AA868" s="56"/>
      <c r="AB868" s="56"/>
    </row>
    <row r="869" ht="15.75" customHeight="1">
      <c r="A869" s="169"/>
      <c r="B869" s="63"/>
      <c r="C869" s="38" t="s">
        <v>53</v>
      </c>
      <c r="D869" s="38"/>
      <c r="E869" s="38"/>
      <c r="F869" s="65"/>
      <c r="G869" s="66"/>
      <c r="H869" s="38"/>
      <c r="I869" s="38"/>
      <c r="J869" s="38"/>
      <c r="K869" s="38"/>
      <c r="L869" s="38"/>
      <c r="M869" s="56"/>
      <c r="N869" s="56" t="b">
        <v>0</v>
      </c>
      <c r="O869" s="56" t="b">
        <v>0</v>
      </c>
      <c r="P869" s="56"/>
      <c r="Q869" s="56"/>
      <c r="R869" s="56"/>
      <c r="S869" s="56"/>
      <c r="T869" s="56"/>
      <c r="U869" s="56"/>
      <c r="V869" s="56"/>
      <c r="W869" s="56"/>
      <c r="X869" s="56"/>
      <c r="Y869" s="56"/>
      <c r="Z869" s="56"/>
      <c r="AA869" s="56"/>
      <c r="AB869" s="56"/>
    </row>
    <row r="870" ht="15.75" customHeight="1">
      <c r="A870" s="169"/>
      <c r="B870" s="69"/>
      <c r="C870" s="38" t="s">
        <v>53</v>
      </c>
      <c r="D870" s="38"/>
      <c r="E870" s="38"/>
      <c r="F870" s="65"/>
      <c r="G870" s="66"/>
      <c r="H870" s="38"/>
      <c r="I870" s="38"/>
      <c r="J870" s="38"/>
      <c r="K870" s="38"/>
      <c r="L870" s="38"/>
      <c r="M870" s="56"/>
      <c r="N870" s="56" t="b">
        <v>0</v>
      </c>
      <c r="O870" s="56" t="b">
        <v>0</v>
      </c>
      <c r="P870" s="56"/>
      <c r="Q870" s="56"/>
      <c r="R870" s="56"/>
      <c r="S870" s="56"/>
      <c r="T870" s="56"/>
      <c r="U870" s="56"/>
      <c r="V870" s="56"/>
      <c r="W870" s="56"/>
      <c r="X870" s="56"/>
      <c r="Y870" s="56"/>
      <c r="Z870" s="56"/>
      <c r="AA870" s="56"/>
      <c r="AB870" s="56"/>
    </row>
    <row r="871" ht="15.75" customHeight="1">
      <c r="A871" s="169"/>
      <c r="B871" s="171" t="s">
        <v>4836</v>
      </c>
      <c r="C871" s="52">
        <v>44431.0</v>
      </c>
      <c r="D871" s="38"/>
      <c r="E871" s="38"/>
      <c r="F871" s="65"/>
      <c r="G871" s="66"/>
      <c r="H871" s="38"/>
      <c r="I871" s="38"/>
      <c r="J871" s="38"/>
      <c r="K871" s="38"/>
      <c r="L871" s="38"/>
      <c r="M871" s="56"/>
      <c r="N871" s="56" t="b">
        <v>0</v>
      </c>
      <c r="O871" s="56" t="b">
        <v>0</v>
      </c>
      <c r="P871" s="56"/>
      <c r="Q871" s="56"/>
      <c r="R871" s="56"/>
      <c r="S871" s="56"/>
      <c r="T871" s="56"/>
      <c r="U871" s="56"/>
      <c r="V871" s="56"/>
      <c r="W871" s="56"/>
      <c r="X871" s="56"/>
      <c r="Y871" s="56"/>
      <c r="Z871" s="56"/>
      <c r="AA871" s="56"/>
      <c r="AB871" s="56"/>
    </row>
    <row r="872" ht="15.75" customHeight="1">
      <c r="A872" s="169"/>
      <c r="B872" s="63"/>
      <c r="C872" s="31"/>
      <c r="D872" s="38"/>
      <c r="E872" s="38"/>
      <c r="F872" s="127" t="s">
        <v>5983</v>
      </c>
      <c r="G872" s="66"/>
      <c r="H872" s="38"/>
      <c r="I872" s="38"/>
      <c r="J872" s="38"/>
      <c r="K872" s="38"/>
      <c r="L872" s="38"/>
      <c r="M872" s="56"/>
      <c r="N872" s="56" t="b">
        <v>0</v>
      </c>
      <c r="O872" s="56" t="b">
        <v>0</v>
      </c>
      <c r="P872" s="56"/>
      <c r="Q872" s="56"/>
      <c r="R872" s="56"/>
      <c r="S872" s="56"/>
      <c r="T872" s="56"/>
      <c r="U872" s="56"/>
      <c r="V872" s="56"/>
      <c r="W872" s="56"/>
      <c r="X872" s="56"/>
      <c r="Y872" s="56"/>
      <c r="Z872" s="56"/>
      <c r="AA872" s="56"/>
      <c r="AB872" s="56"/>
    </row>
    <row r="873" ht="15.75" customHeight="1">
      <c r="A873" s="169"/>
      <c r="B873" s="63"/>
      <c r="C873" s="38" t="s">
        <v>53</v>
      </c>
      <c r="D873" s="38" t="s">
        <v>52</v>
      </c>
      <c r="E873" s="77" t="s">
        <v>3306</v>
      </c>
      <c r="F873" s="77" t="s">
        <v>3307</v>
      </c>
      <c r="G873" s="82" t="s">
        <v>5827</v>
      </c>
      <c r="H873" s="76" t="s">
        <v>5619</v>
      </c>
      <c r="I873" s="172" t="s">
        <v>5984</v>
      </c>
      <c r="J873" s="77" t="s">
        <v>3309</v>
      </c>
      <c r="K873" s="38"/>
      <c r="L873" s="38"/>
      <c r="M873" s="56"/>
      <c r="N873" s="56" t="b">
        <v>0</v>
      </c>
      <c r="O873" s="56" t="b">
        <v>0</v>
      </c>
      <c r="P873" s="56"/>
      <c r="Q873" s="56"/>
      <c r="R873" s="56"/>
      <c r="S873" s="56"/>
      <c r="T873" s="56"/>
      <c r="U873" s="56"/>
      <c r="V873" s="56"/>
      <c r="W873" s="56"/>
      <c r="X873" s="56"/>
      <c r="Y873" s="56"/>
      <c r="Z873" s="56"/>
      <c r="AA873" s="56"/>
      <c r="AB873" s="56"/>
    </row>
    <row r="874" ht="15.75" customHeight="1">
      <c r="A874" s="169"/>
      <c r="B874" s="63"/>
      <c r="C874" s="38" t="s">
        <v>53</v>
      </c>
      <c r="D874" s="76" t="s">
        <v>52</v>
      </c>
      <c r="E874" s="77" t="s">
        <v>868</v>
      </c>
      <c r="F874" s="77" t="s">
        <v>869</v>
      </c>
      <c r="G874" s="82" t="s">
        <v>5134</v>
      </c>
      <c r="H874" s="76" t="s">
        <v>4884</v>
      </c>
      <c r="I874" s="172" t="s">
        <v>5985</v>
      </c>
      <c r="J874" s="77" t="s">
        <v>871</v>
      </c>
      <c r="K874" s="76" t="s">
        <v>5528</v>
      </c>
      <c r="L874" s="38" t="s">
        <v>2588</v>
      </c>
      <c r="M874" s="56"/>
      <c r="N874" s="56" t="b">
        <v>0</v>
      </c>
      <c r="O874" s="56" t="b">
        <v>0</v>
      </c>
      <c r="P874" s="56"/>
      <c r="Q874" s="56"/>
      <c r="R874" s="56"/>
      <c r="S874" s="56"/>
      <c r="T874" s="56"/>
      <c r="U874" s="56"/>
      <c r="V874" s="56"/>
      <c r="W874" s="56"/>
      <c r="X874" s="56"/>
      <c r="Y874" s="56"/>
      <c r="Z874" s="56"/>
      <c r="AA874" s="56"/>
      <c r="AB874" s="56"/>
    </row>
    <row r="875" ht="15.75" customHeight="1">
      <c r="A875" s="169"/>
      <c r="B875" s="63"/>
      <c r="C875" s="38" t="s">
        <v>53</v>
      </c>
      <c r="D875" s="76" t="s">
        <v>52</v>
      </c>
      <c r="E875" s="77" t="s">
        <v>5986</v>
      </c>
      <c r="F875" s="77" t="s">
        <v>5987</v>
      </c>
      <c r="G875" s="82" t="s">
        <v>4960</v>
      </c>
      <c r="H875" s="77" t="s">
        <v>4971</v>
      </c>
      <c r="I875" s="77" t="s">
        <v>5988</v>
      </c>
      <c r="J875" s="77" t="s">
        <v>5989</v>
      </c>
      <c r="K875" s="38" t="s">
        <v>5966</v>
      </c>
      <c r="L875" s="38"/>
      <c r="M875" s="56"/>
      <c r="N875" s="56" t="b">
        <v>0</v>
      </c>
      <c r="O875" s="56" t="b">
        <v>0</v>
      </c>
      <c r="P875" s="56"/>
      <c r="Q875" s="56"/>
      <c r="R875" s="56"/>
      <c r="S875" s="56"/>
      <c r="T875" s="56"/>
      <c r="U875" s="56"/>
      <c r="V875" s="56"/>
      <c r="W875" s="56"/>
      <c r="X875" s="56"/>
      <c r="Y875" s="56"/>
      <c r="Z875" s="56"/>
      <c r="AA875" s="56"/>
      <c r="AB875" s="56"/>
    </row>
    <row r="876" ht="15.75" customHeight="1">
      <c r="A876" s="169"/>
      <c r="B876" s="63"/>
      <c r="C876" s="38"/>
      <c r="D876" s="76" t="s">
        <v>52</v>
      </c>
      <c r="E876" s="77" t="s">
        <v>5990</v>
      </c>
      <c r="F876" s="77" t="s">
        <v>5991</v>
      </c>
      <c r="G876" s="82" t="s">
        <v>5160</v>
      </c>
      <c r="H876" s="76" t="s">
        <v>5833</v>
      </c>
      <c r="I876" s="76" t="s">
        <v>5992</v>
      </c>
      <c r="J876" s="77" t="s">
        <v>5993</v>
      </c>
      <c r="K876" s="31" t="s">
        <v>5994</v>
      </c>
      <c r="L876" s="38"/>
      <c r="M876" s="56"/>
      <c r="N876" s="56" t="b">
        <v>0</v>
      </c>
      <c r="O876" s="56" t="b">
        <v>0</v>
      </c>
      <c r="P876" s="56"/>
      <c r="Q876" s="56"/>
      <c r="R876" s="56"/>
      <c r="S876" s="56"/>
      <c r="T876" s="56"/>
      <c r="U876" s="56"/>
      <c r="V876" s="56"/>
      <c r="W876" s="56"/>
      <c r="X876" s="56"/>
      <c r="Y876" s="56"/>
      <c r="Z876" s="56"/>
      <c r="AA876" s="56"/>
      <c r="AB876" s="56"/>
    </row>
    <row r="877" ht="15.75" customHeight="1">
      <c r="A877" s="169"/>
      <c r="B877" s="63"/>
      <c r="C877" s="38" t="s">
        <v>53</v>
      </c>
      <c r="D877" s="76" t="s">
        <v>52</v>
      </c>
      <c r="E877" s="77" t="s">
        <v>2662</v>
      </c>
      <c r="F877" s="77" t="s">
        <v>2663</v>
      </c>
      <c r="G877" s="82" t="s">
        <v>4858</v>
      </c>
      <c r="H877" s="76" t="s">
        <v>5995</v>
      </c>
      <c r="I877" s="76" t="s">
        <v>5996</v>
      </c>
      <c r="J877" s="77" t="s">
        <v>2665</v>
      </c>
      <c r="K877" s="173" t="s">
        <v>5997</v>
      </c>
      <c r="L877" s="38" t="s">
        <v>2588</v>
      </c>
      <c r="M877" s="56"/>
      <c r="N877" s="56" t="b">
        <v>0</v>
      </c>
      <c r="O877" s="56" t="b">
        <v>0</v>
      </c>
      <c r="P877" s="56"/>
      <c r="Q877" s="56"/>
      <c r="R877" s="56"/>
      <c r="S877" s="56"/>
      <c r="T877" s="56"/>
      <c r="U877" s="56"/>
      <c r="V877" s="56"/>
      <c r="W877" s="56"/>
      <c r="X877" s="56"/>
      <c r="Y877" s="56"/>
      <c r="Z877" s="56"/>
      <c r="AA877" s="56"/>
      <c r="AB877" s="56"/>
    </row>
    <row r="878" ht="15.75" customHeight="1">
      <c r="A878" s="169"/>
      <c r="B878" s="63"/>
      <c r="C878" s="38" t="s">
        <v>53</v>
      </c>
      <c r="D878" s="38" t="s">
        <v>52</v>
      </c>
      <c r="E878" s="77" t="s">
        <v>1246</v>
      </c>
      <c r="F878" s="77" t="s">
        <v>1247</v>
      </c>
      <c r="G878" s="82" t="s">
        <v>4847</v>
      </c>
      <c r="H878" s="76" t="s">
        <v>5029</v>
      </c>
      <c r="I878" s="77" t="s">
        <v>5998</v>
      </c>
      <c r="J878" s="77" t="s">
        <v>1249</v>
      </c>
      <c r="K878" s="173" t="s">
        <v>5997</v>
      </c>
      <c r="L878" s="38" t="s">
        <v>2588</v>
      </c>
      <c r="M878" s="56"/>
      <c r="N878" s="56" t="b">
        <v>0</v>
      </c>
      <c r="O878" s="56" t="b">
        <v>0</v>
      </c>
      <c r="P878" s="56"/>
      <c r="Q878" s="56"/>
      <c r="R878" s="56"/>
      <c r="S878" s="56"/>
      <c r="T878" s="56"/>
      <c r="U878" s="56"/>
      <c r="V878" s="56"/>
      <c r="W878" s="56"/>
      <c r="X878" s="56"/>
      <c r="Y878" s="56"/>
      <c r="Z878" s="56"/>
      <c r="AA878" s="56"/>
      <c r="AB878" s="56"/>
    </row>
    <row r="879" ht="15.75" customHeight="1">
      <c r="A879" s="169"/>
      <c r="B879" s="69"/>
      <c r="C879" s="38" t="s">
        <v>53</v>
      </c>
      <c r="D879" s="76" t="s">
        <v>52</v>
      </c>
      <c r="E879" s="77" t="s">
        <v>2584</v>
      </c>
      <c r="F879" s="77" t="s">
        <v>2585</v>
      </c>
      <c r="G879" s="82" t="s">
        <v>5981</v>
      </c>
      <c r="H879" s="76" t="s">
        <v>5029</v>
      </c>
      <c r="I879" s="76" t="s">
        <v>5999</v>
      </c>
      <c r="J879" s="77" t="s">
        <v>2587</v>
      </c>
      <c r="K879" s="76" t="s">
        <v>6000</v>
      </c>
      <c r="L879" s="38" t="s">
        <v>2588</v>
      </c>
      <c r="M879" s="56"/>
      <c r="N879" s="56" t="b">
        <v>0</v>
      </c>
      <c r="O879" s="56" t="b">
        <v>0</v>
      </c>
      <c r="P879" s="56"/>
      <c r="Q879" s="56"/>
      <c r="R879" s="56"/>
      <c r="S879" s="56"/>
      <c r="T879" s="56"/>
      <c r="U879" s="56"/>
      <c r="V879" s="56"/>
      <c r="W879" s="56"/>
      <c r="X879" s="56"/>
      <c r="Y879" s="56"/>
      <c r="Z879" s="56"/>
      <c r="AA879" s="56"/>
      <c r="AB879" s="56"/>
    </row>
    <row r="880" ht="15.75" customHeight="1">
      <c r="A880" s="169"/>
      <c r="B880" s="164"/>
      <c r="C880" s="38" t="s">
        <v>53</v>
      </c>
      <c r="D880" s="38"/>
      <c r="E880" s="38"/>
      <c r="F880" s="65"/>
      <c r="G880" s="66"/>
      <c r="H880" s="38"/>
      <c r="I880" s="38"/>
      <c r="J880" s="38"/>
      <c r="K880" s="38"/>
      <c r="L880" s="38"/>
      <c r="M880" s="56"/>
      <c r="N880" s="56" t="b">
        <v>0</v>
      </c>
      <c r="O880" s="56" t="b">
        <v>0</v>
      </c>
      <c r="P880" s="56"/>
      <c r="Q880" s="56"/>
      <c r="R880" s="56"/>
      <c r="S880" s="56"/>
      <c r="T880" s="56"/>
      <c r="U880" s="56"/>
      <c r="V880" s="56"/>
      <c r="W880" s="56"/>
      <c r="X880" s="56"/>
      <c r="Y880" s="56"/>
      <c r="Z880" s="56"/>
      <c r="AA880" s="56"/>
      <c r="AB880" s="56"/>
    </row>
    <row r="881" ht="15.75" customHeight="1">
      <c r="A881" s="169"/>
      <c r="B881" s="171" t="s">
        <v>4836</v>
      </c>
      <c r="C881" s="52">
        <v>44434.0</v>
      </c>
      <c r="D881" s="38"/>
      <c r="E881" s="38"/>
      <c r="F881" s="65"/>
      <c r="G881" s="66"/>
      <c r="H881" s="38"/>
      <c r="I881" s="38"/>
      <c r="J881" s="38"/>
      <c r="K881" s="38"/>
      <c r="L881" s="38"/>
      <c r="M881" s="56"/>
      <c r="N881" s="56" t="b">
        <v>0</v>
      </c>
      <c r="O881" s="56" t="b">
        <v>0</v>
      </c>
      <c r="P881" s="56"/>
      <c r="Q881" s="56"/>
      <c r="R881" s="56"/>
      <c r="S881" s="56"/>
      <c r="T881" s="56"/>
      <c r="U881" s="56"/>
      <c r="V881" s="56"/>
      <c r="W881" s="56"/>
      <c r="X881" s="56"/>
      <c r="Y881" s="56"/>
      <c r="Z881" s="56"/>
      <c r="AA881" s="56"/>
      <c r="AB881" s="56"/>
    </row>
    <row r="882" ht="15.75" customHeight="1">
      <c r="A882" s="169"/>
      <c r="B882" s="63"/>
      <c r="C882" s="31"/>
      <c r="D882" s="38"/>
      <c r="E882" s="38"/>
      <c r="F882" s="65"/>
      <c r="G882" s="66"/>
      <c r="H882" s="38"/>
      <c r="I882" s="38"/>
      <c r="J882" s="38"/>
      <c r="K882" s="38"/>
      <c r="L882" s="38"/>
      <c r="M882" s="56"/>
      <c r="N882" s="56" t="b">
        <v>0</v>
      </c>
      <c r="O882" s="56" t="b">
        <v>0</v>
      </c>
      <c r="P882" s="56"/>
      <c r="Q882" s="56"/>
      <c r="R882" s="56"/>
      <c r="S882" s="56"/>
      <c r="T882" s="56"/>
      <c r="U882" s="56"/>
      <c r="V882" s="56"/>
      <c r="W882" s="56"/>
      <c r="X882" s="56"/>
      <c r="Y882" s="56"/>
      <c r="Z882" s="56"/>
      <c r="AA882" s="56"/>
      <c r="AB882" s="56"/>
    </row>
    <row r="883" ht="15.75" customHeight="1">
      <c r="A883" s="169"/>
      <c r="B883" s="63"/>
      <c r="C883" s="38" t="s">
        <v>53</v>
      </c>
      <c r="D883" s="62" t="s">
        <v>52</v>
      </c>
      <c r="E883" s="60" t="s">
        <v>1087</v>
      </c>
      <c r="F883" s="60" t="s">
        <v>1088</v>
      </c>
      <c r="G883" s="73" t="s">
        <v>6001</v>
      </c>
      <c r="H883" s="62" t="s">
        <v>5394</v>
      </c>
      <c r="I883" s="62" t="s">
        <v>6002</v>
      </c>
      <c r="J883" s="62" t="s">
        <v>1091</v>
      </c>
      <c r="K883" s="38"/>
      <c r="L883" s="38"/>
      <c r="M883" s="56"/>
      <c r="N883" s="56" t="b">
        <v>0</v>
      </c>
      <c r="O883" s="56" t="b">
        <v>0</v>
      </c>
      <c r="P883" s="56"/>
      <c r="Q883" s="56"/>
      <c r="R883" s="56"/>
      <c r="S883" s="56"/>
      <c r="T883" s="56"/>
      <c r="U883" s="56"/>
      <c r="V883" s="56"/>
      <c r="W883" s="56"/>
      <c r="X883" s="56"/>
      <c r="Y883" s="56"/>
      <c r="Z883" s="56"/>
      <c r="AA883" s="56"/>
      <c r="AB883" s="56"/>
    </row>
    <row r="884" ht="15.75" customHeight="1">
      <c r="A884" s="169"/>
      <c r="B884" s="63"/>
      <c r="C884" s="38" t="s">
        <v>53</v>
      </c>
      <c r="D884" s="38" t="s">
        <v>52</v>
      </c>
      <c r="E884" s="77" t="s">
        <v>4548</v>
      </c>
      <c r="F884" s="77" t="s">
        <v>4549</v>
      </c>
      <c r="G884" s="82" t="s">
        <v>6003</v>
      </c>
      <c r="H884" s="76" t="s">
        <v>5029</v>
      </c>
      <c r="I884" s="77" t="s">
        <v>6004</v>
      </c>
      <c r="J884" s="77" t="s">
        <v>1442</v>
      </c>
      <c r="K884" s="38"/>
      <c r="L884" s="38"/>
      <c r="M884" s="56"/>
      <c r="N884" s="56" t="b">
        <v>0</v>
      </c>
      <c r="O884" s="56" t="b">
        <v>0</v>
      </c>
      <c r="P884" s="56"/>
      <c r="Q884" s="56"/>
      <c r="R884" s="56"/>
      <c r="S884" s="56"/>
      <c r="T884" s="56"/>
      <c r="U884" s="56"/>
      <c r="V884" s="56"/>
      <c r="W884" s="56"/>
      <c r="X884" s="56"/>
      <c r="Y884" s="56"/>
      <c r="Z884" s="56"/>
      <c r="AA884" s="56"/>
      <c r="AB884" s="56"/>
    </row>
    <row r="885" ht="15.75" customHeight="1">
      <c r="A885" s="169"/>
      <c r="B885" s="63"/>
      <c r="C885" s="38" t="s">
        <v>53</v>
      </c>
      <c r="D885" s="38" t="s">
        <v>52</v>
      </c>
      <c r="E885" s="77" t="s">
        <v>5986</v>
      </c>
      <c r="F885" s="77" t="s">
        <v>5987</v>
      </c>
      <c r="G885" s="82" t="s">
        <v>4887</v>
      </c>
      <c r="H885" s="77" t="s">
        <v>4971</v>
      </c>
      <c r="I885" s="77" t="s">
        <v>5988</v>
      </c>
      <c r="J885" s="77" t="s">
        <v>5989</v>
      </c>
      <c r="K885" s="38"/>
      <c r="L885" s="38"/>
      <c r="M885" s="56"/>
      <c r="N885" s="56" t="b">
        <v>0</v>
      </c>
      <c r="O885" s="56" t="b">
        <v>0</v>
      </c>
      <c r="P885" s="56"/>
      <c r="Q885" s="56"/>
      <c r="R885" s="56"/>
      <c r="S885" s="56"/>
      <c r="T885" s="56"/>
      <c r="U885" s="56"/>
      <c r="V885" s="56"/>
      <c r="W885" s="56"/>
      <c r="X885" s="56"/>
      <c r="Y885" s="56"/>
      <c r="Z885" s="56"/>
      <c r="AA885" s="56"/>
      <c r="AB885" s="56"/>
    </row>
    <row r="886" ht="15.75" customHeight="1">
      <c r="A886" s="169"/>
      <c r="B886" s="63"/>
      <c r="C886" s="38" t="s">
        <v>53</v>
      </c>
      <c r="D886" s="38" t="s">
        <v>52</v>
      </c>
      <c r="E886" s="77" t="s">
        <v>4662</v>
      </c>
      <c r="F886" s="77" t="s">
        <v>4663</v>
      </c>
      <c r="G886" s="82" t="s">
        <v>4892</v>
      </c>
      <c r="H886" s="76" t="s">
        <v>4900</v>
      </c>
      <c r="I886" s="76" t="s">
        <v>6005</v>
      </c>
      <c r="J886" s="77" t="s">
        <v>1788</v>
      </c>
      <c r="K886" s="38"/>
      <c r="L886" s="38"/>
      <c r="M886" s="56"/>
      <c r="N886" s="56" t="b">
        <v>0</v>
      </c>
      <c r="O886" s="56" t="b">
        <v>0</v>
      </c>
      <c r="P886" s="56"/>
      <c r="Q886" s="56"/>
      <c r="R886" s="56"/>
      <c r="S886" s="56"/>
      <c r="T886" s="56"/>
      <c r="U886" s="56"/>
      <c r="V886" s="56"/>
      <c r="W886" s="56"/>
      <c r="X886" s="56"/>
      <c r="Y886" s="56"/>
      <c r="Z886" s="56"/>
      <c r="AA886" s="56"/>
      <c r="AB886" s="56"/>
    </row>
    <row r="887" ht="15.75" customHeight="1">
      <c r="A887" s="169"/>
      <c r="B887" s="63"/>
      <c r="C887" s="38" t="s">
        <v>53</v>
      </c>
      <c r="D887" s="38" t="s">
        <v>52</v>
      </c>
      <c r="E887" s="77" t="s">
        <v>4657</v>
      </c>
      <c r="F887" s="77" t="s">
        <v>4658</v>
      </c>
      <c r="G887" s="82" t="s">
        <v>5036</v>
      </c>
      <c r="H887" s="76" t="s">
        <v>4884</v>
      </c>
      <c r="I887" s="77" t="s">
        <v>6006</v>
      </c>
      <c r="J887" s="77" t="s">
        <v>4660</v>
      </c>
      <c r="K887" s="38"/>
      <c r="L887" s="38"/>
      <c r="M887" s="56"/>
      <c r="N887" s="56" t="b">
        <v>0</v>
      </c>
      <c r="O887" s="56" t="b">
        <v>0</v>
      </c>
      <c r="P887" s="56"/>
      <c r="Q887" s="56"/>
      <c r="R887" s="56"/>
      <c r="S887" s="56"/>
      <c r="T887" s="56"/>
      <c r="U887" s="56"/>
      <c r="V887" s="56"/>
      <c r="W887" s="56"/>
      <c r="X887" s="56"/>
      <c r="Y887" s="56"/>
      <c r="Z887" s="56"/>
      <c r="AA887" s="56"/>
      <c r="AB887" s="56"/>
    </row>
    <row r="888" ht="15.75" customHeight="1">
      <c r="A888" s="169"/>
      <c r="B888" s="63"/>
      <c r="C888" s="38" t="s">
        <v>53</v>
      </c>
      <c r="D888" s="38" t="s">
        <v>52</v>
      </c>
      <c r="E888" s="57" t="s">
        <v>1848</v>
      </c>
      <c r="F888" s="57" t="s">
        <v>1849</v>
      </c>
      <c r="G888" s="66" t="s">
        <v>5932</v>
      </c>
      <c r="H888" s="38" t="s">
        <v>4908</v>
      </c>
      <c r="I888" s="38" t="s">
        <v>5965</v>
      </c>
      <c r="J888" s="57" t="s">
        <v>1851</v>
      </c>
      <c r="K888" s="38"/>
      <c r="L888" s="38"/>
      <c r="M888" s="56"/>
      <c r="N888" s="56" t="b">
        <v>0</v>
      </c>
      <c r="O888" s="56" t="b">
        <v>0</v>
      </c>
      <c r="P888" s="56"/>
      <c r="Q888" s="56"/>
      <c r="R888" s="56"/>
      <c r="S888" s="56"/>
      <c r="T888" s="56"/>
      <c r="U888" s="56"/>
      <c r="V888" s="56"/>
      <c r="W888" s="56"/>
      <c r="X888" s="56"/>
      <c r="Y888" s="56"/>
      <c r="Z888" s="56"/>
      <c r="AA888" s="56"/>
      <c r="AB888" s="56"/>
    </row>
    <row r="889" ht="15.75" customHeight="1">
      <c r="A889" s="169"/>
      <c r="B889" s="69"/>
      <c r="C889" s="38" t="s">
        <v>53</v>
      </c>
      <c r="D889" s="62" t="s">
        <v>52</v>
      </c>
      <c r="E889" s="60" t="s">
        <v>408</v>
      </c>
      <c r="F889" s="60" t="s">
        <v>409</v>
      </c>
      <c r="G889" s="73" t="s">
        <v>6007</v>
      </c>
      <c r="H889" s="62" t="s">
        <v>4832</v>
      </c>
      <c r="I889" s="62" t="s">
        <v>6008</v>
      </c>
      <c r="J889" s="60" t="s">
        <v>410</v>
      </c>
      <c r="K889" s="38"/>
      <c r="L889" s="38"/>
      <c r="M889" s="56"/>
      <c r="N889" s="56" t="b">
        <v>0</v>
      </c>
      <c r="O889" s="56" t="b">
        <v>0</v>
      </c>
      <c r="P889" s="56"/>
      <c r="Q889" s="56"/>
      <c r="R889" s="56"/>
      <c r="S889" s="56"/>
      <c r="T889" s="56"/>
      <c r="U889" s="56"/>
      <c r="V889" s="56"/>
      <c r="W889" s="56"/>
      <c r="X889" s="56"/>
      <c r="Y889" s="56"/>
      <c r="Z889" s="56"/>
      <c r="AA889" s="56"/>
      <c r="AB889" s="56"/>
    </row>
    <row r="890" ht="15.75" customHeight="1">
      <c r="A890" s="169"/>
      <c r="B890" s="118"/>
      <c r="C890" s="38"/>
      <c r="D890" s="38"/>
      <c r="E890" s="38"/>
      <c r="F890" s="65"/>
      <c r="G890" s="66"/>
      <c r="H890" s="38"/>
      <c r="I890" s="38"/>
      <c r="J890" s="38"/>
      <c r="K890" s="38"/>
      <c r="L890" s="38"/>
      <c r="M890" s="56"/>
      <c r="N890" s="56" t="b">
        <v>0</v>
      </c>
      <c r="O890" s="56" t="b">
        <v>0</v>
      </c>
      <c r="P890" s="56"/>
      <c r="Q890" s="56"/>
      <c r="R890" s="56"/>
      <c r="S890" s="56"/>
      <c r="T890" s="56"/>
      <c r="U890" s="56"/>
      <c r="V890" s="56"/>
      <c r="W890" s="56"/>
      <c r="X890" s="56"/>
      <c r="Y890" s="56"/>
      <c r="Z890" s="56"/>
      <c r="AA890" s="56"/>
      <c r="AB890" s="56"/>
    </row>
    <row r="891" ht="15.75" customHeight="1">
      <c r="A891" s="169"/>
      <c r="B891" s="171" t="s">
        <v>4836</v>
      </c>
      <c r="C891" s="52">
        <v>44438.0</v>
      </c>
      <c r="D891" s="38"/>
      <c r="E891" s="38"/>
      <c r="F891" s="65"/>
      <c r="G891" s="66"/>
      <c r="H891" s="38"/>
      <c r="I891" s="38"/>
      <c r="J891" s="38"/>
      <c r="K891" s="38"/>
      <c r="L891" s="38"/>
      <c r="M891" s="56"/>
      <c r="N891" s="56" t="b">
        <v>0</v>
      </c>
      <c r="O891" s="56" t="b">
        <v>0</v>
      </c>
      <c r="P891" s="56"/>
      <c r="Q891" s="56"/>
      <c r="R891" s="56"/>
      <c r="S891" s="56"/>
      <c r="T891" s="56"/>
      <c r="U891" s="56"/>
      <c r="V891" s="56"/>
      <c r="W891" s="56"/>
      <c r="X891" s="56"/>
      <c r="Y891" s="56"/>
      <c r="Z891" s="56"/>
      <c r="AA891" s="56"/>
      <c r="AB891" s="56"/>
    </row>
    <row r="892" ht="15.75" customHeight="1">
      <c r="A892" s="169"/>
      <c r="B892" s="63"/>
      <c r="C892" s="31"/>
      <c r="D892" s="38"/>
      <c r="E892" s="38"/>
      <c r="F892" s="65"/>
      <c r="G892" s="66"/>
      <c r="H892" s="38"/>
      <c r="I892" s="38"/>
      <c r="J892" s="38"/>
      <c r="K892" s="38"/>
      <c r="L892" s="38"/>
      <c r="M892" s="56"/>
      <c r="N892" s="56" t="b">
        <v>0</v>
      </c>
      <c r="O892" s="56" t="b">
        <v>0</v>
      </c>
      <c r="P892" s="56"/>
      <c r="Q892" s="56"/>
      <c r="R892" s="56"/>
      <c r="S892" s="56"/>
      <c r="T892" s="56"/>
      <c r="U892" s="56"/>
      <c r="V892" s="56"/>
      <c r="W892" s="56"/>
      <c r="X892" s="56"/>
      <c r="Y892" s="56"/>
      <c r="Z892" s="56"/>
      <c r="AA892" s="56"/>
      <c r="AB892" s="56"/>
    </row>
    <row r="893" ht="15.75" customHeight="1">
      <c r="A893" s="169"/>
      <c r="B893" s="63"/>
      <c r="C893" s="38" t="s">
        <v>53</v>
      </c>
      <c r="D893" s="38" t="s">
        <v>52</v>
      </c>
      <c r="E893" s="67" t="s">
        <v>1956</v>
      </c>
      <c r="F893" s="67" t="s">
        <v>1957</v>
      </c>
      <c r="G893" s="66" t="s">
        <v>6001</v>
      </c>
      <c r="H893" s="38" t="s">
        <v>5978</v>
      </c>
      <c r="I893" s="38" t="s">
        <v>6009</v>
      </c>
      <c r="J893" s="67" t="s">
        <v>1959</v>
      </c>
      <c r="K893" s="38" t="s">
        <v>6010</v>
      </c>
      <c r="L893" s="38"/>
      <c r="M893" s="56"/>
      <c r="N893" s="56" t="b">
        <v>0</v>
      </c>
      <c r="O893" s="56" t="b">
        <v>0</v>
      </c>
      <c r="P893" s="56"/>
      <c r="Q893" s="56"/>
      <c r="R893" s="56"/>
      <c r="S893" s="56"/>
      <c r="T893" s="56"/>
      <c r="U893" s="56"/>
      <c r="V893" s="56"/>
      <c r="W893" s="56"/>
      <c r="X893" s="56"/>
      <c r="Y893" s="56"/>
      <c r="Z893" s="56"/>
      <c r="AA893" s="56"/>
      <c r="AB893" s="56"/>
    </row>
    <row r="894" ht="15.75" customHeight="1">
      <c r="A894" s="169"/>
      <c r="B894" s="63"/>
      <c r="C894" s="38" t="s">
        <v>53</v>
      </c>
      <c r="D894" s="38" t="s">
        <v>52</v>
      </c>
      <c r="E894" s="38" t="s">
        <v>6011</v>
      </c>
      <c r="F894" s="125" t="s">
        <v>2235</v>
      </c>
      <c r="G894" s="66" t="s">
        <v>5704</v>
      </c>
      <c r="H894" s="38" t="s">
        <v>5026</v>
      </c>
      <c r="I894" s="38" t="s">
        <v>6012</v>
      </c>
      <c r="J894" s="38" t="s">
        <v>2237</v>
      </c>
      <c r="K894" s="38" t="s">
        <v>6013</v>
      </c>
      <c r="L894" s="38"/>
      <c r="M894" s="56"/>
      <c r="N894" s="56" t="b">
        <v>0</v>
      </c>
      <c r="O894" s="56" t="b">
        <v>0</v>
      </c>
      <c r="P894" s="56"/>
      <c r="Q894" s="56"/>
      <c r="R894" s="56"/>
      <c r="S894" s="56"/>
      <c r="T894" s="56"/>
      <c r="U894" s="56"/>
      <c r="V894" s="56"/>
      <c r="W894" s="56"/>
      <c r="X894" s="56"/>
      <c r="Y894" s="56"/>
      <c r="Z894" s="56"/>
      <c r="AA894" s="56"/>
      <c r="AB894" s="56"/>
    </row>
    <row r="895" ht="15.75" customHeight="1">
      <c r="A895" s="169"/>
      <c r="B895" s="63"/>
      <c r="C895" s="38" t="s">
        <v>53</v>
      </c>
      <c r="D895" s="38" t="s">
        <v>52</v>
      </c>
      <c r="E895" s="38" t="s">
        <v>2373</v>
      </c>
      <c r="F895" s="87" t="s">
        <v>2374</v>
      </c>
      <c r="G895" s="174">
        <v>0.5</v>
      </c>
      <c r="H895" s="38" t="s">
        <v>5585</v>
      </c>
      <c r="I895" s="38" t="s">
        <v>6014</v>
      </c>
      <c r="J895" s="38" t="s">
        <v>2083</v>
      </c>
      <c r="K895" s="38" t="s">
        <v>6010</v>
      </c>
      <c r="L895" s="38"/>
      <c r="M895" s="56"/>
      <c r="N895" s="56" t="b">
        <v>0</v>
      </c>
      <c r="O895" s="56" t="b">
        <v>0</v>
      </c>
      <c r="P895" s="56"/>
      <c r="Q895" s="56"/>
      <c r="R895" s="56"/>
      <c r="S895" s="56"/>
      <c r="T895" s="56"/>
      <c r="U895" s="56"/>
      <c r="V895" s="56"/>
      <c r="W895" s="56"/>
      <c r="X895" s="56"/>
      <c r="Y895" s="56"/>
      <c r="Z895" s="56"/>
      <c r="AA895" s="56"/>
      <c r="AB895" s="56"/>
    </row>
    <row r="896" ht="15.75" customHeight="1">
      <c r="A896" s="169"/>
      <c r="B896" s="63"/>
      <c r="C896" s="38" t="s">
        <v>53</v>
      </c>
      <c r="D896" s="38" t="s">
        <v>52</v>
      </c>
      <c r="E896" s="165" t="s">
        <v>1246</v>
      </c>
      <c r="F896" s="77" t="s">
        <v>1247</v>
      </c>
      <c r="G896" s="82" t="s">
        <v>5160</v>
      </c>
      <c r="H896" s="76" t="s">
        <v>5029</v>
      </c>
      <c r="I896" s="165" t="s">
        <v>6015</v>
      </c>
      <c r="J896" s="77" t="s">
        <v>1249</v>
      </c>
      <c r="K896" s="38" t="s">
        <v>6016</v>
      </c>
      <c r="L896" s="38"/>
      <c r="M896" s="56"/>
      <c r="N896" s="56" t="b">
        <v>0</v>
      </c>
      <c r="O896" s="56" t="b">
        <v>0</v>
      </c>
      <c r="P896" s="56"/>
      <c r="Q896" s="56"/>
      <c r="R896" s="56"/>
      <c r="S896" s="56"/>
      <c r="T896" s="56"/>
      <c r="U896" s="56"/>
      <c r="V896" s="56"/>
      <c r="W896" s="56"/>
      <c r="X896" s="56"/>
      <c r="Y896" s="56"/>
      <c r="Z896" s="56"/>
      <c r="AA896" s="56"/>
      <c r="AB896" s="56"/>
    </row>
    <row r="897" ht="15.75" customHeight="1">
      <c r="A897" s="169"/>
      <c r="B897" s="63"/>
      <c r="C897" s="38" t="s">
        <v>53</v>
      </c>
      <c r="D897" s="38" t="s">
        <v>52</v>
      </c>
      <c r="E897" s="57" t="s">
        <v>2662</v>
      </c>
      <c r="F897" s="175" t="s">
        <v>2663</v>
      </c>
      <c r="G897" s="66" t="s">
        <v>4858</v>
      </c>
      <c r="H897" s="38" t="s">
        <v>5995</v>
      </c>
      <c r="I897" s="38" t="s">
        <v>5996</v>
      </c>
      <c r="J897" s="57" t="s">
        <v>2665</v>
      </c>
      <c r="K897" s="38" t="s">
        <v>6017</v>
      </c>
      <c r="L897" s="38"/>
      <c r="M897" s="56"/>
      <c r="N897" s="56" t="b">
        <v>0</v>
      </c>
      <c r="O897" s="56" t="b">
        <v>0</v>
      </c>
      <c r="P897" s="56"/>
      <c r="Q897" s="56"/>
      <c r="R897" s="56"/>
      <c r="S897" s="56"/>
      <c r="T897" s="56"/>
      <c r="U897" s="56"/>
      <c r="V897" s="56"/>
      <c r="W897" s="56"/>
      <c r="X897" s="56"/>
      <c r="Y897" s="56"/>
      <c r="Z897" s="56"/>
      <c r="AA897" s="56"/>
      <c r="AB897" s="56"/>
    </row>
    <row r="898" ht="15.75" customHeight="1">
      <c r="A898" s="169"/>
      <c r="B898" s="63"/>
      <c r="C898" s="38" t="s">
        <v>53</v>
      </c>
      <c r="D898" s="38" t="s">
        <v>52</v>
      </c>
      <c r="E898" s="57" t="s">
        <v>868</v>
      </c>
      <c r="F898" s="57" t="s">
        <v>869</v>
      </c>
      <c r="G898" s="66" t="s">
        <v>4847</v>
      </c>
      <c r="H898" s="38" t="s">
        <v>4884</v>
      </c>
      <c r="I898" s="38" t="s">
        <v>5985</v>
      </c>
      <c r="J898" s="57" t="s">
        <v>871</v>
      </c>
      <c r="K898" s="38" t="s">
        <v>6017</v>
      </c>
      <c r="L898" s="38"/>
      <c r="M898" s="56"/>
      <c r="N898" s="56" t="b">
        <v>0</v>
      </c>
      <c r="O898" s="56" t="b">
        <v>0</v>
      </c>
      <c r="P898" s="56"/>
      <c r="Q898" s="56"/>
      <c r="R898" s="56"/>
      <c r="S898" s="56"/>
      <c r="T898" s="56"/>
      <c r="U898" s="56"/>
      <c r="V898" s="56"/>
      <c r="W898" s="56"/>
      <c r="X898" s="56"/>
      <c r="Y898" s="56"/>
      <c r="Z898" s="56"/>
      <c r="AA898" s="56"/>
      <c r="AB898" s="56"/>
    </row>
    <row r="899" ht="15.75" customHeight="1">
      <c r="A899" s="169"/>
      <c r="B899" s="69"/>
      <c r="C899" s="38" t="s">
        <v>53</v>
      </c>
      <c r="D899" s="38" t="s">
        <v>52</v>
      </c>
      <c r="E899" s="67" t="s">
        <v>2584</v>
      </c>
      <c r="F899" s="67" t="s">
        <v>2585</v>
      </c>
      <c r="G899" s="66" t="s">
        <v>5981</v>
      </c>
      <c r="H899" s="38" t="s">
        <v>5029</v>
      </c>
      <c r="I899" s="38" t="s">
        <v>5999</v>
      </c>
      <c r="J899" s="67" t="s">
        <v>2587</v>
      </c>
      <c r="K899" s="38" t="s">
        <v>6018</v>
      </c>
      <c r="L899" s="38" t="s">
        <v>2588</v>
      </c>
      <c r="M899" s="56"/>
      <c r="N899" s="56" t="b">
        <v>0</v>
      </c>
      <c r="O899" s="56" t="b">
        <v>0</v>
      </c>
      <c r="P899" s="56"/>
      <c r="Q899" s="56"/>
      <c r="R899" s="56"/>
      <c r="S899" s="56"/>
      <c r="T899" s="56"/>
      <c r="U899" s="56"/>
      <c r="V899" s="56"/>
      <c r="W899" s="56"/>
      <c r="X899" s="56"/>
      <c r="Y899" s="56"/>
      <c r="Z899" s="56"/>
      <c r="AA899" s="56"/>
      <c r="AB899" s="56"/>
    </row>
    <row r="900" ht="15.75" customHeight="1">
      <c r="A900" s="169"/>
      <c r="B900" s="171" t="s">
        <v>4836</v>
      </c>
      <c r="C900" s="52">
        <v>44441.0</v>
      </c>
      <c r="D900" s="38"/>
      <c r="E900" s="38"/>
      <c r="F900" s="65"/>
      <c r="G900" s="66"/>
      <c r="H900" s="38"/>
      <c r="I900" s="38"/>
      <c r="J900" s="38"/>
      <c r="K900" s="38"/>
      <c r="L900" s="38"/>
      <c r="M900" s="56"/>
      <c r="N900" s="56" t="b">
        <v>0</v>
      </c>
      <c r="O900" s="56" t="b">
        <v>0</v>
      </c>
      <c r="P900" s="56"/>
      <c r="Q900" s="56"/>
      <c r="R900" s="56"/>
      <c r="S900" s="56"/>
      <c r="T900" s="56"/>
      <c r="U900" s="56"/>
      <c r="V900" s="56"/>
      <c r="W900" s="56"/>
      <c r="X900" s="56"/>
      <c r="Y900" s="56"/>
      <c r="Z900" s="56"/>
      <c r="AA900" s="56"/>
      <c r="AB900" s="56"/>
    </row>
    <row r="901" ht="15.75" customHeight="1">
      <c r="A901" s="169"/>
      <c r="B901" s="63"/>
      <c r="C901" s="31"/>
      <c r="D901" s="38"/>
      <c r="E901" s="38"/>
      <c r="F901" s="127" t="s">
        <v>6019</v>
      </c>
      <c r="G901" s="66"/>
      <c r="H901" s="38"/>
      <c r="I901" s="38"/>
      <c r="J901" s="38"/>
      <c r="K901" s="38"/>
      <c r="L901" s="38"/>
      <c r="M901" s="56"/>
      <c r="N901" s="56" t="b">
        <v>0</v>
      </c>
      <c r="O901" s="56" t="b">
        <v>0</v>
      </c>
      <c r="P901" s="56"/>
      <c r="Q901" s="56"/>
      <c r="R901" s="56"/>
      <c r="S901" s="56"/>
      <c r="T901" s="56"/>
      <c r="U901" s="56"/>
      <c r="V901" s="56"/>
      <c r="W901" s="56"/>
      <c r="X901" s="56"/>
      <c r="Y901" s="56"/>
      <c r="Z901" s="56"/>
      <c r="AA901" s="56"/>
      <c r="AB901" s="56"/>
    </row>
    <row r="902" ht="15.75" customHeight="1">
      <c r="A902" s="169"/>
      <c r="B902" s="63"/>
      <c r="C902" s="38" t="s">
        <v>53</v>
      </c>
      <c r="D902" s="38" t="s">
        <v>52</v>
      </c>
      <c r="E902" s="38"/>
      <c r="F902" s="65"/>
      <c r="G902" s="66"/>
      <c r="H902" s="38"/>
      <c r="I902" s="38"/>
      <c r="J902" s="38"/>
      <c r="K902" s="38"/>
      <c r="L902" s="38"/>
      <c r="M902" s="56"/>
      <c r="N902" s="56" t="b">
        <v>0</v>
      </c>
      <c r="O902" s="56" t="b">
        <v>0</v>
      </c>
      <c r="P902" s="56"/>
      <c r="Q902" s="56"/>
      <c r="R902" s="56"/>
      <c r="S902" s="56"/>
      <c r="T902" s="56"/>
      <c r="U902" s="56"/>
      <c r="V902" s="56"/>
      <c r="W902" s="56"/>
      <c r="X902" s="56"/>
      <c r="Y902" s="56"/>
      <c r="Z902" s="56"/>
      <c r="AA902" s="56"/>
      <c r="AB902" s="56"/>
    </row>
    <row r="903" ht="15.75" customHeight="1">
      <c r="A903" s="169"/>
      <c r="B903" s="63"/>
      <c r="C903" s="38" t="s">
        <v>53</v>
      </c>
      <c r="D903" s="38" t="s">
        <v>52</v>
      </c>
      <c r="E903" s="38"/>
      <c r="F903" s="65"/>
      <c r="G903" s="66"/>
      <c r="H903" s="38"/>
      <c r="I903" s="38"/>
      <c r="J903" s="38"/>
      <c r="K903" s="38"/>
      <c r="L903" s="38"/>
      <c r="M903" s="56"/>
      <c r="N903" s="56" t="b">
        <v>0</v>
      </c>
      <c r="O903" s="56" t="b">
        <v>0</v>
      </c>
      <c r="P903" s="56"/>
      <c r="Q903" s="56"/>
      <c r="R903" s="56"/>
      <c r="S903" s="56"/>
      <c r="T903" s="56"/>
      <c r="U903" s="56"/>
      <c r="V903" s="56"/>
      <c r="W903" s="56"/>
      <c r="X903" s="56"/>
      <c r="Y903" s="56"/>
      <c r="Z903" s="56"/>
      <c r="AA903" s="56"/>
      <c r="AB903" s="56"/>
    </row>
    <row r="904" ht="15.75" customHeight="1">
      <c r="A904" s="169"/>
      <c r="B904" s="63"/>
      <c r="C904" s="38" t="s">
        <v>53</v>
      </c>
      <c r="D904" s="38" t="s">
        <v>52</v>
      </c>
      <c r="E904" s="67" t="s">
        <v>3881</v>
      </c>
      <c r="F904" s="67" t="s">
        <v>3882</v>
      </c>
      <c r="G904" s="66" t="s">
        <v>6003</v>
      </c>
      <c r="H904" s="38" t="s">
        <v>4971</v>
      </c>
      <c r="I904" s="38" t="s">
        <v>6020</v>
      </c>
      <c r="J904" s="67" t="s">
        <v>3884</v>
      </c>
      <c r="K904" s="38"/>
      <c r="L904" s="38"/>
      <c r="M904" s="56"/>
      <c r="N904" s="56" t="b">
        <v>0</v>
      </c>
      <c r="O904" s="56" t="b">
        <v>0</v>
      </c>
      <c r="P904" s="56"/>
      <c r="Q904" s="56"/>
      <c r="R904" s="56"/>
      <c r="S904" s="56"/>
      <c r="T904" s="56"/>
      <c r="U904" s="56"/>
      <c r="V904" s="56"/>
      <c r="W904" s="56"/>
      <c r="X904" s="56"/>
      <c r="Y904" s="56"/>
      <c r="Z904" s="56"/>
      <c r="AA904" s="56"/>
      <c r="AB904" s="56"/>
    </row>
    <row r="905" ht="15.75" customHeight="1">
      <c r="A905" s="169"/>
      <c r="B905" s="63"/>
      <c r="C905" s="38" t="s">
        <v>53</v>
      </c>
      <c r="D905" s="76" t="s">
        <v>52</v>
      </c>
      <c r="E905" s="165" t="s">
        <v>1246</v>
      </c>
      <c r="F905" s="165" t="s">
        <v>1247</v>
      </c>
      <c r="G905" s="82" t="s">
        <v>5160</v>
      </c>
      <c r="H905" s="76" t="s">
        <v>5029</v>
      </c>
      <c r="I905" s="165" t="s">
        <v>6015</v>
      </c>
      <c r="J905" s="165" t="s">
        <v>1249</v>
      </c>
      <c r="K905" s="38" t="s">
        <v>1251</v>
      </c>
      <c r="L905" s="38"/>
      <c r="M905" s="56"/>
      <c r="N905" s="56" t="b">
        <v>0</v>
      </c>
      <c r="O905" s="56" t="b">
        <v>0</v>
      </c>
      <c r="P905" s="56"/>
      <c r="Q905" s="56"/>
      <c r="R905" s="56"/>
      <c r="S905" s="56"/>
      <c r="T905" s="56"/>
      <c r="U905" s="56"/>
      <c r="V905" s="56"/>
      <c r="W905" s="56"/>
      <c r="X905" s="56"/>
      <c r="Y905" s="56"/>
      <c r="Z905" s="56"/>
      <c r="AA905" s="56"/>
      <c r="AB905" s="56"/>
    </row>
    <row r="906" ht="15.75" customHeight="1">
      <c r="A906" s="169"/>
      <c r="B906" s="63"/>
      <c r="C906" s="38" t="s">
        <v>53</v>
      </c>
      <c r="D906" s="38" t="s">
        <v>52</v>
      </c>
      <c r="E906" s="67" t="s">
        <v>4657</v>
      </c>
      <c r="F906" s="67" t="s">
        <v>4658</v>
      </c>
      <c r="G906" s="66" t="s">
        <v>5036</v>
      </c>
      <c r="H906" s="38" t="s">
        <v>4884</v>
      </c>
      <c r="I906" s="67" t="s">
        <v>6006</v>
      </c>
      <c r="J906" s="67" t="s">
        <v>4660</v>
      </c>
      <c r="K906" s="38" t="s">
        <v>6021</v>
      </c>
      <c r="L906" s="38"/>
      <c r="M906" s="56"/>
      <c r="N906" s="56" t="b">
        <v>0</v>
      </c>
      <c r="O906" s="56" t="b">
        <v>0</v>
      </c>
      <c r="P906" s="56"/>
      <c r="Q906" s="56"/>
      <c r="R906" s="56"/>
      <c r="S906" s="56"/>
      <c r="T906" s="56"/>
      <c r="U906" s="56"/>
      <c r="V906" s="56"/>
      <c r="W906" s="56"/>
      <c r="X906" s="56"/>
      <c r="Y906" s="56"/>
      <c r="Z906" s="56"/>
      <c r="AA906" s="56"/>
      <c r="AB906" s="56"/>
    </row>
    <row r="907" ht="15.75" customHeight="1">
      <c r="A907" s="169"/>
      <c r="B907" s="63"/>
      <c r="C907" s="38" t="s">
        <v>53</v>
      </c>
      <c r="D907" s="76" t="s">
        <v>52</v>
      </c>
      <c r="E907" s="77" t="s">
        <v>4508</v>
      </c>
      <c r="F907" s="77" t="s">
        <v>4509</v>
      </c>
      <c r="G907" s="82" t="s">
        <v>4847</v>
      </c>
      <c r="H907" s="76" t="s">
        <v>6022</v>
      </c>
      <c r="I907" s="76" t="s">
        <v>6023</v>
      </c>
      <c r="J907" s="77" t="s">
        <v>4511</v>
      </c>
      <c r="K907" s="38" t="s">
        <v>6024</v>
      </c>
      <c r="L907" s="38"/>
      <c r="M907" s="56"/>
      <c r="N907" s="56" t="b">
        <v>0</v>
      </c>
      <c r="O907" s="56" t="b">
        <v>0</v>
      </c>
      <c r="P907" s="56"/>
      <c r="Q907" s="56"/>
      <c r="R907" s="56"/>
      <c r="S907" s="56"/>
      <c r="T907" s="56"/>
      <c r="U907" s="56"/>
      <c r="V907" s="56"/>
      <c r="W907" s="56"/>
      <c r="X907" s="56"/>
      <c r="Y907" s="56"/>
      <c r="Z907" s="56"/>
      <c r="AA907" s="56"/>
      <c r="AB907" s="56"/>
    </row>
    <row r="908" ht="15.75" customHeight="1">
      <c r="A908" s="169"/>
      <c r="B908" s="69"/>
      <c r="C908" s="38" t="s">
        <v>53</v>
      </c>
      <c r="D908" s="76" t="s">
        <v>52</v>
      </c>
      <c r="E908" s="77" t="s">
        <v>1624</v>
      </c>
      <c r="F908" s="77" t="s">
        <v>1625</v>
      </c>
      <c r="G908" s="82" t="s">
        <v>5932</v>
      </c>
      <c r="H908" s="76" t="s">
        <v>5338</v>
      </c>
      <c r="I908" s="76" t="s">
        <v>6025</v>
      </c>
      <c r="J908" s="77" t="s">
        <v>1627</v>
      </c>
      <c r="K908" s="38" t="s">
        <v>6026</v>
      </c>
      <c r="L908" s="38"/>
      <c r="M908" s="56"/>
      <c r="N908" s="56" t="b">
        <v>0</v>
      </c>
      <c r="O908" s="56" t="b">
        <v>0</v>
      </c>
      <c r="P908" s="56"/>
      <c r="Q908" s="56"/>
      <c r="R908" s="56"/>
      <c r="S908" s="56"/>
      <c r="T908" s="56"/>
      <c r="U908" s="56"/>
      <c r="V908" s="56"/>
      <c r="W908" s="56"/>
      <c r="X908" s="56"/>
      <c r="Y908" s="56"/>
      <c r="Z908" s="56"/>
      <c r="AA908" s="56"/>
      <c r="AB908" s="56"/>
    </row>
    <row r="909" ht="15.75" customHeight="1">
      <c r="A909" s="169"/>
      <c r="B909" s="171" t="s">
        <v>4836</v>
      </c>
      <c r="C909" s="52">
        <v>44445.0</v>
      </c>
      <c r="D909" s="38"/>
      <c r="E909" s="38"/>
      <c r="F909" s="65"/>
      <c r="G909" s="66"/>
      <c r="H909" s="38"/>
      <c r="I909" s="38"/>
      <c r="J909" s="38"/>
      <c r="K909" s="38"/>
      <c r="L909" s="38"/>
      <c r="M909" s="56"/>
      <c r="N909" s="56" t="b">
        <v>0</v>
      </c>
      <c r="O909" s="56" t="b">
        <v>0</v>
      </c>
      <c r="P909" s="56"/>
      <c r="Q909" s="56"/>
      <c r="R909" s="56"/>
      <c r="S909" s="56"/>
      <c r="T909" s="56"/>
      <c r="U909" s="56"/>
      <c r="V909" s="56"/>
      <c r="W909" s="56"/>
      <c r="X909" s="56"/>
      <c r="Y909" s="56"/>
      <c r="Z909" s="56"/>
      <c r="AA909" s="56"/>
      <c r="AB909" s="56"/>
    </row>
    <row r="910" ht="15.75" customHeight="1">
      <c r="A910" s="169"/>
      <c r="B910" s="63"/>
      <c r="C910" s="31"/>
      <c r="D910" s="38"/>
      <c r="E910" s="38"/>
      <c r="F910" s="65"/>
      <c r="G910" s="66"/>
      <c r="H910" s="38"/>
      <c r="I910" s="38"/>
      <c r="J910" s="38"/>
      <c r="K910" s="38"/>
      <c r="L910" s="38"/>
      <c r="M910" s="56"/>
      <c r="N910" s="56" t="b">
        <v>0</v>
      </c>
      <c r="O910" s="56" t="b">
        <v>0</v>
      </c>
      <c r="P910" s="56"/>
      <c r="Q910" s="56"/>
      <c r="R910" s="56"/>
      <c r="S910" s="56"/>
      <c r="T910" s="56"/>
      <c r="U910" s="56"/>
      <c r="V910" s="56"/>
      <c r="W910" s="56"/>
      <c r="X910" s="56"/>
      <c r="Y910" s="56"/>
      <c r="Z910" s="56"/>
      <c r="AA910" s="56"/>
      <c r="AB910" s="56"/>
    </row>
    <row r="911" ht="15.75" customHeight="1">
      <c r="A911" s="169"/>
      <c r="B911" s="63"/>
      <c r="C911" s="38" t="s">
        <v>53</v>
      </c>
      <c r="D911" s="76" t="s">
        <v>52</v>
      </c>
      <c r="E911" s="77" t="s">
        <v>3566</v>
      </c>
      <c r="F911" s="77" t="s">
        <v>3567</v>
      </c>
      <c r="G911" s="82" t="s">
        <v>5704</v>
      </c>
      <c r="H911" s="76" t="s">
        <v>6027</v>
      </c>
      <c r="I911" s="76" t="s">
        <v>6028</v>
      </c>
      <c r="J911" s="67" t="s">
        <v>6029</v>
      </c>
      <c r="K911" s="38"/>
      <c r="L911" s="38"/>
      <c r="M911" s="56"/>
      <c r="N911" s="56" t="b">
        <v>0</v>
      </c>
      <c r="O911" s="56" t="b">
        <v>0</v>
      </c>
      <c r="P911" s="56"/>
      <c r="Q911" s="56"/>
      <c r="R911" s="56"/>
      <c r="S911" s="56"/>
      <c r="T911" s="56"/>
      <c r="U911" s="56"/>
      <c r="V911" s="56"/>
      <c r="W911" s="56"/>
      <c r="X911" s="56"/>
      <c r="Y911" s="56"/>
      <c r="Z911" s="56"/>
      <c r="AA911" s="56"/>
      <c r="AB911" s="56"/>
    </row>
    <row r="912" ht="15.75" customHeight="1">
      <c r="A912" s="169"/>
      <c r="B912" s="63"/>
      <c r="C912" s="38" t="s">
        <v>53</v>
      </c>
      <c r="D912" s="38" t="s">
        <v>171</v>
      </c>
      <c r="E912" s="67" t="s">
        <v>1624</v>
      </c>
      <c r="F912" s="67" t="s">
        <v>1625</v>
      </c>
      <c r="G912" s="66" t="s">
        <v>5134</v>
      </c>
      <c r="H912" s="38" t="s">
        <v>5338</v>
      </c>
      <c r="I912" s="38" t="s">
        <v>6025</v>
      </c>
      <c r="J912" s="67" t="s">
        <v>1627</v>
      </c>
      <c r="K912" s="38"/>
      <c r="L912" s="38"/>
      <c r="M912" s="56"/>
      <c r="N912" s="56" t="b">
        <v>0</v>
      </c>
      <c r="O912" s="56" t="b">
        <v>0</v>
      </c>
      <c r="P912" s="56"/>
      <c r="Q912" s="56"/>
      <c r="R912" s="56"/>
      <c r="S912" s="56"/>
      <c r="T912" s="56"/>
      <c r="U912" s="56"/>
      <c r="V912" s="56"/>
      <c r="W912" s="56"/>
      <c r="X912" s="56"/>
      <c r="Y912" s="56"/>
      <c r="Z912" s="56"/>
      <c r="AA912" s="56"/>
      <c r="AB912" s="56"/>
    </row>
    <row r="913" ht="15.75" customHeight="1">
      <c r="A913" s="169"/>
      <c r="B913" s="63"/>
      <c r="C913" s="38" t="s">
        <v>53</v>
      </c>
      <c r="D913" s="38" t="s">
        <v>52</v>
      </c>
      <c r="E913" s="67" t="s">
        <v>3348</v>
      </c>
      <c r="F913" s="67" t="s">
        <v>3349</v>
      </c>
      <c r="G913" s="66" t="s">
        <v>4856</v>
      </c>
      <c r="H913" s="38" t="s">
        <v>5205</v>
      </c>
      <c r="I913" s="38" t="s">
        <v>6030</v>
      </c>
      <c r="J913" s="67" t="s">
        <v>840</v>
      </c>
      <c r="K913" s="38"/>
      <c r="L913" s="38"/>
      <c r="M913" s="56"/>
      <c r="N913" s="56" t="b">
        <v>0</v>
      </c>
      <c r="O913" s="56" t="b">
        <v>0</v>
      </c>
      <c r="P913" s="56"/>
      <c r="Q913" s="56"/>
      <c r="R913" s="56"/>
      <c r="S913" s="56"/>
      <c r="T913" s="56"/>
      <c r="U913" s="56"/>
      <c r="V913" s="56"/>
      <c r="W913" s="56"/>
      <c r="X913" s="56"/>
      <c r="Y913" s="56"/>
      <c r="Z913" s="56"/>
      <c r="AA913" s="56"/>
      <c r="AB913" s="56"/>
    </row>
    <row r="914" ht="15.75" customHeight="1">
      <c r="A914" s="169"/>
      <c r="B914" s="63"/>
      <c r="C914" s="38" t="s">
        <v>53</v>
      </c>
      <c r="D914" s="76" t="s">
        <v>52</v>
      </c>
      <c r="E914" s="77" t="s">
        <v>6031</v>
      </c>
      <c r="F914" s="77" t="s">
        <v>6032</v>
      </c>
      <c r="G914" s="82" t="s">
        <v>4858</v>
      </c>
      <c r="H914" s="76" t="s">
        <v>5585</v>
      </c>
      <c r="I914" s="76" t="s">
        <v>6033</v>
      </c>
      <c r="J914" s="77" t="s">
        <v>6034</v>
      </c>
      <c r="K914" s="38" t="s">
        <v>6035</v>
      </c>
      <c r="L914" s="38"/>
      <c r="M914" s="56"/>
      <c r="N914" s="56" t="b">
        <v>0</v>
      </c>
      <c r="O914" s="56" t="b">
        <v>0</v>
      </c>
      <c r="P914" s="56"/>
      <c r="Q914" s="56"/>
      <c r="R914" s="56"/>
      <c r="S914" s="56"/>
      <c r="T914" s="56"/>
      <c r="U914" s="56"/>
      <c r="V914" s="56"/>
      <c r="W914" s="56"/>
      <c r="X914" s="56"/>
      <c r="Y914" s="56"/>
      <c r="Z914" s="56"/>
      <c r="AA914" s="56"/>
      <c r="AB914" s="56"/>
    </row>
    <row r="915" ht="15.75" customHeight="1">
      <c r="A915" s="169"/>
      <c r="B915" s="63"/>
      <c r="C915" s="38" t="s">
        <v>53</v>
      </c>
      <c r="D915" s="76" t="s">
        <v>52</v>
      </c>
      <c r="E915" s="77" t="s">
        <v>6036</v>
      </c>
      <c r="F915" s="77" t="s">
        <v>6037</v>
      </c>
      <c r="G915" s="82" t="s">
        <v>5089</v>
      </c>
      <c r="H915" s="76" t="s">
        <v>6038</v>
      </c>
      <c r="I915" s="76" t="s">
        <v>6039</v>
      </c>
      <c r="J915" s="76" t="s">
        <v>6040</v>
      </c>
      <c r="K915" s="76"/>
      <c r="L915" s="38"/>
      <c r="M915" s="56"/>
      <c r="N915" s="56" t="b">
        <v>0</v>
      </c>
      <c r="O915" s="56" t="b">
        <v>0</v>
      </c>
      <c r="P915" s="56"/>
      <c r="Q915" s="56"/>
      <c r="R915" s="56"/>
      <c r="S915" s="56"/>
      <c r="T915" s="56"/>
      <c r="U915" s="56"/>
      <c r="V915" s="56"/>
      <c r="W915" s="56"/>
      <c r="X915" s="56"/>
      <c r="Y915" s="56"/>
      <c r="Z915" s="56"/>
      <c r="AA915" s="56"/>
      <c r="AB915" s="56"/>
    </row>
    <row r="916" ht="15.75" customHeight="1">
      <c r="A916" s="169"/>
      <c r="B916" s="63"/>
      <c r="C916" s="38" t="s">
        <v>53</v>
      </c>
      <c r="D916" s="38"/>
      <c r="E916" s="38"/>
      <c r="F916" s="65"/>
      <c r="G916" s="66"/>
      <c r="H916" s="38"/>
      <c r="I916" s="38"/>
      <c r="J916" s="38"/>
      <c r="K916" s="38"/>
      <c r="L916" s="38"/>
      <c r="M916" s="56"/>
      <c r="N916" s="56" t="b">
        <v>0</v>
      </c>
      <c r="O916" s="56" t="b">
        <v>0</v>
      </c>
      <c r="P916" s="56"/>
      <c r="Q916" s="56"/>
      <c r="R916" s="56"/>
      <c r="S916" s="56"/>
      <c r="T916" s="56"/>
      <c r="U916" s="56"/>
      <c r="V916" s="56"/>
      <c r="W916" s="56"/>
      <c r="X916" s="56"/>
      <c r="Y916" s="56"/>
      <c r="Z916" s="56"/>
      <c r="AA916" s="56"/>
      <c r="AB916" s="56"/>
    </row>
    <row r="917" ht="15.75" customHeight="1">
      <c r="A917" s="169"/>
      <c r="B917" s="69"/>
      <c r="C917" s="38" t="s">
        <v>53</v>
      </c>
      <c r="D917" s="38"/>
      <c r="E917" s="38"/>
      <c r="F917" s="65"/>
      <c r="G917" s="66"/>
      <c r="H917" s="38"/>
      <c r="I917" s="38"/>
      <c r="J917" s="38"/>
      <c r="K917" s="38"/>
      <c r="L917" s="38"/>
      <c r="M917" s="56"/>
      <c r="N917" s="56" t="b">
        <v>0</v>
      </c>
      <c r="O917" s="56" t="b">
        <v>0</v>
      </c>
      <c r="P917" s="56"/>
      <c r="Q917" s="56"/>
      <c r="R917" s="56"/>
      <c r="S917" s="56"/>
      <c r="T917" s="56"/>
      <c r="U917" s="56"/>
      <c r="V917" s="56"/>
      <c r="W917" s="56"/>
      <c r="X917" s="56"/>
      <c r="Y917" s="56"/>
      <c r="Z917" s="56"/>
      <c r="AA917" s="56"/>
      <c r="AB917" s="56"/>
    </row>
    <row r="918" ht="15.75" customHeight="1">
      <c r="A918" s="169"/>
      <c r="B918" s="171" t="s">
        <v>4836</v>
      </c>
      <c r="C918" s="52">
        <v>44448.0</v>
      </c>
      <c r="D918" s="38"/>
      <c r="E918" s="38"/>
      <c r="F918" s="65"/>
      <c r="G918" s="66"/>
      <c r="H918" s="38"/>
      <c r="I918" s="38"/>
      <c r="J918" s="38"/>
      <c r="K918" s="38"/>
      <c r="L918" s="38"/>
      <c r="M918" s="56"/>
      <c r="N918" s="56" t="b">
        <v>0</v>
      </c>
      <c r="O918" s="56" t="b">
        <v>0</v>
      </c>
      <c r="P918" s="56"/>
      <c r="Q918" s="56"/>
      <c r="R918" s="56"/>
      <c r="S918" s="56"/>
      <c r="T918" s="56"/>
      <c r="U918" s="56"/>
      <c r="V918" s="56"/>
      <c r="W918" s="56"/>
      <c r="X918" s="56"/>
      <c r="Y918" s="56"/>
      <c r="Z918" s="56"/>
      <c r="AA918" s="56"/>
      <c r="AB918" s="56"/>
    </row>
    <row r="919" ht="15.75" customHeight="1">
      <c r="A919" s="169"/>
      <c r="B919" s="63"/>
      <c r="C919" s="31"/>
      <c r="D919" s="38"/>
      <c r="E919" s="129" t="s">
        <v>6041</v>
      </c>
      <c r="F919" s="65"/>
      <c r="G919" s="66"/>
      <c r="H919" s="38"/>
      <c r="I919" s="38"/>
      <c r="J919" s="38"/>
      <c r="K919" s="38"/>
      <c r="L919" s="38"/>
      <c r="M919" s="56"/>
      <c r="N919" s="56" t="b">
        <v>0</v>
      </c>
      <c r="O919" s="56" t="b">
        <v>0</v>
      </c>
      <c r="P919" s="56"/>
      <c r="Q919" s="56"/>
      <c r="R919" s="56"/>
      <c r="S919" s="56"/>
      <c r="T919" s="56"/>
      <c r="U919" s="56"/>
      <c r="V919" s="56"/>
      <c r="W919" s="56"/>
      <c r="X919" s="56"/>
      <c r="Y919" s="56"/>
      <c r="Z919" s="56"/>
      <c r="AA919" s="56"/>
      <c r="AB919" s="56"/>
    </row>
    <row r="920" ht="15.75" customHeight="1">
      <c r="A920" s="169"/>
      <c r="B920" s="63"/>
      <c r="C920" s="38" t="s">
        <v>53</v>
      </c>
      <c r="D920" s="38" t="s">
        <v>52</v>
      </c>
      <c r="E920" s="38"/>
      <c r="F920" s="65"/>
      <c r="G920" s="81" t="s">
        <v>5704</v>
      </c>
      <c r="H920" s="38"/>
      <c r="I920" s="38"/>
      <c r="J920" s="38"/>
      <c r="K920" s="38"/>
      <c r="L920" s="38"/>
      <c r="M920" s="56"/>
      <c r="N920" s="56" t="b">
        <v>0</v>
      </c>
      <c r="O920" s="56" t="b">
        <v>0</v>
      </c>
      <c r="P920" s="56"/>
      <c r="Q920" s="56"/>
      <c r="R920" s="56"/>
      <c r="S920" s="56"/>
      <c r="T920" s="56"/>
      <c r="U920" s="56"/>
      <c r="V920" s="56"/>
      <c r="W920" s="56"/>
      <c r="X920" s="56"/>
      <c r="Y920" s="56"/>
      <c r="Z920" s="56"/>
      <c r="AA920" s="56"/>
      <c r="AB920" s="56"/>
    </row>
    <row r="921" ht="15.75" customHeight="1">
      <c r="A921" s="169"/>
      <c r="B921" s="63"/>
      <c r="C921" s="38" t="s">
        <v>53</v>
      </c>
      <c r="D921" s="76" t="s">
        <v>52</v>
      </c>
      <c r="E921" s="77" t="s">
        <v>1678</v>
      </c>
      <c r="F921" s="77" t="s">
        <v>1679</v>
      </c>
      <c r="G921" s="82" t="s">
        <v>5134</v>
      </c>
      <c r="H921" s="76" t="s">
        <v>5242</v>
      </c>
      <c r="I921" s="76" t="s">
        <v>6042</v>
      </c>
      <c r="J921" s="76" t="s">
        <v>1681</v>
      </c>
      <c r="K921" s="38" t="s">
        <v>6043</v>
      </c>
      <c r="L921" s="38"/>
      <c r="M921" s="56"/>
      <c r="N921" s="56" t="b">
        <v>0</v>
      </c>
      <c r="O921" s="56" t="b">
        <v>0</v>
      </c>
      <c r="P921" s="56"/>
      <c r="Q921" s="56"/>
      <c r="R921" s="56"/>
      <c r="S921" s="56"/>
      <c r="T921" s="56"/>
      <c r="U921" s="56"/>
      <c r="V921" s="56"/>
      <c r="W921" s="56"/>
      <c r="X921" s="56"/>
      <c r="Y921" s="56"/>
      <c r="Z921" s="56"/>
      <c r="AA921" s="56"/>
      <c r="AB921" s="56"/>
    </row>
    <row r="922" ht="15.75" customHeight="1">
      <c r="A922" s="169"/>
      <c r="B922" s="63"/>
      <c r="C922" s="38" t="s">
        <v>53</v>
      </c>
      <c r="D922" s="76" t="s">
        <v>52</v>
      </c>
      <c r="E922" s="77" t="s">
        <v>1683</v>
      </c>
      <c r="F922" s="77" t="s">
        <v>4053</v>
      </c>
      <c r="G922" s="82" t="s">
        <v>4856</v>
      </c>
      <c r="H922" s="76" t="s">
        <v>6044</v>
      </c>
      <c r="I922" s="76" t="s">
        <v>6045</v>
      </c>
      <c r="J922" s="77" t="s">
        <v>4055</v>
      </c>
      <c r="K922" s="38" t="s">
        <v>6046</v>
      </c>
      <c r="L922" s="38"/>
      <c r="M922" s="56"/>
      <c r="N922" s="56" t="b">
        <v>0</v>
      </c>
      <c r="O922" s="56" t="b">
        <v>0</v>
      </c>
      <c r="P922" s="56"/>
      <c r="Q922" s="56"/>
      <c r="R922" s="56"/>
      <c r="S922" s="56"/>
      <c r="T922" s="56"/>
      <c r="U922" s="56"/>
      <c r="V922" s="56"/>
      <c r="W922" s="56"/>
      <c r="X922" s="56"/>
      <c r="Y922" s="56"/>
      <c r="Z922" s="56"/>
      <c r="AA922" s="56"/>
      <c r="AB922" s="56"/>
    </row>
    <row r="923" ht="15.75" customHeight="1">
      <c r="A923" s="169"/>
      <c r="B923" s="63"/>
      <c r="C923" s="38"/>
      <c r="D923" s="76" t="s">
        <v>52</v>
      </c>
      <c r="E923" s="77" t="s">
        <v>697</v>
      </c>
      <c r="F923" s="77" t="s">
        <v>698</v>
      </c>
      <c r="G923" s="82" t="s">
        <v>4892</v>
      </c>
      <c r="H923" s="76" t="s">
        <v>5017</v>
      </c>
      <c r="I923" s="76" t="s">
        <v>6047</v>
      </c>
      <c r="J923" s="77" t="s">
        <v>701</v>
      </c>
      <c r="K923" s="38" t="s">
        <v>6048</v>
      </c>
      <c r="L923" s="38"/>
      <c r="M923" s="56"/>
      <c r="N923" s="56" t="b">
        <v>0</v>
      </c>
      <c r="O923" s="56" t="b">
        <v>0</v>
      </c>
      <c r="P923" s="56"/>
      <c r="Q923" s="56"/>
      <c r="R923" s="56"/>
      <c r="S923" s="56"/>
      <c r="T923" s="56"/>
      <c r="U923" s="56"/>
      <c r="V923" s="56"/>
      <c r="W923" s="56"/>
      <c r="X923" s="56"/>
      <c r="Y923" s="56"/>
      <c r="Z923" s="56"/>
      <c r="AA923" s="56"/>
      <c r="AB923" s="56"/>
    </row>
    <row r="924" ht="15.75" customHeight="1">
      <c r="A924" s="169"/>
      <c r="B924" s="63"/>
      <c r="C924" s="38" t="s">
        <v>53</v>
      </c>
      <c r="D924" s="76" t="s">
        <v>52</v>
      </c>
      <c r="E924" s="77" t="s">
        <v>6049</v>
      </c>
      <c r="F924" s="77" t="s">
        <v>6050</v>
      </c>
      <c r="G924" s="82" t="s">
        <v>4858</v>
      </c>
      <c r="H924" s="76" t="s">
        <v>6044</v>
      </c>
      <c r="I924" s="76" t="s">
        <v>6051</v>
      </c>
      <c r="J924" s="76" t="s">
        <v>577</v>
      </c>
      <c r="K924" s="38"/>
      <c r="L924" s="38"/>
      <c r="M924" s="56"/>
      <c r="N924" s="56" t="b">
        <v>0</v>
      </c>
      <c r="O924" s="56" t="b">
        <v>0</v>
      </c>
      <c r="P924" s="56"/>
      <c r="Q924" s="56"/>
      <c r="R924" s="56"/>
      <c r="S924" s="56"/>
      <c r="T924" s="56"/>
      <c r="U924" s="56"/>
      <c r="V924" s="56"/>
      <c r="W924" s="56"/>
      <c r="X924" s="56"/>
      <c r="Y924" s="56"/>
      <c r="Z924" s="56"/>
      <c r="AA924" s="56"/>
      <c r="AB924" s="56"/>
    </row>
    <row r="925" ht="15.75" customHeight="1">
      <c r="A925" s="169"/>
      <c r="B925" s="63"/>
      <c r="C925" s="38" t="s">
        <v>53</v>
      </c>
      <c r="D925" s="38" t="s">
        <v>52</v>
      </c>
      <c r="E925" s="67" t="s">
        <v>1800</v>
      </c>
      <c r="F925" s="67" t="s">
        <v>1801</v>
      </c>
      <c r="G925" s="66" t="s">
        <v>5089</v>
      </c>
      <c r="H925" s="38" t="s">
        <v>6052</v>
      </c>
      <c r="I925" s="38" t="s">
        <v>6053</v>
      </c>
      <c r="J925" s="38" t="s">
        <v>1803</v>
      </c>
      <c r="K925" s="38"/>
      <c r="L925" s="38"/>
      <c r="M925" s="56"/>
      <c r="N925" s="56" t="b">
        <v>0</v>
      </c>
      <c r="O925" s="56" t="b">
        <v>0</v>
      </c>
      <c r="P925" s="56"/>
      <c r="Q925" s="56"/>
      <c r="R925" s="56"/>
      <c r="S925" s="56"/>
      <c r="T925" s="56"/>
      <c r="U925" s="56"/>
      <c r="V925" s="56"/>
      <c r="W925" s="56"/>
      <c r="X925" s="56"/>
      <c r="Y925" s="56"/>
      <c r="Z925" s="56"/>
      <c r="AA925" s="56"/>
      <c r="AB925" s="56"/>
    </row>
    <row r="926" ht="15.75" customHeight="1">
      <c r="A926" s="169"/>
      <c r="B926" s="63"/>
      <c r="C926" s="38" t="s">
        <v>53</v>
      </c>
      <c r="D926" s="62" t="s">
        <v>52</v>
      </c>
      <c r="E926" s="60" t="s">
        <v>4795</v>
      </c>
      <c r="F926" s="60" t="s">
        <v>4796</v>
      </c>
      <c r="G926" s="73" t="s">
        <v>5981</v>
      </c>
      <c r="H926" s="62" t="s">
        <v>5165</v>
      </c>
      <c r="I926" s="62" t="s">
        <v>6054</v>
      </c>
      <c r="J926" s="62" t="s">
        <v>4789</v>
      </c>
      <c r="K926" s="38"/>
      <c r="L926" s="38"/>
      <c r="M926" s="56"/>
      <c r="N926" s="56" t="b">
        <v>0</v>
      </c>
      <c r="O926" s="56" t="b">
        <v>0</v>
      </c>
      <c r="P926" s="56"/>
      <c r="Q926" s="56"/>
      <c r="R926" s="56"/>
      <c r="S926" s="56"/>
      <c r="T926" s="56"/>
      <c r="U926" s="56"/>
      <c r="V926" s="56"/>
      <c r="W926" s="56"/>
      <c r="X926" s="56"/>
      <c r="Y926" s="56"/>
      <c r="Z926" s="56"/>
      <c r="AA926" s="56"/>
      <c r="AB926" s="56"/>
    </row>
    <row r="927" ht="15.75" customHeight="1">
      <c r="A927" s="169"/>
      <c r="B927" s="69"/>
      <c r="C927" s="38" t="s">
        <v>53</v>
      </c>
      <c r="D927" s="38"/>
      <c r="E927" s="38"/>
      <c r="F927" s="65"/>
      <c r="G927" s="66"/>
      <c r="H927" s="38"/>
      <c r="I927" s="38"/>
      <c r="J927" s="38"/>
      <c r="K927" s="38"/>
      <c r="L927" s="38"/>
      <c r="M927" s="56"/>
      <c r="N927" s="56" t="b">
        <v>0</v>
      </c>
      <c r="O927" s="56" t="b">
        <v>0</v>
      </c>
      <c r="P927" s="56"/>
      <c r="Q927" s="56"/>
      <c r="R927" s="56"/>
      <c r="S927" s="56"/>
      <c r="T927" s="56"/>
      <c r="U927" s="56"/>
      <c r="V927" s="56"/>
      <c r="W927" s="56"/>
      <c r="X927" s="56"/>
      <c r="Y927" s="56"/>
      <c r="Z927" s="56"/>
      <c r="AA927" s="56"/>
      <c r="AB927" s="56"/>
    </row>
    <row r="928" ht="15.75" customHeight="1">
      <c r="A928" s="169"/>
      <c r="B928" s="171" t="s">
        <v>4836</v>
      </c>
      <c r="C928" s="52">
        <v>44452.0</v>
      </c>
      <c r="D928" s="38"/>
      <c r="E928" s="38"/>
      <c r="F928" s="65"/>
      <c r="G928" s="66"/>
      <c r="H928" s="38"/>
      <c r="I928" s="38"/>
      <c r="J928" s="38"/>
      <c r="K928" s="38"/>
      <c r="L928" s="38"/>
      <c r="M928" s="56"/>
      <c r="N928" s="56" t="b">
        <v>0</v>
      </c>
      <c r="O928" s="56" t="b">
        <v>0</v>
      </c>
      <c r="P928" s="56"/>
      <c r="Q928" s="56"/>
      <c r="R928" s="56"/>
      <c r="S928" s="56"/>
      <c r="T928" s="56"/>
      <c r="U928" s="56"/>
      <c r="V928" s="56"/>
      <c r="W928" s="56"/>
      <c r="X928" s="56"/>
      <c r="Y928" s="56"/>
      <c r="Z928" s="56"/>
      <c r="AA928" s="56"/>
      <c r="AB928" s="56"/>
    </row>
    <row r="929" ht="15.75" customHeight="1">
      <c r="A929" s="169"/>
      <c r="B929" s="63"/>
      <c r="C929" s="31"/>
      <c r="D929" s="38"/>
      <c r="E929" s="38"/>
      <c r="F929" s="65"/>
      <c r="G929" s="66" t="s">
        <v>5704</v>
      </c>
      <c r="H929" s="38"/>
      <c r="I929" s="38"/>
      <c r="J929" s="38"/>
      <c r="K929" s="38"/>
      <c r="L929" s="38"/>
      <c r="M929" s="56"/>
      <c r="N929" s="56" t="b">
        <v>0</v>
      </c>
      <c r="O929" s="56" t="b">
        <v>0</v>
      </c>
      <c r="P929" s="56"/>
      <c r="Q929" s="56"/>
      <c r="R929" s="56"/>
      <c r="S929" s="56"/>
      <c r="T929" s="56"/>
      <c r="U929" s="56"/>
      <c r="V929" s="56"/>
      <c r="W929" s="56"/>
      <c r="X929" s="56"/>
      <c r="Y929" s="56"/>
      <c r="Z929" s="56"/>
      <c r="AA929" s="56"/>
      <c r="AB929" s="56"/>
    </row>
    <row r="930" ht="15.75" customHeight="1">
      <c r="A930" s="169"/>
      <c r="B930" s="63"/>
      <c r="C930" s="38" t="s">
        <v>53</v>
      </c>
      <c r="D930" s="38" t="s">
        <v>108</v>
      </c>
      <c r="E930" s="67" t="s">
        <v>6055</v>
      </c>
      <c r="F930" s="67" t="s">
        <v>6056</v>
      </c>
      <c r="G930" s="81" t="s">
        <v>5134</v>
      </c>
      <c r="H930" s="38" t="s">
        <v>5017</v>
      </c>
      <c r="I930" s="38" t="s">
        <v>6057</v>
      </c>
      <c r="J930" s="23" t="s">
        <v>6058</v>
      </c>
      <c r="K930" s="38"/>
      <c r="L930" s="38"/>
      <c r="M930" s="56"/>
      <c r="N930" s="56" t="b">
        <v>0</v>
      </c>
      <c r="O930" s="56" t="b">
        <v>0</v>
      </c>
      <c r="P930" s="56"/>
      <c r="Q930" s="56"/>
      <c r="R930" s="56"/>
      <c r="S930" s="56"/>
      <c r="T930" s="56"/>
      <c r="U930" s="56"/>
      <c r="V930" s="56"/>
      <c r="W930" s="56"/>
      <c r="X930" s="56"/>
      <c r="Y930" s="56"/>
      <c r="Z930" s="56"/>
      <c r="AA930" s="56"/>
      <c r="AB930" s="56"/>
    </row>
    <row r="931" ht="15.75" customHeight="1">
      <c r="A931" s="169"/>
      <c r="B931" s="63"/>
      <c r="C931" s="38" t="s">
        <v>53</v>
      </c>
      <c r="D931" s="38" t="s">
        <v>52</v>
      </c>
      <c r="E931" s="77" t="s">
        <v>697</v>
      </c>
      <c r="F931" s="77" t="s">
        <v>698</v>
      </c>
      <c r="G931" s="82" t="s">
        <v>4892</v>
      </c>
      <c r="H931" s="76" t="s">
        <v>5017</v>
      </c>
      <c r="I931" s="76" t="s">
        <v>6047</v>
      </c>
      <c r="J931" s="77" t="s">
        <v>701</v>
      </c>
      <c r="K931" s="38"/>
      <c r="L931" s="38"/>
      <c r="M931" s="56"/>
      <c r="N931" s="56" t="b">
        <v>0</v>
      </c>
      <c r="O931" s="56" t="b">
        <v>0</v>
      </c>
      <c r="P931" s="56"/>
      <c r="Q931" s="56"/>
      <c r="R931" s="56"/>
      <c r="S931" s="56"/>
      <c r="T931" s="56"/>
      <c r="U931" s="56"/>
      <c r="V931" s="56"/>
      <c r="W931" s="56"/>
      <c r="X931" s="56"/>
      <c r="Y931" s="56"/>
      <c r="Z931" s="56"/>
      <c r="AA931" s="56"/>
      <c r="AB931" s="56"/>
    </row>
    <row r="932" ht="15.75" customHeight="1">
      <c r="A932" s="169"/>
      <c r="B932" s="63"/>
      <c r="C932" s="38" t="s">
        <v>53</v>
      </c>
      <c r="D932" s="38" t="s">
        <v>52</v>
      </c>
      <c r="E932" s="67" t="s">
        <v>3387</v>
      </c>
      <c r="F932" s="67" t="s">
        <v>3388</v>
      </c>
      <c r="G932" s="66" t="s">
        <v>4856</v>
      </c>
      <c r="H932" s="38" t="s">
        <v>5172</v>
      </c>
      <c r="I932" s="38" t="s">
        <v>6059</v>
      </c>
      <c r="J932" s="38" t="s">
        <v>3390</v>
      </c>
      <c r="K932" s="38"/>
      <c r="L932" s="38"/>
      <c r="M932" s="56"/>
      <c r="N932" s="56" t="b">
        <v>0</v>
      </c>
      <c r="O932" s="56" t="b">
        <v>0</v>
      </c>
      <c r="P932" s="56"/>
      <c r="Q932" s="56"/>
      <c r="R932" s="56"/>
      <c r="S932" s="56"/>
      <c r="T932" s="56"/>
      <c r="U932" s="56"/>
      <c r="V932" s="56"/>
      <c r="W932" s="56"/>
      <c r="X932" s="56"/>
      <c r="Y932" s="56"/>
      <c r="Z932" s="56"/>
      <c r="AA932" s="56"/>
      <c r="AB932" s="56"/>
    </row>
    <row r="933" ht="15.75" customHeight="1">
      <c r="A933" s="169"/>
      <c r="B933" s="63"/>
      <c r="C933" s="38" t="s">
        <v>53</v>
      </c>
      <c r="D933" s="38" t="s">
        <v>52</v>
      </c>
      <c r="E933" s="77" t="s">
        <v>674</v>
      </c>
      <c r="F933" s="77" t="s">
        <v>675</v>
      </c>
      <c r="G933" s="82" t="s">
        <v>4858</v>
      </c>
      <c r="H933" s="76" t="s">
        <v>6060</v>
      </c>
      <c r="I933" s="76" t="s">
        <v>6061</v>
      </c>
      <c r="J933" s="77" t="s">
        <v>679</v>
      </c>
      <c r="K933" s="38"/>
      <c r="L933" s="38"/>
      <c r="M933" s="56"/>
      <c r="N933" s="56" t="b">
        <v>0</v>
      </c>
      <c r="O933" s="56" t="b">
        <v>0</v>
      </c>
      <c r="P933" s="56"/>
      <c r="Q933" s="56"/>
      <c r="R933" s="56"/>
      <c r="S933" s="56"/>
      <c r="T933" s="56"/>
      <c r="U933" s="56"/>
      <c r="V933" s="56"/>
      <c r="W933" s="56"/>
      <c r="X933" s="56"/>
      <c r="Y933" s="56"/>
      <c r="Z933" s="56"/>
      <c r="AA933" s="56"/>
      <c r="AB933" s="56"/>
    </row>
    <row r="934" ht="15.75" customHeight="1">
      <c r="A934" s="169"/>
      <c r="B934" s="63"/>
      <c r="C934" s="38" t="s">
        <v>53</v>
      </c>
      <c r="D934" s="38" t="s">
        <v>52</v>
      </c>
      <c r="E934" s="77" t="s">
        <v>975</v>
      </c>
      <c r="F934" s="77" t="s">
        <v>976</v>
      </c>
      <c r="G934" s="82" t="s">
        <v>5089</v>
      </c>
      <c r="H934" s="76" t="s">
        <v>5165</v>
      </c>
      <c r="I934" s="76" t="s">
        <v>6062</v>
      </c>
      <c r="J934" s="76" t="s">
        <v>6063</v>
      </c>
      <c r="K934" s="38"/>
      <c r="L934" s="38"/>
      <c r="M934" s="56"/>
      <c r="N934" s="56" t="b">
        <v>0</v>
      </c>
      <c r="O934" s="56" t="b">
        <v>0</v>
      </c>
      <c r="P934" s="56"/>
      <c r="Q934" s="56"/>
      <c r="R934" s="56"/>
      <c r="S934" s="56"/>
      <c r="T934" s="56"/>
      <c r="U934" s="56"/>
      <c r="V934" s="56"/>
      <c r="W934" s="56"/>
      <c r="X934" s="56"/>
      <c r="Y934" s="56"/>
      <c r="Z934" s="56"/>
      <c r="AA934" s="56"/>
      <c r="AB934" s="56"/>
    </row>
    <row r="935" ht="15.75" customHeight="1">
      <c r="A935" s="169"/>
      <c r="B935" s="63"/>
      <c r="C935" s="38" t="s">
        <v>53</v>
      </c>
      <c r="D935" s="38"/>
      <c r="E935" s="67"/>
      <c r="F935" s="67"/>
      <c r="G935" s="66" t="s">
        <v>5981</v>
      </c>
      <c r="H935" s="38"/>
      <c r="I935" s="38"/>
      <c r="J935" s="67"/>
      <c r="K935" s="38"/>
      <c r="L935" s="38"/>
      <c r="M935" s="56"/>
      <c r="N935" s="56" t="b">
        <v>0</v>
      </c>
      <c r="O935" s="56" t="b">
        <v>0</v>
      </c>
      <c r="P935" s="56"/>
      <c r="Q935" s="56"/>
      <c r="R935" s="56"/>
      <c r="S935" s="56"/>
      <c r="T935" s="56"/>
      <c r="U935" s="56"/>
      <c r="V935" s="56"/>
      <c r="W935" s="56"/>
      <c r="X935" s="56"/>
      <c r="Y935" s="56"/>
      <c r="Z935" s="56"/>
      <c r="AA935" s="56"/>
      <c r="AB935" s="56"/>
    </row>
    <row r="936" ht="15.75" customHeight="1">
      <c r="A936" s="169"/>
      <c r="B936" s="69"/>
      <c r="C936" s="38" t="s">
        <v>53</v>
      </c>
      <c r="D936" s="38"/>
      <c r="E936" s="38"/>
      <c r="F936" s="65"/>
      <c r="G936" s="66"/>
      <c r="H936" s="38"/>
      <c r="I936" s="38"/>
      <c r="J936" s="38"/>
      <c r="K936" s="38"/>
      <c r="L936" s="38"/>
      <c r="M936" s="56"/>
      <c r="N936" s="56" t="b">
        <v>0</v>
      </c>
      <c r="O936" s="56" t="b">
        <v>0</v>
      </c>
      <c r="P936" s="56"/>
      <c r="Q936" s="56"/>
      <c r="R936" s="56"/>
      <c r="S936" s="56"/>
      <c r="T936" s="56"/>
      <c r="U936" s="56"/>
      <c r="V936" s="56"/>
      <c r="W936" s="56"/>
      <c r="X936" s="56"/>
      <c r="Y936" s="56"/>
      <c r="Z936" s="56"/>
      <c r="AA936" s="56"/>
      <c r="AB936" s="56"/>
    </row>
    <row r="937" ht="15.75" customHeight="1">
      <c r="A937" s="169"/>
      <c r="B937" s="171" t="s">
        <v>4836</v>
      </c>
      <c r="C937" s="52">
        <v>44453.0</v>
      </c>
      <c r="D937" s="38"/>
      <c r="E937" s="38"/>
      <c r="F937" s="65"/>
      <c r="G937" s="66"/>
      <c r="H937" s="38"/>
      <c r="I937" s="38"/>
      <c r="J937" s="38"/>
      <c r="K937" s="38"/>
      <c r="L937" s="38"/>
      <c r="M937" s="56"/>
      <c r="N937" s="56" t="b">
        <v>0</v>
      </c>
      <c r="O937" s="56" t="b">
        <v>0</v>
      </c>
      <c r="P937" s="56"/>
      <c r="Q937" s="56"/>
      <c r="R937" s="56"/>
      <c r="S937" s="56"/>
      <c r="T937" s="56"/>
      <c r="U937" s="56"/>
      <c r="V937" s="56"/>
      <c r="W937" s="56"/>
      <c r="X937" s="56"/>
      <c r="Y937" s="56"/>
      <c r="Z937" s="56"/>
      <c r="AA937" s="56"/>
      <c r="AB937" s="56"/>
    </row>
    <row r="938" ht="15.75" customHeight="1">
      <c r="A938" s="169"/>
      <c r="B938" s="63"/>
      <c r="C938" s="31"/>
      <c r="D938" s="38"/>
      <c r="E938" s="38"/>
      <c r="F938" s="65"/>
      <c r="G938" s="66"/>
      <c r="H938" s="38"/>
      <c r="I938" s="38"/>
      <c r="J938" s="38"/>
      <c r="K938" s="38"/>
      <c r="L938" s="38"/>
      <c r="M938" s="56"/>
      <c r="N938" s="56" t="b">
        <v>0</v>
      </c>
      <c r="O938" s="56" t="b">
        <v>0</v>
      </c>
      <c r="P938" s="56"/>
      <c r="Q938" s="56"/>
      <c r="R938" s="56"/>
      <c r="S938" s="56"/>
      <c r="T938" s="56"/>
      <c r="U938" s="56"/>
      <c r="V938" s="56"/>
      <c r="W938" s="56"/>
      <c r="X938" s="56"/>
      <c r="Y938" s="56"/>
      <c r="Z938" s="56"/>
      <c r="AA938" s="56"/>
      <c r="AB938" s="56"/>
    </row>
    <row r="939" ht="15.75" customHeight="1">
      <c r="A939" s="169"/>
      <c r="B939" s="63"/>
      <c r="C939" s="38" t="s">
        <v>53</v>
      </c>
      <c r="D939" s="38"/>
      <c r="E939" s="38"/>
      <c r="F939" s="65"/>
      <c r="G939" s="66"/>
      <c r="H939" s="38"/>
      <c r="I939" s="38"/>
      <c r="J939" s="38"/>
      <c r="K939" s="38"/>
      <c r="L939" s="38"/>
      <c r="M939" s="56"/>
      <c r="N939" s="56" t="b">
        <v>0</v>
      </c>
      <c r="O939" s="56" t="b">
        <v>0</v>
      </c>
      <c r="P939" s="56"/>
      <c r="Q939" s="56"/>
      <c r="R939" s="56"/>
      <c r="S939" s="56"/>
      <c r="T939" s="56"/>
      <c r="U939" s="56"/>
      <c r="V939" s="56"/>
      <c r="W939" s="56"/>
      <c r="X939" s="56"/>
      <c r="Y939" s="56"/>
      <c r="Z939" s="56"/>
      <c r="AA939" s="56"/>
      <c r="AB939" s="56"/>
    </row>
    <row r="940" ht="15.75" customHeight="1">
      <c r="A940" s="169"/>
      <c r="B940" s="63"/>
      <c r="C940" s="38" t="s">
        <v>53</v>
      </c>
      <c r="D940" s="38"/>
      <c r="E940" s="38"/>
      <c r="F940" s="162" t="s">
        <v>5784</v>
      </c>
      <c r="G940" s="155"/>
      <c r="H940" s="38"/>
      <c r="I940" s="38"/>
      <c r="J940" s="38"/>
      <c r="K940" s="38"/>
      <c r="L940" s="38"/>
      <c r="M940" s="56"/>
      <c r="N940" s="56" t="b">
        <v>0</v>
      </c>
      <c r="O940" s="56" t="b">
        <v>0</v>
      </c>
      <c r="P940" s="56"/>
      <c r="Q940" s="56"/>
      <c r="R940" s="56"/>
      <c r="S940" s="56"/>
      <c r="T940" s="56"/>
      <c r="U940" s="56"/>
      <c r="V940" s="56"/>
      <c r="W940" s="56"/>
      <c r="X940" s="56"/>
      <c r="Y940" s="56"/>
      <c r="Z940" s="56"/>
      <c r="AA940" s="56"/>
      <c r="AB940" s="56"/>
    </row>
    <row r="941" ht="15.75" customHeight="1">
      <c r="A941" s="169"/>
      <c r="B941" s="63"/>
      <c r="C941" s="38" t="s">
        <v>53</v>
      </c>
      <c r="D941" s="38"/>
      <c r="E941" s="38"/>
      <c r="F941" s="156"/>
      <c r="G941" s="157"/>
      <c r="H941" s="38"/>
      <c r="I941" s="38"/>
      <c r="J941" s="38"/>
      <c r="K941" s="38"/>
      <c r="L941" s="38"/>
      <c r="M941" s="56"/>
      <c r="N941" s="56" t="b">
        <v>0</v>
      </c>
      <c r="O941" s="56" t="b">
        <v>0</v>
      </c>
      <c r="P941" s="56"/>
      <c r="Q941" s="56"/>
      <c r="R941" s="56"/>
      <c r="S941" s="56"/>
      <c r="T941" s="56"/>
      <c r="U941" s="56"/>
      <c r="V941" s="56"/>
      <c r="W941" s="56"/>
      <c r="X941" s="56"/>
      <c r="Y941" s="56"/>
      <c r="Z941" s="56"/>
      <c r="AA941" s="56"/>
      <c r="AB941" s="56"/>
    </row>
    <row r="942" ht="15.75" customHeight="1">
      <c r="A942" s="169"/>
      <c r="B942" s="63"/>
      <c r="C942" s="38" t="s">
        <v>53</v>
      </c>
      <c r="D942" s="38"/>
      <c r="E942" s="38"/>
      <c r="F942" s="158"/>
      <c r="G942" s="159"/>
      <c r="H942" s="38"/>
      <c r="I942" s="38"/>
      <c r="J942" s="38"/>
      <c r="K942" s="38"/>
      <c r="L942" s="38"/>
      <c r="M942" s="56"/>
      <c r="N942" s="56" t="b">
        <v>0</v>
      </c>
      <c r="O942" s="56" t="b">
        <v>0</v>
      </c>
      <c r="P942" s="56"/>
      <c r="Q942" s="56"/>
      <c r="R942" s="56"/>
      <c r="S942" s="56"/>
      <c r="T942" s="56"/>
      <c r="U942" s="56"/>
      <c r="V942" s="56"/>
      <c r="W942" s="56"/>
      <c r="X942" s="56"/>
      <c r="Y942" s="56"/>
      <c r="Z942" s="56"/>
      <c r="AA942" s="56"/>
      <c r="AB942" s="56"/>
    </row>
    <row r="943" ht="15.75" customHeight="1">
      <c r="A943" s="169"/>
      <c r="B943" s="63"/>
      <c r="C943" s="38" t="s">
        <v>53</v>
      </c>
      <c r="D943" s="38"/>
      <c r="E943" s="38"/>
      <c r="F943" s="65"/>
      <c r="G943" s="66"/>
      <c r="H943" s="38"/>
      <c r="I943" s="38"/>
      <c r="J943" s="38"/>
      <c r="K943" s="38"/>
      <c r="L943" s="38"/>
      <c r="M943" s="56"/>
      <c r="N943" s="56" t="b">
        <v>0</v>
      </c>
      <c r="O943" s="56" t="b">
        <v>0</v>
      </c>
      <c r="P943" s="56"/>
      <c r="Q943" s="56"/>
      <c r="R943" s="56"/>
      <c r="S943" s="56"/>
      <c r="T943" s="56"/>
      <c r="U943" s="56"/>
      <c r="V943" s="56"/>
      <c r="W943" s="56"/>
      <c r="X943" s="56"/>
      <c r="Y943" s="56"/>
      <c r="Z943" s="56"/>
      <c r="AA943" s="56"/>
      <c r="AB943" s="56"/>
    </row>
    <row r="944" ht="15.75" customHeight="1">
      <c r="A944" s="169"/>
      <c r="B944" s="63"/>
      <c r="C944" s="38" t="s">
        <v>53</v>
      </c>
      <c r="D944" s="38"/>
      <c r="E944" s="38"/>
      <c r="F944" s="65"/>
      <c r="G944" s="66"/>
      <c r="H944" s="38"/>
      <c r="I944" s="38"/>
      <c r="J944" s="38"/>
      <c r="K944" s="38"/>
      <c r="L944" s="38"/>
      <c r="M944" s="56"/>
      <c r="N944" s="56" t="b">
        <v>0</v>
      </c>
      <c r="O944" s="56" t="b">
        <v>0</v>
      </c>
      <c r="P944" s="56"/>
      <c r="Q944" s="56"/>
      <c r="R944" s="56"/>
      <c r="S944" s="56"/>
      <c r="T944" s="56"/>
      <c r="U944" s="56"/>
      <c r="V944" s="56"/>
      <c r="W944" s="56"/>
      <c r="X944" s="56"/>
      <c r="Y944" s="56"/>
      <c r="Z944" s="56"/>
      <c r="AA944" s="56"/>
      <c r="AB944" s="56"/>
    </row>
    <row r="945" ht="15.75" customHeight="1">
      <c r="A945" s="169"/>
      <c r="B945" s="69"/>
      <c r="C945" s="38" t="s">
        <v>53</v>
      </c>
      <c r="D945" s="38"/>
      <c r="E945" s="38"/>
      <c r="F945" s="65"/>
      <c r="G945" s="66"/>
      <c r="H945" s="38"/>
      <c r="I945" s="38"/>
      <c r="J945" s="38"/>
      <c r="K945" s="38"/>
      <c r="L945" s="38"/>
      <c r="M945" s="56"/>
      <c r="N945" s="56" t="b">
        <v>0</v>
      </c>
      <c r="O945" s="56" t="b">
        <v>0</v>
      </c>
      <c r="P945" s="56"/>
      <c r="Q945" s="56"/>
      <c r="R945" s="56"/>
      <c r="S945" s="56"/>
      <c r="T945" s="56"/>
      <c r="U945" s="56"/>
      <c r="V945" s="56"/>
      <c r="W945" s="56"/>
      <c r="X945" s="56"/>
      <c r="Y945" s="56"/>
      <c r="Z945" s="56"/>
      <c r="AA945" s="56"/>
      <c r="AB945" s="56"/>
    </row>
    <row r="946" ht="15.75" customHeight="1">
      <c r="A946" s="169"/>
      <c r="B946" s="171" t="s">
        <v>4836</v>
      </c>
      <c r="C946" s="52">
        <v>44454.0</v>
      </c>
      <c r="D946" s="38"/>
      <c r="E946" s="38"/>
      <c r="F946" s="65"/>
      <c r="G946" s="66"/>
      <c r="H946" s="38"/>
      <c r="I946" s="38"/>
      <c r="J946" s="38"/>
      <c r="K946" s="38"/>
      <c r="L946" s="38"/>
      <c r="M946" s="56"/>
      <c r="N946" s="56" t="b">
        <v>0</v>
      </c>
      <c r="O946" s="56" t="b">
        <v>0</v>
      </c>
      <c r="P946" s="56"/>
      <c r="Q946" s="56"/>
      <c r="R946" s="56"/>
      <c r="S946" s="56"/>
      <c r="T946" s="56"/>
      <c r="U946" s="56"/>
      <c r="V946" s="56"/>
      <c r="W946" s="56"/>
      <c r="X946" s="56"/>
      <c r="Y946" s="56"/>
      <c r="Z946" s="56"/>
      <c r="AA946" s="56"/>
      <c r="AB946" s="56"/>
    </row>
    <row r="947" ht="15.75" customHeight="1">
      <c r="A947" s="169"/>
      <c r="B947" s="63"/>
      <c r="C947" s="31"/>
      <c r="D947" s="38"/>
      <c r="E947" s="38"/>
      <c r="F947" s="65"/>
      <c r="G947" s="66"/>
      <c r="H947" s="38"/>
      <c r="I947" s="38"/>
      <c r="J947" s="38"/>
      <c r="K947" s="38"/>
      <c r="L947" s="38"/>
      <c r="M947" s="56"/>
      <c r="N947" s="56" t="b">
        <v>0</v>
      </c>
      <c r="O947" s="56" t="b">
        <v>0</v>
      </c>
      <c r="P947" s="56"/>
      <c r="Q947" s="56"/>
      <c r="R947" s="56"/>
      <c r="S947" s="56"/>
      <c r="T947" s="56"/>
      <c r="U947" s="56"/>
      <c r="V947" s="56"/>
      <c r="W947" s="56"/>
      <c r="X947" s="56"/>
      <c r="Y947" s="56"/>
      <c r="Z947" s="56"/>
      <c r="AA947" s="56"/>
      <c r="AB947" s="56"/>
    </row>
    <row r="948" ht="15.75" customHeight="1">
      <c r="A948" s="169"/>
      <c r="B948" s="63"/>
      <c r="C948" s="38" t="s">
        <v>53</v>
      </c>
      <c r="D948" s="38"/>
      <c r="E948" s="38"/>
      <c r="F948" s="162" t="s">
        <v>5784</v>
      </c>
      <c r="G948" s="155"/>
      <c r="H948" s="38"/>
      <c r="I948" s="38"/>
      <c r="J948" s="38"/>
      <c r="K948" s="38"/>
      <c r="L948" s="38"/>
      <c r="M948" s="56"/>
      <c r="N948" s="56" t="b">
        <v>0</v>
      </c>
      <c r="O948" s="56" t="b">
        <v>0</v>
      </c>
      <c r="P948" s="56"/>
      <c r="Q948" s="56"/>
      <c r="R948" s="56"/>
      <c r="S948" s="56"/>
      <c r="T948" s="56"/>
      <c r="U948" s="56"/>
      <c r="V948" s="56"/>
      <c r="W948" s="56"/>
      <c r="X948" s="56"/>
      <c r="Y948" s="56"/>
      <c r="Z948" s="56"/>
      <c r="AA948" s="56"/>
      <c r="AB948" s="56"/>
    </row>
    <row r="949" ht="15.75" customHeight="1">
      <c r="A949" s="169"/>
      <c r="B949" s="63"/>
      <c r="C949" s="38" t="s">
        <v>53</v>
      </c>
      <c r="D949" s="38"/>
      <c r="E949" s="38"/>
      <c r="F949" s="156"/>
      <c r="G949" s="157"/>
      <c r="H949" s="38"/>
      <c r="I949" s="38"/>
      <c r="J949" s="38"/>
      <c r="K949" s="38"/>
      <c r="L949" s="38"/>
      <c r="M949" s="56"/>
      <c r="N949" s="56" t="b">
        <v>0</v>
      </c>
      <c r="O949" s="56" t="b">
        <v>0</v>
      </c>
      <c r="P949" s="56"/>
      <c r="Q949" s="56"/>
      <c r="R949" s="56"/>
      <c r="S949" s="56"/>
      <c r="T949" s="56"/>
      <c r="U949" s="56"/>
      <c r="V949" s="56"/>
      <c r="W949" s="56"/>
      <c r="X949" s="56"/>
      <c r="Y949" s="56"/>
      <c r="Z949" s="56"/>
      <c r="AA949" s="56"/>
      <c r="AB949" s="56"/>
    </row>
    <row r="950" ht="15.75" customHeight="1">
      <c r="A950" s="169"/>
      <c r="B950" s="63"/>
      <c r="C950" s="38" t="s">
        <v>53</v>
      </c>
      <c r="D950" s="38"/>
      <c r="E950" s="38"/>
      <c r="F950" s="158"/>
      <c r="G950" s="159"/>
      <c r="H950" s="38"/>
      <c r="I950" s="38"/>
      <c r="J950" s="38"/>
      <c r="K950" s="38"/>
      <c r="L950" s="38"/>
      <c r="M950" s="56"/>
      <c r="N950" s="56" t="b">
        <v>0</v>
      </c>
      <c r="O950" s="56" t="b">
        <v>0</v>
      </c>
      <c r="P950" s="56"/>
      <c r="Q950" s="56"/>
      <c r="R950" s="56"/>
      <c r="S950" s="56"/>
      <c r="T950" s="56"/>
      <c r="U950" s="56"/>
      <c r="V950" s="56"/>
      <c r="W950" s="56"/>
      <c r="X950" s="56"/>
      <c r="Y950" s="56"/>
      <c r="Z950" s="56"/>
      <c r="AA950" s="56"/>
      <c r="AB950" s="56"/>
    </row>
    <row r="951" ht="15.75" customHeight="1">
      <c r="A951" s="169"/>
      <c r="B951" s="63"/>
      <c r="C951" s="38" t="s">
        <v>53</v>
      </c>
      <c r="D951" s="38"/>
      <c r="E951" s="38"/>
      <c r="F951" s="65"/>
      <c r="G951" s="66"/>
      <c r="H951" s="38"/>
      <c r="I951" s="38"/>
      <c r="J951" s="38"/>
      <c r="K951" s="38"/>
      <c r="L951" s="38"/>
      <c r="M951" s="56"/>
      <c r="N951" s="56" t="b">
        <v>0</v>
      </c>
      <c r="O951" s="56" t="b">
        <v>0</v>
      </c>
      <c r="P951" s="56"/>
      <c r="Q951" s="56"/>
      <c r="R951" s="56"/>
      <c r="S951" s="56"/>
      <c r="T951" s="56"/>
      <c r="U951" s="56"/>
      <c r="V951" s="56"/>
      <c r="W951" s="56"/>
      <c r="X951" s="56"/>
      <c r="Y951" s="56"/>
      <c r="Z951" s="56"/>
      <c r="AA951" s="56"/>
      <c r="AB951" s="56"/>
    </row>
    <row r="952" ht="15.75" customHeight="1">
      <c r="A952" s="169"/>
      <c r="B952" s="63"/>
      <c r="C952" s="38" t="s">
        <v>53</v>
      </c>
      <c r="D952" s="38"/>
      <c r="E952" s="38"/>
      <c r="F952" s="65"/>
      <c r="G952" s="66"/>
      <c r="H952" s="38"/>
      <c r="I952" s="38"/>
      <c r="J952" s="38"/>
      <c r="K952" s="38"/>
      <c r="L952" s="38"/>
      <c r="M952" s="56"/>
      <c r="N952" s="56" t="b">
        <v>0</v>
      </c>
      <c r="O952" s="56" t="b">
        <v>0</v>
      </c>
      <c r="P952" s="56"/>
      <c r="Q952" s="56"/>
      <c r="R952" s="56"/>
      <c r="S952" s="56"/>
      <c r="T952" s="56"/>
      <c r="U952" s="56"/>
      <c r="V952" s="56"/>
      <c r="W952" s="56"/>
      <c r="X952" s="56"/>
      <c r="Y952" s="56"/>
      <c r="Z952" s="56"/>
      <c r="AA952" s="56"/>
      <c r="AB952" s="56"/>
    </row>
    <row r="953" ht="15.75" customHeight="1">
      <c r="A953" s="169"/>
      <c r="B953" s="63"/>
      <c r="C953" s="38" t="s">
        <v>53</v>
      </c>
      <c r="D953" s="38"/>
      <c r="E953" s="38"/>
      <c r="F953" s="65"/>
      <c r="G953" s="66"/>
      <c r="H953" s="38"/>
      <c r="I953" s="38"/>
      <c r="J953" s="38"/>
      <c r="K953" s="38"/>
      <c r="L953" s="38"/>
      <c r="M953" s="56"/>
      <c r="N953" s="56" t="b">
        <v>0</v>
      </c>
      <c r="O953" s="56" t="b">
        <v>0</v>
      </c>
      <c r="P953" s="56"/>
      <c r="Q953" s="56"/>
      <c r="R953" s="56"/>
      <c r="S953" s="56"/>
      <c r="T953" s="56"/>
      <c r="U953" s="56"/>
      <c r="V953" s="56"/>
      <c r="W953" s="56"/>
      <c r="X953" s="56"/>
      <c r="Y953" s="56"/>
      <c r="Z953" s="56"/>
      <c r="AA953" s="56"/>
      <c r="AB953" s="56"/>
    </row>
    <row r="954" ht="15.75" customHeight="1">
      <c r="A954" s="169"/>
      <c r="B954" s="69"/>
      <c r="C954" s="38" t="s">
        <v>53</v>
      </c>
      <c r="D954" s="38"/>
      <c r="E954" s="38"/>
      <c r="F954" s="65"/>
      <c r="G954" s="66"/>
      <c r="H954" s="38"/>
      <c r="I954" s="38"/>
      <c r="J954" s="38"/>
      <c r="K954" s="38"/>
      <c r="L954" s="38"/>
      <c r="M954" s="56"/>
      <c r="N954" s="56" t="b">
        <v>0</v>
      </c>
      <c r="O954" s="56" t="b">
        <v>0</v>
      </c>
      <c r="P954" s="56"/>
      <c r="Q954" s="56"/>
      <c r="R954" s="56"/>
      <c r="S954" s="56"/>
      <c r="T954" s="56"/>
      <c r="U954" s="56"/>
      <c r="V954" s="56"/>
      <c r="W954" s="56"/>
      <c r="X954" s="56"/>
      <c r="Y954" s="56"/>
      <c r="Z954" s="56"/>
      <c r="AA954" s="56"/>
      <c r="AB954" s="56"/>
    </row>
    <row r="955" ht="15.75" customHeight="1">
      <c r="A955" s="169"/>
      <c r="B955" s="171" t="s">
        <v>4836</v>
      </c>
      <c r="C955" s="52">
        <v>44455.0</v>
      </c>
      <c r="D955" s="38"/>
      <c r="E955" s="38"/>
      <c r="F955" s="65"/>
      <c r="G955" s="66"/>
      <c r="H955" s="38"/>
      <c r="I955" s="38"/>
      <c r="J955" s="38"/>
      <c r="K955" s="38"/>
      <c r="L955" s="38"/>
      <c r="M955" s="56"/>
      <c r="N955" s="56" t="b">
        <v>0</v>
      </c>
      <c r="O955" s="56" t="b">
        <v>0</v>
      </c>
      <c r="P955" s="56"/>
      <c r="Q955" s="56"/>
      <c r="R955" s="56"/>
      <c r="S955" s="56"/>
      <c r="T955" s="56"/>
      <c r="U955" s="56"/>
      <c r="V955" s="56"/>
      <c r="W955" s="56"/>
      <c r="X955" s="56"/>
      <c r="Y955" s="56"/>
      <c r="Z955" s="56"/>
      <c r="AA955" s="56"/>
      <c r="AB955" s="56"/>
    </row>
    <row r="956" ht="15.75" customHeight="1">
      <c r="A956" s="169"/>
      <c r="B956" s="63"/>
      <c r="C956" s="31"/>
      <c r="D956" s="38"/>
      <c r="E956" s="38"/>
      <c r="F956" s="65"/>
      <c r="G956" s="66"/>
      <c r="H956" s="38"/>
      <c r="I956" s="38"/>
      <c r="J956" s="38"/>
      <c r="K956" s="38"/>
      <c r="L956" s="38"/>
      <c r="M956" s="56"/>
      <c r="N956" s="56" t="b">
        <v>0</v>
      </c>
      <c r="O956" s="56" t="b">
        <v>0</v>
      </c>
      <c r="P956" s="56"/>
      <c r="Q956" s="56"/>
      <c r="R956" s="56"/>
      <c r="S956" s="56"/>
      <c r="T956" s="56"/>
      <c r="U956" s="56"/>
      <c r="V956" s="56"/>
      <c r="W956" s="56"/>
      <c r="X956" s="56"/>
      <c r="Y956" s="56"/>
      <c r="Z956" s="56"/>
      <c r="AA956" s="56"/>
      <c r="AB956" s="56"/>
    </row>
    <row r="957" ht="15.75" customHeight="1">
      <c r="A957" s="169"/>
      <c r="B957" s="63"/>
      <c r="C957" s="38" t="s">
        <v>53</v>
      </c>
      <c r="D957" s="38"/>
      <c r="E957" s="38"/>
      <c r="F957" s="65"/>
      <c r="G957" s="66"/>
      <c r="H957" s="38"/>
      <c r="I957" s="38"/>
      <c r="J957" s="38"/>
      <c r="K957" s="38"/>
      <c r="L957" s="38"/>
      <c r="M957" s="56"/>
      <c r="N957" s="56" t="b">
        <v>0</v>
      </c>
      <c r="O957" s="56" t="b">
        <v>0</v>
      </c>
      <c r="P957" s="56"/>
      <c r="Q957" s="56"/>
      <c r="R957" s="56"/>
      <c r="S957" s="56"/>
      <c r="T957" s="56"/>
      <c r="U957" s="56"/>
      <c r="V957" s="56"/>
      <c r="W957" s="56"/>
      <c r="X957" s="56"/>
      <c r="Y957" s="56"/>
      <c r="Z957" s="56"/>
      <c r="AA957" s="56"/>
      <c r="AB957" s="56"/>
    </row>
    <row r="958" ht="15.75" customHeight="1">
      <c r="A958" s="169"/>
      <c r="B958" s="63"/>
      <c r="C958" s="38" t="s">
        <v>53</v>
      </c>
      <c r="D958" s="38" t="s">
        <v>52</v>
      </c>
      <c r="E958" s="67" t="s">
        <v>6064</v>
      </c>
      <c r="F958" s="67" t="s">
        <v>6065</v>
      </c>
      <c r="G958" s="66" t="s">
        <v>5704</v>
      </c>
      <c r="H958" s="38" t="s">
        <v>4884</v>
      </c>
      <c r="I958" s="38" t="s">
        <v>6066</v>
      </c>
      <c r="J958" s="67" t="s">
        <v>6067</v>
      </c>
      <c r="K958" s="38"/>
      <c r="L958" s="38"/>
      <c r="M958" s="56"/>
      <c r="N958" s="56" t="b">
        <v>0</v>
      </c>
      <c r="O958" s="56" t="b">
        <v>0</v>
      </c>
      <c r="P958" s="56"/>
      <c r="Q958" s="56"/>
      <c r="R958" s="56"/>
      <c r="S958" s="56"/>
      <c r="T958" s="56"/>
      <c r="U958" s="56"/>
      <c r="V958" s="56"/>
      <c r="W958" s="56"/>
      <c r="X958" s="56"/>
      <c r="Y958" s="56"/>
      <c r="Z958" s="56"/>
      <c r="AA958" s="56"/>
      <c r="AB958" s="56"/>
    </row>
    <row r="959" ht="15.75" customHeight="1">
      <c r="A959" s="169"/>
      <c r="B959" s="63"/>
      <c r="C959" s="38" t="s">
        <v>53</v>
      </c>
      <c r="D959" s="38" t="s">
        <v>52</v>
      </c>
      <c r="E959" s="77" t="s">
        <v>4624</v>
      </c>
      <c r="F959" s="77" t="s">
        <v>4625</v>
      </c>
      <c r="G959" s="82" t="s">
        <v>5134</v>
      </c>
      <c r="H959" s="76" t="s">
        <v>5228</v>
      </c>
      <c r="I959" s="76" t="s">
        <v>6068</v>
      </c>
      <c r="J959" s="77" t="s">
        <v>4628</v>
      </c>
      <c r="K959" s="38"/>
      <c r="L959" s="38"/>
      <c r="M959" s="56"/>
      <c r="N959" s="56" t="b">
        <v>0</v>
      </c>
      <c r="O959" s="56" t="b">
        <v>0</v>
      </c>
      <c r="P959" s="56"/>
      <c r="Q959" s="56"/>
      <c r="R959" s="56"/>
      <c r="S959" s="56"/>
      <c r="T959" s="56"/>
      <c r="U959" s="56"/>
      <c r="V959" s="56"/>
      <c r="W959" s="56"/>
      <c r="X959" s="56"/>
      <c r="Y959" s="56"/>
      <c r="Z959" s="56"/>
      <c r="AA959" s="56"/>
      <c r="AB959" s="56"/>
    </row>
    <row r="960" ht="15.75" customHeight="1">
      <c r="A960" s="169"/>
      <c r="B960" s="63"/>
      <c r="C960" s="38" t="s">
        <v>53</v>
      </c>
      <c r="D960" s="38" t="s">
        <v>52</v>
      </c>
      <c r="E960" s="67" t="s">
        <v>6069</v>
      </c>
      <c r="F960" s="67" t="s">
        <v>6070</v>
      </c>
      <c r="G960" s="66" t="s">
        <v>4856</v>
      </c>
      <c r="H960" s="38" t="s">
        <v>5228</v>
      </c>
      <c r="I960" s="38" t="s">
        <v>6071</v>
      </c>
      <c r="J960" s="67" t="s">
        <v>6072</v>
      </c>
      <c r="K960" s="38"/>
      <c r="L960" s="38"/>
      <c r="M960" s="56"/>
      <c r="N960" s="56" t="b">
        <v>0</v>
      </c>
      <c r="O960" s="56" t="b">
        <v>0</v>
      </c>
      <c r="P960" s="56"/>
      <c r="Q960" s="56"/>
      <c r="R960" s="56"/>
      <c r="S960" s="56"/>
      <c r="T960" s="56"/>
      <c r="U960" s="56"/>
      <c r="V960" s="56"/>
      <c r="W960" s="56"/>
      <c r="X960" s="56"/>
      <c r="Y960" s="56"/>
      <c r="Z960" s="56"/>
      <c r="AA960" s="56"/>
      <c r="AB960" s="56"/>
    </row>
    <row r="961" ht="15.75" customHeight="1">
      <c r="A961" s="169"/>
      <c r="B961" s="63"/>
      <c r="C961" s="38" t="s">
        <v>53</v>
      </c>
      <c r="D961" s="38" t="s">
        <v>171</v>
      </c>
      <c r="E961" s="67" t="s">
        <v>868</v>
      </c>
      <c r="F961" s="67" t="s">
        <v>869</v>
      </c>
      <c r="G961" s="66" t="s">
        <v>4858</v>
      </c>
      <c r="H961" s="38" t="s">
        <v>4884</v>
      </c>
      <c r="I961" s="38" t="s">
        <v>6073</v>
      </c>
      <c r="J961" s="67" t="s">
        <v>871</v>
      </c>
      <c r="K961" s="38" t="s">
        <v>6074</v>
      </c>
      <c r="L961" s="38"/>
      <c r="M961" s="56"/>
      <c r="N961" s="56" t="b">
        <v>0</v>
      </c>
      <c r="O961" s="56" t="b">
        <v>0</v>
      </c>
      <c r="P961" s="56"/>
      <c r="Q961" s="56"/>
      <c r="R961" s="56"/>
      <c r="S961" s="56"/>
      <c r="T961" s="56"/>
      <c r="U961" s="56"/>
      <c r="V961" s="56"/>
      <c r="W961" s="56"/>
      <c r="X961" s="56"/>
      <c r="Y961" s="56"/>
      <c r="Z961" s="56"/>
      <c r="AA961" s="56"/>
      <c r="AB961" s="56"/>
    </row>
    <row r="962" ht="15.75" customHeight="1">
      <c r="A962" s="169"/>
      <c r="B962" s="63"/>
      <c r="C962" s="38" t="s">
        <v>53</v>
      </c>
      <c r="D962" s="38" t="s">
        <v>52</v>
      </c>
      <c r="E962" s="67" t="s">
        <v>3432</v>
      </c>
      <c r="F962" s="67" t="s">
        <v>3433</v>
      </c>
      <c r="G962" s="66" t="s">
        <v>5089</v>
      </c>
      <c r="H962" s="38" t="s">
        <v>5228</v>
      </c>
      <c r="I962" s="38" t="s">
        <v>6075</v>
      </c>
      <c r="J962" s="67" t="s">
        <v>3434</v>
      </c>
      <c r="K962" s="38"/>
      <c r="L962" s="38"/>
      <c r="M962" s="56"/>
      <c r="N962" s="56" t="b">
        <v>0</v>
      </c>
      <c r="O962" s="56" t="b">
        <v>0</v>
      </c>
      <c r="P962" s="56"/>
      <c r="Q962" s="56"/>
      <c r="R962" s="56"/>
      <c r="S962" s="56"/>
      <c r="T962" s="56"/>
      <c r="U962" s="56"/>
      <c r="V962" s="56"/>
      <c r="W962" s="56"/>
      <c r="X962" s="56"/>
      <c r="Y962" s="56"/>
      <c r="Z962" s="56"/>
      <c r="AA962" s="56"/>
      <c r="AB962" s="56"/>
    </row>
    <row r="963" ht="15.75" customHeight="1">
      <c r="A963" s="169"/>
      <c r="B963" s="69"/>
      <c r="C963" s="38" t="s">
        <v>53</v>
      </c>
      <c r="D963" s="38" t="s">
        <v>52</v>
      </c>
      <c r="E963" s="67" t="s">
        <v>2337</v>
      </c>
      <c r="F963" s="67" t="s">
        <v>2338</v>
      </c>
      <c r="G963" s="66" t="s">
        <v>5981</v>
      </c>
      <c r="H963" s="38" t="s">
        <v>4880</v>
      </c>
      <c r="I963" s="38" t="s">
        <v>6076</v>
      </c>
      <c r="J963" s="67" t="s">
        <v>2339</v>
      </c>
      <c r="K963" s="38"/>
      <c r="L963" s="38"/>
      <c r="M963" s="56"/>
      <c r="N963" s="56" t="b">
        <v>0</v>
      </c>
      <c r="O963" s="56" t="b">
        <v>0</v>
      </c>
      <c r="P963" s="56"/>
      <c r="Q963" s="56"/>
      <c r="R963" s="56"/>
      <c r="S963" s="56"/>
      <c r="T963" s="56"/>
      <c r="U963" s="56"/>
      <c r="V963" s="56"/>
      <c r="W963" s="56"/>
      <c r="X963" s="56"/>
      <c r="Y963" s="56"/>
      <c r="Z963" s="56"/>
      <c r="AA963" s="56"/>
      <c r="AB963" s="56"/>
    </row>
    <row r="964" ht="15.75" customHeight="1">
      <c r="A964" s="169"/>
      <c r="B964" s="171" t="s">
        <v>4836</v>
      </c>
      <c r="C964" s="52">
        <v>44456.0</v>
      </c>
      <c r="D964" s="38"/>
      <c r="E964" s="38"/>
      <c r="F964" s="65"/>
      <c r="G964" s="66"/>
      <c r="H964" s="38"/>
      <c r="I964" s="38"/>
      <c r="J964" s="38"/>
      <c r="K964" s="38"/>
      <c r="L964" s="38"/>
      <c r="M964" s="56"/>
      <c r="N964" s="56" t="b">
        <v>0</v>
      </c>
      <c r="O964" s="56" t="b">
        <v>0</v>
      </c>
      <c r="P964" s="56"/>
      <c r="Q964" s="56"/>
      <c r="R964" s="56"/>
      <c r="S964" s="56"/>
      <c r="T964" s="56"/>
      <c r="U964" s="56"/>
      <c r="V964" s="56"/>
      <c r="W964" s="56"/>
      <c r="X964" s="56"/>
      <c r="Y964" s="56"/>
      <c r="Z964" s="56"/>
      <c r="AA964" s="56"/>
      <c r="AB964" s="56"/>
    </row>
    <row r="965" ht="15.75" customHeight="1">
      <c r="A965" s="169"/>
      <c r="B965" s="63"/>
      <c r="C965" s="31"/>
      <c r="D965" s="38"/>
      <c r="E965" s="38"/>
      <c r="F965" s="65"/>
      <c r="G965" s="66"/>
      <c r="H965" s="38"/>
      <c r="I965" s="38"/>
      <c r="J965" s="38"/>
      <c r="K965" s="38"/>
      <c r="L965" s="38"/>
      <c r="M965" s="56"/>
      <c r="N965" s="56" t="b">
        <v>0</v>
      </c>
      <c r="O965" s="56" t="b">
        <v>0</v>
      </c>
      <c r="P965" s="56"/>
      <c r="Q965" s="56"/>
      <c r="R965" s="56"/>
      <c r="S965" s="56"/>
      <c r="T965" s="56"/>
      <c r="U965" s="56"/>
      <c r="V965" s="56"/>
      <c r="W965" s="56"/>
      <c r="X965" s="56"/>
      <c r="Y965" s="56"/>
      <c r="Z965" s="56"/>
      <c r="AA965" s="56"/>
      <c r="AB965" s="56"/>
    </row>
    <row r="966" ht="15.75" customHeight="1">
      <c r="A966" s="169"/>
      <c r="B966" s="63"/>
      <c r="C966" s="38" t="s">
        <v>53</v>
      </c>
      <c r="D966" s="38"/>
      <c r="E966" s="38"/>
      <c r="F966" s="65"/>
      <c r="G966" s="66"/>
      <c r="H966" s="38"/>
      <c r="I966" s="38"/>
      <c r="J966" s="38"/>
      <c r="K966" s="38"/>
      <c r="L966" s="38"/>
      <c r="M966" s="56"/>
      <c r="N966" s="56" t="b">
        <v>0</v>
      </c>
      <c r="O966" s="56" t="b">
        <v>0</v>
      </c>
      <c r="P966" s="56"/>
      <c r="Q966" s="56"/>
      <c r="R966" s="56"/>
      <c r="S966" s="56"/>
      <c r="T966" s="56"/>
      <c r="U966" s="56"/>
      <c r="V966" s="56"/>
      <c r="W966" s="56"/>
      <c r="X966" s="56"/>
      <c r="Y966" s="56"/>
      <c r="Z966" s="56"/>
      <c r="AA966" s="56"/>
      <c r="AB966" s="56"/>
    </row>
    <row r="967" ht="15.75" customHeight="1">
      <c r="A967" s="169"/>
      <c r="B967" s="63"/>
      <c r="C967" s="38" t="s">
        <v>53</v>
      </c>
      <c r="D967" s="38"/>
      <c r="E967" s="38"/>
      <c r="F967" s="162" t="s">
        <v>5784</v>
      </c>
      <c r="G967" s="155"/>
      <c r="H967" s="38"/>
      <c r="I967" s="38"/>
      <c r="J967" s="38"/>
      <c r="K967" s="38"/>
      <c r="L967" s="38"/>
      <c r="M967" s="56"/>
      <c r="N967" s="56" t="b">
        <v>0</v>
      </c>
      <c r="O967" s="56" t="b">
        <v>0</v>
      </c>
      <c r="P967" s="56"/>
      <c r="Q967" s="56"/>
      <c r="R967" s="56"/>
      <c r="S967" s="56"/>
      <c r="T967" s="56"/>
      <c r="U967" s="56"/>
      <c r="V967" s="56"/>
      <c r="W967" s="56"/>
      <c r="X967" s="56"/>
      <c r="Y967" s="56"/>
      <c r="Z967" s="56"/>
      <c r="AA967" s="56"/>
      <c r="AB967" s="56"/>
    </row>
    <row r="968" ht="15.75" customHeight="1">
      <c r="A968" s="169"/>
      <c r="B968" s="63"/>
      <c r="C968" s="38" t="s">
        <v>53</v>
      </c>
      <c r="D968" s="38"/>
      <c r="E968" s="38"/>
      <c r="F968" s="156"/>
      <c r="G968" s="157"/>
      <c r="H968" s="38"/>
      <c r="I968" s="38"/>
      <c r="J968" s="38"/>
      <c r="K968" s="38"/>
      <c r="L968" s="38"/>
      <c r="M968" s="56"/>
      <c r="N968" s="56" t="b">
        <v>0</v>
      </c>
      <c r="O968" s="56" t="b">
        <v>0</v>
      </c>
      <c r="P968" s="56"/>
      <c r="Q968" s="56"/>
      <c r="R968" s="56"/>
      <c r="S968" s="56"/>
      <c r="T968" s="56"/>
      <c r="U968" s="56"/>
      <c r="V968" s="56"/>
      <c r="W968" s="56"/>
      <c r="X968" s="56"/>
      <c r="Y968" s="56"/>
      <c r="Z968" s="56"/>
      <c r="AA968" s="56"/>
      <c r="AB968" s="56"/>
    </row>
    <row r="969" ht="15.75" customHeight="1">
      <c r="A969" s="169"/>
      <c r="B969" s="63"/>
      <c r="C969" s="38" t="s">
        <v>53</v>
      </c>
      <c r="D969" s="38"/>
      <c r="E969" s="38"/>
      <c r="F969" s="158"/>
      <c r="G969" s="159"/>
      <c r="H969" s="38"/>
      <c r="I969" s="38"/>
      <c r="J969" s="38"/>
      <c r="K969" s="38"/>
      <c r="L969" s="38"/>
      <c r="M969" s="56"/>
      <c r="N969" s="56" t="b">
        <v>0</v>
      </c>
      <c r="O969" s="56" t="b">
        <v>0</v>
      </c>
      <c r="P969" s="56"/>
      <c r="Q969" s="56"/>
      <c r="R969" s="56"/>
      <c r="S969" s="56"/>
      <c r="T969" s="56"/>
      <c r="U969" s="56"/>
      <c r="V969" s="56"/>
      <c r="W969" s="56"/>
      <c r="X969" s="56"/>
      <c r="Y969" s="56"/>
      <c r="Z969" s="56"/>
      <c r="AA969" s="56"/>
      <c r="AB969" s="56"/>
    </row>
    <row r="970" ht="15.75" customHeight="1">
      <c r="A970" s="169"/>
      <c r="B970" s="63"/>
      <c r="C970" s="38" t="s">
        <v>53</v>
      </c>
      <c r="D970" s="38"/>
      <c r="E970" s="38"/>
      <c r="F970" s="65"/>
      <c r="G970" s="66"/>
      <c r="H970" s="38"/>
      <c r="I970" s="38"/>
      <c r="J970" s="38"/>
      <c r="K970" s="38"/>
      <c r="L970" s="38"/>
      <c r="M970" s="56"/>
      <c r="N970" s="56" t="b">
        <v>0</v>
      </c>
      <c r="O970" s="56" t="b">
        <v>0</v>
      </c>
      <c r="P970" s="56"/>
      <c r="Q970" s="56"/>
      <c r="R970" s="56"/>
      <c r="S970" s="56"/>
      <c r="T970" s="56"/>
      <c r="U970" s="56"/>
      <c r="V970" s="56"/>
      <c r="W970" s="56"/>
      <c r="X970" s="56"/>
      <c r="Y970" s="56"/>
      <c r="Z970" s="56"/>
      <c r="AA970" s="56"/>
      <c r="AB970" s="56"/>
    </row>
    <row r="971" ht="15.75" customHeight="1">
      <c r="A971" s="169"/>
      <c r="B971" s="63"/>
      <c r="C971" s="38" t="s">
        <v>53</v>
      </c>
      <c r="D971" s="38"/>
      <c r="E971" s="38"/>
      <c r="F971" s="65"/>
      <c r="G971" s="66"/>
      <c r="H971" s="38"/>
      <c r="I971" s="38"/>
      <c r="J971" s="38"/>
      <c r="K971" s="38"/>
      <c r="L971" s="38"/>
      <c r="M971" s="56"/>
      <c r="N971" s="56" t="b">
        <v>0</v>
      </c>
      <c r="O971" s="56" t="b">
        <v>0</v>
      </c>
      <c r="P971" s="56"/>
      <c r="Q971" s="56"/>
      <c r="R971" s="56"/>
      <c r="S971" s="56"/>
      <c r="T971" s="56"/>
      <c r="U971" s="56"/>
      <c r="V971" s="56"/>
      <c r="W971" s="56"/>
      <c r="X971" s="56"/>
      <c r="Y971" s="56"/>
      <c r="Z971" s="56"/>
      <c r="AA971" s="56"/>
      <c r="AB971" s="56"/>
    </row>
    <row r="972" ht="15.75" customHeight="1">
      <c r="A972" s="169"/>
      <c r="B972" s="69"/>
      <c r="C972" s="38" t="s">
        <v>53</v>
      </c>
      <c r="D972" s="38"/>
      <c r="E972" s="38"/>
      <c r="F972" s="65"/>
      <c r="G972" s="66"/>
      <c r="H972" s="38"/>
      <c r="I972" s="38"/>
      <c r="J972" s="38"/>
      <c r="K972" s="38"/>
      <c r="L972" s="38"/>
      <c r="M972" s="56"/>
      <c r="N972" s="56" t="b">
        <v>0</v>
      </c>
      <c r="O972" s="56" t="b">
        <v>0</v>
      </c>
      <c r="P972" s="56"/>
      <c r="Q972" s="56"/>
      <c r="R972" s="56"/>
      <c r="S972" s="56"/>
      <c r="T972" s="56"/>
      <c r="U972" s="56"/>
      <c r="V972" s="56"/>
      <c r="W972" s="56"/>
      <c r="X972" s="56"/>
      <c r="Y972" s="56"/>
      <c r="Z972" s="56"/>
      <c r="AA972" s="56"/>
      <c r="AB972" s="56"/>
    </row>
    <row r="973" ht="15.75" customHeight="1">
      <c r="A973" s="169"/>
      <c r="B973" s="171" t="s">
        <v>4836</v>
      </c>
      <c r="C973" s="52">
        <v>44459.0</v>
      </c>
      <c r="D973" s="176"/>
      <c r="E973" s="176"/>
      <c r="F973" s="177"/>
      <c r="G973" s="178"/>
      <c r="H973" s="176"/>
      <c r="I973" s="176"/>
      <c r="J973" s="176"/>
      <c r="K973" s="38"/>
      <c r="L973" s="38"/>
      <c r="M973" s="56"/>
      <c r="N973" s="56" t="b">
        <v>0</v>
      </c>
      <c r="O973" s="56" t="b">
        <v>0</v>
      </c>
      <c r="P973" s="56"/>
      <c r="Q973" s="56"/>
      <c r="R973" s="56"/>
      <c r="S973" s="56"/>
      <c r="T973" s="56"/>
      <c r="U973" s="56"/>
      <c r="V973" s="56"/>
      <c r="W973" s="56"/>
      <c r="X973" s="56"/>
      <c r="Y973" s="56"/>
      <c r="Z973" s="56"/>
      <c r="AA973" s="56"/>
      <c r="AB973" s="56"/>
    </row>
    <row r="974" ht="15.75" customHeight="1">
      <c r="A974" s="169"/>
      <c r="B974" s="63"/>
      <c r="C974" s="31"/>
      <c r="D974" s="176"/>
      <c r="E974" s="176"/>
      <c r="F974" s="177"/>
      <c r="G974" s="178"/>
      <c r="H974" s="176"/>
      <c r="I974" s="176"/>
      <c r="J974" s="176"/>
      <c r="K974" s="38"/>
      <c r="L974" s="38"/>
      <c r="M974" s="56"/>
      <c r="N974" s="56" t="b">
        <v>0</v>
      </c>
      <c r="O974" s="56" t="b">
        <v>0</v>
      </c>
      <c r="P974" s="56"/>
      <c r="Q974" s="56"/>
      <c r="R974" s="56"/>
      <c r="S974" s="56"/>
      <c r="T974" s="56"/>
      <c r="U974" s="56"/>
      <c r="V974" s="56"/>
      <c r="W974" s="56"/>
      <c r="X974" s="56"/>
      <c r="Y974" s="56"/>
      <c r="Z974" s="56"/>
      <c r="AA974" s="56"/>
      <c r="AB974" s="56"/>
    </row>
    <row r="975" ht="15.75" customHeight="1">
      <c r="A975" s="169"/>
      <c r="B975" s="63"/>
      <c r="C975" s="38" t="s">
        <v>53</v>
      </c>
      <c r="D975" s="179" t="s">
        <v>171</v>
      </c>
      <c r="E975" s="180" t="s">
        <v>1790</v>
      </c>
      <c r="F975" s="180" t="s">
        <v>1791</v>
      </c>
      <c r="G975" s="181" t="s">
        <v>5704</v>
      </c>
      <c r="H975" s="180" t="s">
        <v>6077</v>
      </c>
      <c r="I975" s="180" t="s">
        <v>6078</v>
      </c>
      <c r="J975" s="180" t="s">
        <v>1793</v>
      </c>
      <c r="K975" s="38" t="s">
        <v>6079</v>
      </c>
      <c r="L975" s="38"/>
      <c r="M975" s="56"/>
      <c r="N975" s="56" t="b">
        <v>0</v>
      </c>
      <c r="O975" s="56" t="b">
        <v>0</v>
      </c>
      <c r="P975" s="56"/>
      <c r="Q975" s="56"/>
      <c r="R975" s="56"/>
      <c r="S975" s="56"/>
      <c r="T975" s="56"/>
      <c r="U975" s="56"/>
      <c r="V975" s="56"/>
      <c r="W975" s="56"/>
      <c r="X975" s="56"/>
      <c r="Y975" s="56"/>
      <c r="Z975" s="56"/>
      <c r="AA975" s="56"/>
      <c r="AB975" s="56"/>
    </row>
    <row r="976" ht="15.75" customHeight="1">
      <c r="A976" s="169"/>
      <c r="B976" s="63"/>
      <c r="C976" s="38" t="s">
        <v>53</v>
      </c>
      <c r="D976" s="182" t="s">
        <v>171</v>
      </c>
      <c r="E976" s="183" t="s">
        <v>4423</v>
      </c>
      <c r="F976" s="183" t="s">
        <v>4424</v>
      </c>
      <c r="G976" s="184" t="s">
        <v>5134</v>
      </c>
      <c r="H976" s="182" t="s">
        <v>6080</v>
      </c>
      <c r="I976" s="185" t="s">
        <v>6081</v>
      </c>
      <c r="J976" s="185" t="s">
        <v>4426</v>
      </c>
      <c r="K976" s="38" t="s">
        <v>6082</v>
      </c>
      <c r="L976" s="38"/>
      <c r="M976" s="56"/>
      <c r="N976" s="56" t="b">
        <v>0</v>
      </c>
      <c r="O976" s="56" t="b">
        <v>0</v>
      </c>
      <c r="P976" s="56"/>
      <c r="Q976" s="56"/>
      <c r="R976" s="56"/>
      <c r="S976" s="56"/>
      <c r="T976" s="56"/>
      <c r="U976" s="56"/>
      <c r="V976" s="56"/>
      <c r="W976" s="56"/>
      <c r="X976" s="56"/>
      <c r="Y976" s="56"/>
      <c r="Z976" s="56"/>
      <c r="AA976" s="56"/>
      <c r="AB976" s="56"/>
    </row>
    <row r="977" ht="15.75" customHeight="1">
      <c r="A977" s="169"/>
      <c r="B977" s="63"/>
      <c r="C977" s="38" t="s">
        <v>53</v>
      </c>
      <c r="D977" s="186" t="s">
        <v>171</v>
      </c>
      <c r="E977" s="187" t="s">
        <v>6083</v>
      </c>
      <c r="F977" s="187" t="s">
        <v>6084</v>
      </c>
      <c r="G977" s="188" t="s">
        <v>4856</v>
      </c>
      <c r="H977" s="186" t="s">
        <v>6080</v>
      </c>
      <c r="I977" s="189" t="s">
        <v>6085</v>
      </c>
      <c r="J977" s="187" t="s">
        <v>6086</v>
      </c>
      <c r="K977" s="38" t="s">
        <v>6087</v>
      </c>
      <c r="L977" s="38"/>
      <c r="M977" s="56"/>
      <c r="N977" s="56" t="b">
        <v>0</v>
      </c>
      <c r="O977" s="56" t="b">
        <v>0</v>
      </c>
      <c r="P977" s="56"/>
      <c r="Q977" s="56"/>
      <c r="R977" s="56"/>
      <c r="S977" s="56"/>
      <c r="T977" s="56"/>
      <c r="U977" s="56"/>
      <c r="V977" s="56"/>
      <c r="W977" s="56"/>
      <c r="X977" s="56"/>
      <c r="Y977" s="56"/>
      <c r="Z977" s="56"/>
      <c r="AA977" s="56"/>
      <c r="AB977" s="56"/>
    </row>
    <row r="978" ht="15.75" customHeight="1">
      <c r="A978" s="169"/>
      <c r="B978" s="63"/>
      <c r="C978" s="38" t="s">
        <v>53</v>
      </c>
      <c r="D978" s="182" t="s">
        <v>171</v>
      </c>
      <c r="E978" s="185" t="s">
        <v>1444</v>
      </c>
      <c r="F978" s="185" t="s">
        <v>1445</v>
      </c>
      <c r="G978" s="184" t="s">
        <v>4858</v>
      </c>
      <c r="H978" s="182" t="s">
        <v>6080</v>
      </c>
      <c r="I978" s="190" t="s">
        <v>6088</v>
      </c>
      <c r="J978" s="185" t="s">
        <v>6089</v>
      </c>
      <c r="K978" s="38" t="s">
        <v>6082</v>
      </c>
      <c r="L978" s="38"/>
      <c r="M978" s="56"/>
      <c r="N978" s="56" t="b">
        <v>0</v>
      </c>
      <c r="O978" s="56" t="b">
        <v>0</v>
      </c>
      <c r="P978" s="56"/>
      <c r="Q978" s="56"/>
      <c r="R978" s="56"/>
      <c r="S978" s="56"/>
      <c r="T978" s="56"/>
      <c r="U978" s="56"/>
      <c r="V978" s="56"/>
      <c r="W978" s="56"/>
      <c r="X978" s="56"/>
      <c r="Y978" s="56"/>
      <c r="Z978" s="56"/>
      <c r="AA978" s="56"/>
      <c r="AB978" s="56"/>
    </row>
    <row r="979" ht="15.75" customHeight="1">
      <c r="A979" s="169"/>
      <c r="B979" s="63"/>
      <c r="C979" s="38" t="s">
        <v>53</v>
      </c>
      <c r="D979" s="182" t="s">
        <v>171</v>
      </c>
      <c r="E979" s="185" t="s">
        <v>6090</v>
      </c>
      <c r="F979" s="185" t="s">
        <v>6091</v>
      </c>
      <c r="G979" s="184" t="s">
        <v>4899</v>
      </c>
      <c r="H979" s="191" t="s">
        <v>6092</v>
      </c>
      <c r="I979" s="185" t="s">
        <v>6093</v>
      </c>
      <c r="J979" s="185" t="s">
        <v>6094</v>
      </c>
      <c r="K979" s="192" t="s">
        <v>6095</v>
      </c>
      <c r="L979" s="38"/>
      <c r="M979" s="56"/>
      <c r="N979" s="56" t="b">
        <v>0</v>
      </c>
      <c r="O979" s="56" t="b">
        <v>0</v>
      </c>
      <c r="P979" s="56"/>
      <c r="Q979" s="56"/>
      <c r="R979" s="56"/>
      <c r="S979" s="56"/>
      <c r="T979" s="56"/>
      <c r="U979" s="56"/>
      <c r="V979" s="56"/>
      <c r="W979" s="56"/>
      <c r="X979" s="56"/>
      <c r="Y979" s="56"/>
      <c r="Z979" s="56"/>
      <c r="AA979" s="56"/>
      <c r="AB979" s="56"/>
    </row>
    <row r="980" ht="15.75" customHeight="1">
      <c r="A980" s="169"/>
      <c r="B980" s="63"/>
      <c r="C980" s="38" t="s">
        <v>53</v>
      </c>
      <c r="D980" s="38"/>
      <c r="E980" s="38"/>
      <c r="F980" s="65"/>
      <c r="G980" s="66"/>
      <c r="H980" s="38"/>
      <c r="I980" s="38"/>
      <c r="J980" s="38"/>
      <c r="K980" s="38"/>
      <c r="L980" s="38"/>
      <c r="M980" s="56"/>
      <c r="N980" s="56" t="b">
        <v>0</v>
      </c>
      <c r="O980" s="56" t="b">
        <v>0</v>
      </c>
      <c r="P980" s="56"/>
      <c r="Q980" s="56"/>
      <c r="R980" s="56"/>
      <c r="S980" s="56"/>
      <c r="T980" s="56"/>
      <c r="U980" s="56"/>
      <c r="V980" s="56"/>
      <c r="W980" s="56"/>
      <c r="X980" s="56"/>
      <c r="Y980" s="56"/>
      <c r="Z980" s="56"/>
      <c r="AA980" s="56"/>
      <c r="AB980" s="56"/>
    </row>
    <row r="981" ht="15.75" customHeight="1">
      <c r="A981" s="169"/>
      <c r="B981" s="69"/>
      <c r="C981" s="38" t="s">
        <v>53</v>
      </c>
      <c r="D981" s="38"/>
      <c r="E981" s="38"/>
      <c r="F981" s="65"/>
      <c r="G981" s="66"/>
      <c r="H981" s="38"/>
      <c r="I981" s="38"/>
      <c r="J981" s="38"/>
      <c r="K981" s="38"/>
      <c r="L981" s="38"/>
      <c r="M981" s="56"/>
      <c r="N981" s="56" t="b">
        <v>0</v>
      </c>
      <c r="O981" s="56" t="b">
        <v>0</v>
      </c>
      <c r="P981" s="56"/>
      <c r="Q981" s="56"/>
      <c r="R981" s="56"/>
      <c r="S981" s="56"/>
      <c r="T981" s="56"/>
      <c r="U981" s="56"/>
      <c r="V981" s="56"/>
      <c r="W981" s="56"/>
      <c r="X981" s="56"/>
      <c r="Y981" s="56"/>
      <c r="Z981" s="56"/>
      <c r="AA981" s="56"/>
      <c r="AB981" s="56"/>
    </row>
    <row r="982" ht="15.75" customHeight="1">
      <c r="A982" s="169"/>
      <c r="B982" s="171" t="s">
        <v>4836</v>
      </c>
      <c r="C982" s="52">
        <v>44460.0</v>
      </c>
      <c r="D982" s="38"/>
      <c r="E982" s="38"/>
      <c r="F982" s="65"/>
      <c r="G982" s="66"/>
      <c r="H982" s="38"/>
      <c r="I982" s="38"/>
      <c r="J982" s="38"/>
      <c r="K982" s="38"/>
      <c r="L982" s="38"/>
      <c r="M982" s="56"/>
      <c r="N982" s="56" t="b">
        <v>0</v>
      </c>
      <c r="O982" s="56" t="b">
        <v>0</v>
      </c>
      <c r="P982" s="56"/>
      <c r="Q982" s="56"/>
      <c r="R982" s="56"/>
      <c r="S982" s="56"/>
      <c r="T982" s="56"/>
      <c r="U982" s="56"/>
      <c r="V982" s="56"/>
      <c r="W982" s="56"/>
      <c r="X982" s="56"/>
      <c r="Y982" s="56"/>
      <c r="Z982" s="56"/>
      <c r="AA982" s="56"/>
      <c r="AB982" s="56"/>
    </row>
    <row r="983" ht="15.75" customHeight="1">
      <c r="A983" s="169"/>
      <c r="B983" s="63"/>
      <c r="C983" s="38" t="s">
        <v>53</v>
      </c>
      <c r="D983" s="38"/>
      <c r="E983" s="38"/>
      <c r="F983" s="65"/>
      <c r="G983" s="66"/>
      <c r="H983" s="38"/>
      <c r="I983" s="38"/>
      <c r="J983" s="38"/>
      <c r="K983" s="38"/>
      <c r="L983" s="38"/>
      <c r="M983" s="56"/>
      <c r="N983" s="56" t="b">
        <v>0</v>
      </c>
      <c r="O983" s="56" t="b">
        <v>0</v>
      </c>
      <c r="P983" s="56"/>
      <c r="Q983" s="56"/>
      <c r="R983" s="56"/>
      <c r="S983" s="56"/>
      <c r="T983" s="56"/>
      <c r="U983" s="56"/>
      <c r="V983" s="56"/>
      <c r="W983" s="56"/>
      <c r="X983" s="56"/>
      <c r="Y983" s="56"/>
      <c r="Z983" s="56"/>
      <c r="AA983" s="56"/>
      <c r="AB983" s="56"/>
    </row>
    <row r="984" ht="15.75" customHeight="1">
      <c r="A984" s="169"/>
      <c r="B984" s="63"/>
      <c r="C984" s="38" t="s">
        <v>53</v>
      </c>
      <c r="D984" s="176" t="s">
        <v>171</v>
      </c>
      <c r="E984" s="193" t="s">
        <v>4423</v>
      </c>
      <c r="F984" s="194" t="s">
        <v>4424</v>
      </c>
      <c r="G984" s="195" t="s">
        <v>5134</v>
      </c>
      <c r="H984" s="176" t="s">
        <v>6080</v>
      </c>
      <c r="I984" s="196" t="s">
        <v>6081</v>
      </c>
      <c r="J984" s="196" t="s">
        <v>4426</v>
      </c>
      <c r="K984" s="38"/>
      <c r="L984" s="38"/>
      <c r="M984" s="56"/>
      <c r="N984" s="56" t="b">
        <v>0</v>
      </c>
      <c r="O984" s="56" t="b">
        <v>0</v>
      </c>
      <c r="P984" s="56"/>
      <c r="Q984" s="56"/>
      <c r="R984" s="56"/>
      <c r="S984" s="56"/>
      <c r="T984" s="56"/>
      <c r="U984" s="56"/>
      <c r="V984" s="56"/>
      <c r="W984" s="56"/>
      <c r="X984" s="56"/>
      <c r="Y984" s="56"/>
      <c r="Z984" s="56"/>
      <c r="AA984" s="56"/>
      <c r="AB984" s="56"/>
    </row>
    <row r="985" ht="15.75" customHeight="1">
      <c r="A985" s="169"/>
      <c r="B985" s="63"/>
      <c r="C985" s="38" t="s">
        <v>53</v>
      </c>
      <c r="D985" s="176" t="s">
        <v>171</v>
      </c>
      <c r="E985" s="196" t="s">
        <v>6083</v>
      </c>
      <c r="F985" s="197" t="s">
        <v>6084</v>
      </c>
      <c r="G985" s="178" t="s">
        <v>4856</v>
      </c>
      <c r="H985" s="176" t="s">
        <v>6080</v>
      </c>
      <c r="I985" s="23" t="s">
        <v>6085</v>
      </c>
      <c r="J985" s="196" t="s">
        <v>6086</v>
      </c>
      <c r="K985" s="38"/>
      <c r="L985" s="38"/>
      <c r="M985" s="56"/>
      <c r="N985" s="56" t="b">
        <v>0</v>
      </c>
      <c r="O985" s="56" t="b">
        <v>0</v>
      </c>
      <c r="P985" s="56"/>
      <c r="Q985" s="56"/>
      <c r="R985" s="56"/>
      <c r="S985" s="56"/>
      <c r="T985" s="56"/>
      <c r="U985" s="56"/>
      <c r="V985" s="56"/>
      <c r="W985" s="56"/>
      <c r="X985" s="56"/>
      <c r="Y985" s="56"/>
      <c r="Z985" s="56"/>
      <c r="AA985" s="56"/>
      <c r="AB985" s="56"/>
    </row>
    <row r="986" ht="15.75" customHeight="1">
      <c r="A986" s="169"/>
      <c r="B986" s="63"/>
      <c r="C986" s="38" t="s">
        <v>53</v>
      </c>
      <c r="D986" s="176" t="s">
        <v>171</v>
      </c>
      <c r="E986" s="196" t="s">
        <v>1444</v>
      </c>
      <c r="F986" s="197" t="s">
        <v>1445</v>
      </c>
      <c r="G986" s="178" t="s">
        <v>4858</v>
      </c>
      <c r="H986" s="176" t="s">
        <v>6080</v>
      </c>
      <c r="I986" s="23" t="s">
        <v>6088</v>
      </c>
      <c r="J986" s="196" t="s">
        <v>6089</v>
      </c>
      <c r="K986" s="38"/>
      <c r="L986" s="38"/>
      <c r="M986" s="56"/>
      <c r="N986" s="56" t="b">
        <v>0</v>
      </c>
      <c r="O986" s="56" t="b">
        <v>0</v>
      </c>
      <c r="P986" s="56"/>
      <c r="Q986" s="56"/>
      <c r="R986" s="56"/>
      <c r="S986" s="56"/>
      <c r="T986" s="56"/>
      <c r="U986" s="56"/>
      <c r="V986" s="56"/>
      <c r="W986" s="56"/>
      <c r="X986" s="56"/>
      <c r="Y986" s="56"/>
      <c r="Z986" s="56"/>
      <c r="AA986" s="56"/>
      <c r="AB986" s="56"/>
    </row>
    <row r="987" ht="15.75" customHeight="1">
      <c r="A987" s="169"/>
      <c r="B987" s="63"/>
      <c r="C987" s="38" t="s">
        <v>53</v>
      </c>
      <c r="D987" s="176" t="s">
        <v>171</v>
      </c>
      <c r="E987" s="180" t="s">
        <v>6090</v>
      </c>
      <c r="F987" s="180" t="s">
        <v>6091</v>
      </c>
      <c r="G987" s="181" t="s">
        <v>4899</v>
      </c>
      <c r="H987" s="198" t="s">
        <v>6092</v>
      </c>
      <c r="I987" s="180" t="s">
        <v>6093</v>
      </c>
      <c r="J987" s="180" t="s">
        <v>6094</v>
      </c>
      <c r="K987" s="38" t="s">
        <v>6096</v>
      </c>
      <c r="L987" s="38"/>
      <c r="M987" s="56"/>
      <c r="N987" s="56" t="b">
        <v>0</v>
      </c>
      <c r="O987" s="56" t="b">
        <v>0</v>
      </c>
      <c r="P987" s="56"/>
      <c r="Q987" s="56"/>
      <c r="R987" s="56"/>
      <c r="S987" s="56"/>
      <c r="T987" s="56"/>
      <c r="U987" s="56"/>
      <c r="V987" s="56"/>
      <c r="W987" s="56"/>
      <c r="X987" s="56"/>
      <c r="Y987" s="56"/>
      <c r="Z987" s="56"/>
      <c r="AA987" s="56"/>
      <c r="AB987" s="56"/>
    </row>
    <row r="988" ht="15.75" customHeight="1">
      <c r="A988" s="169"/>
      <c r="B988" s="63"/>
      <c r="C988" s="38" t="s">
        <v>53</v>
      </c>
      <c r="D988" s="38" t="s">
        <v>267</v>
      </c>
      <c r="E988" s="199" t="s">
        <v>3982</v>
      </c>
      <c r="F988" s="197" t="s">
        <v>3983</v>
      </c>
      <c r="G988" s="66" t="s">
        <v>5089</v>
      </c>
      <c r="H988" s="199" t="s">
        <v>6097</v>
      </c>
      <c r="I988" s="196" t="s">
        <v>6098</v>
      </c>
      <c r="J988" s="199" t="s">
        <v>6099</v>
      </c>
      <c r="K988" s="38" t="s">
        <v>6100</v>
      </c>
      <c r="L988" s="38"/>
      <c r="M988" s="56"/>
      <c r="N988" s="56" t="b">
        <v>0</v>
      </c>
      <c r="O988" s="56" t="b">
        <v>0</v>
      </c>
      <c r="P988" s="56"/>
      <c r="Q988" s="56"/>
      <c r="R988" s="56"/>
      <c r="S988" s="56"/>
      <c r="T988" s="56"/>
      <c r="U988" s="56"/>
      <c r="V988" s="56"/>
      <c r="W988" s="56"/>
      <c r="X988" s="56"/>
      <c r="Y988" s="56"/>
      <c r="Z988" s="56"/>
      <c r="AA988" s="56"/>
      <c r="AB988" s="56"/>
    </row>
    <row r="989" ht="15.75" customHeight="1">
      <c r="A989" s="169"/>
      <c r="B989" s="63"/>
      <c r="C989" s="38" t="s">
        <v>53</v>
      </c>
      <c r="D989" s="38" t="s">
        <v>267</v>
      </c>
      <c r="E989" s="180" t="s">
        <v>6101</v>
      </c>
      <c r="F989" s="200" t="s">
        <v>6102</v>
      </c>
      <c r="G989" s="82" t="s">
        <v>5981</v>
      </c>
      <c r="H989" s="180" t="s">
        <v>6103</v>
      </c>
      <c r="I989" s="200" t="s">
        <v>6104</v>
      </c>
      <c r="J989" s="180" t="s">
        <v>6105</v>
      </c>
      <c r="K989" s="38"/>
      <c r="L989" s="38"/>
      <c r="M989" s="56"/>
      <c r="N989" s="56" t="b">
        <v>0</v>
      </c>
      <c r="O989" s="56" t="b">
        <v>0</v>
      </c>
      <c r="P989" s="56"/>
      <c r="Q989" s="56"/>
      <c r="R989" s="56"/>
      <c r="S989" s="56"/>
      <c r="T989" s="56"/>
      <c r="U989" s="56"/>
      <c r="V989" s="56"/>
      <c r="W989" s="56"/>
      <c r="X989" s="56"/>
      <c r="Y989" s="56"/>
      <c r="Z989" s="56"/>
      <c r="AA989" s="56"/>
      <c r="AB989" s="56"/>
    </row>
    <row r="990" ht="15.75" customHeight="1">
      <c r="A990" s="169"/>
      <c r="B990" s="69"/>
      <c r="C990" s="38" t="s">
        <v>53</v>
      </c>
      <c r="D990" s="164"/>
      <c r="E990" s="164"/>
      <c r="F990" s="164"/>
      <c r="G990" s="201"/>
      <c r="H990" s="164"/>
      <c r="I990" s="164"/>
      <c r="L990" s="38"/>
      <c r="M990" s="56"/>
      <c r="N990" s="56" t="b">
        <v>0</v>
      </c>
      <c r="O990" s="56" t="b">
        <v>0</v>
      </c>
      <c r="P990" s="56"/>
      <c r="Q990" s="56"/>
      <c r="R990" s="56"/>
      <c r="S990" s="56"/>
      <c r="T990" s="56"/>
      <c r="U990" s="56"/>
      <c r="V990" s="56"/>
      <c r="W990" s="56"/>
      <c r="X990" s="56"/>
      <c r="Y990" s="56"/>
      <c r="Z990" s="56"/>
      <c r="AA990" s="56"/>
      <c r="AB990" s="56"/>
    </row>
    <row r="991" ht="15.75" customHeight="1">
      <c r="A991" s="169"/>
      <c r="B991" s="171" t="s">
        <v>4836</v>
      </c>
      <c r="C991" s="52">
        <v>44461.0</v>
      </c>
      <c r="D991" s="164"/>
      <c r="E991" s="164"/>
      <c r="F991" s="164"/>
      <c r="G991" s="201"/>
      <c r="H991" s="164"/>
      <c r="I991" s="164"/>
      <c r="L991" s="38"/>
      <c r="M991" s="56"/>
      <c r="N991" s="56" t="b">
        <v>0</v>
      </c>
      <c r="O991" s="56" t="b">
        <v>0</v>
      </c>
      <c r="P991" s="56"/>
      <c r="Q991" s="56"/>
      <c r="R991" s="56"/>
      <c r="S991" s="56"/>
      <c r="T991" s="56"/>
      <c r="U991" s="56"/>
      <c r="V991" s="56"/>
      <c r="W991" s="56"/>
      <c r="X991" s="56"/>
      <c r="Y991" s="56"/>
      <c r="Z991" s="56"/>
      <c r="AA991" s="56"/>
      <c r="AB991" s="56"/>
    </row>
    <row r="992" ht="15.75" customHeight="1">
      <c r="A992" s="169"/>
      <c r="B992" s="63"/>
      <c r="C992" s="31"/>
      <c r="D992" s="38"/>
      <c r="E992" s="38"/>
      <c r="F992" s="127" t="s">
        <v>6106</v>
      </c>
      <c r="G992" s="66"/>
      <c r="H992" s="38"/>
      <c r="I992" s="38"/>
      <c r="J992" s="38"/>
      <c r="K992" s="38"/>
      <c r="L992" s="38"/>
      <c r="M992" s="56"/>
      <c r="N992" s="56" t="b">
        <v>0</v>
      </c>
      <c r="O992" s="56" t="b">
        <v>0</v>
      </c>
      <c r="P992" s="56"/>
      <c r="Q992" s="56"/>
      <c r="R992" s="56"/>
      <c r="S992" s="56"/>
      <c r="T992" s="56"/>
      <c r="U992" s="56"/>
      <c r="V992" s="56"/>
      <c r="W992" s="56"/>
      <c r="X992" s="56"/>
      <c r="Y992" s="56"/>
      <c r="Z992" s="56"/>
      <c r="AA992" s="56"/>
      <c r="AB992" s="56"/>
    </row>
    <row r="993" ht="15.75" customHeight="1">
      <c r="A993" s="169"/>
      <c r="B993" s="63"/>
      <c r="C993" s="38" t="s">
        <v>53</v>
      </c>
      <c r="D993" s="38"/>
      <c r="E993" s="38"/>
      <c r="F993" s="65"/>
      <c r="G993" s="66"/>
      <c r="H993" s="38"/>
      <c r="I993" s="38"/>
      <c r="J993" s="38"/>
      <c r="K993" s="38"/>
      <c r="L993" s="38"/>
      <c r="M993" s="56"/>
      <c r="N993" s="56" t="b">
        <v>0</v>
      </c>
      <c r="O993" s="56" t="b">
        <v>0</v>
      </c>
      <c r="P993" s="56"/>
      <c r="Q993" s="56"/>
      <c r="R993" s="56"/>
      <c r="S993" s="56"/>
      <c r="T993" s="56"/>
      <c r="U993" s="56"/>
      <c r="V993" s="56"/>
      <c r="W993" s="56"/>
      <c r="X993" s="56"/>
      <c r="Y993" s="56"/>
      <c r="Z993" s="56"/>
      <c r="AA993" s="56"/>
      <c r="AB993" s="56"/>
    </row>
    <row r="994" ht="15.75" customHeight="1">
      <c r="A994" s="169"/>
      <c r="B994" s="63"/>
      <c r="C994" s="38" t="s">
        <v>53</v>
      </c>
      <c r="D994" s="38"/>
      <c r="E994" s="38"/>
      <c r="F994" s="65"/>
      <c r="G994" s="66"/>
      <c r="H994" s="38"/>
      <c r="I994" s="38"/>
      <c r="J994" s="38"/>
      <c r="K994" s="38"/>
      <c r="L994" s="38"/>
      <c r="M994" s="56"/>
      <c r="N994" s="56" t="b">
        <v>0</v>
      </c>
      <c r="O994" s="56" t="b">
        <v>0</v>
      </c>
      <c r="P994" s="56"/>
      <c r="Q994" s="56"/>
      <c r="R994" s="56"/>
      <c r="S994" s="56"/>
      <c r="T994" s="56"/>
      <c r="U994" s="56"/>
      <c r="V994" s="56"/>
      <c r="W994" s="56"/>
      <c r="X994" s="56"/>
      <c r="Y994" s="56"/>
      <c r="Z994" s="56"/>
      <c r="AA994" s="56"/>
      <c r="AB994" s="56"/>
    </row>
    <row r="995" ht="15.75" customHeight="1">
      <c r="A995" s="169"/>
      <c r="B995" s="63"/>
      <c r="C995" s="38" t="s">
        <v>53</v>
      </c>
      <c r="D995" s="202" t="s">
        <v>87</v>
      </c>
      <c r="E995" s="203" t="s">
        <v>975</v>
      </c>
      <c r="F995" s="203" t="s">
        <v>976</v>
      </c>
      <c r="G995" s="82" t="s">
        <v>4940</v>
      </c>
      <c r="H995" s="76" t="s">
        <v>5179</v>
      </c>
      <c r="I995" s="76" t="s">
        <v>6107</v>
      </c>
      <c r="J995" s="203" t="s">
        <v>978</v>
      </c>
      <c r="K995" s="38" t="s">
        <v>6108</v>
      </c>
      <c r="L995" s="38"/>
      <c r="M995" s="56"/>
      <c r="N995" s="56" t="b">
        <v>0</v>
      </c>
      <c r="O995" s="56" t="b">
        <v>0</v>
      </c>
      <c r="P995" s="56"/>
      <c r="Q995" s="56"/>
      <c r="R995" s="56"/>
      <c r="S995" s="56"/>
      <c r="T995" s="56"/>
      <c r="U995" s="56"/>
      <c r="V995" s="56"/>
      <c r="W995" s="56"/>
      <c r="X995" s="56"/>
      <c r="Y995" s="56"/>
      <c r="Z995" s="56"/>
      <c r="AA995" s="56"/>
      <c r="AB995" s="56"/>
    </row>
    <row r="996" ht="15.75" customHeight="1">
      <c r="A996" s="169"/>
      <c r="B996" s="63"/>
      <c r="C996" s="38" t="s">
        <v>53</v>
      </c>
      <c r="D996" s="76" t="s">
        <v>267</v>
      </c>
      <c r="E996" s="203" t="s">
        <v>2869</v>
      </c>
      <c r="F996" s="203" t="s">
        <v>2870</v>
      </c>
      <c r="G996" s="82" t="s">
        <v>4899</v>
      </c>
      <c r="H996" s="77" t="s">
        <v>4935</v>
      </c>
      <c r="I996" s="77" t="s">
        <v>6109</v>
      </c>
      <c r="J996" s="203" t="s">
        <v>2872</v>
      </c>
      <c r="K996" s="38" t="s">
        <v>6110</v>
      </c>
      <c r="L996" s="38"/>
      <c r="M996" s="56"/>
      <c r="N996" s="56" t="b">
        <v>0</v>
      </c>
      <c r="O996" s="56" t="b">
        <v>0</v>
      </c>
      <c r="P996" s="56"/>
      <c r="Q996" s="56"/>
      <c r="R996" s="56"/>
      <c r="S996" s="56"/>
      <c r="T996" s="56"/>
      <c r="U996" s="56"/>
      <c r="V996" s="56"/>
      <c r="W996" s="56"/>
      <c r="X996" s="56"/>
      <c r="Y996" s="56"/>
      <c r="Z996" s="56"/>
      <c r="AA996" s="56"/>
      <c r="AB996" s="56"/>
    </row>
    <row r="997" ht="15.75" customHeight="1">
      <c r="A997" s="169"/>
      <c r="B997" s="63"/>
      <c r="C997" s="38" t="s">
        <v>53</v>
      </c>
      <c r="D997" s="76" t="s">
        <v>267</v>
      </c>
      <c r="E997" s="77" t="s">
        <v>3996</v>
      </c>
      <c r="F997" s="77" t="s">
        <v>3997</v>
      </c>
      <c r="G997" s="82" t="s">
        <v>4899</v>
      </c>
      <c r="H997" s="77" t="s">
        <v>4935</v>
      </c>
      <c r="I997" s="203" t="s">
        <v>6109</v>
      </c>
      <c r="J997" s="77" t="s">
        <v>2872</v>
      </c>
      <c r="K997" s="38" t="s">
        <v>6110</v>
      </c>
      <c r="L997" s="38"/>
      <c r="M997" s="56"/>
      <c r="N997" s="56" t="b">
        <v>0</v>
      </c>
      <c r="O997" s="56" t="b">
        <v>0</v>
      </c>
      <c r="P997" s="56"/>
      <c r="Q997" s="56"/>
      <c r="R997" s="56"/>
      <c r="S997" s="56"/>
      <c r="T997" s="56"/>
      <c r="U997" s="56"/>
      <c r="V997" s="56"/>
      <c r="W997" s="56"/>
      <c r="X997" s="56"/>
      <c r="Y997" s="56"/>
      <c r="Z997" s="56"/>
      <c r="AA997" s="56"/>
      <c r="AB997" s="56"/>
    </row>
    <row r="998" ht="15.75" customHeight="1">
      <c r="A998" s="169"/>
      <c r="B998" s="63"/>
      <c r="C998" s="38" t="s">
        <v>53</v>
      </c>
      <c r="D998" s="204" t="s">
        <v>87</v>
      </c>
      <c r="E998" s="205" t="s">
        <v>3249</v>
      </c>
      <c r="F998" s="205" t="s">
        <v>3250</v>
      </c>
      <c r="G998" s="206" t="s">
        <v>4947</v>
      </c>
      <c r="H998" s="192" t="s">
        <v>4935</v>
      </c>
      <c r="I998" s="192" t="s">
        <v>6111</v>
      </c>
      <c r="J998" s="205" t="s">
        <v>3252</v>
      </c>
      <c r="K998" s="38" t="s">
        <v>6112</v>
      </c>
      <c r="L998" s="38"/>
      <c r="M998" s="56"/>
      <c r="N998" s="56" t="b">
        <v>0</v>
      </c>
      <c r="O998" s="56" t="b">
        <v>0</v>
      </c>
      <c r="P998" s="56"/>
      <c r="Q998" s="56"/>
      <c r="R998" s="56"/>
      <c r="S998" s="56"/>
      <c r="T998" s="56"/>
      <c r="U998" s="56"/>
      <c r="V998" s="56"/>
      <c r="W998" s="56"/>
      <c r="X998" s="56"/>
      <c r="Y998" s="56"/>
      <c r="Z998" s="56"/>
      <c r="AA998" s="56"/>
      <c r="AB998" s="56"/>
    </row>
    <row r="999" ht="15.75" customHeight="1">
      <c r="A999" s="169"/>
      <c r="B999" s="69"/>
      <c r="C999" s="38" t="s">
        <v>53</v>
      </c>
      <c r="D999" s="204" t="s">
        <v>87</v>
      </c>
      <c r="E999" s="205" t="s">
        <v>1848</v>
      </c>
      <c r="F999" s="205" t="s">
        <v>1849</v>
      </c>
      <c r="G999" s="206" t="s">
        <v>6113</v>
      </c>
      <c r="H999" s="192" t="s">
        <v>4935</v>
      </c>
      <c r="I999" s="192" t="s">
        <v>6114</v>
      </c>
      <c r="J999" s="192" t="s">
        <v>1851</v>
      </c>
      <c r="K999" s="38" t="s">
        <v>6115</v>
      </c>
      <c r="L999" s="38"/>
      <c r="M999" s="56"/>
      <c r="N999" s="56" t="b">
        <v>0</v>
      </c>
      <c r="O999" s="56" t="b">
        <v>0</v>
      </c>
      <c r="P999" s="56"/>
      <c r="Q999" s="56"/>
      <c r="R999" s="56"/>
      <c r="S999" s="56"/>
      <c r="T999" s="56"/>
      <c r="U999" s="56"/>
      <c r="V999" s="56"/>
      <c r="W999" s="56"/>
      <c r="X999" s="56"/>
      <c r="Y999" s="56"/>
      <c r="Z999" s="56"/>
      <c r="AA999" s="56"/>
      <c r="AB999" s="56"/>
    </row>
    <row r="1000" ht="15.75" customHeight="1">
      <c r="A1000" s="169"/>
      <c r="B1000" s="171" t="s">
        <v>4836</v>
      </c>
      <c r="C1000" s="52">
        <v>44462.0</v>
      </c>
      <c r="D1000" s="38"/>
      <c r="E1000" s="38"/>
      <c r="F1000" s="65"/>
      <c r="G1000" s="66"/>
      <c r="H1000" s="38"/>
      <c r="I1000" s="38"/>
      <c r="J1000" s="38"/>
      <c r="K1000" s="38"/>
      <c r="L1000" s="38"/>
      <c r="M1000" s="56"/>
      <c r="N1000" s="56" t="b">
        <v>0</v>
      </c>
      <c r="O1000" s="56" t="b">
        <v>0</v>
      </c>
      <c r="P1000" s="56"/>
      <c r="Q1000" s="56"/>
      <c r="R1000" s="56"/>
      <c r="S1000" s="56"/>
      <c r="T1000" s="56"/>
      <c r="U1000" s="56"/>
      <c r="V1000" s="56"/>
      <c r="W1000" s="56"/>
      <c r="X1000" s="56"/>
      <c r="Y1000" s="56"/>
      <c r="Z1000" s="56"/>
      <c r="AA1000" s="56"/>
      <c r="AB1000" s="56"/>
    </row>
    <row r="1001" ht="15.75" customHeight="1">
      <c r="A1001" s="169"/>
      <c r="B1001" s="63"/>
      <c r="C1001" s="31"/>
      <c r="D1001" s="38"/>
      <c r="E1001" s="207" t="s">
        <v>6116</v>
      </c>
      <c r="F1001" s="55"/>
      <c r="G1001" s="66"/>
      <c r="H1001" s="38"/>
      <c r="I1001" s="38"/>
      <c r="J1001" s="38"/>
      <c r="K1001" s="38"/>
      <c r="L1001" s="38"/>
      <c r="M1001" s="56"/>
      <c r="N1001" s="56" t="b">
        <v>0</v>
      </c>
      <c r="O1001" s="56" t="b">
        <v>0</v>
      </c>
      <c r="P1001" s="56"/>
      <c r="Q1001" s="56"/>
      <c r="R1001" s="56"/>
      <c r="S1001" s="56"/>
      <c r="T1001" s="56"/>
      <c r="U1001" s="56"/>
      <c r="V1001" s="56"/>
      <c r="W1001" s="56"/>
      <c r="X1001" s="56"/>
      <c r="Y1001" s="56"/>
      <c r="Z1001" s="56"/>
      <c r="AA1001" s="56"/>
      <c r="AB1001" s="56"/>
    </row>
    <row r="1002" ht="15.75" customHeight="1">
      <c r="A1002" s="169"/>
      <c r="B1002" s="63"/>
      <c r="C1002" s="38" t="s">
        <v>53</v>
      </c>
      <c r="D1002" s="202" t="s">
        <v>87</v>
      </c>
      <c r="E1002" s="203" t="s">
        <v>3603</v>
      </c>
      <c r="F1002" s="203" t="s">
        <v>3604</v>
      </c>
      <c r="G1002" s="82" t="s">
        <v>4983</v>
      </c>
      <c r="H1002" s="76" t="s">
        <v>5191</v>
      </c>
      <c r="I1002" s="76" t="s">
        <v>6117</v>
      </c>
      <c r="J1002" s="203" t="s">
        <v>3606</v>
      </c>
      <c r="K1002" s="38" t="s">
        <v>6118</v>
      </c>
      <c r="L1002" s="38"/>
      <c r="M1002" s="56"/>
      <c r="N1002" s="56" t="b">
        <v>0</v>
      </c>
      <c r="O1002" s="56" t="b">
        <v>0</v>
      </c>
      <c r="P1002" s="56"/>
      <c r="Q1002" s="56"/>
      <c r="R1002" s="56"/>
      <c r="S1002" s="56"/>
      <c r="T1002" s="56"/>
      <c r="U1002" s="56"/>
      <c r="V1002" s="56"/>
      <c r="W1002" s="56"/>
      <c r="X1002" s="56"/>
      <c r="Y1002" s="56"/>
      <c r="Z1002" s="56"/>
      <c r="AA1002" s="56"/>
      <c r="AB1002" s="56"/>
    </row>
    <row r="1003" ht="15.75" customHeight="1">
      <c r="A1003" s="169"/>
      <c r="B1003" s="63"/>
      <c r="C1003" s="38" t="s">
        <v>53</v>
      </c>
      <c r="D1003" s="38"/>
      <c r="E1003" s="38"/>
      <c r="F1003" s="65"/>
      <c r="G1003" s="66" t="s">
        <v>5134</v>
      </c>
      <c r="H1003" s="38"/>
      <c r="I1003" s="38"/>
      <c r="J1003" s="38"/>
      <c r="K1003" s="38"/>
      <c r="L1003" s="38"/>
      <c r="M1003" s="56"/>
      <c r="N1003" s="56" t="b">
        <v>0</v>
      </c>
      <c r="O1003" s="56" t="b">
        <v>0</v>
      </c>
      <c r="P1003" s="56"/>
      <c r="Q1003" s="56"/>
      <c r="R1003" s="56"/>
      <c r="S1003" s="56"/>
      <c r="T1003" s="56"/>
      <c r="U1003" s="56"/>
      <c r="V1003" s="56"/>
      <c r="W1003" s="56"/>
      <c r="X1003" s="56"/>
      <c r="Y1003" s="56"/>
      <c r="Z1003" s="56"/>
      <c r="AA1003" s="56"/>
      <c r="AB1003" s="56"/>
    </row>
    <row r="1004" ht="15.75" customHeight="1">
      <c r="A1004" s="169"/>
      <c r="B1004" s="63"/>
      <c r="C1004" s="38" t="s">
        <v>53</v>
      </c>
      <c r="D1004" s="66"/>
      <c r="E1004" s="10"/>
      <c r="F1004" s="10"/>
      <c r="G1004" s="66"/>
      <c r="H1004" s="38"/>
      <c r="I1004" s="38"/>
      <c r="J1004" s="38"/>
      <c r="K1004" s="38"/>
      <c r="L1004" s="38"/>
      <c r="M1004" s="56"/>
      <c r="N1004" s="56" t="b">
        <v>0</v>
      </c>
      <c r="O1004" s="56" t="b">
        <v>0</v>
      </c>
      <c r="P1004" s="56"/>
      <c r="Q1004" s="56"/>
      <c r="R1004" s="56"/>
      <c r="S1004" s="56"/>
      <c r="T1004" s="56"/>
      <c r="U1004" s="56"/>
      <c r="V1004" s="56"/>
      <c r="W1004" s="56"/>
      <c r="X1004" s="56"/>
      <c r="Y1004" s="56"/>
      <c r="Z1004" s="56"/>
      <c r="AA1004" s="56"/>
      <c r="AB1004" s="56"/>
    </row>
    <row r="1005" ht="15.75" customHeight="1">
      <c r="A1005" s="169"/>
      <c r="B1005" s="63"/>
      <c r="C1005" s="38" t="s">
        <v>53</v>
      </c>
      <c r="D1005" s="13" t="s">
        <v>87</v>
      </c>
      <c r="E1005" s="10" t="s">
        <v>975</v>
      </c>
      <c r="F1005" s="10" t="s">
        <v>976</v>
      </c>
      <c r="G1005" s="66" t="s">
        <v>4858</v>
      </c>
      <c r="H1005" s="38" t="s">
        <v>5179</v>
      </c>
      <c r="I1005" s="38" t="s">
        <v>6107</v>
      </c>
      <c r="J1005" s="10" t="s">
        <v>978</v>
      </c>
      <c r="K1005" s="38"/>
      <c r="L1005" s="38"/>
      <c r="M1005" s="56"/>
      <c r="N1005" s="56" t="b">
        <v>0</v>
      </c>
      <c r="O1005" s="56" t="b">
        <v>0</v>
      </c>
      <c r="P1005" s="56"/>
      <c r="Q1005" s="56"/>
      <c r="R1005" s="56"/>
      <c r="S1005" s="56"/>
      <c r="T1005" s="56"/>
      <c r="U1005" s="56"/>
      <c r="V1005" s="56"/>
      <c r="W1005" s="56"/>
      <c r="X1005" s="56"/>
      <c r="Y1005" s="56"/>
      <c r="Z1005" s="56"/>
      <c r="AA1005" s="56"/>
      <c r="AB1005" s="56"/>
    </row>
    <row r="1006" ht="15.75" customHeight="1">
      <c r="A1006" s="169"/>
      <c r="B1006" s="63"/>
      <c r="C1006" s="38" t="s">
        <v>53</v>
      </c>
      <c r="D1006" s="208" t="s">
        <v>87</v>
      </c>
      <c r="E1006" s="209" t="s">
        <v>3249</v>
      </c>
      <c r="F1006" s="210" t="s">
        <v>3250</v>
      </c>
      <c r="G1006" s="211" t="s">
        <v>5089</v>
      </c>
      <c r="H1006" s="212" t="s">
        <v>4935</v>
      </c>
      <c r="I1006" s="212" t="s">
        <v>6111</v>
      </c>
      <c r="J1006" s="213" t="s">
        <v>3252</v>
      </c>
      <c r="K1006" s="38"/>
      <c r="L1006" s="38"/>
      <c r="M1006" s="56"/>
      <c r="N1006" s="56" t="b">
        <v>0</v>
      </c>
      <c r="O1006" s="56" t="b">
        <v>0</v>
      </c>
      <c r="P1006" s="56"/>
      <c r="Q1006" s="56"/>
      <c r="R1006" s="56"/>
      <c r="S1006" s="56"/>
      <c r="T1006" s="56"/>
      <c r="U1006" s="56"/>
      <c r="V1006" s="56"/>
      <c r="W1006" s="56"/>
      <c r="X1006" s="56"/>
      <c r="Y1006" s="56"/>
      <c r="Z1006" s="56"/>
      <c r="AA1006" s="56"/>
      <c r="AB1006" s="56"/>
    </row>
    <row r="1007" ht="15.75" customHeight="1">
      <c r="A1007" s="169"/>
      <c r="B1007" s="63"/>
      <c r="C1007" s="38" t="s">
        <v>53</v>
      </c>
      <c r="D1007" s="40" t="s">
        <v>87</v>
      </c>
      <c r="E1007" s="214" t="s">
        <v>1848</v>
      </c>
      <c r="F1007" s="214" t="s">
        <v>1849</v>
      </c>
      <c r="G1007" s="81" t="s">
        <v>6113</v>
      </c>
      <c r="H1007" s="80" t="s">
        <v>4935</v>
      </c>
      <c r="I1007" s="80" t="s">
        <v>6114</v>
      </c>
      <c r="J1007" s="76" t="s">
        <v>1851</v>
      </c>
      <c r="K1007" s="38" t="s">
        <v>1852</v>
      </c>
      <c r="L1007" s="38"/>
      <c r="M1007" s="56"/>
      <c r="N1007" s="56" t="b">
        <v>0</v>
      </c>
      <c r="O1007" s="56" t="b">
        <v>0</v>
      </c>
      <c r="P1007" s="56"/>
      <c r="Q1007" s="56"/>
      <c r="R1007" s="56"/>
      <c r="S1007" s="56"/>
      <c r="T1007" s="56"/>
      <c r="U1007" s="56"/>
      <c r="V1007" s="56"/>
      <c r="W1007" s="56"/>
      <c r="X1007" s="56"/>
      <c r="Y1007" s="56"/>
      <c r="Z1007" s="56"/>
      <c r="AA1007" s="56"/>
      <c r="AB1007" s="56"/>
    </row>
    <row r="1008" ht="15.75" customHeight="1">
      <c r="A1008" s="169"/>
      <c r="B1008" s="69"/>
      <c r="C1008" s="38" t="s">
        <v>53</v>
      </c>
      <c r="D1008" s="38"/>
      <c r="E1008" s="38"/>
      <c r="F1008" s="65"/>
      <c r="G1008" s="66"/>
      <c r="H1008" s="38"/>
      <c r="I1008" s="38"/>
      <c r="J1008" s="38"/>
      <c r="K1008" s="38"/>
      <c r="L1008" s="38"/>
      <c r="M1008" s="56"/>
      <c r="N1008" s="56" t="b">
        <v>0</v>
      </c>
      <c r="O1008" s="56" t="b">
        <v>0</v>
      </c>
      <c r="P1008" s="56"/>
      <c r="Q1008" s="56"/>
      <c r="R1008" s="56"/>
      <c r="S1008" s="56"/>
      <c r="T1008" s="56"/>
      <c r="U1008" s="56"/>
      <c r="V1008" s="56"/>
      <c r="W1008" s="56"/>
      <c r="X1008" s="56"/>
      <c r="Y1008" s="56"/>
      <c r="Z1008" s="56"/>
      <c r="AA1008" s="56"/>
      <c r="AB1008" s="56"/>
    </row>
    <row r="1009" ht="15.75" customHeight="1">
      <c r="A1009" s="169"/>
      <c r="B1009" s="171" t="s">
        <v>4836</v>
      </c>
      <c r="C1009" s="52">
        <v>44463.0</v>
      </c>
      <c r="D1009" s="38"/>
      <c r="E1009" s="38"/>
      <c r="F1009" s="65"/>
      <c r="G1009" s="66"/>
      <c r="H1009" s="38"/>
      <c r="I1009" s="38"/>
      <c r="J1009" s="38"/>
      <c r="K1009" s="38"/>
      <c r="L1009" s="38"/>
      <c r="M1009" s="56"/>
      <c r="N1009" s="56" t="b">
        <v>0</v>
      </c>
      <c r="O1009" s="56" t="b">
        <v>0</v>
      </c>
      <c r="P1009" s="56"/>
      <c r="Q1009" s="56"/>
      <c r="R1009" s="56"/>
      <c r="S1009" s="56"/>
      <c r="T1009" s="56"/>
      <c r="U1009" s="56"/>
      <c r="V1009" s="56"/>
      <c r="W1009" s="56"/>
      <c r="X1009" s="56"/>
      <c r="Y1009" s="56"/>
      <c r="Z1009" s="56"/>
      <c r="AA1009" s="56"/>
      <c r="AB1009" s="56"/>
    </row>
    <row r="1010" ht="15.75" customHeight="1">
      <c r="A1010" s="169"/>
      <c r="B1010" s="63"/>
      <c r="C1010" s="31"/>
      <c r="D1010" s="38"/>
      <c r="E1010" s="38"/>
      <c r="F1010" s="65"/>
      <c r="G1010" s="66"/>
      <c r="H1010" s="38"/>
      <c r="I1010" s="38"/>
      <c r="J1010" s="38"/>
      <c r="K1010" s="38"/>
      <c r="L1010" s="38"/>
      <c r="M1010" s="56"/>
      <c r="N1010" s="56" t="b">
        <v>0</v>
      </c>
      <c r="O1010" s="56" t="b">
        <v>0</v>
      </c>
      <c r="P1010" s="56"/>
      <c r="Q1010" s="56"/>
      <c r="R1010" s="56"/>
      <c r="S1010" s="56"/>
      <c r="T1010" s="56"/>
      <c r="U1010" s="56"/>
      <c r="V1010" s="56"/>
      <c r="W1010" s="56"/>
      <c r="X1010" s="56"/>
      <c r="Y1010" s="56"/>
      <c r="Z1010" s="56"/>
      <c r="AA1010" s="56"/>
      <c r="AB1010" s="56"/>
    </row>
    <row r="1011" ht="15.75" customHeight="1">
      <c r="A1011" s="169"/>
      <c r="B1011" s="63"/>
      <c r="C1011" s="38" t="s">
        <v>53</v>
      </c>
      <c r="D1011" s="13"/>
      <c r="E1011" s="10"/>
      <c r="F1011" s="10"/>
      <c r="G1011" s="66"/>
      <c r="H1011" s="38"/>
      <c r="I1011" s="38"/>
      <c r="J1011" s="10"/>
      <c r="K1011" s="38"/>
      <c r="L1011" s="38"/>
      <c r="M1011" s="56"/>
      <c r="N1011" s="56" t="b">
        <v>0</v>
      </c>
      <c r="O1011" s="56" t="b">
        <v>0</v>
      </c>
      <c r="P1011" s="56"/>
      <c r="Q1011" s="56"/>
      <c r="R1011" s="56"/>
      <c r="S1011" s="56"/>
      <c r="T1011" s="56"/>
      <c r="U1011" s="56"/>
      <c r="V1011" s="56"/>
      <c r="W1011" s="56"/>
      <c r="X1011" s="56"/>
      <c r="Y1011" s="56"/>
      <c r="Z1011" s="56"/>
      <c r="AA1011" s="56"/>
      <c r="AB1011" s="56"/>
    </row>
    <row r="1012" ht="15.75" customHeight="1">
      <c r="A1012" s="169"/>
      <c r="B1012" s="63"/>
      <c r="C1012" s="38" t="s">
        <v>53</v>
      </c>
      <c r="D1012" s="38"/>
      <c r="E1012" s="38"/>
      <c r="F1012" s="65"/>
      <c r="G1012" s="66"/>
      <c r="H1012" s="38"/>
      <c r="I1012" s="38"/>
      <c r="J1012" s="38"/>
      <c r="K1012" s="38"/>
      <c r="L1012" s="38"/>
      <c r="M1012" s="56"/>
      <c r="N1012" s="56" t="b">
        <v>0</v>
      </c>
      <c r="O1012" s="56" t="b">
        <v>0</v>
      </c>
      <c r="P1012" s="56"/>
      <c r="Q1012" s="56"/>
      <c r="R1012" s="56"/>
      <c r="S1012" s="56"/>
      <c r="T1012" s="56"/>
      <c r="U1012" s="56"/>
      <c r="V1012" s="56"/>
      <c r="W1012" s="56"/>
      <c r="X1012" s="56"/>
      <c r="Y1012" s="56"/>
      <c r="Z1012" s="56"/>
      <c r="AA1012" s="56"/>
      <c r="AB1012" s="56"/>
    </row>
    <row r="1013" ht="15.75" customHeight="1">
      <c r="A1013" s="169"/>
      <c r="B1013" s="63"/>
      <c r="C1013" s="38" t="s">
        <v>53</v>
      </c>
      <c r="D1013" s="38"/>
      <c r="E1013" s="162" t="s">
        <v>5784</v>
      </c>
      <c r="F1013" s="155"/>
      <c r="G1013" s="66"/>
      <c r="H1013" s="38"/>
      <c r="I1013" s="38"/>
      <c r="J1013" s="38"/>
      <c r="K1013" s="38"/>
      <c r="L1013" s="38"/>
      <c r="M1013" s="56"/>
      <c r="N1013" s="56" t="b">
        <v>0</v>
      </c>
      <c r="O1013" s="56" t="b">
        <v>0</v>
      </c>
      <c r="P1013" s="56"/>
      <c r="Q1013" s="56"/>
      <c r="R1013" s="56"/>
      <c r="S1013" s="56"/>
      <c r="T1013" s="56"/>
      <c r="U1013" s="56"/>
      <c r="V1013" s="56"/>
      <c r="W1013" s="56"/>
      <c r="X1013" s="56"/>
      <c r="Y1013" s="56"/>
      <c r="Z1013" s="56"/>
      <c r="AA1013" s="56"/>
      <c r="AB1013" s="56"/>
    </row>
    <row r="1014" ht="15.75" customHeight="1">
      <c r="A1014" s="169"/>
      <c r="B1014" s="63"/>
      <c r="C1014" s="38" t="s">
        <v>53</v>
      </c>
      <c r="D1014" s="38"/>
      <c r="E1014" s="156"/>
      <c r="F1014" s="157"/>
      <c r="G1014" s="66"/>
      <c r="H1014" s="38"/>
      <c r="I1014" s="38"/>
      <c r="J1014" s="38"/>
      <c r="K1014" s="38"/>
      <c r="L1014" s="38"/>
      <c r="M1014" s="56"/>
      <c r="N1014" s="56" t="b">
        <v>0</v>
      </c>
      <c r="O1014" s="56" t="b">
        <v>0</v>
      </c>
      <c r="P1014" s="56"/>
      <c r="Q1014" s="56"/>
      <c r="R1014" s="56"/>
      <c r="S1014" s="56"/>
      <c r="T1014" s="56"/>
      <c r="U1014" s="56"/>
      <c r="V1014" s="56"/>
      <c r="W1014" s="56"/>
      <c r="X1014" s="56"/>
      <c r="Y1014" s="56"/>
      <c r="Z1014" s="56"/>
      <c r="AA1014" s="56"/>
      <c r="AB1014" s="56"/>
    </row>
    <row r="1015" ht="15.75" customHeight="1">
      <c r="A1015" s="169"/>
      <c r="B1015" s="63"/>
      <c r="C1015" s="38" t="s">
        <v>53</v>
      </c>
      <c r="D1015" s="38"/>
      <c r="E1015" s="158"/>
      <c r="F1015" s="159"/>
      <c r="G1015" s="66"/>
      <c r="H1015" s="38"/>
      <c r="I1015" s="38"/>
      <c r="J1015" s="38"/>
      <c r="K1015" s="38"/>
      <c r="L1015" s="38"/>
      <c r="M1015" s="56"/>
      <c r="N1015" s="56" t="b">
        <v>0</v>
      </c>
      <c r="O1015" s="56" t="b">
        <v>0</v>
      </c>
      <c r="P1015" s="56"/>
      <c r="Q1015" s="56"/>
      <c r="R1015" s="56"/>
      <c r="S1015" s="56"/>
      <c r="T1015" s="56"/>
      <c r="U1015" s="56"/>
      <c r="V1015" s="56"/>
      <c r="W1015" s="56"/>
      <c r="X1015" s="56"/>
      <c r="Y1015" s="56"/>
      <c r="Z1015" s="56"/>
      <c r="AA1015" s="56"/>
      <c r="AB1015" s="56"/>
    </row>
    <row r="1016" ht="15.75" customHeight="1">
      <c r="A1016" s="169"/>
      <c r="B1016" s="63"/>
      <c r="C1016" s="38" t="s">
        <v>53</v>
      </c>
      <c r="D1016" s="38"/>
      <c r="E1016" s="38"/>
      <c r="F1016" s="65"/>
      <c r="G1016" s="66"/>
      <c r="H1016" s="38"/>
      <c r="I1016" s="38"/>
      <c r="J1016" s="38"/>
      <c r="K1016" s="38"/>
      <c r="L1016" s="38"/>
      <c r="M1016" s="56"/>
      <c r="N1016" s="56" t="b">
        <v>0</v>
      </c>
      <c r="O1016" s="56" t="b">
        <v>0</v>
      </c>
      <c r="P1016" s="56"/>
      <c r="Q1016" s="56"/>
      <c r="R1016" s="56"/>
      <c r="S1016" s="56"/>
      <c r="T1016" s="56"/>
      <c r="U1016" s="56"/>
      <c r="V1016" s="56"/>
      <c r="W1016" s="56"/>
      <c r="X1016" s="56"/>
      <c r="Y1016" s="56"/>
      <c r="Z1016" s="56"/>
      <c r="AA1016" s="56"/>
      <c r="AB1016" s="56"/>
    </row>
    <row r="1017" ht="15.75" customHeight="1">
      <c r="A1017" s="169"/>
      <c r="B1017" s="69"/>
      <c r="C1017" s="38" t="s">
        <v>53</v>
      </c>
      <c r="D1017" s="38"/>
      <c r="E1017" s="38"/>
      <c r="F1017" s="65"/>
      <c r="G1017" s="66"/>
      <c r="H1017" s="38"/>
      <c r="I1017" s="38"/>
      <c r="J1017" s="38"/>
      <c r="K1017" s="38"/>
      <c r="L1017" s="38"/>
      <c r="M1017" s="56"/>
      <c r="N1017" s="56" t="b">
        <v>0</v>
      </c>
      <c r="O1017" s="56" t="b">
        <v>0</v>
      </c>
      <c r="P1017" s="56"/>
      <c r="Q1017" s="56"/>
      <c r="R1017" s="56"/>
      <c r="S1017" s="56"/>
      <c r="T1017" s="56"/>
      <c r="U1017" s="56"/>
      <c r="V1017" s="56"/>
      <c r="W1017" s="56"/>
      <c r="X1017" s="56"/>
      <c r="Y1017" s="56"/>
      <c r="Z1017" s="56"/>
      <c r="AA1017" s="56"/>
      <c r="AB1017" s="56"/>
    </row>
    <row r="1018" ht="15.75" customHeight="1">
      <c r="A1018" s="169"/>
      <c r="B1018" s="171" t="s">
        <v>4836</v>
      </c>
      <c r="C1018" s="52">
        <v>44466.0</v>
      </c>
      <c r="D1018" s="38"/>
      <c r="E1018" s="38"/>
      <c r="F1018" s="65"/>
      <c r="G1018" s="66"/>
      <c r="H1018" s="38"/>
      <c r="I1018" s="38"/>
      <c r="J1018" s="38"/>
      <c r="K1018" s="38"/>
      <c r="L1018" s="38"/>
      <c r="M1018" s="56"/>
      <c r="N1018" s="56" t="b">
        <v>0</v>
      </c>
      <c r="O1018" s="56" t="b">
        <v>0</v>
      </c>
      <c r="P1018" s="56"/>
      <c r="Q1018" s="56"/>
      <c r="R1018" s="56"/>
      <c r="S1018" s="56"/>
      <c r="T1018" s="56"/>
      <c r="U1018" s="56"/>
      <c r="V1018" s="56"/>
      <c r="W1018" s="56"/>
      <c r="X1018" s="56"/>
      <c r="Y1018" s="56"/>
      <c r="Z1018" s="56"/>
      <c r="AA1018" s="56"/>
      <c r="AB1018" s="56"/>
    </row>
    <row r="1019" ht="15.75" customHeight="1">
      <c r="A1019" s="169"/>
      <c r="B1019" s="63"/>
      <c r="C1019" s="31"/>
      <c r="D1019" s="38"/>
      <c r="E1019" s="38"/>
      <c r="F1019" s="65"/>
      <c r="G1019" s="66"/>
      <c r="H1019" s="38"/>
      <c r="I1019" s="38"/>
      <c r="J1019" s="38"/>
      <c r="K1019" s="38"/>
      <c r="L1019" s="38"/>
      <c r="M1019" s="56"/>
      <c r="N1019" s="56" t="b">
        <v>0</v>
      </c>
      <c r="O1019" s="56" t="b">
        <v>0</v>
      </c>
      <c r="P1019" s="56"/>
      <c r="Q1019" s="56"/>
      <c r="R1019" s="56"/>
      <c r="S1019" s="56"/>
      <c r="T1019" s="56"/>
      <c r="U1019" s="56"/>
      <c r="V1019" s="56"/>
      <c r="W1019" s="56"/>
      <c r="X1019" s="56"/>
      <c r="Y1019" s="56"/>
      <c r="Z1019" s="56"/>
      <c r="AA1019" s="56"/>
      <c r="AB1019" s="56"/>
    </row>
    <row r="1020" ht="15.75" customHeight="1">
      <c r="A1020" s="169"/>
      <c r="B1020" s="63"/>
      <c r="C1020" s="38" t="s">
        <v>53</v>
      </c>
      <c r="D1020" s="38"/>
      <c r="E1020" s="38"/>
      <c r="F1020" s="65"/>
      <c r="G1020" s="66"/>
      <c r="H1020" s="38"/>
      <c r="I1020" s="38"/>
      <c r="J1020" s="38"/>
      <c r="K1020" s="38"/>
      <c r="L1020" s="38"/>
      <c r="M1020" s="56"/>
      <c r="N1020" s="56" t="b">
        <v>0</v>
      </c>
      <c r="O1020" s="56" t="b">
        <v>0</v>
      </c>
      <c r="P1020" s="56"/>
      <c r="Q1020" s="56"/>
      <c r="R1020" s="56"/>
      <c r="S1020" s="56"/>
      <c r="T1020" s="56"/>
      <c r="U1020" s="56"/>
      <c r="V1020" s="56"/>
      <c r="W1020" s="56"/>
      <c r="X1020" s="56"/>
      <c r="Y1020" s="56"/>
      <c r="Z1020" s="56"/>
      <c r="AA1020" s="56"/>
      <c r="AB1020" s="56"/>
    </row>
    <row r="1021" ht="15.75" customHeight="1">
      <c r="A1021" s="169"/>
      <c r="B1021" s="63"/>
      <c r="C1021" s="38" t="s">
        <v>53</v>
      </c>
      <c r="D1021" s="38"/>
      <c r="E1021" s="38"/>
      <c r="F1021" s="65"/>
      <c r="G1021" s="66"/>
      <c r="H1021" s="38"/>
      <c r="I1021" s="38"/>
      <c r="J1021" s="38"/>
      <c r="K1021" s="38"/>
      <c r="L1021" s="38"/>
      <c r="M1021" s="56"/>
      <c r="N1021" s="56" t="b">
        <v>0</v>
      </c>
      <c r="O1021" s="56" t="b">
        <v>0</v>
      </c>
      <c r="P1021" s="56"/>
      <c r="Q1021" s="56"/>
      <c r="R1021" s="56"/>
      <c r="S1021" s="56"/>
      <c r="T1021" s="56"/>
      <c r="U1021" s="56"/>
      <c r="V1021" s="56"/>
      <c r="W1021" s="56"/>
      <c r="X1021" s="56"/>
      <c r="Y1021" s="56"/>
      <c r="Z1021" s="56"/>
      <c r="AA1021" s="56"/>
      <c r="AB1021" s="56"/>
    </row>
    <row r="1022" ht="15.75" customHeight="1">
      <c r="A1022" s="169"/>
      <c r="B1022" s="63"/>
      <c r="C1022" s="38" t="s">
        <v>53</v>
      </c>
      <c r="D1022" s="38"/>
      <c r="E1022" s="162" t="s">
        <v>5784</v>
      </c>
      <c r="F1022" s="155"/>
      <c r="G1022" s="66"/>
      <c r="H1022" s="38"/>
      <c r="I1022" s="38"/>
      <c r="J1022" s="38"/>
      <c r="K1022" s="38"/>
      <c r="L1022" s="38"/>
      <c r="M1022" s="56"/>
      <c r="N1022" s="56" t="b">
        <v>0</v>
      </c>
      <c r="O1022" s="56" t="b">
        <v>0</v>
      </c>
      <c r="P1022" s="56"/>
      <c r="Q1022" s="56"/>
      <c r="R1022" s="56"/>
      <c r="S1022" s="56"/>
      <c r="T1022" s="56"/>
      <c r="U1022" s="56"/>
      <c r="V1022" s="56"/>
      <c r="W1022" s="56"/>
      <c r="X1022" s="56"/>
      <c r="Y1022" s="56"/>
      <c r="Z1022" s="56"/>
      <c r="AA1022" s="56"/>
      <c r="AB1022" s="56"/>
    </row>
    <row r="1023" ht="15.75" customHeight="1">
      <c r="A1023" s="169"/>
      <c r="B1023" s="63"/>
      <c r="C1023" s="38" t="s">
        <v>53</v>
      </c>
      <c r="D1023" s="38"/>
      <c r="E1023" s="156"/>
      <c r="F1023" s="157"/>
      <c r="G1023" s="66"/>
      <c r="H1023" s="38"/>
      <c r="I1023" s="38"/>
      <c r="J1023" s="38"/>
      <c r="K1023" s="38"/>
      <c r="L1023" s="38"/>
      <c r="M1023" s="56"/>
      <c r="N1023" s="56" t="b">
        <v>0</v>
      </c>
      <c r="O1023" s="56" t="b">
        <v>0</v>
      </c>
      <c r="P1023" s="56"/>
      <c r="Q1023" s="56"/>
      <c r="R1023" s="56"/>
      <c r="S1023" s="56"/>
      <c r="T1023" s="56"/>
      <c r="U1023" s="56"/>
      <c r="V1023" s="56"/>
      <c r="W1023" s="56"/>
      <c r="X1023" s="56"/>
      <c r="Y1023" s="56"/>
      <c r="Z1023" s="56"/>
      <c r="AA1023" s="56"/>
      <c r="AB1023" s="56"/>
    </row>
    <row r="1024" ht="15.75" customHeight="1">
      <c r="A1024" s="169"/>
      <c r="B1024" s="63"/>
      <c r="C1024" s="38" t="s">
        <v>53</v>
      </c>
      <c r="D1024" s="38"/>
      <c r="E1024" s="158"/>
      <c r="F1024" s="159"/>
      <c r="G1024" s="66"/>
      <c r="H1024" s="38"/>
      <c r="I1024" s="38"/>
      <c r="J1024" s="38"/>
      <c r="K1024" s="38"/>
      <c r="L1024" s="38"/>
      <c r="M1024" s="56"/>
      <c r="N1024" s="56" t="b">
        <v>0</v>
      </c>
      <c r="O1024" s="56" t="b">
        <v>0</v>
      </c>
      <c r="P1024" s="56"/>
      <c r="Q1024" s="56"/>
      <c r="R1024" s="56"/>
      <c r="S1024" s="56"/>
      <c r="T1024" s="56"/>
      <c r="U1024" s="56"/>
      <c r="V1024" s="56"/>
      <c r="W1024" s="56"/>
      <c r="X1024" s="56"/>
      <c r="Y1024" s="56"/>
      <c r="Z1024" s="56"/>
      <c r="AA1024" s="56"/>
      <c r="AB1024" s="56"/>
    </row>
    <row r="1025" ht="15.75" customHeight="1">
      <c r="A1025" s="169"/>
      <c r="B1025" s="63"/>
      <c r="C1025" s="38" t="s">
        <v>53</v>
      </c>
      <c r="D1025" s="38"/>
      <c r="E1025" s="38"/>
      <c r="F1025" s="65"/>
      <c r="G1025" s="66"/>
      <c r="H1025" s="38"/>
      <c r="I1025" s="38"/>
      <c r="J1025" s="38"/>
      <c r="K1025" s="38"/>
      <c r="L1025" s="38"/>
      <c r="M1025" s="56"/>
      <c r="N1025" s="56" t="b">
        <v>0</v>
      </c>
      <c r="O1025" s="56" t="b">
        <v>0</v>
      </c>
      <c r="P1025" s="56"/>
      <c r="Q1025" s="56"/>
      <c r="R1025" s="56"/>
      <c r="S1025" s="56"/>
      <c r="T1025" s="56"/>
      <c r="U1025" s="56"/>
      <c r="V1025" s="56"/>
      <c r="W1025" s="56"/>
      <c r="X1025" s="56"/>
      <c r="Y1025" s="56"/>
      <c r="Z1025" s="56"/>
      <c r="AA1025" s="56"/>
      <c r="AB1025" s="56"/>
    </row>
    <row r="1026" ht="15.75" customHeight="1">
      <c r="A1026" s="169"/>
      <c r="B1026" s="69"/>
      <c r="C1026" s="38" t="s">
        <v>53</v>
      </c>
      <c r="D1026" s="38"/>
      <c r="E1026" s="38"/>
      <c r="F1026" s="65"/>
      <c r="G1026" s="66"/>
      <c r="H1026" s="38"/>
      <c r="I1026" s="38"/>
      <c r="J1026" s="38"/>
      <c r="K1026" s="38"/>
      <c r="L1026" s="38"/>
      <c r="M1026" s="56"/>
      <c r="N1026" s="56" t="b">
        <v>0</v>
      </c>
      <c r="O1026" s="56" t="b">
        <v>0</v>
      </c>
      <c r="P1026" s="56"/>
      <c r="Q1026" s="56"/>
      <c r="R1026" s="56"/>
      <c r="S1026" s="56"/>
      <c r="T1026" s="56"/>
      <c r="U1026" s="56"/>
      <c r="V1026" s="56"/>
      <c r="W1026" s="56"/>
      <c r="X1026" s="56"/>
      <c r="Y1026" s="56"/>
      <c r="Z1026" s="56"/>
      <c r="AA1026" s="56"/>
      <c r="AB1026" s="56"/>
    </row>
    <row r="1027" ht="15.75" customHeight="1">
      <c r="A1027" s="169"/>
      <c r="B1027" s="171" t="s">
        <v>4836</v>
      </c>
      <c r="C1027" s="52">
        <v>44467.0</v>
      </c>
      <c r="D1027" s="38"/>
      <c r="E1027" s="38"/>
      <c r="F1027" s="65"/>
      <c r="G1027" s="66"/>
      <c r="H1027" s="38"/>
      <c r="I1027" s="38"/>
      <c r="J1027" s="38"/>
      <c r="K1027" s="38"/>
      <c r="L1027" s="38"/>
      <c r="M1027" s="56"/>
      <c r="N1027" s="56" t="b">
        <v>0</v>
      </c>
      <c r="O1027" s="56" t="b">
        <v>0</v>
      </c>
      <c r="P1027" s="56"/>
      <c r="Q1027" s="56"/>
      <c r="R1027" s="56"/>
      <c r="S1027" s="56"/>
      <c r="T1027" s="56"/>
      <c r="U1027" s="56"/>
      <c r="V1027" s="56"/>
      <c r="W1027" s="56"/>
      <c r="X1027" s="56"/>
      <c r="Y1027" s="56"/>
      <c r="Z1027" s="56"/>
      <c r="AA1027" s="56"/>
      <c r="AB1027" s="56"/>
    </row>
    <row r="1028" ht="15.75" customHeight="1">
      <c r="A1028" s="169"/>
      <c r="B1028" s="63"/>
      <c r="C1028" s="38" t="s">
        <v>53</v>
      </c>
      <c r="D1028" s="38"/>
      <c r="E1028" s="38"/>
      <c r="F1028" s="65"/>
      <c r="G1028" s="66"/>
      <c r="H1028" s="38"/>
      <c r="I1028" s="38"/>
      <c r="J1028" s="38"/>
      <c r="K1028" s="38"/>
      <c r="L1028" s="38"/>
      <c r="M1028" s="56"/>
      <c r="N1028" s="56" t="b">
        <v>0</v>
      </c>
      <c r="O1028" s="56" t="b">
        <v>0</v>
      </c>
      <c r="P1028" s="56"/>
      <c r="Q1028" s="56"/>
      <c r="R1028" s="56"/>
      <c r="S1028" s="56"/>
      <c r="T1028" s="56"/>
      <c r="U1028" s="56"/>
      <c r="V1028" s="56"/>
      <c r="W1028" s="56"/>
      <c r="X1028" s="56"/>
      <c r="Y1028" s="56"/>
      <c r="Z1028" s="56"/>
      <c r="AA1028" s="56"/>
      <c r="AB1028" s="56"/>
    </row>
    <row r="1029" ht="15.75" customHeight="1">
      <c r="A1029" s="169"/>
      <c r="B1029" s="63"/>
      <c r="C1029" s="38" t="s">
        <v>53</v>
      </c>
      <c r="D1029" s="38"/>
      <c r="E1029" s="38"/>
      <c r="F1029" s="65"/>
      <c r="G1029" s="66"/>
      <c r="H1029" s="38"/>
      <c r="I1029" s="38"/>
      <c r="J1029" s="38"/>
      <c r="K1029" s="38"/>
      <c r="L1029" s="38"/>
      <c r="M1029" s="56"/>
      <c r="N1029" s="56" t="b">
        <v>0</v>
      </c>
      <c r="O1029" s="56" t="b">
        <v>0</v>
      </c>
      <c r="P1029" s="56"/>
      <c r="Q1029" s="56"/>
      <c r="R1029" s="56"/>
      <c r="S1029" s="56"/>
      <c r="T1029" s="56"/>
      <c r="U1029" s="56"/>
      <c r="V1029" s="56"/>
      <c r="W1029" s="56"/>
      <c r="X1029" s="56"/>
      <c r="Y1029" s="56"/>
      <c r="Z1029" s="56"/>
      <c r="AA1029" s="56"/>
      <c r="AB1029" s="56"/>
    </row>
    <row r="1030" ht="15.75" customHeight="1">
      <c r="A1030" s="169"/>
      <c r="B1030" s="63"/>
      <c r="C1030" s="38" t="s">
        <v>53</v>
      </c>
      <c r="D1030" s="38"/>
      <c r="E1030" s="38"/>
      <c r="F1030" s="65"/>
      <c r="G1030" s="66"/>
      <c r="H1030" s="38"/>
      <c r="I1030" s="38"/>
      <c r="J1030" s="38"/>
      <c r="K1030" s="38"/>
      <c r="L1030" s="38"/>
      <c r="M1030" s="56"/>
      <c r="N1030" s="56" t="b">
        <v>0</v>
      </c>
      <c r="O1030" s="56" t="b">
        <v>0</v>
      </c>
      <c r="P1030" s="56"/>
      <c r="Q1030" s="56"/>
      <c r="R1030" s="56"/>
      <c r="S1030" s="56"/>
      <c r="T1030" s="56"/>
      <c r="U1030" s="56"/>
      <c r="V1030" s="56"/>
      <c r="W1030" s="56"/>
      <c r="X1030" s="56"/>
      <c r="Y1030" s="56"/>
      <c r="Z1030" s="56"/>
      <c r="AA1030" s="56"/>
      <c r="AB1030" s="56"/>
    </row>
    <row r="1031" ht="15.75" customHeight="1">
      <c r="A1031" s="169"/>
      <c r="B1031" s="63"/>
      <c r="C1031" s="38" t="s">
        <v>53</v>
      </c>
      <c r="D1031" s="38"/>
      <c r="E1031" s="162" t="s">
        <v>5784</v>
      </c>
      <c r="F1031" s="155"/>
      <c r="G1031" s="66"/>
      <c r="H1031" s="38"/>
      <c r="I1031" s="38"/>
      <c r="J1031" s="38"/>
      <c r="K1031" s="38"/>
      <c r="L1031" s="38"/>
      <c r="M1031" s="56"/>
      <c r="N1031" s="56" t="b">
        <v>0</v>
      </c>
      <c r="O1031" s="56" t="b">
        <v>0</v>
      </c>
      <c r="P1031" s="56"/>
      <c r="Q1031" s="56"/>
      <c r="R1031" s="56"/>
      <c r="S1031" s="56"/>
      <c r="T1031" s="56"/>
      <c r="U1031" s="56"/>
      <c r="V1031" s="56"/>
      <c r="W1031" s="56"/>
      <c r="X1031" s="56"/>
      <c r="Y1031" s="56"/>
      <c r="Z1031" s="56"/>
      <c r="AA1031" s="56"/>
      <c r="AB1031" s="56"/>
    </row>
    <row r="1032" ht="15.75" customHeight="1">
      <c r="A1032" s="169"/>
      <c r="B1032" s="63"/>
      <c r="C1032" s="38" t="s">
        <v>53</v>
      </c>
      <c r="D1032" s="38"/>
      <c r="E1032" s="156"/>
      <c r="F1032" s="157"/>
      <c r="G1032" s="66"/>
      <c r="H1032" s="38"/>
      <c r="I1032" s="38"/>
      <c r="J1032" s="38"/>
      <c r="K1032" s="38"/>
      <c r="L1032" s="38"/>
      <c r="M1032" s="56"/>
      <c r="N1032" s="56" t="b">
        <v>0</v>
      </c>
      <c r="O1032" s="56" t="b">
        <v>0</v>
      </c>
      <c r="P1032" s="56"/>
      <c r="Q1032" s="56"/>
      <c r="R1032" s="56"/>
      <c r="S1032" s="56"/>
      <c r="T1032" s="56"/>
      <c r="U1032" s="56"/>
      <c r="V1032" s="56"/>
      <c r="W1032" s="56"/>
      <c r="X1032" s="56"/>
      <c r="Y1032" s="56"/>
      <c r="Z1032" s="56"/>
      <c r="AA1032" s="56"/>
      <c r="AB1032" s="56"/>
    </row>
    <row r="1033" ht="15.75" customHeight="1">
      <c r="A1033" s="169"/>
      <c r="B1033" s="63"/>
      <c r="C1033" s="38" t="s">
        <v>53</v>
      </c>
      <c r="D1033" s="38"/>
      <c r="E1033" s="158"/>
      <c r="F1033" s="159"/>
      <c r="G1033" s="66"/>
      <c r="H1033" s="38"/>
      <c r="I1033" s="38"/>
      <c r="J1033" s="38"/>
      <c r="K1033" s="38"/>
      <c r="L1033" s="38"/>
      <c r="M1033" s="56"/>
      <c r="N1033" s="56" t="b">
        <v>0</v>
      </c>
      <c r="O1033" s="56" t="b">
        <v>0</v>
      </c>
      <c r="P1033" s="56"/>
      <c r="Q1033" s="56"/>
      <c r="R1033" s="56"/>
      <c r="S1033" s="56"/>
      <c r="T1033" s="56"/>
      <c r="U1033" s="56"/>
      <c r="V1033" s="56"/>
      <c r="W1033" s="56"/>
      <c r="X1033" s="56"/>
      <c r="Y1033" s="56"/>
      <c r="Z1033" s="56"/>
      <c r="AA1033" s="56"/>
      <c r="AB1033" s="56"/>
    </row>
    <row r="1034" ht="15.75" customHeight="1">
      <c r="A1034" s="169"/>
      <c r="B1034" s="63"/>
      <c r="C1034" s="38" t="s">
        <v>53</v>
      </c>
      <c r="D1034" s="38"/>
      <c r="E1034" s="38"/>
      <c r="F1034" s="65"/>
      <c r="G1034" s="66"/>
      <c r="H1034" s="38"/>
      <c r="I1034" s="38"/>
      <c r="J1034" s="38"/>
      <c r="K1034" s="38"/>
      <c r="L1034" s="38"/>
      <c r="M1034" s="56"/>
      <c r="N1034" s="56" t="b">
        <v>0</v>
      </c>
      <c r="O1034" s="56" t="b">
        <v>0</v>
      </c>
      <c r="P1034" s="56"/>
      <c r="Q1034" s="56"/>
      <c r="R1034" s="56"/>
      <c r="S1034" s="56"/>
      <c r="T1034" s="56"/>
      <c r="U1034" s="56"/>
      <c r="V1034" s="56"/>
      <c r="W1034" s="56"/>
      <c r="X1034" s="56"/>
      <c r="Y1034" s="56"/>
      <c r="Z1034" s="56"/>
      <c r="AA1034" s="56"/>
      <c r="AB1034" s="56"/>
    </row>
    <row r="1035" ht="15.75" customHeight="1">
      <c r="A1035" s="169"/>
      <c r="B1035" s="69"/>
      <c r="C1035" s="38" t="s">
        <v>53</v>
      </c>
      <c r="D1035" s="38"/>
      <c r="E1035" s="38"/>
      <c r="F1035" s="65"/>
      <c r="G1035" s="66"/>
      <c r="H1035" s="38"/>
      <c r="I1035" s="38"/>
      <c r="J1035" s="38"/>
      <c r="K1035" s="38"/>
      <c r="L1035" s="38"/>
      <c r="M1035" s="56"/>
      <c r="N1035" s="56" t="b">
        <v>0</v>
      </c>
      <c r="O1035" s="56" t="b">
        <v>0</v>
      </c>
      <c r="P1035" s="56"/>
      <c r="Q1035" s="56"/>
      <c r="R1035" s="56"/>
      <c r="S1035" s="56"/>
      <c r="T1035" s="56"/>
      <c r="U1035" s="56"/>
      <c r="V1035" s="56"/>
      <c r="W1035" s="56"/>
      <c r="X1035" s="56"/>
      <c r="Y1035" s="56"/>
      <c r="Z1035" s="56"/>
      <c r="AA1035" s="56"/>
      <c r="AB1035" s="56"/>
    </row>
    <row r="1036" ht="15.75" customHeight="1">
      <c r="A1036" s="169"/>
      <c r="B1036" s="171" t="s">
        <v>4836</v>
      </c>
      <c r="C1036" s="52">
        <v>44468.0</v>
      </c>
      <c r="D1036" s="38"/>
      <c r="E1036" s="38"/>
      <c r="F1036" s="65"/>
      <c r="G1036" s="66"/>
      <c r="H1036" s="38"/>
      <c r="I1036" s="38"/>
      <c r="J1036" s="38"/>
      <c r="K1036" s="38"/>
      <c r="L1036" s="38"/>
      <c r="M1036" s="56"/>
      <c r="N1036" s="56" t="b">
        <v>0</v>
      </c>
      <c r="O1036" s="56" t="b">
        <v>0</v>
      </c>
      <c r="P1036" s="56"/>
      <c r="Q1036" s="56"/>
      <c r="R1036" s="56"/>
      <c r="S1036" s="56"/>
      <c r="T1036" s="56"/>
      <c r="U1036" s="56"/>
      <c r="V1036" s="56"/>
      <c r="W1036" s="56"/>
      <c r="X1036" s="56"/>
      <c r="Y1036" s="56"/>
      <c r="Z1036" s="56"/>
      <c r="AA1036" s="56"/>
      <c r="AB1036" s="56"/>
    </row>
    <row r="1037" ht="15.75" customHeight="1">
      <c r="A1037" s="169"/>
      <c r="B1037" s="63"/>
      <c r="C1037" s="31"/>
      <c r="D1037" s="38"/>
      <c r="E1037" s="38"/>
      <c r="F1037" s="65"/>
      <c r="G1037" s="66"/>
      <c r="H1037" s="38"/>
      <c r="I1037" s="38"/>
      <c r="J1037" s="38"/>
      <c r="K1037" s="38"/>
      <c r="L1037" s="38"/>
      <c r="M1037" s="56"/>
      <c r="N1037" s="56" t="b">
        <v>0</v>
      </c>
      <c r="O1037" s="56" t="b">
        <v>0</v>
      </c>
      <c r="P1037" s="56"/>
      <c r="Q1037" s="56"/>
      <c r="R1037" s="56"/>
      <c r="S1037" s="56"/>
      <c r="T1037" s="56"/>
      <c r="U1037" s="56"/>
      <c r="V1037" s="56"/>
      <c r="W1037" s="56"/>
      <c r="X1037" s="56"/>
      <c r="Y1037" s="56"/>
      <c r="Z1037" s="56"/>
      <c r="AA1037" s="56"/>
      <c r="AB1037" s="56"/>
    </row>
    <row r="1038" ht="15.75" customHeight="1">
      <c r="A1038" s="169"/>
      <c r="B1038" s="63"/>
      <c r="C1038" s="38" t="s">
        <v>53</v>
      </c>
      <c r="D1038" s="38"/>
      <c r="E1038" s="38"/>
      <c r="F1038" s="65"/>
      <c r="G1038" s="66"/>
      <c r="H1038" s="38"/>
      <c r="I1038" s="38"/>
      <c r="J1038" s="38"/>
      <c r="K1038" s="38"/>
      <c r="L1038" s="38"/>
      <c r="M1038" s="56"/>
      <c r="N1038" s="56" t="b">
        <v>0</v>
      </c>
      <c r="O1038" s="56" t="b">
        <v>0</v>
      </c>
      <c r="P1038" s="56"/>
      <c r="Q1038" s="56"/>
      <c r="R1038" s="56"/>
      <c r="S1038" s="56"/>
      <c r="T1038" s="56"/>
      <c r="U1038" s="56"/>
      <c r="V1038" s="56"/>
      <c r="W1038" s="56"/>
      <c r="X1038" s="56"/>
      <c r="Y1038" s="56"/>
      <c r="Z1038" s="56"/>
      <c r="AA1038" s="56"/>
      <c r="AB1038" s="56"/>
    </row>
    <row r="1039" ht="15.75" customHeight="1">
      <c r="A1039" s="169"/>
      <c r="B1039" s="63"/>
      <c r="C1039" s="38" t="s">
        <v>53</v>
      </c>
      <c r="D1039" s="38"/>
      <c r="E1039" s="38"/>
      <c r="F1039" s="65"/>
      <c r="G1039" s="66"/>
      <c r="H1039" s="38"/>
      <c r="I1039" s="38"/>
      <c r="J1039" s="38"/>
      <c r="K1039" s="38"/>
      <c r="L1039" s="38"/>
      <c r="M1039" s="56"/>
      <c r="N1039" s="56" t="b">
        <v>0</v>
      </c>
      <c r="O1039" s="56" t="b">
        <v>0</v>
      </c>
      <c r="P1039" s="56"/>
      <c r="Q1039" s="56"/>
      <c r="R1039" s="56"/>
      <c r="S1039" s="56"/>
      <c r="T1039" s="56"/>
      <c r="U1039" s="56"/>
      <c r="V1039" s="56"/>
      <c r="W1039" s="56"/>
      <c r="X1039" s="56"/>
      <c r="Y1039" s="56"/>
      <c r="Z1039" s="56"/>
      <c r="AA1039" s="56"/>
      <c r="AB1039" s="56"/>
    </row>
    <row r="1040" ht="15.75" customHeight="1">
      <c r="A1040" s="169"/>
      <c r="B1040" s="63"/>
      <c r="C1040" s="38" t="s">
        <v>53</v>
      </c>
      <c r="D1040" s="38"/>
      <c r="E1040" s="162" t="s">
        <v>5784</v>
      </c>
      <c r="F1040" s="155"/>
      <c r="G1040" s="66"/>
      <c r="H1040" s="38"/>
      <c r="I1040" s="38"/>
      <c r="J1040" s="38"/>
      <c r="K1040" s="38"/>
      <c r="L1040" s="38"/>
      <c r="M1040" s="56"/>
      <c r="N1040" s="56" t="b">
        <v>0</v>
      </c>
      <c r="O1040" s="56" t="b">
        <v>0</v>
      </c>
      <c r="P1040" s="56"/>
      <c r="Q1040" s="56"/>
      <c r="R1040" s="56"/>
      <c r="S1040" s="56"/>
      <c r="T1040" s="56"/>
      <c r="U1040" s="56"/>
      <c r="V1040" s="56"/>
      <c r="W1040" s="56"/>
      <c r="X1040" s="56"/>
      <c r="Y1040" s="56"/>
      <c r="Z1040" s="56"/>
      <c r="AA1040" s="56"/>
      <c r="AB1040" s="56"/>
    </row>
    <row r="1041" ht="15.75" customHeight="1">
      <c r="A1041" s="169"/>
      <c r="B1041" s="63"/>
      <c r="C1041" s="38" t="s">
        <v>53</v>
      </c>
      <c r="D1041" s="38"/>
      <c r="E1041" s="156"/>
      <c r="F1041" s="157"/>
      <c r="G1041" s="66"/>
      <c r="H1041" s="38"/>
      <c r="I1041" s="38"/>
      <c r="J1041" s="38"/>
      <c r="K1041" s="38"/>
      <c r="L1041" s="38"/>
      <c r="M1041" s="56"/>
      <c r="N1041" s="56" t="b">
        <v>0</v>
      </c>
      <c r="O1041" s="56" t="b">
        <v>0</v>
      </c>
      <c r="P1041" s="56"/>
      <c r="Q1041" s="56"/>
      <c r="R1041" s="56"/>
      <c r="S1041" s="56"/>
      <c r="T1041" s="56"/>
      <c r="U1041" s="56"/>
      <c r="V1041" s="56"/>
      <c r="W1041" s="56"/>
      <c r="X1041" s="56"/>
      <c r="Y1041" s="56"/>
      <c r="Z1041" s="56"/>
      <c r="AA1041" s="56"/>
      <c r="AB1041" s="56"/>
    </row>
    <row r="1042" ht="15.75" customHeight="1">
      <c r="A1042" s="169"/>
      <c r="B1042" s="63"/>
      <c r="C1042" s="38" t="s">
        <v>53</v>
      </c>
      <c r="D1042" s="38"/>
      <c r="E1042" s="158"/>
      <c r="F1042" s="159"/>
      <c r="G1042" s="66"/>
      <c r="H1042" s="38"/>
      <c r="I1042" s="38"/>
      <c r="J1042" s="38"/>
      <c r="K1042" s="38"/>
      <c r="L1042" s="38"/>
      <c r="M1042" s="56"/>
      <c r="N1042" s="56" t="b">
        <v>0</v>
      </c>
      <c r="O1042" s="56" t="b">
        <v>0</v>
      </c>
      <c r="P1042" s="56"/>
      <c r="Q1042" s="56"/>
      <c r="R1042" s="56"/>
      <c r="S1042" s="56"/>
      <c r="T1042" s="56"/>
      <c r="U1042" s="56"/>
      <c r="V1042" s="56"/>
      <c r="W1042" s="56"/>
      <c r="X1042" s="56"/>
      <c r="Y1042" s="56"/>
      <c r="Z1042" s="56"/>
      <c r="AA1042" s="56"/>
      <c r="AB1042" s="56"/>
    </row>
    <row r="1043" ht="15.75" customHeight="1">
      <c r="A1043" s="169"/>
      <c r="B1043" s="63"/>
      <c r="C1043" s="38" t="s">
        <v>53</v>
      </c>
      <c r="D1043" s="38"/>
      <c r="E1043" s="38"/>
      <c r="F1043" s="65"/>
      <c r="G1043" s="66"/>
      <c r="H1043" s="38"/>
      <c r="I1043" s="38"/>
      <c r="J1043" s="38"/>
      <c r="K1043" s="38"/>
      <c r="L1043" s="38"/>
      <c r="M1043" s="56"/>
      <c r="N1043" s="56" t="b">
        <v>0</v>
      </c>
      <c r="O1043" s="56" t="b">
        <v>0</v>
      </c>
      <c r="P1043" s="56"/>
      <c r="Q1043" s="56"/>
      <c r="R1043" s="56"/>
      <c r="S1043" s="56"/>
      <c r="T1043" s="56"/>
      <c r="U1043" s="56"/>
      <c r="V1043" s="56"/>
      <c r="W1043" s="56"/>
      <c r="X1043" s="56"/>
      <c r="Y1043" s="56"/>
      <c r="Z1043" s="56"/>
      <c r="AA1043" s="56"/>
      <c r="AB1043" s="56"/>
    </row>
    <row r="1044" ht="15.75" customHeight="1">
      <c r="A1044" s="169"/>
      <c r="B1044" s="69"/>
      <c r="C1044" s="38" t="s">
        <v>53</v>
      </c>
      <c r="D1044" s="38"/>
      <c r="E1044" s="38"/>
      <c r="F1044" s="65"/>
      <c r="G1044" s="66"/>
      <c r="H1044" s="38"/>
      <c r="I1044" s="38"/>
      <c r="J1044" s="38"/>
      <c r="K1044" s="38"/>
      <c r="L1044" s="38"/>
      <c r="M1044" s="56"/>
      <c r="N1044" s="56" t="b">
        <v>0</v>
      </c>
      <c r="O1044" s="56" t="b">
        <v>0</v>
      </c>
      <c r="P1044" s="56"/>
      <c r="Q1044" s="56"/>
      <c r="R1044" s="56"/>
      <c r="S1044" s="56"/>
      <c r="T1044" s="56"/>
      <c r="U1044" s="56"/>
      <c r="V1044" s="56"/>
      <c r="W1044" s="56"/>
      <c r="X1044" s="56"/>
      <c r="Y1044" s="56"/>
      <c r="Z1044" s="56"/>
      <c r="AA1044" s="56"/>
      <c r="AB1044" s="56"/>
    </row>
    <row r="1045" ht="15.75" customHeight="1">
      <c r="A1045" s="169"/>
      <c r="B1045" s="171" t="s">
        <v>4836</v>
      </c>
      <c r="C1045" s="52">
        <v>44469.0</v>
      </c>
      <c r="D1045" s="38"/>
      <c r="E1045" s="38"/>
      <c r="F1045" s="65"/>
      <c r="G1045" s="66"/>
      <c r="H1045" s="38"/>
      <c r="I1045" s="38"/>
      <c r="J1045" s="38"/>
      <c r="K1045" s="38"/>
      <c r="L1045" s="38"/>
      <c r="M1045" s="56"/>
      <c r="N1045" s="56" t="b">
        <v>0</v>
      </c>
      <c r="O1045" s="56" t="b">
        <v>0</v>
      </c>
      <c r="P1045" s="56"/>
      <c r="Q1045" s="56"/>
      <c r="R1045" s="56"/>
      <c r="S1045" s="56"/>
      <c r="T1045" s="56"/>
      <c r="U1045" s="56"/>
      <c r="V1045" s="56"/>
      <c r="W1045" s="56"/>
      <c r="X1045" s="56"/>
      <c r="Y1045" s="56"/>
      <c r="Z1045" s="56"/>
      <c r="AA1045" s="56"/>
      <c r="AB1045" s="56"/>
    </row>
    <row r="1046" ht="15.75" customHeight="1">
      <c r="A1046" s="169"/>
      <c r="B1046" s="63"/>
      <c r="C1046" s="31"/>
      <c r="D1046" s="38"/>
      <c r="E1046" s="38"/>
      <c r="F1046" s="65"/>
      <c r="G1046" s="66"/>
      <c r="H1046" s="38"/>
      <c r="I1046" s="38"/>
      <c r="J1046" s="38"/>
      <c r="K1046" s="38"/>
      <c r="L1046" s="38"/>
      <c r="M1046" s="56"/>
      <c r="N1046" s="56" t="b">
        <v>0</v>
      </c>
      <c r="O1046" s="56" t="b">
        <v>0</v>
      </c>
      <c r="P1046" s="56"/>
      <c r="Q1046" s="56"/>
      <c r="R1046" s="56"/>
      <c r="S1046" s="56"/>
      <c r="T1046" s="56"/>
      <c r="U1046" s="56"/>
      <c r="V1046" s="56"/>
      <c r="W1046" s="56"/>
      <c r="X1046" s="56"/>
      <c r="Y1046" s="56"/>
      <c r="Z1046" s="56"/>
      <c r="AA1046" s="56"/>
      <c r="AB1046" s="56"/>
    </row>
    <row r="1047" ht="15.75" customHeight="1">
      <c r="A1047" s="169"/>
      <c r="B1047" s="63"/>
      <c r="C1047" s="38" t="s">
        <v>53</v>
      </c>
      <c r="D1047" s="38"/>
      <c r="E1047" s="38"/>
      <c r="F1047" s="65"/>
      <c r="G1047" s="66"/>
      <c r="H1047" s="38"/>
      <c r="I1047" s="38"/>
      <c r="J1047" s="38"/>
      <c r="K1047" s="38"/>
      <c r="L1047" s="38"/>
      <c r="M1047" s="56"/>
      <c r="N1047" s="56" t="b">
        <v>0</v>
      </c>
      <c r="O1047" s="56" t="b">
        <v>0</v>
      </c>
      <c r="P1047" s="56"/>
      <c r="Q1047" s="56"/>
      <c r="R1047" s="56"/>
      <c r="S1047" s="56"/>
      <c r="T1047" s="56"/>
      <c r="U1047" s="56"/>
      <c r="V1047" s="56"/>
      <c r="W1047" s="56"/>
      <c r="X1047" s="56"/>
      <c r="Y1047" s="56"/>
      <c r="Z1047" s="56"/>
      <c r="AA1047" s="56"/>
      <c r="AB1047" s="56"/>
    </row>
    <row r="1048" ht="15.75" customHeight="1">
      <c r="A1048" s="169"/>
      <c r="B1048" s="63"/>
      <c r="C1048" s="38" t="s">
        <v>53</v>
      </c>
      <c r="D1048" s="38"/>
      <c r="E1048" s="38"/>
      <c r="F1048" s="65"/>
      <c r="G1048" s="66"/>
      <c r="H1048" s="38"/>
      <c r="I1048" s="38"/>
      <c r="J1048" s="38"/>
      <c r="K1048" s="38"/>
      <c r="L1048" s="38"/>
      <c r="M1048" s="56"/>
      <c r="N1048" s="56" t="b">
        <v>0</v>
      </c>
      <c r="O1048" s="56" t="b">
        <v>0</v>
      </c>
      <c r="P1048" s="56"/>
      <c r="Q1048" s="56"/>
      <c r="R1048" s="56"/>
      <c r="S1048" s="56"/>
      <c r="T1048" s="56"/>
      <c r="U1048" s="56"/>
      <c r="V1048" s="56"/>
      <c r="W1048" s="56"/>
      <c r="X1048" s="56"/>
      <c r="Y1048" s="56"/>
      <c r="Z1048" s="56"/>
      <c r="AA1048" s="56"/>
      <c r="AB1048" s="56"/>
    </row>
    <row r="1049" ht="15.75" customHeight="1">
      <c r="A1049" s="169"/>
      <c r="B1049" s="63"/>
      <c r="C1049" s="38" t="s">
        <v>53</v>
      </c>
      <c r="D1049" s="38"/>
      <c r="E1049" s="162" t="s">
        <v>5784</v>
      </c>
      <c r="F1049" s="155"/>
      <c r="G1049" s="66"/>
      <c r="H1049" s="38"/>
      <c r="I1049" s="38"/>
      <c r="J1049" s="38"/>
      <c r="K1049" s="38"/>
      <c r="L1049" s="38"/>
      <c r="M1049" s="56"/>
      <c r="N1049" s="56" t="b">
        <v>0</v>
      </c>
      <c r="O1049" s="56" t="b">
        <v>0</v>
      </c>
      <c r="P1049" s="56"/>
      <c r="Q1049" s="56"/>
      <c r="R1049" s="56"/>
      <c r="S1049" s="56"/>
      <c r="T1049" s="56"/>
      <c r="U1049" s="56"/>
      <c r="V1049" s="56"/>
      <c r="W1049" s="56"/>
      <c r="X1049" s="56"/>
      <c r="Y1049" s="56"/>
      <c r="Z1049" s="56"/>
      <c r="AA1049" s="56"/>
      <c r="AB1049" s="56"/>
    </row>
    <row r="1050" ht="15.75" customHeight="1">
      <c r="A1050" s="169"/>
      <c r="B1050" s="63"/>
      <c r="C1050" s="38" t="s">
        <v>53</v>
      </c>
      <c r="D1050" s="38"/>
      <c r="E1050" s="156"/>
      <c r="F1050" s="157"/>
      <c r="G1050" s="66"/>
      <c r="H1050" s="38"/>
      <c r="I1050" s="38"/>
      <c r="J1050" s="38"/>
      <c r="K1050" s="38"/>
      <c r="L1050" s="38"/>
      <c r="M1050" s="56"/>
      <c r="N1050" s="56" t="b">
        <v>0</v>
      </c>
      <c r="O1050" s="56" t="b">
        <v>0</v>
      </c>
      <c r="P1050" s="56"/>
      <c r="Q1050" s="56"/>
      <c r="R1050" s="56"/>
      <c r="S1050" s="56"/>
      <c r="T1050" s="56"/>
      <c r="U1050" s="56"/>
      <c r="V1050" s="56"/>
      <c r="W1050" s="56"/>
      <c r="X1050" s="56"/>
      <c r="Y1050" s="56"/>
      <c r="Z1050" s="56"/>
      <c r="AA1050" s="56"/>
      <c r="AB1050" s="56"/>
    </row>
    <row r="1051" ht="15.75" customHeight="1">
      <c r="A1051" s="169"/>
      <c r="B1051" s="63"/>
      <c r="C1051" s="38" t="s">
        <v>53</v>
      </c>
      <c r="D1051" s="38"/>
      <c r="E1051" s="158"/>
      <c r="F1051" s="159"/>
      <c r="G1051" s="66"/>
      <c r="H1051" s="38"/>
      <c r="I1051" s="38"/>
      <c r="J1051" s="38"/>
      <c r="K1051" s="38"/>
      <c r="L1051" s="38"/>
      <c r="M1051" s="56"/>
      <c r="N1051" s="56" t="b">
        <v>0</v>
      </c>
      <c r="O1051" s="56" t="b">
        <v>0</v>
      </c>
      <c r="P1051" s="56"/>
      <c r="Q1051" s="56"/>
      <c r="R1051" s="56"/>
      <c r="S1051" s="56"/>
      <c r="T1051" s="56"/>
      <c r="U1051" s="56"/>
      <c r="V1051" s="56"/>
      <c r="W1051" s="56"/>
      <c r="X1051" s="56"/>
      <c r="Y1051" s="56"/>
      <c r="Z1051" s="56"/>
      <c r="AA1051" s="56"/>
      <c r="AB1051" s="56"/>
    </row>
    <row r="1052" ht="15.75" customHeight="1">
      <c r="A1052" s="169"/>
      <c r="B1052" s="63"/>
      <c r="C1052" s="38" t="s">
        <v>53</v>
      </c>
      <c r="D1052" s="38"/>
      <c r="E1052" s="38"/>
      <c r="F1052" s="65"/>
      <c r="G1052" s="66"/>
      <c r="H1052" s="38"/>
      <c r="I1052" s="38"/>
      <c r="J1052" s="38"/>
      <c r="K1052" s="38"/>
      <c r="L1052" s="38"/>
      <c r="M1052" s="56"/>
      <c r="N1052" s="56" t="b">
        <v>0</v>
      </c>
      <c r="O1052" s="56" t="b">
        <v>0</v>
      </c>
      <c r="P1052" s="56"/>
      <c r="Q1052" s="56"/>
      <c r="R1052" s="56"/>
      <c r="S1052" s="56"/>
      <c r="T1052" s="56"/>
      <c r="U1052" s="56"/>
      <c r="V1052" s="56"/>
      <c r="W1052" s="56"/>
      <c r="X1052" s="56"/>
      <c r="Y1052" s="56"/>
      <c r="Z1052" s="56"/>
      <c r="AA1052" s="56"/>
      <c r="AB1052" s="56"/>
    </row>
    <row r="1053" ht="15.75" customHeight="1">
      <c r="A1053" s="169"/>
      <c r="B1053" s="69"/>
      <c r="C1053" s="38" t="s">
        <v>53</v>
      </c>
      <c r="D1053" s="38"/>
      <c r="E1053" s="38"/>
      <c r="F1053" s="65"/>
      <c r="G1053" s="66"/>
      <c r="H1053" s="38"/>
      <c r="I1053" s="38"/>
      <c r="J1053" s="38"/>
      <c r="K1053" s="38"/>
      <c r="L1053" s="38"/>
      <c r="M1053" s="56"/>
      <c r="N1053" s="56" t="b">
        <v>0</v>
      </c>
      <c r="O1053" s="56" t="b">
        <v>0</v>
      </c>
      <c r="P1053" s="56"/>
      <c r="Q1053" s="56"/>
      <c r="R1053" s="56"/>
      <c r="S1053" s="56"/>
      <c r="T1053" s="56"/>
      <c r="U1053" s="56"/>
      <c r="V1053" s="56"/>
      <c r="W1053" s="56"/>
      <c r="X1053" s="56"/>
      <c r="Y1053" s="56"/>
      <c r="Z1053" s="56"/>
      <c r="AA1053" s="56"/>
      <c r="AB1053" s="56"/>
    </row>
    <row r="1054" ht="15.75" customHeight="1">
      <c r="A1054" s="169"/>
      <c r="B1054" s="171" t="s">
        <v>4836</v>
      </c>
      <c r="C1054" s="52">
        <v>44470.0</v>
      </c>
      <c r="D1054" s="38"/>
      <c r="E1054" s="38"/>
      <c r="F1054" s="65"/>
      <c r="G1054" s="66"/>
      <c r="H1054" s="38"/>
      <c r="I1054" s="38"/>
      <c r="J1054" s="38"/>
      <c r="K1054" s="38"/>
      <c r="L1054" s="38"/>
      <c r="M1054" s="56"/>
      <c r="N1054" s="56" t="b">
        <v>0</v>
      </c>
      <c r="O1054" s="56" t="b">
        <v>0</v>
      </c>
      <c r="P1054" s="56"/>
      <c r="Q1054" s="56"/>
      <c r="R1054" s="56"/>
      <c r="S1054" s="56"/>
      <c r="T1054" s="56"/>
      <c r="U1054" s="56"/>
      <c r="V1054" s="56"/>
      <c r="W1054" s="56"/>
      <c r="X1054" s="56"/>
      <c r="Y1054" s="56"/>
      <c r="Z1054" s="56"/>
      <c r="AA1054" s="56"/>
      <c r="AB1054" s="56"/>
    </row>
    <row r="1055" ht="15.75" customHeight="1">
      <c r="A1055" s="169"/>
      <c r="B1055" s="63"/>
      <c r="C1055" s="31"/>
      <c r="D1055" s="38"/>
      <c r="E1055" s="38"/>
      <c r="F1055" s="65"/>
      <c r="G1055" s="66"/>
      <c r="H1055" s="38"/>
      <c r="I1055" s="38"/>
      <c r="J1055" s="38"/>
      <c r="K1055" s="38"/>
      <c r="L1055" s="38"/>
      <c r="M1055" s="56"/>
      <c r="N1055" s="56" t="b">
        <v>0</v>
      </c>
      <c r="O1055" s="56" t="b">
        <v>0</v>
      </c>
      <c r="P1055" s="56"/>
      <c r="Q1055" s="56"/>
      <c r="R1055" s="56"/>
      <c r="S1055" s="56"/>
      <c r="T1055" s="56"/>
      <c r="U1055" s="56"/>
      <c r="V1055" s="56"/>
      <c r="W1055" s="56"/>
      <c r="X1055" s="56"/>
      <c r="Y1055" s="56"/>
      <c r="Z1055" s="56"/>
      <c r="AA1055" s="56"/>
      <c r="AB1055" s="56"/>
    </row>
    <row r="1056" ht="15.75" customHeight="1">
      <c r="A1056" s="169"/>
      <c r="B1056" s="63"/>
      <c r="C1056" s="38" t="s">
        <v>53</v>
      </c>
      <c r="D1056" s="38"/>
      <c r="E1056" s="38"/>
      <c r="F1056" s="65"/>
      <c r="G1056" s="66"/>
      <c r="H1056" s="38"/>
      <c r="I1056" s="38"/>
      <c r="J1056" s="38"/>
      <c r="K1056" s="38"/>
      <c r="L1056" s="38"/>
      <c r="M1056" s="56"/>
      <c r="N1056" s="56" t="b">
        <v>0</v>
      </c>
      <c r="O1056" s="56" t="b">
        <v>0</v>
      </c>
      <c r="P1056" s="56"/>
      <c r="Q1056" s="56"/>
      <c r="R1056" s="56"/>
      <c r="S1056" s="56"/>
      <c r="T1056" s="56"/>
      <c r="U1056" s="56"/>
      <c r="V1056" s="56"/>
      <c r="W1056" s="56"/>
      <c r="X1056" s="56"/>
      <c r="Y1056" s="56"/>
      <c r="Z1056" s="56"/>
      <c r="AA1056" s="56"/>
      <c r="AB1056" s="56"/>
    </row>
    <row r="1057" ht="15.75" customHeight="1">
      <c r="A1057" s="169"/>
      <c r="B1057" s="63"/>
      <c r="C1057" s="38" t="s">
        <v>53</v>
      </c>
      <c r="D1057" s="38"/>
      <c r="E1057" s="38"/>
      <c r="F1057" s="65"/>
      <c r="G1057" s="66"/>
      <c r="H1057" s="38"/>
      <c r="I1057" s="38"/>
      <c r="J1057" s="38"/>
      <c r="K1057" s="38"/>
      <c r="L1057" s="38"/>
      <c r="M1057" s="56"/>
      <c r="N1057" s="56" t="b">
        <v>0</v>
      </c>
      <c r="O1057" s="56" t="b">
        <v>0</v>
      </c>
      <c r="P1057" s="56"/>
      <c r="Q1057" s="56"/>
      <c r="R1057" s="56"/>
      <c r="S1057" s="56"/>
      <c r="T1057" s="56"/>
      <c r="U1057" s="56"/>
      <c r="V1057" s="56"/>
      <c r="W1057" s="56"/>
      <c r="X1057" s="56"/>
      <c r="Y1057" s="56"/>
      <c r="Z1057" s="56"/>
      <c r="AA1057" s="56"/>
      <c r="AB1057" s="56"/>
    </row>
    <row r="1058" ht="15.75" customHeight="1">
      <c r="A1058" s="169"/>
      <c r="B1058" s="63"/>
      <c r="C1058" s="38" t="s">
        <v>53</v>
      </c>
      <c r="D1058" s="38"/>
      <c r="E1058" s="162" t="s">
        <v>5784</v>
      </c>
      <c r="F1058" s="155"/>
      <c r="G1058" s="66"/>
      <c r="H1058" s="38"/>
      <c r="I1058" s="38"/>
      <c r="J1058" s="38"/>
      <c r="K1058" s="38"/>
      <c r="L1058" s="38"/>
      <c r="M1058" s="56"/>
      <c r="N1058" s="56" t="b">
        <v>0</v>
      </c>
      <c r="O1058" s="56" t="b">
        <v>0</v>
      </c>
      <c r="P1058" s="56"/>
      <c r="Q1058" s="56"/>
      <c r="R1058" s="56"/>
      <c r="S1058" s="56"/>
      <c r="T1058" s="56"/>
      <c r="U1058" s="56"/>
      <c r="V1058" s="56"/>
      <c r="W1058" s="56"/>
      <c r="X1058" s="56"/>
      <c r="Y1058" s="56"/>
      <c r="Z1058" s="56"/>
      <c r="AA1058" s="56"/>
      <c r="AB1058" s="56"/>
    </row>
    <row r="1059" ht="15.75" customHeight="1">
      <c r="A1059" s="169"/>
      <c r="B1059" s="63"/>
      <c r="C1059" s="38" t="s">
        <v>53</v>
      </c>
      <c r="D1059" s="38"/>
      <c r="E1059" s="156"/>
      <c r="F1059" s="157"/>
      <c r="G1059" s="66"/>
      <c r="H1059" s="38"/>
      <c r="I1059" s="38"/>
      <c r="J1059" s="38"/>
      <c r="K1059" s="38"/>
      <c r="L1059" s="38"/>
      <c r="M1059" s="56"/>
      <c r="N1059" s="56" t="b">
        <v>0</v>
      </c>
      <c r="O1059" s="56" t="b">
        <v>0</v>
      </c>
      <c r="P1059" s="56"/>
      <c r="Q1059" s="56"/>
      <c r="R1059" s="56"/>
      <c r="S1059" s="56"/>
      <c r="T1059" s="56"/>
      <c r="U1059" s="56"/>
      <c r="V1059" s="56"/>
      <c r="W1059" s="56"/>
      <c r="X1059" s="56"/>
      <c r="Y1059" s="56"/>
      <c r="Z1059" s="56"/>
      <c r="AA1059" s="56"/>
      <c r="AB1059" s="56"/>
    </row>
    <row r="1060" ht="15.75" customHeight="1">
      <c r="A1060" s="169"/>
      <c r="B1060" s="63"/>
      <c r="C1060" s="38" t="s">
        <v>53</v>
      </c>
      <c r="D1060" s="38"/>
      <c r="E1060" s="158"/>
      <c r="F1060" s="159"/>
      <c r="G1060" s="66"/>
      <c r="H1060" s="38"/>
      <c r="I1060" s="38"/>
      <c r="J1060" s="38"/>
      <c r="K1060" s="38"/>
      <c r="L1060" s="38"/>
      <c r="M1060" s="56"/>
      <c r="N1060" s="56" t="b">
        <v>0</v>
      </c>
      <c r="O1060" s="56" t="b">
        <v>0</v>
      </c>
      <c r="P1060" s="56"/>
      <c r="Q1060" s="56"/>
      <c r="R1060" s="56"/>
      <c r="S1060" s="56"/>
      <c r="T1060" s="56"/>
      <c r="U1060" s="56"/>
      <c r="V1060" s="56"/>
      <c r="W1060" s="56"/>
      <c r="X1060" s="56"/>
      <c r="Y1060" s="56"/>
      <c r="Z1060" s="56"/>
      <c r="AA1060" s="56"/>
      <c r="AB1060" s="56"/>
    </row>
    <row r="1061" ht="15.75" customHeight="1">
      <c r="A1061" s="169"/>
      <c r="B1061" s="63"/>
      <c r="C1061" s="38" t="s">
        <v>53</v>
      </c>
      <c r="D1061" s="38"/>
      <c r="E1061" s="38"/>
      <c r="F1061" s="65"/>
      <c r="G1061" s="66"/>
      <c r="H1061" s="38"/>
      <c r="I1061" s="38"/>
      <c r="J1061" s="38"/>
      <c r="K1061" s="38"/>
      <c r="L1061" s="38"/>
      <c r="M1061" s="56"/>
      <c r="N1061" s="56" t="b">
        <v>0</v>
      </c>
      <c r="O1061" s="56" t="b">
        <v>0</v>
      </c>
      <c r="P1061" s="56"/>
      <c r="Q1061" s="56"/>
      <c r="R1061" s="56"/>
      <c r="S1061" s="56"/>
      <c r="T1061" s="56"/>
      <c r="U1061" s="56"/>
      <c r="V1061" s="56"/>
      <c r="W1061" s="56"/>
      <c r="X1061" s="56"/>
      <c r="Y1061" s="56"/>
      <c r="Z1061" s="56"/>
      <c r="AA1061" s="56"/>
      <c r="AB1061" s="56"/>
    </row>
    <row r="1062" ht="15.75" customHeight="1">
      <c r="A1062" s="169"/>
      <c r="B1062" s="69"/>
      <c r="C1062" s="38" t="s">
        <v>53</v>
      </c>
      <c r="D1062" s="38"/>
      <c r="E1062" s="38"/>
      <c r="F1062" s="65"/>
      <c r="G1062" s="66"/>
      <c r="H1062" s="38"/>
      <c r="I1062" s="38"/>
      <c r="J1062" s="38"/>
      <c r="K1062" s="38"/>
      <c r="L1062" s="38"/>
      <c r="M1062" s="56"/>
      <c r="N1062" s="56" t="b">
        <v>0</v>
      </c>
      <c r="O1062" s="56" t="b">
        <v>0</v>
      </c>
      <c r="P1062" s="56"/>
      <c r="Q1062" s="56"/>
      <c r="R1062" s="56"/>
      <c r="S1062" s="56"/>
      <c r="T1062" s="56"/>
      <c r="U1062" s="56"/>
      <c r="V1062" s="56"/>
      <c r="W1062" s="56"/>
      <c r="X1062" s="56"/>
      <c r="Y1062" s="56"/>
      <c r="Z1062" s="56"/>
      <c r="AA1062" s="56"/>
      <c r="AB1062" s="56"/>
    </row>
    <row r="1063" ht="15.75" customHeight="1">
      <c r="A1063" s="169"/>
      <c r="B1063" s="171" t="s">
        <v>4836</v>
      </c>
      <c r="C1063" s="52">
        <v>44476.0</v>
      </c>
      <c r="D1063" s="38"/>
      <c r="E1063" s="38"/>
      <c r="F1063" s="65"/>
      <c r="G1063" s="66"/>
      <c r="H1063" s="38"/>
      <c r="I1063" s="38"/>
      <c r="J1063" s="38"/>
      <c r="K1063" s="38"/>
      <c r="L1063" s="38"/>
      <c r="M1063" s="56"/>
      <c r="N1063" s="56" t="b">
        <v>0</v>
      </c>
      <c r="O1063" s="56" t="b">
        <v>0</v>
      </c>
      <c r="P1063" s="56"/>
      <c r="Q1063" s="56"/>
      <c r="R1063" s="56"/>
      <c r="S1063" s="56"/>
      <c r="T1063" s="56"/>
      <c r="U1063" s="56"/>
      <c r="V1063" s="56"/>
      <c r="W1063" s="56"/>
      <c r="X1063" s="56"/>
      <c r="Y1063" s="56"/>
      <c r="Z1063" s="56"/>
      <c r="AA1063" s="56"/>
      <c r="AB1063" s="56"/>
    </row>
    <row r="1064" ht="15.75" customHeight="1">
      <c r="A1064" s="169"/>
      <c r="B1064" s="63"/>
      <c r="C1064" s="31"/>
      <c r="D1064" s="38"/>
      <c r="E1064" s="38"/>
      <c r="F1064" s="65"/>
      <c r="G1064" s="66"/>
      <c r="H1064" s="38"/>
      <c r="I1064" s="38"/>
      <c r="J1064" s="38"/>
      <c r="K1064" s="38"/>
      <c r="L1064" s="38"/>
      <c r="M1064" s="56"/>
      <c r="N1064" s="56" t="b">
        <v>0</v>
      </c>
      <c r="O1064" s="56" t="b">
        <v>0</v>
      </c>
      <c r="P1064" s="56"/>
      <c r="Q1064" s="56"/>
      <c r="R1064" s="56"/>
      <c r="S1064" s="56"/>
      <c r="T1064" s="56"/>
      <c r="U1064" s="56"/>
      <c r="V1064" s="56"/>
      <c r="W1064" s="56"/>
      <c r="X1064" s="56"/>
      <c r="Y1064" s="56"/>
      <c r="Z1064" s="56"/>
      <c r="AA1064" s="56"/>
      <c r="AB1064" s="56"/>
    </row>
    <row r="1065" ht="15.75" customHeight="1">
      <c r="A1065" s="169"/>
      <c r="B1065" s="63"/>
      <c r="C1065" s="38"/>
      <c r="D1065" s="38"/>
      <c r="E1065" s="38"/>
      <c r="F1065" s="127" t="s">
        <v>6119</v>
      </c>
      <c r="G1065" s="66"/>
      <c r="H1065" s="38"/>
      <c r="I1065" s="38"/>
      <c r="J1065" s="38"/>
      <c r="K1065" s="38"/>
      <c r="L1065" s="38"/>
      <c r="M1065" s="56"/>
      <c r="N1065" s="56" t="b">
        <v>0</v>
      </c>
      <c r="O1065" s="56" t="b">
        <v>0</v>
      </c>
      <c r="P1065" s="56"/>
      <c r="Q1065" s="56"/>
      <c r="R1065" s="56"/>
      <c r="S1065" s="56"/>
      <c r="T1065" s="56"/>
      <c r="U1065" s="56"/>
      <c r="V1065" s="56"/>
      <c r="W1065" s="56"/>
      <c r="X1065" s="56"/>
      <c r="Y1065" s="56"/>
      <c r="Z1065" s="56"/>
      <c r="AA1065" s="56"/>
      <c r="AB1065" s="56"/>
    </row>
    <row r="1066" ht="15.75" customHeight="1">
      <c r="A1066" s="169"/>
      <c r="B1066" s="63"/>
      <c r="C1066" s="38" t="s">
        <v>53</v>
      </c>
      <c r="D1066" s="38" t="s">
        <v>171</v>
      </c>
      <c r="E1066" s="203" t="s">
        <v>970</v>
      </c>
      <c r="F1066" s="77" t="s">
        <v>971</v>
      </c>
      <c r="G1066" s="82" t="s">
        <v>5004</v>
      </c>
      <c r="H1066" s="77" t="s">
        <v>5228</v>
      </c>
      <c r="I1066" s="97" t="s">
        <v>6120</v>
      </c>
      <c r="J1066" s="77" t="s">
        <v>6121</v>
      </c>
      <c r="K1066" s="129" t="s">
        <v>6122</v>
      </c>
      <c r="L1066" s="38"/>
      <c r="M1066" s="56"/>
      <c r="N1066" s="56" t="b">
        <v>0</v>
      </c>
      <c r="O1066" s="56" t="b">
        <v>0</v>
      </c>
      <c r="P1066" s="56"/>
      <c r="Q1066" s="56"/>
      <c r="R1066" s="56"/>
      <c r="S1066" s="56"/>
      <c r="T1066" s="56"/>
      <c r="U1066" s="56"/>
      <c r="V1066" s="56"/>
      <c r="W1066" s="56"/>
      <c r="X1066" s="56"/>
      <c r="Y1066" s="56"/>
      <c r="Z1066" s="56"/>
      <c r="AA1066" s="56"/>
      <c r="AB1066" s="56"/>
    </row>
    <row r="1067" ht="15.75" customHeight="1">
      <c r="A1067" s="169"/>
      <c r="B1067" s="63"/>
      <c r="C1067" s="38" t="s">
        <v>53</v>
      </c>
      <c r="D1067" s="38" t="s">
        <v>171</v>
      </c>
      <c r="E1067" s="67" t="s">
        <v>1513</v>
      </c>
      <c r="F1067" s="67" t="s">
        <v>1514</v>
      </c>
      <c r="G1067" s="66" t="s">
        <v>5134</v>
      </c>
      <c r="H1067" s="67" t="s">
        <v>5228</v>
      </c>
      <c r="I1067" s="67" t="s">
        <v>6123</v>
      </c>
      <c r="J1067" s="67" t="s">
        <v>1516</v>
      </c>
      <c r="K1067" s="38"/>
      <c r="L1067" s="38"/>
      <c r="M1067" s="56"/>
      <c r="N1067" s="56" t="b">
        <v>0</v>
      </c>
      <c r="O1067" s="56" t="b">
        <v>0</v>
      </c>
      <c r="P1067" s="56"/>
      <c r="Q1067" s="56"/>
      <c r="R1067" s="56"/>
      <c r="S1067" s="56"/>
      <c r="T1067" s="56"/>
      <c r="U1067" s="56"/>
      <c r="V1067" s="56"/>
      <c r="W1067" s="56"/>
      <c r="X1067" s="56"/>
      <c r="Y1067" s="56"/>
      <c r="Z1067" s="56"/>
      <c r="AA1067" s="56"/>
      <c r="AB1067" s="56"/>
    </row>
    <row r="1068" ht="15.75" customHeight="1">
      <c r="A1068" s="169"/>
      <c r="B1068" s="63"/>
      <c r="C1068" s="38" t="s">
        <v>53</v>
      </c>
      <c r="D1068" s="38" t="s">
        <v>171</v>
      </c>
      <c r="E1068" s="67" t="s">
        <v>3132</v>
      </c>
      <c r="F1068" s="67" t="s">
        <v>3133</v>
      </c>
      <c r="G1068" s="66" t="s">
        <v>4856</v>
      </c>
      <c r="H1068" s="67" t="s">
        <v>5228</v>
      </c>
      <c r="I1068" s="125" t="s">
        <v>6124</v>
      </c>
      <c r="J1068" s="67" t="s">
        <v>3135</v>
      </c>
      <c r="K1068" s="38"/>
      <c r="L1068" s="38"/>
      <c r="M1068" s="56"/>
      <c r="N1068" s="56" t="b">
        <v>0</v>
      </c>
      <c r="O1068" s="56" t="b">
        <v>0</v>
      </c>
      <c r="P1068" s="56"/>
      <c r="Q1068" s="56"/>
      <c r="R1068" s="56"/>
      <c r="S1068" s="56"/>
      <c r="T1068" s="56"/>
      <c r="U1068" s="56"/>
      <c r="V1068" s="56"/>
      <c r="W1068" s="56"/>
      <c r="X1068" s="56"/>
      <c r="Y1068" s="56"/>
      <c r="Z1068" s="56"/>
      <c r="AA1068" s="56"/>
      <c r="AB1068" s="56"/>
    </row>
    <row r="1069" ht="15.75" customHeight="1">
      <c r="A1069" s="169"/>
      <c r="B1069" s="63"/>
      <c r="C1069" s="38" t="s">
        <v>53</v>
      </c>
      <c r="D1069" s="38" t="s">
        <v>171</v>
      </c>
      <c r="E1069" s="215" t="s">
        <v>6125</v>
      </c>
      <c r="F1069" s="215" t="s">
        <v>6126</v>
      </c>
      <c r="G1069" s="66" t="s">
        <v>4858</v>
      </c>
      <c r="H1069" s="67" t="s">
        <v>5228</v>
      </c>
      <c r="I1069" s="87" t="s">
        <v>6127</v>
      </c>
      <c r="J1069" s="67" t="s">
        <v>6128</v>
      </c>
      <c r="K1069" s="38"/>
      <c r="L1069" s="38"/>
      <c r="M1069" s="56"/>
      <c r="N1069" s="56" t="b">
        <v>0</v>
      </c>
      <c r="O1069" s="56" t="b">
        <v>0</v>
      </c>
      <c r="P1069" s="56"/>
      <c r="Q1069" s="56"/>
      <c r="R1069" s="56"/>
      <c r="S1069" s="56"/>
      <c r="T1069" s="56"/>
      <c r="U1069" s="56"/>
      <c r="V1069" s="56"/>
      <c r="W1069" s="56"/>
      <c r="X1069" s="56"/>
      <c r="Y1069" s="56"/>
      <c r="Z1069" s="56"/>
      <c r="AA1069" s="56"/>
      <c r="AB1069" s="56"/>
    </row>
    <row r="1070" ht="15.75" customHeight="1">
      <c r="A1070" s="169"/>
      <c r="B1070" s="63"/>
      <c r="C1070" s="38" t="s">
        <v>53</v>
      </c>
      <c r="D1070" s="38" t="s">
        <v>171</v>
      </c>
      <c r="E1070" s="10" t="s">
        <v>6129</v>
      </c>
      <c r="F1070" s="67" t="s">
        <v>1057</v>
      </c>
      <c r="G1070" s="66" t="s">
        <v>4847</v>
      </c>
      <c r="H1070" s="107" t="s">
        <v>4884</v>
      </c>
      <c r="I1070" s="23" t="s">
        <v>6130</v>
      </c>
      <c r="J1070" s="67" t="s">
        <v>1059</v>
      </c>
      <c r="K1070" s="38"/>
      <c r="L1070" s="38"/>
      <c r="M1070" s="56"/>
      <c r="N1070" s="56" t="b">
        <v>0</v>
      </c>
      <c r="O1070" s="56" t="b">
        <v>0</v>
      </c>
      <c r="P1070" s="56"/>
      <c r="Q1070" s="56"/>
      <c r="R1070" s="56"/>
      <c r="S1070" s="56"/>
      <c r="T1070" s="56"/>
      <c r="U1070" s="56"/>
      <c r="V1070" s="56"/>
      <c r="W1070" s="56"/>
      <c r="X1070" s="56"/>
      <c r="Y1070" s="56"/>
      <c r="Z1070" s="56"/>
      <c r="AA1070" s="56"/>
      <c r="AB1070" s="56"/>
    </row>
    <row r="1071" ht="15.75" customHeight="1">
      <c r="A1071" s="169"/>
      <c r="B1071" s="69"/>
      <c r="C1071" s="38" t="s">
        <v>53</v>
      </c>
      <c r="D1071" s="38" t="s">
        <v>171</v>
      </c>
      <c r="E1071" s="216" t="s">
        <v>3963</v>
      </c>
      <c r="F1071" s="217" t="s">
        <v>3964</v>
      </c>
      <c r="G1071" s="218" t="s">
        <v>5932</v>
      </c>
      <c r="H1071" s="173" t="s">
        <v>4884</v>
      </c>
      <c r="I1071" s="173" t="s">
        <v>6131</v>
      </c>
      <c r="J1071" s="217" t="s">
        <v>3966</v>
      </c>
      <c r="K1071" s="38" t="s">
        <v>6132</v>
      </c>
      <c r="L1071" s="38"/>
      <c r="M1071" s="56"/>
      <c r="N1071" s="56" t="b">
        <v>0</v>
      </c>
      <c r="O1071" s="56" t="b">
        <v>0</v>
      </c>
      <c r="P1071" s="56"/>
      <c r="Q1071" s="56"/>
      <c r="R1071" s="56"/>
      <c r="S1071" s="56"/>
      <c r="T1071" s="56"/>
      <c r="U1071" s="56"/>
      <c r="V1071" s="56"/>
      <c r="W1071" s="56"/>
      <c r="X1071" s="56"/>
      <c r="Y1071" s="56"/>
      <c r="Z1071" s="56"/>
      <c r="AA1071" s="56"/>
      <c r="AB1071" s="56"/>
    </row>
    <row r="1072" ht="15.75" customHeight="1">
      <c r="A1072" s="169"/>
      <c r="B1072" s="219" t="s">
        <v>4836</v>
      </c>
      <c r="C1072" s="220">
        <v>44477.0</v>
      </c>
      <c r="D1072" s="38"/>
      <c r="E1072" s="38"/>
      <c r="F1072" s="65"/>
      <c r="G1072" s="66"/>
      <c r="H1072" s="38"/>
      <c r="I1072" s="38"/>
      <c r="J1072" s="38"/>
      <c r="K1072" s="38"/>
      <c r="L1072" s="38"/>
      <c r="M1072" s="56"/>
      <c r="N1072" s="56" t="b">
        <v>0</v>
      </c>
      <c r="O1072" s="56" t="b">
        <v>0</v>
      </c>
      <c r="P1072" s="56"/>
      <c r="Q1072" s="56"/>
      <c r="R1072" s="56"/>
      <c r="S1072" s="56"/>
      <c r="T1072" s="56"/>
      <c r="U1072" s="56"/>
      <c r="V1072" s="56"/>
      <c r="W1072" s="56"/>
      <c r="X1072" s="56"/>
      <c r="Y1072" s="56"/>
      <c r="Z1072" s="56"/>
      <c r="AA1072" s="56"/>
      <c r="AB1072" s="56"/>
    </row>
    <row r="1073" ht="15.75" customHeight="1">
      <c r="A1073" s="169"/>
      <c r="B1073" s="63"/>
      <c r="C1073" s="22"/>
      <c r="D1073" s="38"/>
      <c r="E1073" s="38"/>
      <c r="F1073" s="65"/>
      <c r="G1073" s="66"/>
      <c r="H1073" s="38"/>
      <c r="I1073" s="38"/>
      <c r="J1073" s="38"/>
      <c r="K1073" s="38"/>
      <c r="L1073" s="38"/>
      <c r="M1073" s="56"/>
      <c r="N1073" s="56" t="b">
        <v>0</v>
      </c>
      <c r="O1073" s="56" t="b">
        <v>0</v>
      </c>
      <c r="P1073" s="56"/>
      <c r="Q1073" s="56"/>
      <c r="R1073" s="56"/>
      <c r="S1073" s="56"/>
      <c r="T1073" s="56"/>
      <c r="U1073" s="56"/>
      <c r="V1073" s="56"/>
      <c r="W1073" s="56"/>
      <c r="X1073" s="56"/>
      <c r="Y1073" s="56"/>
      <c r="Z1073" s="56"/>
      <c r="AA1073" s="56"/>
      <c r="AB1073" s="56"/>
    </row>
    <row r="1074" ht="15.75" customHeight="1">
      <c r="A1074" s="169"/>
      <c r="B1074" s="63"/>
      <c r="C1074" s="22" t="s">
        <v>53</v>
      </c>
      <c r="D1074" s="38"/>
      <c r="E1074" s="38"/>
      <c r="F1074" s="127" t="s">
        <v>6133</v>
      </c>
      <c r="G1074" s="66"/>
      <c r="H1074" s="38"/>
      <c r="I1074" s="38"/>
      <c r="J1074" s="38"/>
      <c r="K1074" s="38"/>
      <c r="L1074" s="38"/>
      <c r="M1074" s="56"/>
      <c r="N1074" s="56" t="b">
        <v>0</v>
      </c>
      <c r="O1074" s="56" t="b">
        <v>0</v>
      </c>
      <c r="P1074" s="56"/>
      <c r="Q1074" s="56"/>
      <c r="R1074" s="56"/>
      <c r="S1074" s="56"/>
      <c r="T1074" s="56"/>
      <c r="U1074" s="56"/>
      <c r="V1074" s="56"/>
      <c r="W1074" s="56"/>
      <c r="X1074" s="56"/>
      <c r="Y1074" s="56"/>
      <c r="Z1074" s="56"/>
      <c r="AA1074" s="56"/>
      <c r="AB1074" s="56"/>
    </row>
    <row r="1075" ht="15.75" customHeight="1">
      <c r="A1075" s="169"/>
      <c r="B1075" s="63"/>
      <c r="C1075" s="22" t="s">
        <v>53</v>
      </c>
      <c r="D1075" s="38" t="s">
        <v>171</v>
      </c>
      <c r="E1075" s="67" t="s">
        <v>1785</v>
      </c>
      <c r="F1075" s="67" t="s">
        <v>1786</v>
      </c>
      <c r="G1075" s="66" t="s">
        <v>5704</v>
      </c>
      <c r="H1075" s="38" t="s">
        <v>5344</v>
      </c>
      <c r="I1075" s="67" t="s">
        <v>6134</v>
      </c>
      <c r="J1075" s="67" t="s">
        <v>1788</v>
      </c>
      <c r="K1075" s="129" t="s">
        <v>6135</v>
      </c>
      <c r="L1075" s="38"/>
      <c r="M1075" s="56"/>
      <c r="N1075" s="56" t="b">
        <v>0</v>
      </c>
      <c r="O1075" s="56" t="b">
        <v>0</v>
      </c>
      <c r="P1075" s="56"/>
      <c r="Q1075" s="56"/>
      <c r="R1075" s="56"/>
      <c r="S1075" s="56"/>
      <c r="T1075" s="56"/>
      <c r="U1075" s="56"/>
      <c r="V1075" s="56"/>
      <c r="W1075" s="56"/>
      <c r="X1075" s="56"/>
      <c r="Y1075" s="56"/>
      <c r="Z1075" s="56"/>
      <c r="AA1075" s="56"/>
      <c r="AB1075" s="56"/>
    </row>
    <row r="1076" ht="15.75" customHeight="1">
      <c r="A1076" s="169"/>
      <c r="B1076" s="63"/>
      <c r="C1076" s="22" t="s">
        <v>53</v>
      </c>
      <c r="D1076" s="38" t="s">
        <v>171</v>
      </c>
      <c r="E1076" s="217" t="s">
        <v>383</v>
      </c>
      <c r="F1076" s="217" t="s">
        <v>384</v>
      </c>
      <c r="G1076" s="82" t="s">
        <v>5134</v>
      </c>
      <c r="H1076" s="77" t="s">
        <v>5228</v>
      </c>
      <c r="I1076" s="76" t="s">
        <v>6136</v>
      </c>
      <c r="J1076" s="77" t="s">
        <v>386</v>
      </c>
      <c r="K1076" s="38"/>
      <c r="L1076" s="38"/>
      <c r="M1076" s="56"/>
      <c r="N1076" s="56" t="b">
        <v>0</v>
      </c>
      <c r="O1076" s="56" t="b">
        <v>0</v>
      </c>
      <c r="P1076" s="56"/>
      <c r="Q1076" s="56"/>
      <c r="R1076" s="56"/>
      <c r="S1076" s="56"/>
      <c r="T1076" s="56"/>
      <c r="U1076" s="56"/>
      <c r="V1076" s="56"/>
      <c r="W1076" s="56"/>
      <c r="X1076" s="56"/>
      <c r="Y1076" s="56"/>
      <c r="Z1076" s="56"/>
      <c r="AA1076" s="56"/>
      <c r="AB1076" s="56"/>
    </row>
    <row r="1077" ht="15.75" customHeight="1">
      <c r="A1077" s="169"/>
      <c r="B1077" s="63"/>
      <c r="C1077" s="22" t="s">
        <v>53</v>
      </c>
      <c r="D1077" s="62" t="s">
        <v>171</v>
      </c>
      <c r="E1077" s="221" t="s">
        <v>4030</v>
      </c>
      <c r="F1077" s="221" t="s">
        <v>4031</v>
      </c>
      <c r="G1077" s="73" t="s">
        <v>4856</v>
      </c>
      <c r="H1077" s="62" t="s">
        <v>6137</v>
      </c>
      <c r="I1077" s="62" t="s">
        <v>6138</v>
      </c>
      <c r="J1077" s="60" t="s">
        <v>4033</v>
      </c>
      <c r="K1077" s="38"/>
      <c r="L1077" s="38"/>
      <c r="M1077" s="56"/>
      <c r="N1077" s="56" t="b">
        <v>0</v>
      </c>
      <c r="O1077" s="56" t="b">
        <v>0</v>
      </c>
      <c r="P1077" s="56"/>
      <c r="Q1077" s="56"/>
      <c r="R1077" s="56"/>
      <c r="S1077" s="56"/>
      <c r="T1077" s="56"/>
      <c r="U1077" s="56"/>
      <c r="V1077" s="56"/>
      <c r="W1077" s="56"/>
      <c r="X1077" s="56"/>
      <c r="Y1077" s="56"/>
      <c r="Z1077" s="56"/>
      <c r="AA1077" s="56"/>
      <c r="AB1077" s="56"/>
    </row>
    <row r="1078" ht="15.75" customHeight="1">
      <c r="A1078" s="169"/>
      <c r="B1078" s="63"/>
      <c r="C1078" s="22" t="s">
        <v>53</v>
      </c>
      <c r="D1078" s="38" t="s">
        <v>171</v>
      </c>
      <c r="E1078" s="77" t="s">
        <v>3014</v>
      </c>
      <c r="F1078" s="77" t="s">
        <v>3015</v>
      </c>
      <c r="G1078" s="82" t="s">
        <v>4858</v>
      </c>
      <c r="H1078" s="88" t="s">
        <v>5619</v>
      </c>
      <c r="I1078" s="77" t="s">
        <v>6139</v>
      </c>
      <c r="J1078" s="77" t="s">
        <v>3017</v>
      </c>
      <c r="K1078" s="38"/>
      <c r="L1078" s="38"/>
      <c r="M1078" s="56"/>
      <c r="N1078" s="56" t="b">
        <v>0</v>
      </c>
      <c r="O1078" s="56" t="b">
        <v>0</v>
      </c>
      <c r="P1078" s="56"/>
      <c r="Q1078" s="56"/>
      <c r="R1078" s="56"/>
      <c r="S1078" s="56"/>
      <c r="T1078" s="56"/>
      <c r="U1078" s="56"/>
      <c r="V1078" s="56"/>
      <c r="W1078" s="56"/>
      <c r="X1078" s="56"/>
      <c r="Y1078" s="56"/>
      <c r="Z1078" s="56"/>
      <c r="AA1078" s="56"/>
      <c r="AB1078" s="56"/>
    </row>
    <row r="1079" ht="15.75" customHeight="1">
      <c r="A1079" s="169"/>
      <c r="B1079" s="63"/>
      <c r="C1079" s="22" t="s">
        <v>53</v>
      </c>
      <c r="D1079" s="38" t="s">
        <v>171</v>
      </c>
      <c r="E1079" s="215" t="s">
        <v>1945</v>
      </c>
      <c r="F1079" s="215" t="s">
        <v>1946</v>
      </c>
      <c r="G1079" s="222" t="s">
        <v>4847</v>
      </c>
      <c r="H1079" s="87" t="s">
        <v>5619</v>
      </c>
      <c r="I1079" s="31" t="s">
        <v>6140</v>
      </c>
      <c r="J1079" s="215" t="s">
        <v>1949</v>
      </c>
      <c r="K1079" s="129" t="s">
        <v>6141</v>
      </c>
      <c r="L1079" s="38"/>
      <c r="M1079" s="56"/>
      <c r="N1079" s="56" t="b">
        <v>0</v>
      </c>
      <c r="O1079" s="56" t="b">
        <v>0</v>
      </c>
      <c r="P1079" s="56"/>
      <c r="Q1079" s="56"/>
      <c r="R1079" s="56"/>
      <c r="S1079" s="56"/>
      <c r="T1079" s="56"/>
      <c r="U1079" s="56"/>
      <c r="V1079" s="56"/>
      <c r="W1079" s="56"/>
      <c r="X1079" s="56"/>
      <c r="Y1079" s="56"/>
      <c r="Z1079" s="56"/>
      <c r="AA1079" s="56"/>
      <c r="AB1079" s="56"/>
    </row>
    <row r="1080" ht="15.75" customHeight="1">
      <c r="A1080" s="169"/>
      <c r="B1080" s="69"/>
      <c r="C1080" s="22" t="s">
        <v>53</v>
      </c>
      <c r="D1080" s="38"/>
      <c r="E1080" s="38"/>
      <c r="F1080" s="65"/>
      <c r="G1080" s="66"/>
      <c r="H1080" s="38"/>
      <c r="I1080" s="38"/>
      <c r="J1080" s="38"/>
      <c r="K1080" s="38"/>
      <c r="L1080" s="38"/>
      <c r="M1080" s="56"/>
      <c r="N1080" s="56" t="b">
        <v>0</v>
      </c>
      <c r="O1080" s="56" t="b">
        <v>0</v>
      </c>
      <c r="P1080" s="56"/>
      <c r="Q1080" s="56"/>
      <c r="R1080" s="56"/>
      <c r="S1080" s="56"/>
      <c r="T1080" s="56"/>
      <c r="U1080" s="56"/>
      <c r="V1080" s="56"/>
      <c r="W1080" s="56"/>
      <c r="X1080" s="56"/>
      <c r="Y1080" s="56"/>
      <c r="Z1080" s="56"/>
      <c r="AA1080" s="56"/>
      <c r="AB1080" s="56"/>
    </row>
    <row r="1081" ht="15.75" customHeight="1">
      <c r="A1081" s="169"/>
      <c r="B1081" s="219" t="s">
        <v>4836</v>
      </c>
      <c r="C1081" s="220">
        <v>44480.0</v>
      </c>
      <c r="D1081" s="38"/>
      <c r="E1081" s="38"/>
      <c r="F1081" s="65"/>
      <c r="G1081" s="66"/>
      <c r="H1081" s="38"/>
      <c r="I1081" s="38"/>
      <c r="J1081" s="38"/>
      <c r="K1081" s="38"/>
      <c r="L1081" s="38"/>
      <c r="M1081" s="56"/>
      <c r="N1081" s="56" t="b">
        <v>0</v>
      </c>
      <c r="O1081" s="56" t="b">
        <v>0</v>
      </c>
      <c r="P1081" s="56"/>
      <c r="Q1081" s="56"/>
      <c r="R1081" s="56"/>
      <c r="S1081" s="56"/>
      <c r="T1081" s="56"/>
      <c r="U1081" s="56"/>
      <c r="V1081" s="56"/>
      <c r="W1081" s="56"/>
      <c r="X1081" s="56"/>
      <c r="Y1081" s="56"/>
      <c r="Z1081" s="56"/>
      <c r="AA1081" s="56"/>
      <c r="AB1081" s="56"/>
    </row>
    <row r="1082" ht="15.75" customHeight="1">
      <c r="A1082" s="169"/>
      <c r="B1082" s="63"/>
      <c r="C1082" s="22"/>
      <c r="D1082" s="38"/>
      <c r="E1082" s="38"/>
      <c r="F1082" s="65"/>
      <c r="G1082" s="66"/>
      <c r="H1082" s="38"/>
      <c r="I1082" s="38"/>
      <c r="J1082" s="38"/>
      <c r="K1082" s="38"/>
      <c r="L1082" s="38"/>
      <c r="M1082" s="56"/>
      <c r="N1082" s="56" t="b">
        <v>0</v>
      </c>
      <c r="O1082" s="56" t="b">
        <v>0</v>
      </c>
      <c r="P1082" s="56"/>
      <c r="Q1082" s="56"/>
      <c r="R1082" s="56"/>
      <c r="S1082" s="56"/>
      <c r="T1082" s="56"/>
      <c r="U1082" s="56"/>
      <c r="V1082" s="56"/>
      <c r="W1082" s="56"/>
      <c r="X1082" s="56"/>
      <c r="Y1082" s="56"/>
      <c r="Z1082" s="56"/>
      <c r="AA1082" s="56"/>
      <c r="AB1082" s="56"/>
    </row>
    <row r="1083" ht="15.75" customHeight="1">
      <c r="A1083" s="169"/>
      <c r="B1083" s="63"/>
      <c r="C1083" s="22" t="s">
        <v>53</v>
      </c>
      <c r="D1083" s="38"/>
      <c r="E1083" s="38"/>
      <c r="F1083" s="65"/>
      <c r="G1083" s="66"/>
      <c r="H1083" s="38"/>
      <c r="I1083" s="38"/>
      <c r="J1083" s="38"/>
      <c r="K1083" s="38"/>
      <c r="L1083" s="38"/>
      <c r="M1083" s="56"/>
      <c r="N1083" s="56" t="b">
        <v>0</v>
      </c>
      <c r="O1083" s="56" t="b">
        <v>0</v>
      </c>
      <c r="P1083" s="56"/>
      <c r="Q1083" s="56"/>
      <c r="R1083" s="56"/>
      <c r="S1083" s="56"/>
      <c r="T1083" s="56"/>
      <c r="U1083" s="56"/>
      <c r="V1083" s="56"/>
      <c r="W1083" s="56"/>
      <c r="X1083" s="56"/>
      <c r="Y1083" s="56"/>
      <c r="Z1083" s="56"/>
      <c r="AA1083" s="56"/>
      <c r="AB1083" s="56"/>
    </row>
    <row r="1084" ht="15.75" customHeight="1">
      <c r="A1084" s="169"/>
      <c r="B1084" s="63"/>
      <c r="C1084" s="22" t="s">
        <v>53</v>
      </c>
      <c r="D1084" s="38"/>
      <c r="E1084" s="38"/>
      <c r="F1084" s="127" t="s">
        <v>6142</v>
      </c>
      <c r="G1084" s="66"/>
      <c r="H1084" s="38"/>
      <c r="I1084" s="38"/>
      <c r="J1084" s="38"/>
      <c r="K1084" s="38"/>
      <c r="L1084" s="38"/>
      <c r="M1084" s="56"/>
      <c r="N1084" s="56" t="b">
        <v>0</v>
      </c>
      <c r="O1084" s="56" t="b">
        <v>0</v>
      </c>
      <c r="P1084" s="56"/>
      <c r="Q1084" s="56"/>
      <c r="R1084" s="56"/>
      <c r="S1084" s="56"/>
      <c r="T1084" s="56"/>
      <c r="U1084" s="56"/>
      <c r="V1084" s="56"/>
      <c r="W1084" s="56"/>
      <c r="X1084" s="56"/>
      <c r="Y1084" s="56"/>
      <c r="Z1084" s="56"/>
      <c r="AA1084" s="56"/>
      <c r="AB1084" s="56"/>
    </row>
    <row r="1085" ht="15.75" customHeight="1">
      <c r="A1085" s="169"/>
      <c r="B1085" s="63"/>
      <c r="C1085" s="22" t="s">
        <v>53</v>
      </c>
      <c r="D1085" s="38" t="s">
        <v>171</v>
      </c>
      <c r="E1085" s="67" t="s">
        <v>1339</v>
      </c>
      <c r="F1085" s="67" t="s">
        <v>1340</v>
      </c>
      <c r="G1085" s="66" t="s">
        <v>5134</v>
      </c>
      <c r="H1085" s="38" t="s">
        <v>5342</v>
      </c>
      <c r="I1085" s="67" t="s">
        <v>6143</v>
      </c>
      <c r="J1085" s="67" t="s">
        <v>1342</v>
      </c>
      <c r="K1085" s="129" t="s">
        <v>6144</v>
      </c>
      <c r="L1085" s="38"/>
      <c r="M1085" s="56"/>
      <c r="N1085" s="56" t="b">
        <v>0</v>
      </c>
      <c r="O1085" s="56" t="b">
        <v>0</v>
      </c>
      <c r="P1085" s="56"/>
      <c r="Q1085" s="56"/>
      <c r="R1085" s="56"/>
      <c r="S1085" s="56"/>
      <c r="T1085" s="56"/>
      <c r="U1085" s="56"/>
      <c r="V1085" s="56"/>
      <c r="W1085" s="56"/>
      <c r="X1085" s="56"/>
      <c r="Y1085" s="56"/>
      <c r="Z1085" s="56"/>
      <c r="AA1085" s="56"/>
      <c r="AB1085" s="56"/>
    </row>
    <row r="1086" ht="15.75" customHeight="1">
      <c r="A1086" s="169"/>
      <c r="B1086" s="63"/>
      <c r="C1086" s="22" t="s">
        <v>53</v>
      </c>
      <c r="D1086" s="38" t="s">
        <v>171</v>
      </c>
      <c r="E1086" s="67" t="s">
        <v>877</v>
      </c>
      <c r="F1086" s="67" t="s">
        <v>878</v>
      </c>
      <c r="G1086" s="66" t="s">
        <v>4856</v>
      </c>
      <c r="H1086" s="38" t="s">
        <v>5342</v>
      </c>
      <c r="I1086" s="67" t="s">
        <v>6145</v>
      </c>
      <c r="J1086" s="67" t="s">
        <v>880</v>
      </c>
      <c r="K1086" s="129" t="s">
        <v>6146</v>
      </c>
      <c r="L1086" s="38"/>
      <c r="M1086" s="56"/>
      <c r="N1086" s="56" t="b">
        <v>0</v>
      </c>
      <c r="O1086" s="56" t="b">
        <v>0</v>
      </c>
      <c r="P1086" s="56"/>
      <c r="Q1086" s="56"/>
      <c r="R1086" s="56"/>
      <c r="S1086" s="56"/>
      <c r="T1086" s="56"/>
      <c r="U1086" s="56"/>
      <c r="V1086" s="56"/>
      <c r="W1086" s="56"/>
      <c r="X1086" s="56"/>
      <c r="Y1086" s="56"/>
      <c r="Z1086" s="56"/>
      <c r="AA1086" s="56"/>
      <c r="AB1086" s="56"/>
    </row>
    <row r="1087" ht="15.75" customHeight="1">
      <c r="A1087" s="169"/>
      <c r="B1087" s="63"/>
      <c r="C1087" s="22" t="s">
        <v>53</v>
      </c>
      <c r="D1087" s="62" t="s">
        <v>171</v>
      </c>
      <c r="E1087" s="60" t="s">
        <v>3862</v>
      </c>
      <c r="F1087" s="60" t="s">
        <v>3863</v>
      </c>
      <c r="G1087" s="73" t="s">
        <v>4858</v>
      </c>
      <c r="H1087" s="75" t="s">
        <v>5346</v>
      </c>
      <c r="I1087" s="60" t="s">
        <v>6147</v>
      </c>
      <c r="J1087" s="223" t="s">
        <v>6148</v>
      </c>
      <c r="K1087" s="38"/>
      <c r="L1087" s="38"/>
      <c r="M1087" s="56"/>
      <c r="N1087" s="56" t="b">
        <v>0</v>
      </c>
      <c r="O1087" s="56" t="b">
        <v>0</v>
      </c>
      <c r="P1087" s="56"/>
      <c r="Q1087" s="56"/>
      <c r="R1087" s="56"/>
      <c r="S1087" s="56"/>
      <c r="T1087" s="56"/>
      <c r="U1087" s="56"/>
      <c r="V1087" s="56"/>
      <c r="W1087" s="56"/>
      <c r="X1087" s="56"/>
      <c r="Y1087" s="56"/>
      <c r="Z1087" s="56"/>
      <c r="AA1087" s="56"/>
      <c r="AB1087" s="56"/>
    </row>
    <row r="1088" ht="15.75" customHeight="1">
      <c r="A1088" s="169"/>
      <c r="B1088" s="63"/>
      <c r="C1088" s="22" t="s">
        <v>53</v>
      </c>
      <c r="D1088" s="38" t="s">
        <v>171</v>
      </c>
      <c r="E1088" s="217" t="s">
        <v>4657</v>
      </c>
      <c r="F1088" s="217" t="s">
        <v>4658</v>
      </c>
      <c r="G1088" s="218" t="s">
        <v>4847</v>
      </c>
      <c r="H1088" s="173" t="s">
        <v>4884</v>
      </c>
      <c r="I1088" s="217" t="s">
        <v>6149</v>
      </c>
      <c r="J1088" s="217" t="s">
        <v>4660</v>
      </c>
      <c r="K1088" s="129" t="s">
        <v>5528</v>
      </c>
      <c r="L1088" s="38"/>
      <c r="M1088" s="56"/>
      <c r="N1088" s="56" t="b">
        <v>0</v>
      </c>
      <c r="O1088" s="56" t="b">
        <v>0</v>
      </c>
      <c r="P1088" s="56"/>
      <c r="Q1088" s="56"/>
      <c r="R1088" s="56"/>
      <c r="S1088" s="56"/>
      <c r="T1088" s="56"/>
      <c r="U1088" s="56"/>
      <c r="V1088" s="56"/>
      <c r="W1088" s="56"/>
      <c r="X1088" s="56"/>
      <c r="Y1088" s="56"/>
      <c r="Z1088" s="56"/>
      <c r="AA1088" s="56"/>
      <c r="AB1088" s="56"/>
    </row>
    <row r="1089" ht="15.75" customHeight="1">
      <c r="A1089" s="169"/>
      <c r="B1089" s="69"/>
      <c r="C1089" s="22" t="s">
        <v>53</v>
      </c>
      <c r="D1089" s="38"/>
      <c r="E1089" s="38"/>
      <c r="F1089" s="65"/>
      <c r="G1089" s="66"/>
      <c r="H1089" s="38"/>
      <c r="I1089" s="38"/>
      <c r="J1089" s="38"/>
      <c r="K1089" s="38"/>
      <c r="L1089" s="38"/>
      <c r="M1089" s="56"/>
      <c r="N1089" s="56" t="b">
        <v>0</v>
      </c>
      <c r="O1089" s="56" t="b">
        <v>0</v>
      </c>
      <c r="P1089" s="56"/>
      <c r="Q1089" s="56"/>
      <c r="R1089" s="56"/>
      <c r="S1089" s="56"/>
      <c r="T1089" s="56"/>
      <c r="U1089" s="56"/>
      <c r="V1089" s="56"/>
      <c r="W1089" s="56"/>
      <c r="X1089" s="56"/>
      <c r="Y1089" s="56"/>
      <c r="Z1089" s="56"/>
      <c r="AA1089" s="56"/>
      <c r="AB1089" s="56"/>
    </row>
    <row r="1090" ht="15.75" customHeight="1">
      <c r="A1090" s="169"/>
      <c r="B1090" s="219" t="s">
        <v>4836</v>
      </c>
      <c r="C1090" s="220">
        <v>44481.0</v>
      </c>
      <c r="D1090" s="38"/>
      <c r="E1090" s="38"/>
      <c r="F1090" s="65"/>
      <c r="G1090" s="66"/>
      <c r="H1090" s="38"/>
      <c r="I1090" s="38"/>
      <c r="J1090" s="38"/>
      <c r="K1090" s="38"/>
      <c r="L1090" s="38"/>
      <c r="M1090" s="56"/>
      <c r="N1090" s="56" t="b">
        <v>0</v>
      </c>
      <c r="O1090" s="56" t="b">
        <v>0</v>
      </c>
      <c r="P1090" s="56"/>
      <c r="Q1090" s="56"/>
      <c r="R1090" s="56"/>
      <c r="S1090" s="56"/>
      <c r="T1090" s="56"/>
      <c r="U1090" s="56"/>
      <c r="V1090" s="56"/>
      <c r="W1090" s="56"/>
      <c r="X1090" s="56"/>
      <c r="Y1090" s="56"/>
      <c r="Z1090" s="56"/>
      <c r="AA1090" s="56"/>
      <c r="AB1090" s="56"/>
    </row>
    <row r="1091" ht="15.75" customHeight="1">
      <c r="A1091" s="169"/>
      <c r="B1091" s="63"/>
      <c r="C1091" s="22"/>
      <c r="D1091" s="38"/>
      <c r="E1091" s="38"/>
      <c r="F1091" s="65"/>
      <c r="G1091" s="66"/>
      <c r="H1091" s="38"/>
      <c r="I1091" s="38"/>
      <c r="J1091" s="38"/>
      <c r="K1091" s="38"/>
      <c r="L1091" s="38"/>
      <c r="M1091" s="56"/>
      <c r="N1091" s="56" t="b">
        <v>0</v>
      </c>
      <c r="O1091" s="56" t="b">
        <v>0</v>
      </c>
      <c r="P1091" s="56"/>
      <c r="Q1091" s="56"/>
      <c r="R1091" s="56"/>
      <c r="S1091" s="56"/>
      <c r="T1091" s="56"/>
      <c r="U1091" s="56"/>
      <c r="V1091" s="56"/>
      <c r="W1091" s="56"/>
      <c r="X1091" s="56"/>
      <c r="Y1091" s="56"/>
      <c r="Z1091" s="56"/>
      <c r="AA1091" s="56"/>
      <c r="AB1091" s="56"/>
    </row>
    <row r="1092" ht="15.75" customHeight="1">
      <c r="A1092" s="169"/>
      <c r="B1092" s="63"/>
      <c r="C1092" s="22" t="s">
        <v>53</v>
      </c>
      <c r="D1092" s="38"/>
      <c r="E1092" s="38"/>
      <c r="F1092" s="65"/>
      <c r="G1092" s="66"/>
      <c r="H1092" s="38"/>
      <c r="I1092" s="38"/>
      <c r="J1092" s="38"/>
      <c r="K1092" s="38"/>
      <c r="L1092" s="38"/>
      <c r="M1092" s="56"/>
      <c r="N1092" s="56" t="b">
        <v>0</v>
      </c>
      <c r="O1092" s="56" t="b">
        <v>0</v>
      </c>
      <c r="P1092" s="56"/>
      <c r="Q1092" s="56"/>
      <c r="R1092" s="56"/>
      <c r="S1092" s="56"/>
      <c r="T1092" s="56"/>
      <c r="U1092" s="56"/>
      <c r="V1092" s="56"/>
      <c r="W1092" s="56"/>
      <c r="X1092" s="56"/>
      <c r="Y1092" s="56"/>
      <c r="Z1092" s="56"/>
      <c r="AA1092" s="56"/>
      <c r="AB1092" s="56"/>
    </row>
    <row r="1093" ht="15.75" customHeight="1">
      <c r="A1093" s="169"/>
      <c r="B1093" s="63"/>
      <c r="C1093" s="22" t="s">
        <v>53</v>
      </c>
      <c r="D1093" s="23" t="s">
        <v>87</v>
      </c>
      <c r="E1093" s="67" t="s">
        <v>1230</v>
      </c>
      <c r="F1093" s="67" t="s">
        <v>1231</v>
      </c>
      <c r="G1093" s="66" t="s">
        <v>5602</v>
      </c>
      <c r="H1093" s="38" t="s">
        <v>6150</v>
      </c>
      <c r="I1093" s="38" t="s">
        <v>6151</v>
      </c>
      <c r="J1093" s="125" t="s">
        <v>1234</v>
      </c>
      <c r="K1093" s="38"/>
      <c r="L1093" s="38"/>
      <c r="M1093" s="56"/>
      <c r="N1093" s="56" t="b">
        <v>0</v>
      </c>
      <c r="O1093" s="56" t="b">
        <v>0</v>
      </c>
      <c r="P1093" s="56"/>
      <c r="Q1093" s="56"/>
      <c r="R1093" s="56"/>
      <c r="S1093" s="56"/>
      <c r="T1093" s="56"/>
      <c r="U1093" s="56"/>
      <c r="V1093" s="56"/>
      <c r="W1093" s="56"/>
      <c r="X1093" s="56"/>
      <c r="Y1093" s="56"/>
      <c r="Z1093" s="56"/>
      <c r="AA1093" s="56"/>
      <c r="AB1093" s="56"/>
    </row>
    <row r="1094" ht="15.75" customHeight="1">
      <c r="A1094" s="169"/>
      <c r="B1094" s="63"/>
      <c r="C1094" s="22" t="s">
        <v>53</v>
      </c>
      <c r="D1094" s="23" t="s">
        <v>87</v>
      </c>
      <c r="E1094" s="67" t="s">
        <v>439</v>
      </c>
      <c r="F1094" s="67" t="s">
        <v>440</v>
      </c>
      <c r="G1094" s="66" t="s">
        <v>5461</v>
      </c>
      <c r="H1094" s="38" t="s">
        <v>6152</v>
      </c>
      <c r="I1094" s="38" t="s">
        <v>6153</v>
      </c>
      <c r="J1094" s="125" t="s">
        <v>443</v>
      </c>
      <c r="K1094" s="38"/>
      <c r="L1094" s="38"/>
      <c r="M1094" s="56"/>
      <c r="N1094" s="56" t="b">
        <v>0</v>
      </c>
      <c r="O1094" s="56" t="b">
        <v>0</v>
      </c>
      <c r="P1094" s="56"/>
      <c r="Q1094" s="56"/>
      <c r="R1094" s="56"/>
      <c r="S1094" s="56"/>
      <c r="T1094" s="56"/>
      <c r="U1094" s="56"/>
      <c r="V1094" s="56"/>
      <c r="W1094" s="56"/>
      <c r="X1094" s="56"/>
      <c r="Y1094" s="56"/>
      <c r="Z1094" s="56"/>
      <c r="AA1094" s="56"/>
      <c r="AB1094" s="56"/>
    </row>
    <row r="1095" ht="15.75" customHeight="1">
      <c r="A1095" s="169"/>
      <c r="B1095" s="63"/>
      <c r="C1095" s="22" t="s">
        <v>53</v>
      </c>
      <c r="D1095" s="23" t="s">
        <v>87</v>
      </c>
      <c r="E1095" s="67" t="s">
        <v>2140</v>
      </c>
      <c r="F1095" s="67" t="s">
        <v>2141</v>
      </c>
      <c r="G1095" s="66" t="s">
        <v>4914</v>
      </c>
      <c r="H1095" s="38" t="s">
        <v>6152</v>
      </c>
      <c r="I1095" s="38" t="s">
        <v>6154</v>
      </c>
      <c r="J1095" s="125" t="s">
        <v>2143</v>
      </c>
      <c r="K1095" s="38"/>
      <c r="L1095" s="38"/>
      <c r="M1095" s="56"/>
      <c r="N1095" s="56" t="b">
        <v>0</v>
      </c>
      <c r="O1095" s="56" t="b">
        <v>0</v>
      </c>
      <c r="P1095" s="56"/>
      <c r="Q1095" s="56"/>
      <c r="R1095" s="56"/>
      <c r="S1095" s="56"/>
      <c r="T1095" s="56"/>
      <c r="U1095" s="56"/>
      <c r="V1095" s="56"/>
      <c r="W1095" s="56"/>
      <c r="X1095" s="56"/>
      <c r="Y1095" s="56"/>
      <c r="Z1095" s="56"/>
      <c r="AA1095" s="56"/>
      <c r="AB1095" s="56"/>
    </row>
    <row r="1096" ht="15.75" customHeight="1">
      <c r="A1096" s="169"/>
      <c r="B1096" s="63"/>
      <c r="C1096" s="22" t="s">
        <v>53</v>
      </c>
      <c r="D1096" s="23" t="s">
        <v>87</v>
      </c>
      <c r="E1096" s="67" t="s">
        <v>610</v>
      </c>
      <c r="F1096" s="67" t="s">
        <v>611</v>
      </c>
      <c r="G1096" s="66" t="s">
        <v>4947</v>
      </c>
      <c r="H1096" s="38" t="s">
        <v>6155</v>
      </c>
      <c r="I1096" s="38" t="s">
        <v>6156</v>
      </c>
      <c r="J1096" s="87" t="s">
        <v>614</v>
      </c>
      <c r="K1096" s="38"/>
      <c r="L1096" s="38"/>
      <c r="M1096" s="56"/>
      <c r="N1096" s="56" t="b">
        <v>0</v>
      </c>
      <c r="O1096" s="56" t="b">
        <v>0</v>
      </c>
      <c r="P1096" s="56"/>
      <c r="Q1096" s="56"/>
      <c r="R1096" s="56"/>
      <c r="S1096" s="56"/>
      <c r="T1096" s="56"/>
      <c r="U1096" s="56"/>
      <c r="V1096" s="56"/>
      <c r="W1096" s="56"/>
      <c r="X1096" s="56"/>
      <c r="Y1096" s="56"/>
      <c r="Z1096" s="56"/>
      <c r="AA1096" s="56"/>
      <c r="AB1096" s="56"/>
    </row>
    <row r="1097" ht="15.75" customHeight="1">
      <c r="A1097" s="169"/>
      <c r="B1097" s="63"/>
      <c r="C1097" s="22" t="s">
        <v>53</v>
      </c>
      <c r="D1097" s="38"/>
      <c r="E1097" s="38"/>
      <c r="F1097" s="65"/>
      <c r="G1097" s="66"/>
      <c r="H1097" s="38"/>
      <c r="I1097" s="38"/>
      <c r="J1097" s="38"/>
      <c r="K1097" s="38"/>
      <c r="L1097" s="38"/>
      <c r="M1097" s="56"/>
      <c r="N1097" s="56" t="b">
        <v>0</v>
      </c>
      <c r="O1097" s="56" t="b">
        <v>0</v>
      </c>
      <c r="P1097" s="56"/>
      <c r="Q1097" s="56"/>
      <c r="R1097" s="56"/>
      <c r="S1097" s="56"/>
      <c r="T1097" s="56"/>
      <c r="U1097" s="56"/>
      <c r="V1097" s="56"/>
      <c r="W1097" s="56"/>
      <c r="X1097" s="56"/>
      <c r="Y1097" s="56"/>
      <c r="Z1097" s="56"/>
      <c r="AA1097" s="56"/>
      <c r="AB1097" s="56"/>
    </row>
    <row r="1098" ht="15.75" customHeight="1">
      <c r="A1098" s="169"/>
      <c r="B1098" s="69"/>
      <c r="C1098" s="22" t="s">
        <v>53</v>
      </c>
      <c r="D1098" s="38"/>
      <c r="E1098" s="38"/>
      <c r="F1098" s="65"/>
      <c r="G1098" s="66"/>
      <c r="H1098" s="38"/>
      <c r="I1098" s="38"/>
      <c r="J1098" s="38"/>
      <c r="K1098" s="38"/>
      <c r="L1098" s="38"/>
      <c r="M1098" s="56"/>
      <c r="N1098" s="56" t="b">
        <v>0</v>
      </c>
      <c r="O1098" s="56" t="b">
        <v>0</v>
      </c>
      <c r="P1098" s="56"/>
      <c r="Q1098" s="56"/>
      <c r="R1098" s="56"/>
      <c r="S1098" s="56"/>
      <c r="T1098" s="56"/>
      <c r="U1098" s="56"/>
      <c r="V1098" s="56"/>
      <c r="W1098" s="56"/>
      <c r="X1098" s="56"/>
      <c r="Y1098" s="56"/>
      <c r="Z1098" s="56"/>
      <c r="AA1098" s="56"/>
      <c r="AB1098" s="56"/>
    </row>
    <row r="1099" ht="15.75" customHeight="1">
      <c r="A1099" s="169"/>
      <c r="B1099" s="219" t="s">
        <v>4836</v>
      </c>
      <c r="C1099" s="220">
        <v>44482.0</v>
      </c>
      <c r="D1099" s="38"/>
      <c r="E1099" s="38"/>
      <c r="F1099" s="65"/>
      <c r="G1099" s="66"/>
      <c r="H1099" s="38"/>
      <c r="I1099" s="38"/>
      <c r="J1099" s="38"/>
      <c r="K1099" s="38"/>
      <c r="L1099" s="38"/>
      <c r="M1099" s="56"/>
      <c r="N1099" s="56" t="b">
        <v>0</v>
      </c>
      <c r="O1099" s="56" t="b">
        <v>0</v>
      </c>
      <c r="P1099" s="56"/>
      <c r="Q1099" s="56"/>
      <c r="R1099" s="56"/>
      <c r="S1099" s="56"/>
      <c r="T1099" s="56"/>
      <c r="U1099" s="56"/>
      <c r="V1099" s="56"/>
      <c r="W1099" s="56"/>
      <c r="X1099" s="56"/>
      <c r="Y1099" s="56"/>
      <c r="Z1099" s="56"/>
      <c r="AA1099" s="56"/>
      <c r="AB1099" s="56"/>
    </row>
    <row r="1100" ht="15.75" customHeight="1">
      <c r="A1100" s="169"/>
      <c r="B1100" s="63"/>
      <c r="C1100" s="22"/>
      <c r="D1100" s="38"/>
      <c r="E1100" s="38"/>
      <c r="F1100" s="65"/>
      <c r="G1100" s="66"/>
      <c r="H1100" s="38"/>
      <c r="I1100" s="38"/>
      <c r="J1100" s="38"/>
      <c r="K1100" s="38"/>
      <c r="L1100" s="38"/>
      <c r="M1100" s="56"/>
      <c r="N1100" s="56" t="b">
        <v>0</v>
      </c>
      <c r="O1100" s="56" t="b">
        <v>0</v>
      </c>
      <c r="P1100" s="56"/>
      <c r="Q1100" s="56"/>
      <c r="R1100" s="56"/>
      <c r="S1100" s="56"/>
      <c r="T1100" s="56"/>
      <c r="U1100" s="56"/>
      <c r="V1100" s="56"/>
      <c r="W1100" s="56"/>
      <c r="X1100" s="56"/>
      <c r="Y1100" s="56"/>
      <c r="Z1100" s="56"/>
      <c r="AA1100" s="56"/>
      <c r="AB1100" s="56"/>
    </row>
    <row r="1101" ht="15.75" customHeight="1">
      <c r="A1101" s="169"/>
      <c r="B1101" s="63"/>
      <c r="C1101" s="22" t="s">
        <v>53</v>
      </c>
      <c r="D1101" s="38"/>
      <c r="E1101" s="38"/>
      <c r="F1101" s="127" t="s">
        <v>6157</v>
      </c>
      <c r="G1101" s="66"/>
      <c r="H1101" s="38"/>
      <c r="I1101" s="38"/>
      <c r="J1101" s="38"/>
      <c r="K1101" s="38"/>
      <c r="L1101" s="38"/>
      <c r="M1101" s="56"/>
      <c r="N1101" s="56" t="b">
        <v>0</v>
      </c>
      <c r="O1101" s="56" t="b">
        <v>0</v>
      </c>
      <c r="P1101" s="56"/>
      <c r="Q1101" s="56"/>
      <c r="R1101" s="56"/>
      <c r="S1101" s="56"/>
      <c r="T1101" s="56"/>
      <c r="U1101" s="56"/>
      <c r="V1101" s="56"/>
      <c r="W1101" s="56"/>
      <c r="X1101" s="56"/>
      <c r="Y1101" s="56"/>
      <c r="Z1101" s="56"/>
      <c r="AA1101" s="56"/>
      <c r="AB1101" s="56"/>
    </row>
    <row r="1102" ht="15.75" customHeight="1">
      <c r="A1102" s="169"/>
      <c r="B1102" s="63"/>
      <c r="C1102" s="22" t="s">
        <v>53</v>
      </c>
      <c r="D1102" s="172" t="s">
        <v>87</v>
      </c>
      <c r="E1102" s="77" t="s">
        <v>2234</v>
      </c>
      <c r="F1102" s="77" t="s">
        <v>2235</v>
      </c>
      <c r="G1102" s="82" t="s">
        <v>5731</v>
      </c>
      <c r="H1102" s="76" t="s">
        <v>6158</v>
      </c>
      <c r="I1102" s="76" t="s">
        <v>6159</v>
      </c>
      <c r="J1102" s="97" t="s">
        <v>2237</v>
      </c>
      <c r="K1102" s="38" t="s">
        <v>6160</v>
      </c>
      <c r="L1102" s="38"/>
      <c r="M1102" s="56"/>
      <c r="N1102" s="56" t="b">
        <v>0</v>
      </c>
      <c r="O1102" s="56" t="b">
        <v>0</v>
      </c>
      <c r="P1102" s="56"/>
      <c r="Q1102" s="56"/>
      <c r="R1102" s="56"/>
      <c r="S1102" s="56"/>
      <c r="T1102" s="56"/>
      <c r="U1102" s="56"/>
      <c r="V1102" s="56"/>
      <c r="W1102" s="56"/>
      <c r="X1102" s="56"/>
      <c r="Y1102" s="56"/>
      <c r="Z1102" s="56"/>
      <c r="AA1102" s="56"/>
      <c r="AB1102" s="56"/>
    </row>
    <row r="1103" ht="15.75" customHeight="1">
      <c r="A1103" s="169"/>
      <c r="B1103" s="63"/>
      <c r="C1103" s="22" t="s">
        <v>53</v>
      </c>
      <c r="D1103" s="76" t="s">
        <v>171</v>
      </c>
      <c r="E1103" s="77" t="s">
        <v>3852</v>
      </c>
      <c r="F1103" s="77" t="s">
        <v>3853</v>
      </c>
      <c r="G1103" s="82" t="s">
        <v>4856</v>
      </c>
      <c r="H1103" s="76" t="s">
        <v>6161</v>
      </c>
      <c r="I1103" s="202" t="s">
        <v>6162</v>
      </c>
      <c r="J1103" s="77" t="s">
        <v>3855</v>
      </c>
      <c r="K1103" s="38" t="s">
        <v>6163</v>
      </c>
      <c r="L1103" s="38"/>
      <c r="M1103" s="56"/>
      <c r="N1103" s="56" t="b">
        <v>0</v>
      </c>
      <c r="O1103" s="56" t="b">
        <v>0</v>
      </c>
      <c r="P1103" s="56"/>
      <c r="Q1103" s="56"/>
      <c r="R1103" s="56"/>
      <c r="S1103" s="56"/>
      <c r="T1103" s="56"/>
      <c r="U1103" s="56"/>
      <c r="V1103" s="56"/>
      <c r="W1103" s="56"/>
      <c r="X1103" s="56"/>
      <c r="Y1103" s="56"/>
      <c r="Z1103" s="56"/>
      <c r="AA1103" s="56"/>
      <c r="AB1103" s="56"/>
    </row>
    <row r="1104" ht="15.75" customHeight="1">
      <c r="A1104" s="169"/>
      <c r="B1104" s="63"/>
      <c r="C1104" s="22" t="s">
        <v>53</v>
      </c>
      <c r="D1104" s="23" t="s">
        <v>87</v>
      </c>
      <c r="E1104" s="67" t="s">
        <v>3074</v>
      </c>
      <c r="F1104" s="67" t="s">
        <v>3075</v>
      </c>
      <c r="G1104" s="66" t="s">
        <v>5461</v>
      </c>
      <c r="H1104" s="38" t="s">
        <v>5259</v>
      </c>
      <c r="I1104" s="38" t="s">
        <v>6164</v>
      </c>
      <c r="J1104" s="125" t="s">
        <v>3077</v>
      </c>
      <c r="K1104" s="38"/>
      <c r="L1104" s="38"/>
      <c r="M1104" s="56"/>
      <c r="N1104" s="56" t="b">
        <v>0</v>
      </c>
      <c r="O1104" s="56" t="b">
        <v>0</v>
      </c>
      <c r="P1104" s="56"/>
      <c r="Q1104" s="56"/>
      <c r="R1104" s="56"/>
      <c r="S1104" s="56"/>
      <c r="T1104" s="56"/>
      <c r="U1104" s="56"/>
      <c r="V1104" s="56"/>
      <c r="W1104" s="56"/>
      <c r="X1104" s="56"/>
      <c r="Y1104" s="56"/>
      <c r="Z1104" s="56"/>
      <c r="AA1104" s="56"/>
      <c r="AB1104" s="56"/>
    </row>
    <row r="1105" ht="15.75" customHeight="1">
      <c r="A1105" s="169"/>
      <c r="B1105" s="63"/>
      <c r="C1105" s="22" t="s">
        <v>53</v>
      </c>
      <c r="D1105" s="172" t="s">
        <v>87</v>
      </c>
      <c r="E1105" s="77" t="s">
        <v>535</v>
      </c>
      <c r="F1105" s="77" t="s">
        <v>536</v>
      </c>
      <c r="G1105" s="82" t="s">
        <v>4914</v>
      </c>
      <c r="H1105" s="224" t="s">
        <v>6165</v>
      </c>
      <c r="I1105" s="76" t="s">
        <v>6166</v>
      </c>
      <c r="J1105" s="97" t="s">
        <v>539</v>
      </c>
      <c r="K1105" s="38" t="s">
        <v>6167</v>
      </c>
      <c r="L1105" s="38"/>
      <c r="M1105" s="56"/>
      <c r="N1105" s="56" t="b">
        <v>0</v>
      </c>
      <c r="O1105" s="56" t="b">
        <v>0</v>
      </c>
      <c r="P1105" s="56"/>
      <c r="Q1105" s="56"/>
      <c r="R1105" s="56"/>
      <c r="S1105" s="56"/>
      <c r="T1105" s="56"/>
      <c r="U1105" s="56"/>
      <c r="V1105" s="56"/>
      <c r="W1105" s="56"/>
      <c r="X1105" s="56"/>
      <c r="Y1105" s="56"/>
      <c r="Z1105" s="56"/>
      <c r="AA1105" s="56"/>
      <c r="AB1105" s="56"/>
    </row>
    <row r="1106" ht="15.75" customHeight="1">
      <c r="A1106" s="169"/>
      <c r="B1106" s="63"/>
      <c r="C1106" s="22" t="s">
        <v>53</v>
      </c>
      <c r="D1106" s="38"/>
      <c r="E1106" s="38"/>
      <c r="F1106" s="65"/>
      <c r="G1106" s="66"/>
      <c r="H1106" s="38"/>
      <c r="I1106" s="38"/>
      <c r="J1106" s="38"/>
      <c r="K1106" s="38"/>
      <c r="L1106" s="38"/>
      <c r="M1106" s="56"/>
      <c r="N1106" s="56" t="b">
        <v>0</v>
      </c>
      <c r="O1106" s="56" t="b">
        <v>0</v>
      </c>
      <c r="P1106" s="56"/>
      <c r="Q1106" s="56"/>
      <c r="R1106" s="56"/>
      <c r="S1106" s="56"/>
      <c r="T1106" s="56"/>
      <c r="U1106" s="56"/>
      <c r="V1106" s="56"/>
      <c r="W1106" s="56"/>
      <c r="X1106" s="56"/>
      <c r="Y1106" s="56"/>
      <c r="Z1106" s="56"/>
      <c r="AA1106" s="56"/>
      <c r="AB1106" s="56"/>
    </row>
    <row r="1107" ht="15.75" customHeight="1">
      <c r="A1107" s="169"/>
      <c r="B1107" s="69"/>
      <c r="C1107" s="22" t="s">
        <v>53</v>
      </c>
      <c r="D1107" s="38"/>
      <c r="E1107" s="38"/>
      <c r="F1107" s="65"/>
      <c r="G1107" s="66"/>
      <c r="H1107" s="38"/>
      <c r="I1107" s="38"/>
      <c r="J1107" s="38"/>
      <c r="K1107" s="38"/>
      <c r="L1107" s="38"/>
      <c r="M1107" s="56"/>
      <c r="N1107" s="56" t="b">
        <v>0</v>
      </c>
      <c r="O1107" s="56" t="b">
        <v>0</v>
      </c>
      <c r="P1107" s="56"/>
      <c r="Q1107" s="56"/>
      <c r="R1107" s="56"/>
      <c r="S1107" s="56"/>
      <c r="T1107" s="56"/>
      <c r="U1107" s="56"/>
      <c r="V1107" s="56"/>
      <c r="W1107" s="56"/>
      <c r="X1107" s="56"/>
      <c r="Y1107" s="56"/>
      <c r="Z1107" s="56"/>
      <c r="AA1107" s="56"/>
      <c r="AB1107" s="56"/>
    </row>
    <row r="1108" ht="15.75" customHeight="1">
      <c r="A1108" s="169"/>
      <c r="B1108" s="225" t="s">
        <v>6168</v>
      </c>
      <c r="C1108" s="226"/>
      <c r="D1108" s="38"/>
      <c r="E1108" s="38"/>
      <c r="F1108" s="65"/>
      <c r="G1108" s="66"/>
      <c r="H1108" s="38"/>
      <c r="I1108" s="38"/>
      <c r="J1108" s="38"/>
      <c r="K1108" s="38"/>
      <c r="L1108" s="38"/>
      <c r="M1108" s="56"/>
      <c r="N1108" s="56" t="b">
        <v>0</v>
      </c>
      <c r="O1108" s="56" t="b">
        <v>0</v>
      </c>
      <c r="P1108" s="56"/>
      <c r="Q1108" s="56"/>
      <c r="R1108" s="56"/>
      <c r="S1108" s="56"/>
      <c r="T1108" s="56"/>
      <c r="U1108" s="56"/>
      <c r="V1108" s="56"/>
      <c r="W1108" s="56"/>
      <c r="X1108" s="56"/>
      <c r="Y1108" s="56"/>
      <c r="Z1108" s="56"/>
      <c r="AA1108" s="56"/>
      <c r="AB1108" s="56"/>
    </row>
    <row r="1109" ht="15.75" customHeight="1">
      <c r="A1109" s="169"/>
      <c r="B1109" s="63"/>
      <c r="C1109" s="22"/>
      <c r="D1109" s="38"/>
      <c r="E1109" s="38"/>
      <c r="F1109" s="65"/>
      <c r="G1109" s="66"/>
      <c r="H1109" s="38"/>
      <c r="I1109" s="38"/>
      <c r="J1109" s="38"/>
      <c r="K1109" s="38"/>
      <c r="L1109" s="38"/>
      <c r="M1109" s="56"/>
      <c r="N1109" s="56" t="b">
        <v>0</v>
      </c>
      <c r="O1109" s="56" t="b">
        <v>0</v>
      </c>
      <c r="P1109" s="56"/>
      <c r="Q1109" s="56"/>
      <c r="R1109" s="56"/>
      <c r="S1109" s="56"/>
      <c r="T1109" s="56"/>
      <c r="U1109" s="56"/>
      <c r="V1109" s="56"/>
      <c r="W1109" s="56"/>
      <c r="X1109" s="56"/>
      <c r="Y1109" s="56"/>
      <c r="Z1109" s="56"/>
      <c r="AA1109" s="56"/>
      <c r="AB1109" s="56"/>
    </row>
    <row r="1110" ht="15.75" customHeight="1">
      <c r="A1110" s="169"/>
      <c r="B1110" s="63"/>
      <c r="C1110" s="22" t="s">
        <v>66</v>
      </c>
      <c r="D1110" s="38"/>
      <c r="E1110" s="38"/>
      <c r="F1110" s="65"/>
      <c r="G1110" s="66"/>
      <c r="H1110" s="38"/>
      <c r="I1110" s="38"/>
      <c r="J1110" s="38"/>
      <c r="K1110" s="38"/>
      <c r="L1110" s="38"/>
      <c r="M1110" s="56"/>
      <c r="N1110" s="56" t="b">
        <v>0</v>
      </c>
      <c r="O1110" s="56" t="b">
        <v>0</v>
      </c>
      <c r="P1110" s="56"/>
      <c r="Q1110" s="56"/>
      <c r="R1110" s="56"/>
      <c r="S1110" s="56"/>
      <c r="T1110" s="56"/>
      <c r="U1110" s="56"/>
      <c r="V1110" s="56"/>
      <c r="W1110" s="56"/>
      <c r="X1110" s="56"/>
      <c r="Y1110" s="56"/>
      <c r="Z1110" s="56"/>
      <c r="AA1110" s="56"/>
      <c r="AB1110" s="56"/>
    </row>
    <row r="1111" ht="15.75" customHeight="1">
      <c r="A1111" s="169"/>
      <c r="B1111" s="63"/>
      <c r="C1111" s="22" t="s">
        <v>66</v>
      </c>
      <c r="D1111" s="23" t="s">
        <v>87</v>
      </c>
      <c r="E1111" s="67" t="s">
        <v>1569</v>
      </c>
      <c r="F1111" s="67" t="s">
        <v>1570</v>
      </c>
      <c r="G1111" s="66" t="s">
        <v>4926</v>
      </c>
      <c r="H1111" s="38" t="s">
        <v>6103</v>
      </c>
      <c r="I1111" s="38" t="s">
        <v>6169</v>
      </c>
      <c r="J1111" s="125" t="s">
        <v>1572</v>
      </c>
      <c r="K1111" s="38"/>
      <c r="L1111" s="38"/>
      <c r="M1111" s="56"/>
      <c r="N1111" s="56" t="b">
        <v>0</v>
      </c>
      <c r="O1111" s="56" t="b">
        <v>0</v>
      </c>
      <c r="P1111" s="56"/>
      <c r="Q1111" s="56"/>
      <c r="R1111" s="56"/>
      <c r="S1111" s="56"/>
      <c r="T1111" s="56"/>
      <c r="U1111" s="56"/>
      <c r="V1111" s="56"/>
      <c r="W1111" s="56"/>
      <c r="X1111" s="56"/>
      <c r="Y1111" s="56"/>
      <c r="Z1111" s="56"/>
      <c r="AA1111" s="56"/>
      <c r="AB1111" s="56"/>
    </row>
    <row r="1112" ht="15.75" customHeight="1">
      <c r="A1112" s="169"/>
      <c r="B1112" s="63"/>
      <c r="C1112" s="22" t="s">
        <v>66</v>
      </c>
      <c r="D1112" s="172" t="s">
        <v>87</v>
      </c>
      <c r="E1112" s="77" t="s">
        <v>6170</v>
      </c>
      <c r="F1112" s="77" t="s">
        <v>6171</v>
      </c>
      <c r="G1112" s="82" t="s">
        <v>4938</v>
      </c>
      <c r="H1112" s="76" t="s">
        <v>6080</v>
      </c>
      <c r="I1112" s="76" t="s">
        <v>6172</v>
      </c>
      <c r="J1112" s="97" t="s">
        <v>6173</v>
      </c>
      <c r="K1112" s="38" t="s">
        <v>6174</v>
      </c>
      <c r="L1112" s="38"/>
      <c r="M1112" s="56"/>
      <c r="N1112" s="56" t="b">
        <v>0</v>
      </c>
      <c r="O1112" s="56" t="b">
        <v>0</v>
      </c>
      <c r="P1112" s="56"/>
      <c r="Q1112" s="56"/>
      <c r="R1112" s="56"/>
      <c r="S1112" s="56"/>
      <c r="T1112" s="56"/>
      <c r="U1112" s="56"/>
      <c r="V1112" s="56"/>
      <c r="W1112" s="56"/>
      <c r="X1112" s="56"/>
      <c r="Y1112" s="56"/>
      <c r="Z1112" s="56"/>
      <c r="AA1112" s="56"/>
      <c r="AB1112" s="56"/>
    </row>
    <row r="1113" ht="15.75" customHeight="1">
      <c r="A1113" s="169"/>
      <c r="B1113" s="63"/>
      <c r="C1113" s="22" t="s">
        <v>66</v>
      </c>
      <c r="D1113" s="23" t="s">
        <v>87</v>
      </c>
      <c r="E1113" s="67" t="s">
        <v>2013</v>
      </c>
      <c r="F1113" s="67" t="s">
        <v>2014</v>
      </c>
      <c r="G1113" s="66" t="s">
        <v>5870</v>
      </c>
      <c r="H1113" s="39" t="s">
        <v>6175</v>
      </c>
      <c r="I1113" s="38" t="s">
        <v>6176</v>
      </c>
      <c r="J1113" s="125" t="s">
        <v>2016</v>
      </c>
      <c r="K1113" s="38"/>
      <c r="L1113" s="38"/>
      <c r="M1113" s="56"/>
      <c r="N1113" s="56" t="b">
        <v>0</v>
      </c>
      <c r="O1113" s="56" t="b">
        <v>0</v>
      </c>
      <c r="P1113" s="56"/>
      <c r="Q1113" s="56"/>
      <c r="R1113" s="56"/>
      <c r="S1113" s="56"/>
      <c r="T1113" s="56"/>
      <c r="U1113" s="56"/>
      <c r="V1113" s="56"/>
      <c r="W1113" s="56"/>
      <c r="X1113" s="56"/>
      <c r="Y1113" s="56"/>
      <c r="Z1113" s="56"/>
      <c r="AA1113" s="56"/>
      <c r="AB1113" s="56"/>
    </row>
    <row r="1114" ht="15.75" customHeight="1">
      <c r="A1114" s="169"/>
      <c r="B1114" s="63"/>
      <c r="C1114" s="22" t="s">
        <v>66</v>
      </c>
      <c r="D1114" s="23" t="s">
        <v>87</v>
      </c>
      <c r="E1114" s="67" t="s">
        <v>6177</v>
      </c>
      <c r="F1114" s="67" t="s">
        <v>575</v>
      </c>
      <c r="G1114" s="66" t="s">
        <v>5461</v>
      </c>
      <c r="H1114" s="38" t="s">
        <v>5191</v>
      </c>
      <c r="I1114" s="38" t="s">
        <v>6178</v>
      </c>
      <c r="J1114" s="125" t="s">
        <v>577</v>
      </c>
      <c r="K1114" s="38"/>
      <c r="L1114" s="38"/>
      <c r="M1114" s="56"/>
      <c r="N1114" s="56" t="b">
        <v>0</v>
      </c>
      <c r="O1114" s="56" t="b">
        <v>0</v>
      </c>
      <c r="P1114" s="56"/>
      <c r="Q1114" s="56"/>
      <c r="R1114" s="56"/>
      <c r="S1114" s="56"/>
      <c r="T1114" s="56"/>
      <c r="U1114" s="56"/>
      <c r="V1114" s="56"/>
      <c r="W1114" s="56"/>
      <c r="X1114" s="56"/>
      <c r="Y1114" s="56"/>
      <c r="Z1114" s="56"/>
      <c r="AA1114" s="56"/>
      <c r="AB1114" s="56"/>
    </row>
    <row r="1115" ht="15.75" customHeight="1">
      <c r="A1115" s="169"/>
      <c r="B1115" s="63"/>
      <c r="C1115" s="22" t="s">
        <v>66</v>
      </c>
      <c r="D1115" s="227" t="s">
        <v>87</v>
      </c>
      <c r="E1115" s="60" t="s">
        <v>6179</v>
      </c>
      <c r="F1115" s="60" t="s">
        <v>6180</v>
      </c>
      <c r="G1115" s="73" t="s">
        <v>4914</v>
      </c>
      <c r="H1115" s="62" t="s">
        <v>4935</v>
      </c>
      <c r="I1115" s="62" t="s">
        <v>6181</v>
      </c>
      <c r="J1115" s="83" t="s">
        <v>6182</v>
      </c>
      <c r="K1115" s="38"/>
      <c r="L1115" s="38"/>
      <c r="M1115" s="56"/>
      <c r="N1115" s="56" t="b">
        <v>0</v>
      </c>
      <c r="O1115" s="56" t="b">
        <v>0</v>
      </c>
      <c r="P1115" s="56"/>
      <c r="Q1115" s="56"/>
      <c r="R1115" s="56"/>
      <c r="S1115" s="56"/>
      <c r="T1115" s="56"/>
      <c r="U1115" s="56"/>
      <c r="V1115" s="56"/>
      <c r="W1115" s="56"/>
      <c r="X1115" s="56"/>
      <c r="Y1115" s="56"/>
      <c r="Z1115" s="56"/>
      <c r="AA1115" s="56"/>
      <c r="AB1115" s="56"/>
    </row>
    <row r="1116" ht="15.75" customHeight="1">
      <c r="A1116" s="169"/>
      <c r="B1116" s="63"/>
      <c r="C1116" s="22" t="s">
        <v>66</v>
      </c>
      <c r="D1116" s="23" t="s">
        <v>87</v>
      </c>
      <c r="E1116" s="67" t="s">
        <v>4244</v>
      </c>
      <c r="F1116" s="67" t="s">
        <v>4245</v>
      </c>
      <c r="G1116" s="66" t="s">
        <v>4883</v>
      </c>
      <c r="H1116" s="38" t="s">
        <v>6175</v>
      </c>
      <c r="I1116" s="38" t="s">
        <v>6183</v>
      </c>
      <c r="J1116" s="125" t="s">
        <v>4247</v>
      </c>
      <c r="K1116" s="38"/>
      <c r="L1116" s="38"/>
      <c r="M1116" s="56"/>
      <c r="N1116" s="56" t="b">
        <v>0</v>
      </c>
      <c r="O1116" s="56" t="b">
        <v>0</v>
      </c>
      <c r="P1116" s="56"/>
      <c r="Q1116" s="56"/>
      <c r="R1116" s="56"/>
      <c r="S1116" s="56"/>
      <c r="T1116" s="56"/>
      <c r="U1116" s="56"/>
      <c r="V1116" s="56"/>
      <c r="W1116" s="56"/>
      <c r="X1116" s="56"/>
      <c r="Y1116" s="56"/>
      <c r="Z1116" s="56"/>
      <c r="AA1116" s="56"/>
      <c r="AB1116" s="56"/>
    </row>
    <row r="1117" ht="15.75" customHeight="1">
      <c r="A1117" s="169"/>
      <c r="B1117" s="69"/>
      <c r="C1117" s="22"/>
      <c r="D1117" s="23" t="s">
        <v>171</v>
      </c>
      <c r="E1117" s="10" t="s">
        <v>428</v>
      </c>
      <c r="F1117" s="10" t="s">
        <v>429</v>
      </c>
      <c r="G1117" s="66" t="s">
        <v>4892</v>
      </c>
      <c r="H1117" s="38" t="s">
        <v>6103</v>
      </c>
      <c r="I1117" s="10" t="s">
        <v>6184</v>
      </c>
      <c r="J1117" s="125" t="s">
        <v>6185</v>
      </c>
      <c r="K1117" s="38" t="s">
        <v>6186</v>
      </c>
      <c r="L1117" s="38"/>
      <c r="M1117" s="56"/>
      <c r="N1117" s="56" t="b">
        <v>0</v>
      </c>
      <c r="O1117" s="56" t="b">
        <v>0</v>
      </c>
      <c r="P1117" s="56"/>
      <c r="Q1117" s="56"/>
      <c r="R1117" s="56"/>
      <c r="S1117" s="56"/>
      <c r="T1117" s="56"/>
      <c r="U1117" s="56"/>
      <c r="V1117" s="56"/>
      <c r="W1117" s="56"/>
      <c r="X1117" s="56"/>
      <c r="Y1117" s="56"/>
      <c r="Z1117" s="56"/>
      <c r="AA1117" s="56"/>
      <c r="AB1117" s="56"/>
    </row>
    <row r="1118" ht="15.75" customHeight="1">
      <c r="A1118" s="169"/>
      <c r="B1118" s="219" t="s">
        <v>4836</v>
      </c>
      <c r="C1118" s="220">
        <v>44483.0</v>
      </c>
      <c r="D1118" s="38"/>
      <c r="E1118" s="38"/>
      <c r="F1118" s="65"/>
      <c r="G1118" s="66"/>
      <c r="H1118" s="38"/>
      <c r="I1118" s="38"/>
      <c r="J1118" s="38"/>
      <c r="K1118" s="38"/>
      <c r="L1118" s="38"/>
      <c r="M1118" s="56"/>
      <c r="N1118" s="56" t="b">
        <v>0</v>
      </c>
      <c r="O1118" s="56" t="b">
        <v>0</v>
      </c>
      <c r="P1118" s="56"/>
      <c r="Q1118" s="56"/>
      <c r="R1118" s="56"/>
      <c r="S1118" s="56"/>
      <c r="T1118" s="56"/>
      <c r="U1118" s="56"/>
      <c r="V1118" s="56"/>
      <c r="W1118" s="56"/>
      <c r="X1118" s="56"/>
      <c r="Y1118" s="56"/>
      <c r="Z1118" s="56"/>
      <c r="AA1118" s="56"/>
      <c r="AB1118" s="56"/>
    </row>
    <row r="1119" ht="15.75" customHeight="1">
      <c r="A1119" s="169"/>
      <c r="B1119" s="63"/>
      <c r="C1119" s="22"/>
      <c r="D1119" s="38"/>
      <c r="E1119" s="38"/>
      <c r="F1119" s="65"/>
      <c r="G1119" s="66"/>
      <c r="H1119" s="38"/>
      <c r="I1119" s="38"/>
      <c r="J1119" s="38"/>
      <c r="K1119" s="38"/>
      <c r="L1119" s="38"/>
      <c r="M1119" s="56"/>
      <c r="N1119" s="56" t="b">
        <v>0</v>
      </c>
      <c r="O1119" s="56" t="b">
        <v>0</v>
      </c>
      <c r="P1119" s="56"/>
      <c r="Q1119" s="56"/>
      <c r="R1119" s="56"/>
      <c r="S1119" s="56"/>
      <c r="T1119" s="56"/>
      <c r="U1119" s="56"/>
      <c r="V1119" s="56"/>
      <c r="W1119" s="56"/>
      <c r="X1119" s="56"/>
      <c r="Y1119" s="56"/>
      <c r="Z1119" s="56"/>
      <c r="AA1119" s="56"/>
      <c r="AB1119" s="56"/>
    </row>
    <row r="1120" ht="15.75" customHeight="1">
      <c r="A1120" s="169"/>
      <c r="B1120" s="63"/>
      <c r="C1120" s="22" t="s">
        <v>53</v>
      </c>
      <c r="D1120" s="31"/>
      <c r="E1120" s="228"/>
      <c r="F1120" s="228"/>
      <c r="G1120" s="229"/>
      <c r="H1120" s="228"/>
      <c r="I1120" s="228"/>
      <c r="J1120" s="228"/>
      <c r="K1120" s="38"/>
      <c r="L1120" s="38"/>
      <c r="M1120" s="56"/>
      <c r="N1120" s="56" t="b">
        <v>0</v>
      </c>
      <c r="O1120" s="56" t="b">
        <v>0</v>
      </c>
      <c r="P1120" s="56"/>
      <c r="Q1120" s="56"/>
      <c r="R1120" s="56"/>
      <c r="S1120" s="56"/>
      <c r="T1120" s="56"/>
      <c r="U1120" s="56"/>
      <c r="V1120" s="56"/>
      <c r="W1120" s="56"/>
      <c r="X1120" s="56"/>
      <c r="Y1120" s="56"/>
      <c r="Z1120" s="56"/>
      <c r="AA1120" s="56"/>
      <c r="AB1120" s="56"/>
    </row>
    <row r="1121" ht="15.75" customHeight="1">
      <c r="A1121" s="169"/>
      <c r="B1121" s="63"/>
      <c r="C1121" s="22" t="s">
        <v>53</v>
      </c>
      <c r="D1121" s="230" t="s">
        <v>52</v>
      </c>
      <c r="E1121" s="231" t="s">
        <v>3829</v>
      </c>
      <c r="F1121" s="231" t="s">
        <v>3830</v>
      </c>
      <c r="G1121" s="232" t="s">
        <v>5704</v>
      </c>
      <c r="H1121" s="233" t="s">
        <v>5044</v>
      </c>
      <c r="I1121" s="233" t="s">
        <v>6187</v>
      </c>
      <c r="J1121" s="231" t="s">
        <v>3832</v>
      </c>
      <c r="K1121" s="38"/>
      <c r="L1121" s="38"/>
      <c r="M1121" s="56"/>
      <c r="N1121" s="56" t="b">
        <v>0</v>
      </c>
      <c r="O1121" s="56" t="b">
        <v>0</v>
      </c>
      <c r="P1121" s="56"/>
      <c r="Q1121" s="56"/>
      <c r="R1121" s="56"/>
      <c r="S1121" s="56"/>
      <c r="T1121" s="56"/>
      <c r="U1121" s="56"/>
      <c r="V1121" s="56"/>
      <c r="W1121" s="56"/>
      <c r="X1121" s="56"/>
      <c r="Y1121" s="56"/>
      <c r="Z1121" s="56"/>
      <c r="AA1121" s="56"/>
      <c r="AB1121" s="56"/>
    </row>
    <row r="1122" ht="15.75" customHeight="1">
      <c r="A1122" s="169"/>
      <c r="B1122" s="63"/>
      <c r="C1122" s="22" t="s">
        <v>53</v>
      </c>
      <c r="D1122" s="234" t="s">
        <v>52</v>
      </c>
      <c r="E1122" s="235" t="s">
        <v>1573</v>
      </c>
      <c r="F1122" s="235" t="s">
        <v>1574</v>
      </c>
      <c r="G1122" s="236" t="s">
        <v>5134</v>
      </c>
      <c r="H1122" s="22" t="s">
        <v>6188</v>
      </c>
      <c r="I1122" s="22" t="s">
        <v>6189</v>
      </c>
      <c r="J1122" s="22" t="s">
        <v>1576</v>
      </c>
      <c r="K1122" s="38"/>
      <c r="L1122" s="38"/>
      <c r="M1122" s="56"/>
      <c r="N1122" s="56" t="b">
        <v>0</v>
      </c>
      <c r="O1122" s="56" t="b">
        <v>0</v>
      </c>
      <c r="P1122" s="56"/>
      <c r="Q1122" s="56"/>
      <c r="R1122" s="56"/>
      <c r="S1122" s="56"/>
      <c r="T1122" s="56"/>
      <c r="U1122" s="56"/>
      <c r="V1122" s="56"/>
      <c r="W1122" s="56"/>
      <c r="X1122" s="56"/>
      <c r="Y1122" s="56"/>
      <c r="Z1122" s="56"/>
      <c r="AA1122" s="56"/>
      <c r="AB1122" s="56"/>
    </row>
    <row r="1123" ht="15.75" customHeight="1">
      <c r="A1123" s="169"/>
      <c r="B1123" s="63"/>
      <c r="C1123" s="22" t="s">
        <v>53</v>
      </c>
      <c r="D1123" s="234" t="s">
        <v>52</v>
      </c>
      <c r="E1123" s="67" t="s">
        <v>6190</v>
      </c>
      <c r="F1123" s="67" t="s">
        <v>5769</v>
      </c>
      <c r="G1123" s="222" t="s">
        <v>5160</v>
      </c>
      <c r="H1123" s="22" t="s">
        <v>5001</v>
      </c>
      <c r="I1123" s="22" t="s">
        <v>6191</v>
      </c>
      <c r="J1123" s="10" t="s">
        <v>5771</v>
      </c>
      <c r="K1123" s="38"/>
      <c r="L1123" s="38"/>
      <c r="M1123" s="56"/>
      <c r="N1123" s="56" t="b">
        <v>0</v>
      </c>
      <c r="O1123" s="56" t="b">
        <v>0</v>
      </c>
      <c r="P1123" s="56"/>
      <c r="Q1123" s="56"/>
      <c r="R1123" s="56"/>
      <c r="S1123" s="56"/>
      <c r="T1123" s="56"/>
      <c r="U1123" s="56"/>
      <c r="V1123" s="56"/>
      <c r="W1123" s="56"/>
      <c r="X1123" s="56"/>
      <c r="Y1123" s="56"/>
      <c r="Z1123" s="56"/>
      <c r="AA1123" s="56"/>
      <c r="AB1123" s="56"/>
    </row>
    <row r="1124" ht="15.75" customHeight="1">
      <c r="A1124" s="169"/>
      <c r="B1124" s="63"/>
      <c r="C1124" s="22" t="s">
        <v>53</v>
      </c>
      <c r="D1124" s="234" t="s">
        <v>52</v>
      </c>
      <c r="E1124" s="215" t="s">
        <v>1654</v>
      </c>
      <c r="F1124" s="215" t="s">
        <v>1655</v>
      </c>
      <c r="G1124" s="236" t="s">
        <v>4858</v>
      </c>
      <c r="H1124" s="22" t="s">
        <v>5055</v>
      </c>
      <c r="I1124" s="22" t="s">
        <v>6192</v>
      </c>
      <c r="J1124" s="235" t="s">
        <v>1657</v>
      </c>
      <c r="K1124" s="38"/>
      <c r="L1124" s="38"/>
      <c r="M1124" s="56"/>
      <c r="N1124" s="56" t="b">
        <v>0</v>
      </c>
      <c r="O1124" s="56" t="b">
        <v>0</v>
      </c>
      <c r="P1124" s="56"/>
      <c r="Q1124" s="56"/>
      <c r="R1124" s="56"/>
      <c r="S1124" s="56"/>
      <c r="T1124" s="56"/>
      <c r="U1124" s="56"/>
      <c r="V1124" s="56"/>
      <c r="W1124" s="56"/>
      <c r="X1124" s="56"/>
      <c r="Y1124" s="56"/>
      <c r="Z1124" s="56"/>
      <c r="AA1124" s="56"/>
      <c r="AB1124" s="56"/>
    </row>
    <row r="1125" ht="15.75" customHeight="1">
      <c r="A1125" s="169"/>
      <c r="B1125" s="63"/>
      <c r="C1125" s="22" t="s">
        <v>53</v>
      </c>
      <c r="D1125" s="234"/>
      <c r="E1125" s="22"/>
      <c r="F1125" s="22"/>
      <c r="G1125" s="236"/>
      <c r="H1125" s="22"/>
      <c r="I1125" s="22"/>
      <c r="J1125" s="22"/>
      <c r="K1125" s="38"/>
      <c r="L1125" s="38"/>
      <c r="M1125" s="56"/>
      <c r="N1125" s="56" t="b">
        <v>0</v>
      </c>
      <c r="O1125" s="56" t="b">
        <v>0</v>
      </c>
      <c r="P1125" s="56"/>
      <c r="Q1125" s="56"/>
      <c r="R1125" s="56"/>
      <c r="S1125" s="56"/>
      <c r="T1125" s="56"/>
      <c r="U1125" s="56"/>
      <c r="V1125" s="56"/>
      <c r="W1125" s="56"/>
      <c r="X1125" s="56"/>
      <c r="Y1125" s="56"/>
      <c r="Z1125" s="56"/>
      <c r="AA1125" s="56"/>
      <c r="AB1125" s="56"/>
    </row>
    <row r="1126" ht="15.75" customHeight="1">
      <c r="A1126" s="169"/>
      <c r="B1126" s="69"/>
      <c r="C1126" s="22" t="s">
        <v>53</v>
      </c>
      <c r="D1126" s="38"/>
      <c r="E1126" s="38"/>
      <c r="F1126" s="65"/>
      <c r="G1126" s="66"/>
      <c r="H1126" s="38"/>
      <c r="I1126" s="38"/>
      <c r="J1126" s="38"/>
      <c r="K1126" s="38"/>
      <c r="L1126" s="38"/>
      <c r="M1126" s="56"/>
      <c r="N1126" s="56" t="b">
        <v>0</v>
      </c>
      <c r="O1126" s="56" t="b">
        <v>0</v>
      </c>
      <c r="P1126" s="56"/>
      <c r="Q1126" s="56"/>
      <c r="R1126" s="56"/>
      <c r="S1126" s="56"/>
      <c r="T1126" s="56"/>
      <c r="U1126" s="56"/>
      <c r="V1126" s="56"/>
      <c r="W1126" s="56"/>
      <c r="X1126" s="56"/>
      <c r="Y1126" s="56"/>
      <c r="Z1126" s="56"/>
      <c r="AA1126" s="56"/>
      <c r="AB1126" s="56"/>
    </row>
    <row r="1127" ht="15.75" customHeight="1">
      <c r="A1127" s="169"/>
      <c r="B1127" s="219" t="s">
        <v>4836</v>
      </c>
      <c r="C1127" s="220">
        <v>44484.0</v>
      </c>
      <c r="D1127" s="38"/>
      <c r="E1127" s="38"/>
      <c r="F1127" s="65"/>
      <c r="G1127" s="66"/>
      <c r="H1127" s="38"/>
      <c r="I1127" s="38"/>
      <c r="J1127" s="38"/>
      <c r="K1127" s="38"/>
      <c r="L1127" s="38"/>
      <c r="M1127" s="56"/>
      <c r="N1127" s="56" t="b">
        <v>0</v>
      </c>
      <c r="O1127" s="56" t="b">
        <v>0</v>
      </c>
      <c r="P1127" s="56"/>
      <c r="Q1127" s="56"/>
      <c r="R1127" s="56"/>
      <c r="S1127" s="56"/>
      <c r="T1127" s="56"/>
      <c r="U1127" s="56"/>
      <c r="V1127" s="56"/>
      <c r="W1127" s="56"/>
      <c r="X1127" s="56"/>
      <c r="Y1127" s="56"/>
      <c r="Z1127" s="56"/>
      <c r="AA1127" s="56"/>
      <c r="AB1127" s="56"/>
    </row>
    <row r="1128" ht="15.75" customHeight="1">
      <c r="A1128" s="169"/>
      <c r="B1128" s="63"/>
      <c r="C1128" s="22"/>
      <c r="D1128" s="38"/>
      <c r="E1128" s="38"/>
      <c r="F1128" s="65"/>
      <c r="G1128" s="66"/>
      <c r="H1128" s="38"/>
      <c r="I1128" s="38"/>
      <c r="J1128" s="38"/>
      <c r="K1128" s="38"/>
      <c r="L1128" s="38"/>
      <c r="M1128" s="56"/>
      <c r="N1128" s="56" t="b">
        <v>0</v>
      </c>
      <c r="O1128" s="56" t="b">
        <v>0</v>
      </c>
      <c r="P1128" s="56"/>
      <c r="Q1128" s="56"/>
      <c r="R1128" s="56"/>
      <c r="S1128" s="56"/>
      <c r="T1128" s="56"/>
      <c r="U1128" s="56"/>
      <c r="V1128" s="56"/>
      <c r="W1128" s="56"/>
      <c r="X1128" s="56"/>
      <c r="Y1128" s="56"/>
      <c r="Z1128" s="56"/>
      <c r="AA1128" s="56"/>
      <c r="AB1128" s="56"/>
    </row>
    <row r="1129" ht="15.75" customHeight="1">
      <c r="A1129" s="169"/>
      <c r="B1129" s="63"/>
      <c r="C1129" s="22" t="s">
        <v>53</v>
      </c>
      <c r="D1129" s="38"/>
      <c r="E1129" s="38"/>
      <c r="F1129" s="127" t="s">
        <v>6193</v>
      </c>
      <c r="G1129" s="66"/>
      <c r="H1129" s="38"/>
      <c r="I1129" s="38"/>
      <c r="J1129" s="38"/>
      <c r="K1129" s="38"/>
      <c r="L1129" s="38"/>
      <c r="M1129" s="56"/>
      <c r="N1129" s="56" t="b">
        <v>0</v>
      </c>
      <c r="O1129" s="56" t="b">
        <v>0</v>
      </c>
      <c r="P1129" s="56"/>
      <c r="Q1129" s="56"/>
      <c r="R1129" s="56"/>
      <c r="S1129" s="56"/>
      <c r="T1129" s="56"/>
      <c r="U1129" s="56"/>
      <c r="V1129" s="56"/>
      <c r="W1129" s="56"/>
      <c r="X1129" s="56"/>
      <c r="Y1129" s="56"/>
      <c r="Z1129" s="56"/>
      <c r="AA1129" s="56"/>
      <c r="AB1129" s="56"/>
    </row>
    <row r="1130" ht="15.75" customHeight="1">
      <c r="A1130" s="169"/>
      <c r="B1130" s="63"/>
      <c r="C1130" s="22" t="s">
        <v>53</v>
      </c>
      <c r="D1130" s="38" t="s">
        <v>6194</v>
      </c>
      <c r="E1130" s="67" t="s">
        <v>285</v>
      </c>
      <c r="F1130" s="67" t="s">
        <v>286</v>
      </c>
      <c r="G1130" s="66" t="s">
        <v>4887</v>
      </c>
      <c r="H1130" s="38" t="s">
        <v>6195</v>
      </c>
      <c r="I1130" s="38" t="s">
        <v>6196</v>
      </c>
      <c r="J1130" s="67" t="s">
        <v>289</v>
      </c>
      <c r="K1130" s="38"/>
      <c r="L1130" s="38"/>
      <c r="M1130" s="56"/>
      <c r="N1130" s="56" t="b">
        <v>0</v>
      </c>
      <c r="O1130" s="56" t="b">
        <v>0</v>
      </c>
      <c r="P1130" s="56"/>
      <c r="Q1130" s="56"/>
      <c r="R1130" s="56"/>
      <c r="S1130" s="56"/>
      <c r="T1130" s="56"/>
      <c r="U1130" s="56"/>
      <c r="V1130" s="56"/>
      <c r="W1130" s="56"/>
      <c r="X1130" s="56"/>
      <c r="Y1130" s="56"/>
      <c r="Z1130" s="56"/>
      <c r="AA1130" s="56"/>
      <c r="AB1130" s="56"/>
    </row>
    <row r="1131" ht="15.75" customHeight="1">
      <c r="A1131" s="169"/>
      <c r="B1131" s="63"/>
      <c r="C1131" s="22" t="s">
        <v>53</v>
      </c>
      <c r="D1131" s="38" t="s">
        <v>6194</v>
      </c>
      <c r="E1131" s="67" t="s">
        <v>1871</v>
      </c>
      <c r="F1131" s="67" t="s">
        <v>1872</v>
      </c>
      <c r="G1131" s="66" t="s">
        <v>4892</v>
      </c>
      <c r="H1131" s="38" t="s">
        <v>5875</v>
      </c>
      <c r="I1131" s="38" t="s">
        <v>6197</v>
      </c>
      <c r="J1131" s="67" t="s">
        <v>1874</v>
      </c>
      <c r="K1131" s="38"/>
      <c r="L1131" s="38"/>
      <c r="M1131" s="56"/>
      <c r="N1131" s="56" t="b">
        <v>0</v>
      </c>
      <c r="O1131" s="56" t="b">
        <v>0</v>
      </c>
      <c r="P1131" s="56"/>
      <c r="Q1131" s="56"/>
      <c r="R1131" s="56"/>
      <c r="S1131" s="56"/>
      <c r="T1131" s="56"/>
      <c r="U1131" s="56"/>
      <c r="V1131" s="56"/>
      <c r="W1131" s="56"/>
      <c r="X1131" s="56"/>
      <c r="Y1131" s="56"/>
      <c r="Z1131" s="56"/>
      <c r="AA1131" s="56"/>
      <c r="AB1131" s="56"/>
    </row>
    <row r="1132" ht="15.75" customHeight="1">
      <c r="A1132" s="169"/>
      <c r="B1132" s="63"/>
      <c r="C1132" s="22" t="s">
        <v>53</v>
      </c>
      <c r="D1132" s="38" t="s">
        <v>6194</v>
      </c>
      <c r="E1132" s="67" t="s">
        <v>821</v>
      </c>
      <c r="F1132" s="67" t="s">
        <v>822</v>
      </c>
      <c r="G1132" s="66" t="s">
        <v>4899</v>
      </c>
      <c r="H1132" s="38" t="s">
        <v>6198</v>
      </c>
      <c r="I1132" s="38" t="s">
        <v>6199</v>
      </c>
      <c r="J1132" s="67" t="s">
        <v>824</v>
      </c>
      <c r="K1132" s="38"/>
      <c r="L1132" s="38"/>
      <c r="M1132" s="56"/>
      <c r="N1132" s="56" t="b">
        <v>0</v>
      </c>
      <c r="O1132" s="56" t="b">
        <v>0</v>
      </c>
      <c r="P1132" s="56"/>
      <c r="Q1132" s="56"/>
      <c r="R1132" s="56"/>
      <c r="S1132" s="56"/>
      <c r="T1132" s="56"/>
      <c r="U1132" s="56"/>
      <c r="V1132" s="56"/>
      <c r="W1132" s="56"/>
      <c r="X1132" s="56"/>
      <c r="Y1132" s="56"/>
      <c r="Z1132" s="56"/>
      <c r="AA1132" s="56"/>
      <c r="AB1132" s="56"/>
    </row>
    <row r="1133" ht="15.75" customHeight="1">
      <c r="A1133" s="169"/>
      <c r="B1133" s="63"/>
      <c r="C1133" s="22" t="s">
        <v>53</v>
      </c>
      <c r="D1133" s="38" t="s">
        <v>6194</v>
      </c>
      <c r="E1133" s="67" t="s">
        <v>2781</v>
      </c>
      <c r="F1133" s="67" t="s">
        <v>2782</v>
      </c>
      <c r="G1133" s="66" t="s">
        <v>4997</v>
      </c>
      <c r="H1133" s="38" t="s">
        <v>6200</v>
      </c>
      <c r="I1133" s="38" t="s">
        <v>6201</v>
      </c>
      <c r="J1133" s="67" t="s">
        <v>2784</v>
      </c>
      <c r="K1133" s="38"/>
      <c r="L1133" s="38"/>
      <c r="M1133" s="56"/>
      <c r="N1133" s="56" t="b">
        <v>0</v>
      </c>
      <c r="O1133" s="56" t="b">
        <v>0</v>
      </c>
      <c r="P1133" s="56"/>
      <c r="Q1133" s="56"/>
      <c r="R1133" s="56"/>
      <c r="S1133" s="56"/>
      <c r="T1133" s="56"/>
      <c r="U1133" s="56"/>
      <c r="V1133" s="56"/>
      <c r="W1133" s="56"/>
      <c r="X1133" s="56"/>
      <c r="Y1133" s="56"/>
      <c r="Z1133" s="56"/>
      <c r="AA1133" s="56"/>
      <c r="AB1133" s="56"/>
    </row>
    <row r="1134" ht="15.75" customHeight="1">
      <c r="A1134" s="169"/>
      <c r="B1134" s="63"/>
      <c r="C1134" s="22" t="s">
        <v>53</v>
      </c>
      <c r="D1134" s="38"/>
      <c r="E1134" s="38"/>
      <c r="F1134" s="65"/>
      <c r="G1134" s="66"/>
      <c r="H1134" s="38"/>
      <c r="I1134" s="38"/>
      <c r="J1134" s="38"/>
      <c r="K1134" s="38"/>
      <c r="L1134" s="38"/>
      <c r="M1134" s="56"/>
      <c r="N1134" s="56" t="b">
        <v>0</v>
      </c>
      <c r="O1134" s="56" t="b">
        <v>0</v>
      </c>
      <c r="P1134" s="56"/>
      <c r="Q1134" s="56"/>
      <c r="R1134" s="56"/>
      <c r="S1134" s="56"/>
      <c r="T1134" s="56"/>
      <c r="U1134" s="56"/>
      <c r="V1134" s="56"/>
      <c r="W1134" s="56"/>
      <c r="X1134" s="56"/>
      <c r="Y1134" s="56"/>
      <c r="Z1134" s="56"/>
      <c r="AA1134" s="56"/>
      <c r="AB1134" s="56"/>
    </row>
    <row r="1135" ht="15.75" customHeight="1">
      <c r="A1135" s="169"/>
      <c r="B1135" s="69"/>
      <c r="C1135" s="22" t="s">
        <v>53</v>
      </c>
      <c r="D1135" s="38"/>
      <c r="E1135" s="38"/>
      <c r="F1135" s="65"/>
      <c r="G1135" s="66"/>
      <c r="H1135" s="38"/>
      <c r="I1135" s="38"/>
      <c r="J1135" s="38"/>
      <c r="K1135" s="38"/>
      <c r="L1135" s="38"/>
      <c r="M1135" s="56"/>
      <c r="N1135" s="56" t="b">
        <v>0</v>
      </c>
      <c r="O1135" s="56" t="b">
        <v>0</v>
      </c>
      <c r="P1135" s="56"/>
      <c r="Q1135" s="56"/>
      <c r="R1135" s="56"/>
      <c r="S1135" s="56"/>
      <c r="T1135" s="56"/>
      <c r="U1135" s="56"/>
      <c r="V1135" s="56"/>
      <c r="W1135" s="56"/>
      <c r="X1135" s="56"/>
      <c r="Y1135" s="56"/>
      <c r="Z1135" s="56"/>
      <c r="AA1135" s="56"/>
      <c r="AB1135" s="56"/>
    </row>
    <row r="1136" ht="15.75" customHeight="1">
      <c r="A1136" s="169"/>
      <c r="B1136" s="219" t="s">
        <v>6168</v>
      </c>
      <c r="C1136" s="226"/>
      <c r="D1136" s="38"/>
      <c r="E1136" s="38"/>
      <c r="F1136" s="65"/>
      <c r="G1136" s="66"/>
      <c r="H1136" s="38"/>
      <c r="I1136" s="38"/>
      <c r="J1136" s="38"/>
      <c r="K1136" s="38"/>
      <c r="L1136" s="38"/>
      <c r="M1136" s="56"/>
      <c r="N1136" s="56" t="b">
        <v>0</v>
      </c>
      <c r="O1136" s="56" t="b">
        <v>0</v>
      </c>
      <c r="P1136" s="56"/>
      <c r="Q1136" s="56"/>
      <c r="R1136" s="56"/>
      <c r="S1136" s="56"/>
      <c r="T1136" s="56"/>
      <c r="U1136" s="56"/>
      <c r="V1136" s="56"/>
      <c r="W1136" s="56"/>
      <c r="X1136" s="56"/>
      <c r="Y1136" s="56"/>
      <c r="Z1136" s="56"/>
      <c r="AA1136" s="56"/>
      <c r="AB1136" s="56"/>
    </row>
    <row r="1137" ht="15.75" customHeight="1">
      <c r="A1137" s="169"/>
      <c r="B1137" s="63"/>
      <c r="C1137" s="22" t="s">
        <v>66</v>
      </c>
      <c r="D1137" s="38" t="s">
        <v>52</v>
      </c>
      <c r="E1137" s="67" t="s">
        <v>2234</v>
      </c>
      <c r="F1137" s="67" t="s">
        <v>2235</v>
      </c>
      <c r="G1137" s="66" t="s">
        <v>5949</v>
      </c>
      <c r="H1137" s="38" t="s">
        <v>6158</v>
      </c>
      <c r="I1137" s="38" t="s">
        <v>6159</v>
      </c>
      <c r="J1137" s="125" t="s">
        <v>2237</v>
      </c>
      <c r="K1137" s="38"/>
      <c r="L1137" s="38"/>
      <c r="M1137" s="56"/>
      <c r="N1137" s="56" t="b">
        <v>0</v>
      </c>
      <c r="O1137" s="56" t="b">
        <v>0</v>
      </c>
      <c r="P1137" s="56"/>
      <c r="Q1137" s="56"/>
      <c r="R1137" s="56"/>
      <c r="S1137" s="56"/>
      <c r="T1137" s="56"/>
      <c r="U1137" s="56"/>
      <c r="V1137" s="56"/>
      <c r="W1137" s="56"/>
      <c r="X1137" s="56"/>
      <c r="Y1137" s="56"/>
      <c r="Z1137" s="56"/>
      <c r="AA1137" s="56"/>
      <c r="AB1137" s="56"/>
    </row>
    <row r="1138" ht="15.75" customHeight="1">
      <c r="A1138" s="169"/>
      <c r="B1138" s="63"/>
      <c r="C1138" s="22" t="s">
        <v>66</v>
      </c>
      <c r="D1138" s="62" t="s">
        <v>6194</v>
      </c>
      <c r="E1138" s="60" t="s">
        <v>2447</v>
      </c>
      <c r="F1138" s="60" t="s">
        <v>2448</v>
      </c>
      <c r="G1138" s="73" t="s">
        <v>5713</v>
      </c>
      <c r="H1138" s="62" t="s">
        <v>6202</v>
      </c>
      <c r="I1138" s="62" t="s">
        <v>5864</v>
      </c>
      <c r="J1138" s="60" t="s">
        <v>6203</v>
      </c>
      <c r="K1138" s="38"/>
      <c r="L1138" s="38"/>
      <c r="M1138" s="56"/>
      <c r="N1138" s="56" t="b">
        <v>0</v>
      </c>
      <c r="O1138" s="56" t="b">
        <v>0</v>
      </c>
      <c r="P1138" s="56"/>
      <c r="Q1138" s="56"/>
      <c r="R1138" s="56"/>
      <c r="S1138" s="56"/>
      <c r="T1138" s="56"/>
      <c r="U1138" s="56"/>
      <c r="V1138" s="56"/>
      <c r="W1138" s="56"/>
      <c r="X1138" s="56"/>
      <c r="Y1138" s="56"/>
      <c r="Z1138" s="56"/>
      <c r="AA1138" s="56"/>
      <c r="AB1138" s="56"/>
    </row>
    <row r="1139" ht="15.75" customHeight="1">
      <c r="A1139" s="169"/>
      <c r="B1139" s="63"/>
      <c r="C1139" s="22" t="s">
        <v>66</v>
      </c>
      <c r="D1139" s="62" t="s">
        <v>6194</v>
      </c>
      <c r="E1139" s="60" t="s">
        <v>3928</v>
      </c>
      <c r="F1139" s="60" t="s">
        <v>3929</v>
      </c>
      <c r="G1139" s="73" t="s">
        <v>4854</v>
      </c>
      <c r="H1139" s="62" t="s">
        <v>6158</v>
      </c>
      <c r="I1139" s="62" t="s">
        <v>6204</v>
      </c>
      <c r="J1139" s="60" t="s">
        <v>3931</v>
      </c>
      <c r="K1139" s="38"/>
      <c r="L1139" s="38"/>
      <c r="M1139" s="56"/>
      <c r="N1139" s="56" t="b">
        <v>0</v>
      </c>
      <c r="O1139" s="56" t="b">
        <v>0</v>
      </c>
      <c r="P1139" s="56"/>
      <c r="Q1139" s="56"/>
      <c r="R1139" s="56"/>
      <c r="S1139" s="56"/>
      <c r="T1139" s="56"/>
      <c r="U1139" s="56"/>
      <c r="V1139" s="56"/>
      <c r="W1139" s="56"/>
      <c r="X1139" s="56"/>
      <c r="Y1139" s="56"/>
      <c r="Z1139" s="56"/>
      <c r="AA1139" s="56"/>
      <c r="AB1139" s="56"/>
    </row>
    <row r="1140" ht="15.75" customHeight="1">
      <c r="A1140" s="169"/>
      <c r="B1140" s="63"/>
      <c r="C1140" s="22" t="s">
        <v>66</v>
      </c>
      <c r="D1140" s="76" t="s">
        <v>171</v>
      </c>
      <c r="E1140" s="217" t="s">
        <v>6205</v>
      </c>
      <c r="F1140" s="217" t="s">
        <v>6206</v>
      </c>
      <c r="G1140" s="82" t="s">
        <v>6207</v>
      </c>
      <c r="H1140" s="76" t="s">
        <v>6208</v>
      </c>
      <c r="I1140" s="77" t="s">
        <v>5826</v>
      </c>
      <c r="J1140" s="77" t="s">
        <v>162</v>
      </c>
      <c r="K1140" s="38" t="s">
        <v>6209</v>
      </c>
      <c r="L1140" s="38"/>
      <c r="M1140" s="56"/>
      <c r="N1140" s="56" t="b">
        <v>0</v>
      </c>
      <c r="O1140" s="56" t="b">
        <v>0</v>
      </c>
      <c r="P1140" s="56"/>
      <c r="Q1140" s="56"/>
      <c r="R1140" s="56"/>
      <c r="S1140" s="56"/>
      <c r="T1140" s="56"/>
      <c r="U1140" s="56"/>
      <c r="V1140" s="56"/>
      <c r="W1140" s="56"/>
      <c r="X1140" s="56"/>
      <c r="Y1140" s="56"/>
      <c r="Z1140" s="56"/>
      <c r="AA1140" s="56"/>
      <c r="AB1140" s="56"/>
    </row>
    <row r="1141" ht="15.75" customHeight="1">
      <c r="A1141" s="169"/>
      <c r="B1141" s="63"/>
      <c r="C1141" s="22" t="s">
        <v>66</v>
      </c>
      <c r="D1141" s="38" t="s">
        <v>52</v>
      </c>
      <c r="E1141" s="67" t="s">
        <v>6210</v>
      </c>
      <c r="F1141" s="67" t="s">
        <v>6211</v>
      </c>
      <c r="G1141" s="66" t="s">
        <v>4896</v>
      </c>
      <c r="H1141" s="38" t="s">
        <v>5974</v>
      </c>
      <c r="I1141" s="38" t="s">
        <v>6212</v>
      </c>
      <c r="J1141" s="23" t="s">
        <v>6213</v>
      </c>
      <c r="K1141" s="38"/>
      <c r="L1141" s="38"/>
      <c r="M1141" s="56"/>
      <c r="N1141" s="56" t="b">
        <v>0</v>
      </c>
      <c r="O1141" s="56" t="b">
        <v>0</v>
      </c>
      <c r="P1141" s="56"/>
      <c r="Q1141" s="56"/>
      <c r="R1141" s="56"/>
      <c r="S1141" s="56"/>
      <c r="T1141" s="56"/>
      <c r="U1141" s="56"/>
      <c r="V1141" s="56"/>
      <c r="W1141" s="56"/>
      <c r="X1141" s="56"/>
      <c r="Y1141" s="56"/>
      <c r="Z1141" s="56"/>
      <c r="AA1141" s="56"/>
      <c r="AB1141" s="56"/>
    </row>
    <row r="1142" ht="15.75" customHeight="1">
      <c r="A1142" s="169"/>
      <c r="B1142" s="63"/>
      <c r="C1142" s="22" t="s">
        <v>66</v>
      </c>
      <c r="D1142" s="38" t="s">
        <v>52</v>
      </c>
      <c r="E1142" s="67" t="s">
        <v>6049</v>
      </c>
      <c r="F1142" s="67" t="s">
        <v>6050</v>
      </c>
      <c r="G1142" s="66" t="s">
        <v>4858</v>
      </c>
      <c r="H1142" s="38" t="s">
        <v>5191</v>
      </c>
      <c r="I1142" s="67">
        <v>5.3407786E9</v>
      </c>
      <c r="J1142" s="67" t="s">
        <v>577</v>
      </c>
      <c r="K1142" s="38"/>
      <c r="L1142" s="38"/>
      <c r="M1142" s="56"/>
      <c r="N1142" s="56" t="b">
        <v>0</v>
      </c>
      <c r="O1142" s="56" t="b">
        <v>0</v>
      </c>
      <c r="P1142" s="56"/>
      <c r="Q1142" s="56"/>
      <c r="R1142" s="56"/>
      <c r="S1142" s="56"/>
      <c r="T1142" s="56"/>
      <c r="U1142" s="56"/>
      <c r="V1142" s="56"/>
      <c r="W1142" s="56"/>
      <c r="X1142" s="56"/>
      <c r="Y1142" s="56"/>
      <c r="Z1142" s="56"/>
      <c r="AA1142" s="56"/>
      <c r="AB1142" s="56"/>
    </row>
    <row r="1143" ht="15.75" customHeight="1">
      <c r="A1143" s="169"/>
      <c r="B1143" s="63"/>
      <c r="C1143" s="22" t="s">
        <v>66</v>
      </c>
      <c r="D1143" s="38" t="s">
        <v>6194</v>
      </c>
      <c r="E1143" s="67" t="s">
        <v>1821</v>
      </c>
      <c r="F1143" s="67" t="s">
        <v>1822</v>
      </c>
      <c r="G1143" s="66" t="s">
        <v>5089</v>
      </c>
      <c r="H1143" s="38" t="s">
        <v>6214</v>
      </c>
      <c r="I1143" s="38" t="s">
        <v>6215</v>
      </c>
      <c r="J1143" s="67" t="s">
        <v>1824</v>
      </c>
      <c r="K1143" s="38"/>
      <c r="L1143" s="38"/>
      <c r="M1143" s="56"/>
      <c r="N1143" s="56" t="b">
        <v>0</v>
      </c>
      <c r="O1143" s="56" t="b">
        <v>0</v>
      </c>
      <c r="P1143" s="56"/>
      <c r="Q1143" s="56"/>
      <c r="R1143" s="56"/>
      <c r="S1143" s="56"/>
      <c r="T1143" s="56"/>
      <c r="U1143" s="56"/>
      <c r="V1143" s="56"/>
      <c r="W1143" s="56"/>
      <c r="X1143" s="56"/>
      <c r="Y1143" s="56"/>
      <c r="Z1143" s="56"/>
      <c r="AA1143" s="56"/>
      <c r="AB1143" s="56"/>
    </row>
    <row r="1144" ht="15.75" customHeight="1">
      <c r="A1144" s="169"/>
      <c r="B1144" s="69"/>
      <c r="C1144" s="22" t="s">
        <v>66</v>
      </c>
      <c r="D1144" s="38"/>
      <c r="E1144" s="38"/>
      <c r="F1144" s="65"/>
      <c r="G1144" s="66"/>
      <c r="H1144" s="38"/>
      <c r="I1144" s="38"/>
      <c r="J1144" s="38"/>
      <c r="K1144" s="38"/>
      <c r="L1144" s="38"/>
      <c r="M1144" s="56"/>
      <c r="N1144" s="56" t="b">
        <v>0</v>
      </c>
      <c r="O1144" s="56" t="b">
        <v>0</v>
      </c>
      <c r="P1144" s="56"/>
      <c r="Q1144" s="56"/>
      <c r="R1144" s="56"/>
      <c r="S1144" s="56"/>
      <c r="T1144" s="56"/>
      <c r="U1144" s="56"/>
      <c r="V1144" s="56"/>
      <c r="W1144" s="56"/>
      <c r="X1144" s="56"/>
      <c r="Y1144" s="56"/>
      <c r="Z1144" s="56"/>
      <c r="AA1144" s="56"/>
      <c r="AB1144" s="56"/>
    </row>
    <row r="1145" ht="15.75" customHeight="1">
      <c r="A1145" s="169"/>
      <c r="B1145" s="118"/>
      <c r="C1145" s="38"/>
      <c r="D1145" s="38"/>
      <c r="E1145" s="38"/>
      <c r="F1145" s="65"/>
      <c r="G1145" s="66"/>
      <c r="H1145" s="38"/>
      <c r="I1145" s="38"/>
      <c r="J1145" s="38"/>
      <c r="K1145" s="38"/>
      <c r="L1145" s="38"/>
      <c r="M1145" s="56"/>
      <c r="N1145" s="56" t="b">
        <v>0</v>
      </c>
      <c r="O1145" s="56" t="b">
        <v>0</v>
      </c>
      <c r="P1145" s="56"/>
      <c r="Q1145" s="56"/>
      <c r="R1145" s="56"/>
      <c r="S1145" s="56"/>
      <c r="T1145" s="56"/>
      <c r="U1145" s="56"/>
      <c r="V1145" s="56"/>
      <c r="W1145" s="56"/>
      <c r="X1145" s="56"/>
      <c r="Y1145" s="56"/>
      <c r="Z1145" s="56"/>
      <c r="AA1145" s="56"/>
      <c r="AB1145" s="56"/>
    </row>
    <row r="1146" ht="15.75" customHeight="1">
      <c r="A1146" s="169"/>
      <c r="B1146" s="219" t="s">
        <v>4836</v>
      </c>
      <c r="C1146" s="220">
        <v>44487.0</v>
      </c>
      <c r="D1146" s="38"/>
      <c r="E1146" s="38"/>
      <c r="F1146" s="65"/>
      <c r="G1146" s="66"/>
      <c r="H1146" s="38"/>
      <c r="I1146" s="38"/>
      <c r="J1146" s="38"/>
      <c r="K1146" s="38"/>
      <c r="L1146" s="38"/>
      <c r="M1146" s="56"/>
      <c r="N1146" s="56" t="b">
        <v>0</v>
      </c>
      <c r="O1146" s="56" t="b">
        <v>0</v>
      </c>
      <c r="P1146" s="56"/>
      <c r="Q1146" s="56"/>
      <c r="R1146" s="56"/>
      <c r="S1146" s="56"/>
      <c r="T1146" s="56"/>
      <c r="U1146" s="56"/>
      <c r="V1146" s="56"/>
      <c r="W1146" s="56"/>
      <c r="X1146" s="56"/>
      <c r="Y1146" s="56"/>
      <c r="Z1146" s="56"/>
      <c r="AA1146" s="56"/>
      <c r="AB1146" s="56"/>
    </row>
    <row r="1147" ht="15.75" customHeight="1">
      <c r="A1147" s="169"/>
      <c r="B1147" s="63"/>
      <c r="C1147" s="22"/>
      <c r="D1147" s="38"/>
      <c r="E1147" s="38"/>
      <c r="F1147" s="65"/>
      <c r="G1147" s="66"/>
      <c r="H1147" s="38"/>
      <c r="I1147" s="38"/>
      <c r="J1147" s="38"/>
      <c r="K1147" s="38"/>
      <c r="L1147" s="38"/>
      <c r="M1147" s="56"/>
      <c r="N1147" s="56" t="b">
        <v>0</v>
      </c>
      <c r="O1147" s="56" t="b">
        <v>0</v>
      </c>
      <c r="P1147" s="56"/>
      <c r="Q1147" s="56"/>
      <c r="R1147" s="56"/>
      <c r="S1147" s="56"/>
      <c r="T1147" s="56"/>
      <c r="U1147" s="56"/>
      <c r="V1147" s="56"/>
      <c r="W1147" s="56"/>
      <c r="X1147" s="56"/>
      <c r="Y1147" s="56"/>
      <c r="Z1147" s="56"/>
      <c r="AA1147" s="56"/>
      <c r="AB1147" s="56"/>
    </row>
    <row r="1148" ht="15.75" customHeight="1">
      <c r="A1148" s="169"/>
      <c r="B1148" s="63"/>
      <c r="C1148" s="22" t="s">
        <v>53</v>
      </c>
      <c r="D1148" s="38"/>
      <c r="E1148" s="38"/>
      <c r="F1148" s="65"/>
      <c r="G1148" s="66"/>
      <c r="H1148" s="38"/>
      <c r="I1148" s="38"/>
      <c r="J1148" s="38"/>
      <c r="K1148" s="38"/>
      <c r="L1148" s="38"/>
      <c r="M1148" s="56"/>
      <c r="N1148" s="56" t="b">
        <v>0</v>
      </c>
      <c r="O1148" s="56" t="b">
        <v>0</v>
      </c>
      <c r="P1148" s="56"/>
      <c r="Q1148" s="56"/>
      <c r="R1148" s="56"/>
      <c r="S1148" s="56"/>
      <c r="T1148" s="56"/>
      <c r="U1148" s="56"/>
      <c r="V1148" s="56"/>
      <c r="W1148" s="56"/>
      <c r="X1148" s="56"/>
      <c r="Y1148" s="56"/>
      <c r="Z1148" s="56"/>
      <c r="AA1148" s="56"/>
      <c r="AB1148" s="56"/>
    </row>
    <row r="1149" ht="15.75" customHeight="1">
      <c r="A1149" s="169"/>
      <c r="B1149" s="63"/>
      <c r="C1149" s="22" t="s">
        <v>53</v>
      </c>
      <c r="D1149" s="82" t="s">
        <v>6216</v>
      </c>
      <c r="E1149" s="203" t="s">
        <v>697</v>
      </c>
      <c r="F1149" s="203" t="s">
        <v>698</v>
      </c>
      <c r="G1149" s="82" t="s">
        <v>4887</v>
      </c>
      <c r="H1149" s="76" t="s">
        <v>6044</v>
      </c>
      <c r="I1149" s="76" t="s">
        <v>6047</v>
      </c>
      <c r="J1149" s="76" t="s">
        <v>701</v>
      </c>
      <c r="K1149" s="38"/>
      <c r="L1149" s="38"/>
      <c r="M1149" s="56"/>
      <c r="N1149" s="56" t="b">
        <v>0</v>
      </c>
      <c r="O1149" s="56" t="b">
        <v>0</v>
      </c>
      <c r="P1149" s="56"/>
      <c r="Q1149" s="56"/>
      <c r="R1149" s="56"/>
      <c r="S1149" s="56"/>
      <c r="T1149" s="56"/>
      <c r="U1149" s="56"/>
      <c r="V1149" s="56"/>
      <c r="W1149" s="56"/>
      <c r="X1149" s="56"/>
      <c r="Y1149" s="56"/>
      <c r="Z1149" s="56"/>
      <c r="AA1149" s="56"/>
      <c r="AB1149" s="56"/>
    </row>
    <row r="1150" ht="15.75" customHeight="1">
      <c r="A1150" s="169"/>
      <c r="B1150" s="63"/>
      <c r="C1150" s="22" t="s">
        <v>53</v>
      </c>
      <c r="D1150" s="38" t="s">
        <v>171</v>
      </c>
      <c r="E1150" s="10" t="s">
        <v>1906</v>
      </c>
      <c r="F1150" s="10" t="s">
        <v>1907</v>
      </c>
      <c r="G1150" s="66" t="s">
        <v>4892</v>
      </c>
      <c r="H1150" s="38" t="s">
        <v>6217</v>
      </c>
      <c r="I1150" s="38" t="s">
        <v>6218</v>
      </c>
      <c r="J1150" s="38" t="s">
        <v>6219</v>
      </c>
      <c r="K1150" s="237" t="s">
        <v>6220</v>
      </c>
      <c r="L1150" s="38"/>
      <c r="M1150" s="56"/>
      <c r="N1150" s="56" t="b">
        <v>0</v>
      </c>
      <c r="O1150" s="56" t="b">
        <v>0</v>
      </c>
      <c r="P1150" s="56"/>
      <c r="Q1150" s="56"/>
      <c r="R1150" s="56"/>
      <c r="S1150" s="56"/>
      <c r="T1150" s="56"/>
      <c r="U1150" s="56"/>
      <c r="V1150" s="56"/>
      <c r="W1150" s="56"/>
      <c r="X1150" s="56"/>
      <c r="Y1150" s="56"/>
      <c r="Z1150" s="56"/>
      <c r="AA1150" s="56"/>
      <c r="AB1150" s="56"/>
    </row>
    <row r="1151" ht="15.75" customHeight="1">
      <c r="A1151" s="169"/>
      <c r="B1151" s="63"/>
      <c r="C1151" s="22" t="s">
        <v>53</v>
      </c>
      <c r="D1151" s="66" t="s">
        <v>6216</v>
      </c>
      <c r="E1151" s="10" t="s">
        <v>398</v>
      </c>
      <c r="F1151" s="10" t="s">
        <v>399</v>
      </c>
      <c r="G1151" s="66" t="s">
        <v>4899</v>
      </c>
      <c r="H1151" s="38" t="s">
        <v>5242</v>
      </c>
      <c r="I1151" s="38" t="s">
        <v>6221</v>
      </c>
      <c r="J1151" s="38" t="s">
        <v>401</v>
      </c>
      <c r="K1151" s="38"/>
      <c r="L1151" s="38"/>
      <c r="M1151" s="56"/>
      <c r="N1151" s="56" t="b">
        <v>0</v>
      </c>
      <c r="O1151" s="56" t="b">
        <v>0</v>
      </c>
      <c r="P1151" s="56"/>
      <c r="Q1151" s="56"/>
      <c r="R1151" s="56"/>
      <c r="S1151" s="56"/>
      <c r="T1151" s="56"/>
      <c r="U1151" s="56"/>
      <c r="V1151" s="56"/>
      <c r="W1151" s="56"/>
      <c r="X1151" s="56"/>
      <c r="Y1151" s="56"/>
      <c r="Z1151" s="56"/>
      <c r="AA1151" s="56"/>
      <c r="AB1151" s="56"/>
    </row>
    <row r="1152" ht="15.75" customHeight="1">
      <c r="A1152" s="169"/>
      <c r="B1152" s="63"/>
      <c r="C1152" s="22" t="s">
        <v>53</v>
      </c>
      <c r="D1152" s="38" t="s">
        <v>171</v>
      </c>
      <c r="E1152" s="238" t="s">
        <v>1848</v>
      </c>
      <c r="F1152" s="238" t="s">
        <v>1849</v>
      </c>
      <c r="G1152" s="239" t="s">
        <v>5932</v>
      </c>
      <c r="H1152" s="240" t="s">
        <v>4935</v>
      </c>
      <c r="I1152" s="240" t="s">
        <v>6222</v>
      </c>
      <c r="J1152" s="31" t="s">
        <v>1851</v>
      </c>
      <c r="K1152" s="38"/>
      <c r="L1152" s="38"/>
      <c r="M1152" s="56"/>
      <c r="N1152" s="56" t="b">
        <v>0</v>
      </c>
      <c r="O1152" s="56" t="b">
        <v>0</v>
      </c>
      <c r="P1152" s="56"/>
      <c r="Q1152" s="56"/>
      <c r="R1152" s="56"/>
      <c r="S1152" s="56"/>
      <c r="T1152" s="56"/>
      <c r="U1152" s="56"/>
      <c r="V1152" s="56"/>
      <c r="W1152" s="56"/>
      <c r="X1152" s="56"/>
      <c r="Y1152" s="56"/>
      <c r="Z1152" s="56"/>
      <c r="AA1152" s="56"/>
      <c r="AB1152" s="56"/>
    </row>
    <row r="1153" ht="15.75" customHeight="1">
      <c r="A1153" s="169"/>
      <c r="B1153" s="63"/>
      <c r="C1153" s="22" t="s">
        <v>53</v>
      </c>
      <c r="D1153" s="38"/>
      <c r="E1153" s="38"/>
      <c r="F1153" s="65"/>
      <c r="G1153" s="66"/>
      <c r="H1153" s="38"/>
      <c r="I1153" s="38"/>
      <c r="J1153" s="38"/>
      <c r="K1153" s="38"/>
      <c r="L1153" s="38"/>
      <c r="M1153" s="56"/>
      <c r="N1153" s="56" t="b">
        <v>0</v>
      </c>
      <c r="O1153" s="56" t="b">
        <v>0</v>
      </c>
      <c r="P1153" s="56"/>
      <c r="Q1153" s="56"/>
      <c r="R1153" s="56"/>
      <c r="S1153" s="56"/>
      <c r="T1153" s="56"/>
      <c r="U1153" s="56"/>
      <c r="V1153" s="56"/>
      <c r="W1153" s="56"/>
      <c r="X1153" s="56"/>
      <c r="Y1153" s="56"/>
      <c r="Z1153" s="56"/>
      <c r="AA1153" s="56"/>
      <c r="AB1153" s="56"/>
    </row>
    <row r="1154" ht="15.75" customHeight="1">
      <c r="A1154" s="169"/>
      <c r="B1154" s="69"/>
      <c r="C1154" s="22" t="s">
        <v>53</v>
      </c>
      <c r="D1154" s="38"/>
      <c r="E1154" s="38"/>
      <c r="F1154" s="65"/>
      <c r="G1154" s="66"/>
      <c r="H1154" s="38"/>
      <c r="I1154" s="38"/>
      <c r="J1154" s="38"/>
      <c r="K1154" s="38"/>
      <c r="L1154" s="38"/>
      <c r="M1154" s="56"/>
      <c r="N1154" s="56" t="b">
        <v>0</v>
      </c>
      <c r="O1154" s="56" t="b">
        <v>0</v>
      </c>
      <c r="P1154" s="56"/>
      <c r="Q1154" s="56"/>
      <c r="R1154" s="56"/>
      <c r="S1154" s="56"/>
      <c r="T1154" s="56"/>
      <c r="U1154" s="56"/>
      <c r="V1154" s="56"/>
      <c r="W1154" s="56"/>
      <c r="X1154" s="56"/>
      <c r="Y1154" s="56"/>
      <c r="Z1154" s="56"/>
      <c r="AA1154" s="56"/>
      <c r="AB1154" s="56"/>
    </row>
    <row r="1155" ht="15.75" customHeight="1">
      <c r="A1155" s="169"/>
      <c r="B1155" s="219" t="s">
        <v>6168</v>
      </c>
      <c r="C1155" s="226"/>
      <c r="D1155" s="38"/>
      <c r="E1155" s="38"/>
      <c r="F1155" s="65"/>
      <c r="G1155" s="66"/>
      <c r="H1155" s="38"/>
      <c r="I1155" s="38"/>
      <c r="J1155" s="38"/>
      <c r="K1155" s="38"/>
      <c r="L1155" s="38"/>
      <c r="M1155" s="56"/>
      <c r="N1155" s="56" t="b">
        <v>0</v>
      </c>
      <c r="O1155" s="56" t="b">
        <v>0</v>
      </c>
      <c r="P1155" s="56"/>
      <c r="Q1155" s="56"/>
      <c r="R1155" s="56"/>
      <c r="S1155" s="56"/>
      <c r="T1155" s="56"/>
      <c r="U1155" s="56"/>
      <c r="V1155" s="56"/>
      <c r="W1155" s="56"/>
      <c r="X1155" s="56"/>
      <c r="Y1155" s="56"/>
      <c r="Z1155" s="56"/>
      <c r="AA1155" s="56"/>
      <c r="AB1155" s="56"/>
    </row>
    <row r="1156" ht="15.75" customHeight="1">
      <c r="A1156" s="169"/>
      <c r="B1156" s="63"/>
      <c r="C1156" s="22" t="s">
        <v>66</v>
      </c>
      <c r="D1156" s="38" t="s">
        <v>6194</v>
      </c>
      <c r="E1156" s="10" t="s">
        <v>2399</v>
      </c>
      <c r="F1156" s="10" t="s">
        <v>2400</v>
      </c>
      <c r="G1156" s="241" t="s">
        <v>6223</v>
      </c>
      <c r="H1156" s="38" t="s">
        <v>5344</v>
      </c>
      <c r="I1156" s="38" t="s">
        <v>6224</v>
      </c>
      <c r="J1156" s="10" t="s">
        <v>2402</v>
      </c>
      <c r="K1156" s="38"/>
      <c r="L1156" s="38"/>
      <c r="M1156" s="56"/>
      <c r="N1156" s="56" t="b">
        <v>0</v>
      </c>
      <c r="O1156" s="56" t="b">
        <v>0</v>
      </c>
      <c r="P1156" s="56"/>
      <c r="Q1156" s="56"/>
      <c r="R1156" s="56"/>
      <c r="S1156" s="56"/>
      <c r="T1156" s="56"/>
      <c r="U1156" s="56"/>
      <c r="V1156" s="56"/>
      <c r="W1156" s="56"/>
      <c r="X1156" s="56"/>
      <c r="Y1156" s="56"/>
      <c r="Z1156" s="56"/>
      <c r="AA1156" s="56"/>
      <c r="AB1156" s="56"/>
    </row>
    <row r="1157" ht="15.75" customHeight="1">
      <c r="A1157" s="169"/>
      <c r="B1157" s="63"/>
      <c r="C1157" s="22" t="s">
        <v>66</v>
      </c>
      <c r="D1157" s="66" t="s">
        <v>6216</v>
      </c>
      <c r="E1157" s="10" t="s">
        <v>4265</v>
      </c>
      <c r="F1157" s="10" t="s">
        <v>4266</v>
      </c>
      <c r="G1157" s="66" t="s">
        <v>4926</v>
      </c>
      <c r="H1157" s="38" t="s">
        <v>5182</v>
      </c>
      <c r="I1157" s="38" t="s">
        <v>6225</v>
      </c>
      <c r="J1157" s="38" t="s">
        <v>4268</v>
      </c>
      <c r="K1157" s="38"/>
      <c r="L1157" s="38"/>
      <c r="M1157" s="56"/>
      <c r="N1157" s="56" t="b">
        <v>0</v>
      </c>
      <c r="O1157" s="56" t="b">
        <v>0</v>
      </c>
      <c r="P1157" s="56"/>
      <c r="Q1157" s="56"/>
      <c r="R1157" s="56"/>
      <c r="S1157" s="56"/>
      <c r="T1157" s="56"/>
      <c r="U1157" s="56"/>
      <c r="V1157" s="56"/>
      <c r="W1157" s="56"/>
      <c r="X1157" s="56"/>
      <c r="Y1157" s="56"/>
      <c r="Z1157" s="56"/>
      <c r="AA1157" s="56"/>
      <c r="AB1157" s="56"/>
    </row>
    <row r="1158" ht="15.75" customHeight="1">
      <c r="A1158" s="169"/>
      <c r="B1158" s="63"/>
      <c r="C1158" s="22" t="s">
        <v>66</v>
      </c>
      <c r="D1158" s="73" t="s">
        <v>6216</v>
      </c>
      <c r="E1158" s="242" t="s">
        <v>4140</v>
      </c>
      <c r="F1158" s="242" t="s">
        <v>4141</v>
      </c>
      <c r="G1158" s="73" t="s">
        <v>5134</v>
      </c>
      <c r="H1158" s="62" t="s">
        <v>5305</v>
      </c>
      <c r="I1158" s="62" t="s">
        <v>6226</v>
      </c>
      <c r="J1158" s="62" t="s">
        <v>4143</v>
      </c>
      <c r="K1158" s="38"/>
      <c r="L1158" s="38"/>
      <c r="M1158" s="56"/>
      <c r="N1158" s="56" t="b">
        <v>0</v>
      </c>
      <c r="O1158" s="56" t="b">
        <v>0</v>
      </c>
      <c r="P1158" s="56"/>
      <c r="Q1158" s="56"/>
      <c r="R1158" s="56"/>
      <c r="S1158" s="56"/>
      <c r="T1158" s="56"/>
      <c r="U1158" s="56"/>
      <c r="V1158" s="56"/>
      <c r="W1158" s="56"/>
      <c r="X1158" s="56"/>
      <c r="Y1158" s="56"/>
      <c r="Z1158" s="56"/>
      <c r="AA1158" s="56"/>
      <c r="AB1158" s="56"/>
    </row>
    <row r="1159" ht="15.75" customHeight="1">
      <c r="A1159" s="169"/>
      <c r="B1159" s="63"/>
      <c r="C1159" s="22" t="s">
        <v>66</v>
      </c>
      <c r="D1159" s="66" t="s">
        <v>6216</v>
      </c>
      <c r="E1159" s="10" t="s">
        <v>1082</v>
      </c>
      <c r="F1159" s="10" t="s">
        <v>1083</v>
      </c>
      <c r="G1159" s="66" t="s">
        <v>4856</v>
      </c>
      <c r="H1159" s="38" t="s">
        <v>6227</v>
      </c>
      <c r="I1159" s="38" t="s">
        <v>6228</v>
      </c>
      <c r="J1159" s="38" t="s">
        <v>1085</v>
      </c>
      <c r="K1159" s="38"/>
      <c r="L1159" s="38"/>
      <c r="M1159" s="56"/>
      <c r="N1159" s="56" t="b">
        <v>0</v>
      </c>
      <c r="O1159" s="56" t="b">
        <v>0</v>
      </c>
      <c r="P1159" s="56"/>
      <c r="Q1159" s="56"/>
      <c r="R1159" s="56"/>
      <c r="S1159" s="56"/>
      <c r="T1159" s="56"/>
      <c r="U1159" s="56"/>
      <c r="V1159" s="56"/>
      <c r="W1159" s="56"/>
      <c r="X1159" s="56"/>
      <c r="Y1159" s="56"/>
      <c r="Z1159" s="56"/>
      <c r="AA1159" s="56"/>
      <c r="AB1159" s="56"/>
    </row>
    <row r="1160" ht="15.75" customHeight="1">
      <c r="A1160" s="169"/>
      <c r="B1160" s="63"/>
      <c r="C1160" s="22" t="s">
        <v>66</v>
      </c>
      <c r="D1160" s="82" t="s">
        <v>6216</v>
      </c>
      <c r="E1160" s="203" t="s">
        <v>2569</v>
      </c>
      <c r="F1160" s="203" t="s">
        <v>2570</v>
      </c>
      <c r="G1160" s="82" t="s">
        <v>4858</v>
      </c>
      <c r="H1160" s="76" t="s">
        <v>6227</v>
      </c>
      <c r="I1160" s="76" t="s">
        <v>6229</v>
      </c>
      <c r="J1160" s="76" t="s">
        <v>2572</v>
      </c>
      <c r="K1160" s="38" t="s">
        <v>6230</v>
      </c>
      <c r="L1160" s="38"/>
      <c r="M1160" s="56"/>
      <c r="N1160" s="56" t="b">
        <v>0</v>
      </c>
      <c r="O1160" s="56" t="b">
        <v>0</v>
      </c>
      <c r="P1160" s="56"/>
      <c r="Q1160" s="56"/>
      <c r="R1160" s="56"/>
      <c r="S1160" s="56"/>
      <c r="T1160" s="56"/>
      <c r="U1160" s="56"/>
      <c r="V1160" s="56"/>
      <c r="W1160" s="56"/>
      <c r="X1160" s="56"/>
      <c r="Y1160" s="56"/>
      <c r="Z1160" s="56"/>
      <c r="AA1160" s="56"/>
      <c r="AB1160" s="56"/>
    </row>
    <row r="1161" ht="15.75" customHeight="1">
      <c r="A1161" s="169"/>
      <c r="B1161" s="63"/>
      <c r="C1161" s="22" t="s">
        <v>66</v>
      </c>
      <c r="D1161" s="38"/>
      <c r="E1161" s="38"/>
      <c r="F1161" s="65"/>
      <c r="G1161" s="66" t="s">
        <v>5089</v>
      </c>
      <c r="H1161" s="38"/>
      <c r="I1161" s="38"/>
      <c r="J1161" s="38"/>
      <c r="K1161" s="38"/>
      <c r="L1161" s="38"/>
      <c r="M1161" s="56"/>
      <c r="N1161" s="56" t="b">
        <v>0</v>
      </c>
      <c r="O1161" s="56" t="b">
        <v>0</v>
      </c>
      <c r="P1161" s="56"/>
      <c r="Q1161" s="56"/>
      <c r="R1161" s="56"/>
      <c r="S1161" s="56"/>
      <c r="T1161" s="56"/>
      <c r="U1161" s="56"/>
      <c r="V1161" s="56"/>
      <c r="W1161" s="56"/>
      <c r="X1161" s="56"/>
      <c r="Y1161" s="56"/>
      <c r="Z1161" s="56"/>
      <c r="AA1161" s="56"/>
      <c r="AB1161" s="56"/>
    </row>
    <row r="1162" ht="15.75" customHeight="1">
      <c r="A1162" s="169"/>
      <c r="B1162" s="63"/>
      <c r="C1162" s="22" t="s">
        <v>66</v>
      </c>
      <c r="D1162" s="38"/>
      <c r="E1162" s="38"/>
      <c r="F1162" s="65"/>
      <c r="G1162" s="66" t="s">
        <v>6113</v>
      </c>
      <c r="H1162" s="38"/>
      <c r="I1162" s="38"/>
      <c r="J1162" s="38"/>
      <c r="K1162" s="38"/>
      <c r="L1162" s="38"/>
      <c r="M1162" s="56"/>
      <c r="N1162" s="56" t="b">
        <v>0</v>
      </c>
      <c r="O1162" s="56" t="b">
        <v>0</v>
      </c>
      <c r="P1162" s="56"/>
      <c r="Q1162" s="56"/>
      <c r="R1162" s="56"/>
      <c r="S1162" s="56"/>
      <c r="T1162" s="56"/>
      <c r="U1162" s="56"/>
      <c r="V1162" s="56"/>
      <c r="W1162" s="56"/>
      <c r="X1162" s="56"/>
      <c r="Y1162" s="56"/>
      <c r="Z1162" s="56"/>
      <c r="AA1162" s="56"/>
      <c r="AB1162" s="56"/>
    </row>
    <row r="1163" ht="15.75" customHeight="1">
      <c r="A1163" s="169"/>
      <c r="B1163" s="69"/>
      <c r="C1163" s="22" t="s">
        <v>66</v>
      </c>
      <c r="D1163" s="38"/>
      <c r="E1163" s="38"/>
      <c r="F1163" s="65"/>
      <c r="G1163" s="66"/>
      <c r="H1163" s="38"/>
      <c r="I1163" s="38"/>
      <c r="J1163" s="38"/>
      <c r="K1163" s="38"/>
      <c r="L1163" s="38"/>
      <c r="M1163" s="56"/>
      <c r="N1163" s="56" t="b">
        <v>0</v>
      </c>
      <c r="O1163" s="56" t="b">
        <v>0</v>
      </c>
      <c r="P1163" s="56"/>
      <c r="Q1163" s="56"/>
      <c r="R1163" s="56"/>
      <c r="S1163" s="56"/>
      <c r="T1163" s="56"/>
      <c r="U1163" s="56"/>
      <c r="V1163" s="56"/>
      <c r="W1163" s="56"/>
      <c r="X1163" s="56"/>
      <c r="Y1163" s="56"/>
      <c r="Z1163" s="56"/>
      <c r="AA1163" s="56"/>
      <c r="AB1163" s="56"/>
    </row>
    <row r="1164" ht="15.75" customHeight="1">
      <c r="A1164" s="169"/>
      <c r="B1164" s="219" t="s">
        <v>4836</v>
      </c>
      <c r="C1164" s="220">
        <v>44488.0</v>
      </c>
      <c r="D1164" s="38"/>
      <c r="E1164" s="38"/>
      <c r="F1164" s="65"/>
      <c r="G1164" s="66"/>
      <c r="H1164" s="38"/>
      <c r="I1164" s="38"/>
      <c r="J1164" s="38"/>
      <c r="K1164" s="38"/>
      <c r="L1164" s="38"/>
      <c r="M1164" s="56"/>
      <c r="N1164" s="56" t="b">
        <v>0</v>
      </c>
      <c r="O1164" s="56" t="b">
        <v>0</v>
      </c>
      <c r="P1164" s="56"/>
      <c r="Q1164" s="56"/>
      <c r="R1164" s="56"/>
      <c r="S1164" s="56"/>
      <c r="T1164" s="56"/>
      <c r="U1164" s="56"/>
      <c r="V1164" s="56"/>
      <c r="W1164" s="56"/>
      <c r="X1164" s="56"/>
      <c r="Y1164" s="56"/>
      <c r="Z1164" s="56"/>
      <c r="AA1164" s="56"/>
      <c r="AB1164" s="56"/>
    </row>
    <row r="1165" ht="15.75" customHeight="1">
      <c r="A1165" s="169"/>
      <c r="B1165" s="63"/>
      <c r="C1165" s="22"/>
      <c r="D1165" s="38"/>
      <c r="E1165" s="38"/>
      <c r="F1165" s="65"/>
      <c r="G1165" s="66"/>
      <c r="H1165" s="38"/>
      <c r="I1165" s="38"/>
      <c r="J1165" s="38"/>
      <c r="K1165" s="38"/>
      <c r="L1165" s="38"/>
      <c r="M1165" s="56"/>
      <c r="N1165" s="56" t="b">
        <v>0</v>
      </c>
      <c r="O1165" s="56" t="b">
        <v>0</v>
      </c>
      <c r="P1165" s="56"/>
      <c r="Q1165" s="56"/>
      <c r="R1165" s="56"/>
      <c r="S1165" s="56"/>
      <c r="T1165" s="56"/>
      <c r="U1165" s="56"/>
      <c r="V1165" s="56"/>
      <c r="W1165" s="56"/>
      <c r="X1165" s="56"/>
      <c r="Y1165" s="56"/>
      <c r="Z1165" s="56"/>
      <c r="AA1165" s="56"/>
      <c r="AB1165" s="56"/>
    </row>
    <row r="1166" ht="15.75" customHeight="1">
      <c r="A1166" s="169"/>
      <c r="B1166" s="63"/>
      <c r="C1166" s="22" t="s">
        <v>53</v>
      </c>
      <c r="D1166" s="38"/>
      <c r="E1166" s="38"/>
      <c r="F1166" s="162" t="s">
        <v>5784</v>
      </c>
      <c r="G1166" s="155"/>
      <c r="H1166" s="38"/>
      <c r="I1166" s="38"/>
      <c r="J1166" s="38"/>
      <c r="K1166" s="38"/>
      <c r="L1166" s="38"/>
      <c r="M1166" s="56"/>
      <c r="N1166" s="56" t="b">
        <v>0</v>
      </c>
      <c r="O1166" s="56" t="b">
        <v>0</v>
      </c>
      <c r="P1166" s="56"/>
      <c r="Q1166" s="56"/>
      <c r="R1166" s="56"/>
      <c r="S1166" s="56"/>
      <c r="T1166" s="56"/>
      <c r="U1166" s="56"/>
      <c r="V1166" s="56"/>
      <c r="W1166" s="56"/>
      <c r="X1166" s="56"/>
      <c r="Y1166" s="56"/>
      <c r="Z1166" s="56"/>
      <c r="AA1166" s="56"/>
      <c r="AB1166" s="56"/>
    </row>
    <row r="1167" ht="15.75" customHeight="1">
      <c r="A1167" s="169"/>
      <c r="B1167" s="63"/>
      <c r="C1167" s="22" t="s">
        <v>53</v>
      </c>
      <c r="D1167" s="38"/>
      <c r="E1167" s="38"/>
      <c r="F1167" s="156"/>
      <c r="G1167" s="157"/>
      <c r="H1167" s="38"/>
      <c r="I1167" s="38"/>
      <c r="J1167" s="38"/>
      <c r="K1167" s="38"/>
      <c r="L1167" s="38"/>
      <c r="M1167" s="56"/>
      <c r="N1167" s="56" t="b">
        <v>0</v>
      </c>
      <c r="O1167" s="56" t="b">
        <v>0</v>
      </c>
      <c r="P1167" s="56"/>
      <c r="Q1167" s="56"/>
      <c r="R1167" s="56"/>
      <c r="S1167" s="56"/>
      <c r="T1167" s="56"/>
      <c r="U1167" s="56"/>
      <c r="V1167" s="56"/>
      <c r="W1167" s="56"/>
      <c r="X1167" s="56"/>
      <c r="Y1167" s="56"/>
      <c r="Z1167" s="56"/>
      <c r="AA1167" s="56"/>
      <c r="AB1167" s="56"/>
    </row>
    <row r="1168" ht="15.75" customHeight="1">
      <c r="A1168" s="169"/>
      <c r="B1168" s="63"/>
      <c r="C1168" s="22" t="s">
        <v>53</v>
      </c>
      <c r="D1168" s="38"/>
      <c r="E1168" s="38"/>
      <c r="F1168" s="158"/>
      <c r="G1168" s="159"/>
      <c r="H1168" s="38"/>
      <c r="I1168" s="38"/>
      <c r="J1168" s="38"/>
      <c r="K1168" s="38"/>
      <c r="L1168" s="38"/>
      <c r="M1168" s="56"/>
      <c r="N1168" s="56" t="b">
        <v>0</v>
      </c>
      <c r="O1168" s="56" t="b">
        <v>0</v>
      </c>
      <c r="P1168" s="56"/>
      <c r="Q1168" s="56"/>
      <c r="R1168" s="56"/>
      <c r="S1168" s="56"/>
      <c r="T1168" s="56"/>
      <c r="U1168" s="56"/>
      <c r="V1168" s="56"/>
      <c r="W1168" s="56"/>
      <c r="X1168" s="56"/>
      <c r="Y1168" s="56"/>
      <c r="Z1168" s="56"/>
      <c r="AA1168" s="56"/>
      <c r="AB1168" s="56"/>
    </row>
    <row r="1169" ht="15.75" customHeight="1">
      <c r="A1169" s="169"/>
      <c r="B1169" s="63"/>
      <c r="C1169" s="22" t="s">
        <v>53</v>
      </c>
      <c r="D1169" s="38"/>
      <c r="E1169" s="38"/>
      <c r="F1169" s="65"/>
      <c r="G1169" s="66"/>
      <c r="H1169" s="38"/>
      <c r="I1169" s="38"/>
      <c r="J1169" s="38"/>
      <c r="K1169" s="38"/>
      <c r="L1169" s="38"/>
      <c r="M1169" s="56"/>
      <c r="N1169" s="56" t="b">
        <v>0</v>
      </c>
      <c r="O1169" s="56" t="b">
        <v>0</v>
      </c>
      <c r="P1169" s="56"/>
      <c r="Q1169" s="56"/>
      <c r="R1169" s="56"/>
      <c r="S1169" s="56"/>
      <c r="T1169" s="56"/>
      <c r="U1169" s="56"/>
      <c r="V1169" s="56"/>
      <c r="W1169" s="56"/>
      <c r="X1169" s="56"/>
      <c r="Y1169" s="56"/>
      <c r="Z1169" s="56"/>
      <c r="AA1169" s="56"/>
      <c r="AB1169" s="56"/>
    </row>
    <row r="1170" ht="15.75" customHeight="1">
      <c r="A1170" s="169"/>
      <c r="B1170" s="69"/>
      <c r="C1170" s="22" t="s">
        <v>53</v>
      </c>
      <c r="D1170" s="38"/>
      <c r="E1170" s="38"/>
      <c r="F1170" s="65"/>
      <c r="G1170" s="66"/>
      <c r="H1170" s="38"/>
      <c r="I1170" s="38"/>
      <c r="J1170" s="38"/>
      <c r="K1170" s="38"/>
      <c r="L1170" s="38"/>
      <c r="M1170" s="56"/>
      <c r="N1170" s="56" t="b">
        <v>0</v>
      </c>
      <c r="O1170" s="56" t="b">
        <v>0</v>
      </c>
      <c r="P1170" s="56"/>
      <c r="Q1170" s="56"/>
      <c r="R1170" s="56"/>
      <c r="S1170" s="56"/>
      <c r="T1170" s="56"/>
      <c r="U1170" s="56"/>
      <c r="V1170" s="56"/>
      <c r="W1170" s="56"/>
      <c r="X1170" s="56"/>
      <c r="Y1170" s="56"/>
      <c r="Z1170" s="56"/>
      <c r="AA1170" s="56"/>
      <c r="AB1170" s="56"/>
    </row>
    <row r="1171" ht="15.75" customHeight="1">
      <c r="A1171" s="169"/>
      <c r="B1171" s="219" t="s">
        <v>6168</v>
      </c>
      <c r="C1171" s="226"/>
      <c r="D1171" s="38"/>
      <c r="E1171" s="38"/>
      <c r="F1171" s="65"/>
      <c r="G1171" s="66"/>
      <c r="H1171" s="38"/>
      <c r="I1171" s="38"/>
      <c r="J1171" s="38"/>
      <c r="K1171" s="38"/>
      <c r="L1171" s="38"/>
      <c r="M1171" s="56"/>
      <c r="N1171" s="56" t="b">
        <v>0</v>
      </c>
      <c r="O1171" s="56" t="b">
        <v>0</v>
      </c>
      <c r="P1171" s="56"/>
      <c r="Q1171" s="56"/>
      <c r="R1171" s="56"/>
      <c r="S1171" s="56"/>
      <c r="T1171" s="56"/>
      <c r="U1171" s="56"/>
      <c r="V1171" s="56"/>
      <c r="W1171" s="56"/>
      <c r="X1171" s="56"/>
      <c r="Y1171" s="56"/>
      <c r="Z1171" s="56"/>
      <c r="AA1171" s="56"/>
      <c r="AB1171" s="56"/>
    </row>
    <row r="1172" ht="15.75" customHeight="1">
      <c r="A1172" s="169"/>
      <c r="B1172" s="63"/>
      <c r="D1172" s="38"/>
      <c r="E1172" s="38"/>
      <c r="F1172" s="65"/>
      <c r="G1172" s="66"/>
      <c r="H1172" s="38"/>
      <c r="I1172" s="38"/>
      <c r="J1172" s="38"/>
      <c r="K1172" s="38"/>
      <c r="L1172" s="38"/>
      <c r="M1172" s="56"/>
      <c r="N1172" s="56" t="b">
        <v>0</v>
      </c>
      <c r="O1172" s="56" t="b">
        <v>0</v>
      </c>
      <c r="P1172" s="56"/>
      <c r="Q1172" s="56"/>
      <c r="R1172" s="56"/>
      <c r="S1172" s="56"/>
      <c r="T1172" s="56"/>
      <c r="U1172" s="56"/>
      <c r="V1172" s="56"/>
      <c r="W1172" s="56"/>
      <c r="X1172" s="56"/>
      <c r="Y1172" s="56"/>
      <c r="Z1172" s="56"/>
      <c r="AA1172" s="56"/>
      <c r="AB1172" s="56"/>
    </row>
    <row r="1173" ht="15.75" customHeight="1">
      <c r="A1173" s="169"/>
      <c r="B1173" s="63"/>
      <c r="C1173" s="22" t="s">
        <v>66</v>
      </c>
      <c r="D1173" s="38"/>
      <c r="E1173" s="38"/>
      <c r="F1173" s="65"/>
      <c r="G1173" s="66"/>
      <c r="H1173" s="38"/>
      <c r="I1173" s="38"/>
      <c r="J1173" s="38"/>
      <c r="K1173" s="38"/>
      <c r="L1173" s="38"/>
      <c r="M1173" s="56"/>
      <c r="N1173" s="56" t="b">
        <v>0</v>
      </c>
      <c r="O1173" s="56" t="b">
        <v>0</v>
      </c>
      <c r="P1173" s="56"/>
      <c r="Q1173" s="56"/>
      <c r="R1173" s="56"/>
      <c r="S1173" s="56"/>
      <c r="T1173" s="56"/>
      <c r="U1173" s="56"/>
      <c r="V1173" s="56"/>
      <c r="W1173" s="56"/>
      <c r="X1173" s="56"/>
      <c r="Y1173" s="56"/>
      <c r="Z1173" s="56"/>
      <c r="AA1173" s="56"/>
      <c r="AB1173" s="56"/>
    </row>
    <row r="1174" ht="15.75" customHeight="1">
      <c r="A1174" s="169"/>
      <c r="B1174" s="63"/>
      <c r="C1174" s="22" t="s">
        <v>66</v>
      </c>
      <c r="D1174" s="38" t="s">
        <v>52</v>
      </c>
      <c r="E1174" s="109" t="s">
        <v>697</v>
      </c>
      <c r="F1174" s="109" t="s">
        <v>698</v>
      </c>
      <c r="G1174" s="81" t="s">
        <v>4887</v>
      </c>
      <c r="H1174" s="80" t="s">
        <v>6044</v>
      </c>
      <c r="I1174" s="80" t="s">
        <v>6231</v>
      </c>
      <c r="J1174" s="80" t="s">
        <v>701</v>
      </c>
      <c r="K1174" s="38"/>
      <c r="L1174" s="38"/>
      <c r="M1174" s="56"/>
      <c r="N1174" s="56" t="b">
        <v>0</v>
      </c>
      <c r="O1174" s="56" t="b">
        <v>0</v>
      </c>
      <c r="P1174" s="56"/>
      <c r="Q1174" s="56"/>
      <c r="R1174" s="56"/>
      <c r="S1174" s="56"/>
      <c r="T1174" s="56"/>
      <c r="U1174" s="56"/>
      <c r="V1174" s="56"/>
      <c r="W1174" s="56"/>
      <c r="X1174" s="56"/>
      <c r="Y1174" s="56"/>
      <c r="Z1174" s="56"/>
      <c r="AA1174" s="56"/>
      <c r="AB1174" s="56"/>
    </row>
    <row r="1175" ht="15.75" customHeight="1">
      <c r="A1175" s="169"/>
      <c r="B1175" s="63"/>
      <c r="C1175" s="22" t="s">
        <v>66</v>
      </c>
      <c r="D1175" s="38" t="s">
        <v>6194</v>
      </c>
      <c r="E1175" s="67" t="s">
        <v>6101</v>
      </c>
      <c r="F1175" s="67" t="s">
        <v>6102</v>
      </c>
      <c r="G1175" s="66" t="s">
        <v>4892</v>
      </c>
      <c r="H1175" s="38" t="s">
        <v>6103</v>
      </c>
      <c r="I1175" s="38" t="s">
        <v>6232</v>
      </c>
      <c r="J1175" s="67" t="s">
        <v>6105</v>
      </c>
      <c r="K1175" s="38"/>
      <c r="L1175" s="38"/>
      <c r="M1175" s="56"/>
      <c r="N1175" s="56" t="b">
        <v>0</v>
      </c>
      <c r="O1175" s="56" t="b">
        <v>0</v>
      </c>
      <c r="P1175" s="56"/>
      <c r="Q1175" s="56"/>
      <c r="R1175" s="56"/>
      <c r="S1175" s="56"/>
      <c r="T1175" s="56"/>
      <c r="U1175" s="56"/>
      <c r="V1175" s="56"/>
      <c r="W1175" s="56"/>
      <c r="X1175" s="56"/>
      <c r="Y1175" s="56"/>
      <c r="Z1175" s="56"/>
      <c r="AA1175" s="56"/>
      <c r="AB1175" s="56"/>
    </row>
    <row r="1176" ht="15.75" customHeight="1">
      <c r="A1176" s="169"/>
      <c r="B1176" s="63"/>
      <c r="C1176" s="22" t="s">
        <v>66</v>
      </c>
      <c r="D1176" s="13" t="s">
        <v>87</v>
      </c>
      <c r="E1176" s="67" t="s">
        <v>1643</v>
      </c>
      <c r="F1176" s="67" t="s">
        <v>1644</v>
      </c>
      <c r="G1176" s="66" t="s">
        <v>5461</v>
      </c>
      <c r="H1176" s="38" t="s">
        <v>4935</v>
      </c>
      <c r="I1176" s="38" t="s">
        <v>6233</v>
      </c>
      <c r="J1176" s="125" t="s">
        <v>1645</v>
      </c>
      <c r="K1176" s="38"/>
      <c r="L1176" s="38"/>
      <c r="M1176" s="56"/>
      <c r="N1176" s="56"/>
      <c r="O1176" s="56"/>
      <c r="P1176" s="56"/>
      <c r="Q1176" s="56"/>
      <c r="R1176" s="56"/>
      <c r="S1176" s="56"/>
      <c r="T1176" s="56"/>
      <c r="U1176" s="56"/>
      <c r="V1176" s="56"/>
      <c r="W1176" s="56"/>
      <c r="X1176" s="56"/>
      <c r="Y1176" s="56"/>
      <c r="Z1176" s="56"/>
      <c r="AA1176" s="56"/>
      <c r="AB1176" s="56"/>
    </row>
    <row r="1177" ht="15.75" customHeight="1">
      <c r="A1177" s="169"/>
      <c r="B1177" s="63"/>
      <c r="C1177" s="22"/>
      <c r="D1177" s="13" t="s">
        <v>87</v>
      </c>
      <c r="E1177" s="67" t="s">
        <v>2112</v>
      </c>
      <c r="F1177" s="67" t="s">
        <v>2113</v>
      </c>
      <c r="G1177" s="66" t="s">
        <v>4914</v>
      </c>
      <c r="H1177" s="38" t="s">
        <v>6234</v>
      </c>
      <c r="I1177" s="38" t="s">
        <v>6235</v>
      </c>
      <c r="J1177" s="125" t="s">
        <v>2115</v>
      </c>
      <c r="K1177" s="38" t="s">
        <v>2116</v>
      </c>
      <c r="L1177" s="38"/>
      <c r="M1177" s="56"/>
      <c r="N1177" s="56"/>
      <c r="O1177" s="56"/>
      <c r="P1177" s="56"/>
      <c r="Q1177" s="56"/>
      <c r="R1177" s="56"/>
      <c r="S1177" s="56"/>
      <c r="T1177" s="56"/>
      <c r="U1177" s="56"/>
      <c r="V1177" s="56"/>
      <c r="W1177" s="56"/>
      <c r="X1177" s="56"/>
      <c r="Y1177" s="56"/>
      <c r="Z1177" s="56"/>
      <c r="AA1177" s="56"/>
      <c r="AB1177" s="56"/>
    </row>
    <row r="1178" ht="15.75" customHeight="1">
      <c r="A1178" s="169"/>
      <c r="B1178" s="63"/>
      <c r="C1178" s="22" t="s">
        <v>66</v>
      </c>
      <c r="D1178" s="38" t="s">
        <v>6194</v>
      </c>
      <c r="E1178" s="67" t="s">
        <v>6170</v>
      </c>
      <c r="F1178" s="67" t="s">
        <v>6171</v>
      </c>
      <c r="G1178" s="66" t="s">
        <v>4997</v>
      </c>
      <c r="H1178" s="38" t="s">
        <v>6080</v>
      </c>
      <c r="I1178" s="38" t="s">
        <v>6236</v>
      </c>
      <c r="J1178" s="67" t="s">
        <v>6173</v>
      </c>
      <c r="K1178" s="38"/>
      <c r="L1178" s="38"/>
      <c r="M1178" s="56"/>
      <c r="N1178" s="56" t="b">
        <v>0</v>
      </c>
      <c r="O1178" s="56" t="b">
        <v>0</v>
      </c>
      <c r="P1178" s="56"/>
      <c r="Q1178" s="56"/>
      <c r="R1178" s="56"/>
      <c r="S1178" s="56"/>
      <c r="T1178" s="56"/>
      <c r="U1178" s="56"/>
      <c r="V1178" s="56"/>
      <c r="W1178" s="56"/>
      <c r="X1178" s="56"/>
      <c r="Y1178" s="56"/>
      <c r="Z1178" s="56"/>
      <c r="AA1178" s="56"/>
      <c r="AB1178" s="56"/>
    </row>
    <row r="1179" ht="15.75" customHeight="1">
      <c r="A1179" s="169"/>
      <c r="B1179" s="63"/>
      <c r="C1179" s="22" t="s">
        <v>66</v>
      </c>
      <c r="D1179" s="38" t="s">
        <v>6194</v>
      </c>
      <c r="E1179" s="67" t="s">
        <v>1805</v>
      </c>
      <c r="F1179" s="67" t="s">
        <v>1806</v>
      </c>
      <c r="G1179" s="66" t="s">
        <v>5981</v>
      </c>
      <c r="H1179" s="38" t="s">
        <v>6237</v>
      </c>
      <c r="I1179" s="38" t="s">
        <v>6238</v>
      </c>
      <c r="J1179" s="67" t="s">
        <v>6239</v>
      </c>
      <c r="K1179" s="38"/>
      <c r="L1179" s="38"/>
      <c r="M1179" s="56"/>
      <c r="N1179" s="56" t="b">
        <v>0</v>
      </c>
      <c r="O1179" s="56" t="b">
        <v>0</v>
      </c>
      <c r="P1179" s="56"/>
      <c r="Q1179" s="56"/>
      <c r="R1179" s="56"/>
      <c r="S1179" s="56"/>
      <c r="T1179" s="56"/>
      <c r="U1179" s="56"/>
      <c r="V1179" s="56"/>
      <c r="W1179" s="56"/>
      <c r="X1179" s="56"/>
      <c r="Y1179" s="56"/>
      <c r="Z1179" s="56"/>
      <c r="AA1179" s="56"/>
      <c r="AB1179" s="56"/>
    </row>
    <row r="1180" ht="15.75" customHeight="1">
      <c r="A1180" s="169"/>
      <c r="B1180" s="69"/>
      <c r="C1180" s="22" t="s">
        <v>66</v>
      </c>
      <c r="D1180" s="38"/>
      <c r="E1180" s="38"/>
      <c r="F1180" s="65"/>
      <c r="G1180" s="66"/>
      <c r="H1180" s="38"/>
      <c r="I1180" s="38"/>
      <c r="J1180" s="38"/>
      <c r="K1180" s="38"/>
      <c r="L1180" s="38"/>
      <c r="M1180" s="56"/>
      <c r="N1180" s="56" t="b">
        <v>0</v>
      </c>
      <c r="O1180" s="56" t="b">
        <v>0</v>
      </c>
      <c r="P1180" s="56"/>
      <c r="Q1180" s="56"/>
      <c r="R1180" s="56"/>
      <c r="S1180" s="56"/>
      <c r="T1180" s="56"/>
      <c r="U1180" s="56"/>
      <c r="V1180" s="56"/>
      <c r="W1180" s="56"/>
      <c r="X1180" s="56"/>
      <c r="Y1180" s="56"/>
      <c r="Z1180" s="56"/>
      <c r="AA1180" s="56"/>
      <c r="AB1180" s="56"/>
    </row>
    <row r="1181" ht="15.75" customHeight="1">
      <c r="A1181" s="169"/>
      <c r="B1181" s="219" t="s">
        <v>4836</v>
      </c>
      <c r="C1181" s="220">
        <v>44489.0</v>
      </c>
      <c r="D1181" s="38"/>
      <c r="E1181" s="38"/>
      <c r="F1181" s="65"/>
      <c r="G1181" s="66"/>
      <c r="H1181" s="38"/>
      <c r="I1181" s="38"/>
      <c r="J1181" s="38"/>
      <c r="K1181" s="38"/>
      <c r="L1181" s="38"/>
      <c r="M1181" s="56"/>
      <c r="N1181" s="56" t="b">
        <v>0</v>
      </c>
      <c r="O1181" s="56" t="b">
        <v>0</v>
      </c>
      <c r="P1181" s="56"/>
      <c r="Q1181" s="56"/>
      <c r="R1181" s="56"/>
      <c r="S1181" s="56"/>
      <c r="T1181" s="56"/>
      <c r="U1181" s="56"/>
      <c r="V1181" s="56"/>
      <c r="W1181" s="56"/>
      <c r="X1181" s="56"/>
      <c r="Y1181" s="56"/>
      <c r="Z1181" s="56"/>
      <c r="AA1181" s="56"/>
      <c r="AB1181" s="56"/>
    </row>
    <row r="1182" ht="15.75" customHeight="1">
      <c r="A1182" s="169"/>
      <c r="B1182" s="63"/>
      <c r="C1182" s="22"/>
      <c r="D1182" s="38"/>
      <c r="E1182" s="38"/>
      <c r="F1182" s="65"/>
      <c r="G1182" s="66"/>
      <c r="H1182" s="38"/>
      <c r="I1182" s="38"/>
      <c r="J1182" s="38"/>
      <c r="K1182" s="38"/>
      <c r="L1182" s="38"/>
      <c r="M1182" s="56"/>
      <c r="N1182" s="56" t="b">
        <v>0</v>
      </c>
      <c r="O1182" s="56" t="b">
        <v>0</v>
      </c>
      <c r="P1182" s="56"/>
      <c r="Q1182" s="56"/>
      <c r="R1182" s="56"/>
      <c r="S1182" s="56"/>
      <c r="T1182" s="56"/>
      <c r="U1182" s="56"/>
      <c r="V1182" s="56"/>
      <c r="W1182" s="56"/>
      <c r="X1182" s="56"/>
      <c r="Y1182" s="56"/>
      <c r="Z1182" s="56"/>
      <c r="AA1182" s="56"/>
      <c r="AB1182" s="56"/>
    </row>
    <row r="1183" ht="15.75" customHeight="1">
      <c r="A1183" s="169"/>
      <c r="B1183" s="63"/>
      <c r="C1183" s="22" t="s">
        <v>53</v>
      </c>
      <c r="D1183" s="38"/>
      <c r="E1183" s="162" t="s">
        <v>5784</v>
      </c>
      <c r="F1183" s="155"/>
      <c r="G1183" s="66"/>
      <c r="H1183" s="38"/>
      <c r="I1183" s="38"/>
      <c r="J1183" s="38"/>
      <c r="K1183" s="38"/>
      <c r="L1183" s="38"/>
      <c r="M1183" s="56"/>
      <c r="N1183" s="56" t="b">
        <v>0</v>
      </c>
      <c r="O1183" s="56" t="b">
        <v>0</v>
      </c>
      <c r="P1183" s="56"/>
      <c r="Q1183" s="56"/>
      <c r="R1183" s="56"/>
      <c r="S1183" s="56"/>
      <c r="T1183" s="56"/>
      <c r="U1183" s="56"/>
      <c r="V1183" s="56"/>
      <c r="W1183" s="56"/>
      <c r="X1183" s="56"/>
      <c r="Y1183" s="56"/>
      <c r="Z1183" s="56"/>
      <c r="AA1183" s="56"/>
      <c r="AB1183" s="56"/>
    </row>
    <row r="1184" ht="15.75" customHeight="1">
      <c r="A1184" s="169"/>
      <c r="B1184" s="63"/>
      <c r="C1184" s="22" t="s">
        <v>53</v>
      </c>
      <c r="D1184" s="38"/>
      <c r="E1184" s="156"/>
      <c r="F1184" s="157"/>
      <c r="G1184" s="66"/>
      <c r="H1184" s="38"/>
      <c r="I1184" s="38"/>
      <c r="J1184" s="38"/>
      <c r="K1184" s="38"/>
      <c r="L1184" s="38"/>
      <c r="M1184" s="56"/>
      <c r="N1184" s="56" t="b">
        <v>0</v>
      </c>
      <c r="O1184" s="56" t="b">
        <v>0</v>
      </c>
      <c r="P1184" s="56"/>
      <c r="Q1184" s="56"/>
      <c r="R1184" s="56"/>
      <c r="S1184" s="56"/>
      <c r="T1184" s="56"/>
      <c r="U1184" s="56"/>
      <c r="V1184" s="56"/>
      <c r="W1184" s="56"/>
      <c r="X1184" s="56"/>
      <c r="Y1184" s="56"/>
      <c r="Z1184" s="56"/>
      <c r="AA1184" s="56"/>
      <c r="AB1184" s="56"/>
    </row>
    <row r="1185" ht="15.75" customHeight="1">
      <c r="A1185" s="169"/>
      <c r="B1185" s="63"/>
      <c r="C1185" s="22" t="s">
        <v>53</v>
      </c>
      <c r="D1185" s="38"/>
      <c r="E1185" s="158"/>
      <c r="F1185" s="159"/>
      <c r="G1185" s="66"/>
      <c r="H1185" s="38"/>
      <c r="I1185" s="38"/>
      <c r="J1185" s="38"/>
      <c r="K1185" s="38"/>
      <c r="L1185" s="38"/>
      <c r="M1185" s="56"/>
      <c r="N1185" s="56" t="b">
        <v>0</v>
      </c>
      <c r="O1185" s="56" t="b">
        <v>0</v>
      </c>
      <c r="P1185" s="56"/>
      <c r="Q1185" s="56"/>
      <c r="R1185" s="56"/>
      <c r="S1185" s="56"/>
      <c r="T1185" s="56"/>
      <c r="U1185" s="56"/>
      <c r="V1185" s="56"/>
      <c r="W1185" s="56"/>
      <c r="X1185" s="56"/>
      <c r="Y1185" s="56"/>
      <c r="Z1185" s="56"/>
      <c r="AA1185" s="56"/>
      <c r="AB1185" s="56"/>
    </row>
    <row r="1186" ht="15.75" customHeight="1">
      <c r="A1186" s="169"/>
      <c r="B1186" s="63"/>
      <c r="C1186" s="22" t="s">
        <v>53</v>
      </c>
      <c r="D1186" s="38"/>
      <c r="E1186" s="38"/>
      <c r="F1186" s="65"/>
      <c r="G1186" s="66"/>
      <c r="H1186" s="38"/>
      <c r="I1186" s="38"/>
      <c r="J1186" s="38"/>
      <c r="K1186" s="38"/>
      <c r="L1186" s="38"/>
      <c r="M1186" s="56"/>
      <c r="N1186" s="56" t="b">
        <v>0</v>
      </c>
      <c r="O1186" s="56" t="b">
        <v>0</v>
      </c>
      <c r="P1186" s="56"/>
      <c r="Q1186" s="56"/>
      <c r="R1186" s="56"/>
      <c r="S1186" s="56"/>
      <c r="T1186" s="56"/>
      <c r="U1186" s="56"/>
      <c r="V1186" s="56"/>
      <c r="W1186" s="56"/>
      <c r="X1186" s="56"/>
      <c r="Y1186" s="56"/>
      <c r="Z1186" s="56"/>
      <c r="AA1186" s="56"/>
      <c r="AB1186" s="56"/>
    </row>
    <row r="1187" ht="15.75" customHeight="1">
      <c r="A1187" s="169"/>
      <c r="B1187" s="69"/>
      <c r="C1187" s="22" t="s">
        <v>53</v>
      </c>
      <c r="D1187" s="38"/>
      <c r="E1187" s="38"/>
      <c r="F1187" s="65"/>
      <c r="G1187" s="66"/>
      <c r="H1187" s="38"/>
      <c r="I1187" s="38"/>
      <c r="J1187" s="38"/>
      <c r="K1187" s="38"/>
      <c r="L1187" s="38"/>
      <c r="M1187" s="56"/>
      <c r="N1187" s="56" t="b">
        <v>0</v>
      </c>
      <c r="O1187" s="56" t="b">
        <v>0</v>
      </c>
      <c r="P1187" s="56"/>
      <c r="Q1187" s="56"/>
      <c r="R1187" s="56"/>
      <c r="S1187" s="56"/>
      <c r="T1187" s="56"/>
      <c r="U1187" s="56"/>
      <c r="V1187" s="56"/>
      <c r="W1187" s="56"/>
      <c r="X1187" s="56"/>
      <c r="Y1187" s="56"/>
      <c r="Z1187" s="56"/>
      <c r="AA1187" s="56"/>
      <c r="AB1187" s="56"/>
    </row>
    <row r="1188" ht="15.75" customHeight="1">
      <c r="A1188" s="169"/>
      <c r="B1188" s="219" t="s">
        <v>6168</v>
      </c>
      <c r="C1188" s="226"/>
      <c r="D1188" s="38"/>
      <c r="E1188" s="38"/>
      <c r="F1188" s="65"/>
      <c r="G1188" s="66"/>
      <c r="H1188" s="38"/>
      <c r="I1188" s="38"/>
      <c r="J1188" s="38"/>
      <c r="K1188" s="38"/>
      <c r="L1188" s="38"/>
      <c r="M1188" s="56"/>
      <c r="N1188" s="56" t="b">
        <v>0</v>
      </c>
      <c r="O1188" s="56" t="b">
        <v>0</v>
      </c>
      <c r="P1188" s="56"/>
      <c r="Q1188" s="56"/>
      <c r="R1188" s="56"/>
      <c r="S1188" s="56"/>
      <c r="T1188" s="56"/>
      <c r="U1188" s="56"/>
      <c r="V1188" s="56"/>
      <c r="W1188" s="56"/>
      <c r="X1188" s="56"/>
      <c r="Y1188" s="56"/>
      <c r="Z1188" s="56"/>
      <c r="AA1188" s="56"/>
      <c r="AB1188" s="56"/>
    </row>
    <row r="1189" ht="15.75" customHeight="1">
      <c r="A1189" s="169"/>
      <c r="B1189" s="63"/>
      <c r="D1189" s="38"/>
      <c r="E1189" s="38"/>
      <c r="F1189" s="65"/>
      <c r="G1189" s="66"/>
      <c r="H1189" s="38"/>
      <c r="I1189" s="38"/>
      <c r="J1189" s="38"/>
      <c r="K1189" s="38"/>
      <c r="L1189" s="38"/>
      <c r="M1189" s="56"/>
      <c r="N1189" s="56" t="b">
        <v>0</v>
      </c>
      <c r="O1189" s="56" t="b">
        <v>0</v>
      </c>
      <c r="P1189" s="56"/>
      <c r="Q1189" s="56"/>
      <c r="R1189" s="56"/>
      <c r="S1189" s="56"/>
      <c r="T1189" s="56"/>
      <c r="U1189" s="56"/>
      <c r="V1189" s="56"/>
      <c r="W1189" s="56"/>
      <c r="X1189" s="56"/>
      <c r="Y1189" s="56"/>
      <c r="Z1189" s="56"/>
      <c r="AA1189" s="56"/>
      <c r="AB1189" s="56"/>
    </row>
    <row r="1190" ht="15.75" customHeight="1">
      <c r="A1190" s="169"/>
      <c r="B1190" s="63"/>
      <c r="C1190" s="22" t="s">
        <v>66</v>
      </c>
      <c r="D1190" s="38"/>
      <c r="E1190" s="38"/>
      <c r="F1190" s="65"/>
      <c r="G1190" s="66"/>
      <c r="H1190" s="38"/>
      <c r="I1190" s="38"/>
      <c r="J1190" s="38"/>
      <c r="K1190" s="38"/>
      <c r="L1190" s="38"/>
      <c r="M1190" s="56"/>
      <c r="N1190" s="56" t="b">
        <v>0</v>
      </c>
      <c r="O1190" s="56" t="b">
        <v>0</v>
      </c>
      <c r="P1190" s="56"/>
      <c r="Q1190" s="56"/>
      <c r="R1190" s="56"/>
      <c r="S1190" s="56"/>
      <c r="T1190" s="56"/>
      <c r="U1190" s="56"/>
      <c r="V1190" s="56"/>
      <c r="W1190" s="56"/>
      <c r="X1190" s="56"/>
      <c r="Y1190" s="56"/>
      <c r="Z1190" s="56"/>
      <c r="AA1190" s="56"/>
      <c r="AB1190" s="56"/>
    </row>
    <row r="1191" ht="15.75" customHeight="1">
      <c r="A1191" s="169"/>
      <c r="B1191" s="63"/>
      <c r="C1191" s="22" t="s">
        <v>66</v>
      </c>
      <c r="D1191" s="38" t="s">
        <v>108</v>
      </c>
      <c r="E1191" s="10" t="s">
        <v>1339</v>
      </c>
      <c r="F1191" s="10" t="s">
        <v>1340</v>
      </c>
      <c r="G1191" s="66" t="s">
        <v>6240</v>
      </c>
      <c r="H1191" s="38" t="s">
        <v>5342</v>
      </c>
      <c r="I1191" s="13" t="s">
        <v>6143</v>
      </c>
      <c r="J1191" s="10" t="s">
        <v>1342</v>
      </c>
      <c r="K1191" s="38"/>
      <c r="L1191" s="38"/>
      <c r="M1191" s="56"/>
      <c r="N1191" s="56" t="b">
        <v>0</v>
      </c>
      <c r="O1191" s="56" t="b">
        <v>0</v>
      </c>
      <c r="P1191" s="56"/>
      <c r="Q1191" s="56"/>
      <c r="R1191" s="56"/>
      <c r="S1191" s="56"/>
      <c r="T1191" s="56"/>
      <c r="U1191" s="56"/>
      <c r="V1191" s="56"/>
      <c r="W1191" s="56"/>
      <c r="X1191" s="56"/>
      <c r="Y1191" s="56"/>
      <c r="Z1191" s="56"/>
      <c r="AA1191" s="56"/>
      <c r="AB1191" s="56"/>
    </row>
    <row r="1192" ht="15.75" customHeight="1">
      <c r="A1192" s="169"/>
      <c r="B1192" s="63"/>
      <c r="C1192" s="22" t="s">
        <v>66</v>
      </c>
      <c r="D1192" s="62" t="s">
        <v>108</v>
      </c>
      <c r="E1192" s="242" t="s">
        <v>4010</v>
      </c>
      <c r="F1192" s="242" t="s">
        <v>4011</v>
      </c>
      <c r="G1192" s="73" t="s">
        <v>4887</v>
      </c>
      <c r="H1192" s="62" t="s">
        <v>4884</v>
      </c>
      <c r="I1192" s="62" t="s">
        <v>6241</v>
      </c>
      <c r="J1192" s="242" t="s">
        <v>4013</v>
      </c>
      <c r="K1192" s="38"/>
      <c r="L1192" s="38"/>
      <c r="M1192" s="56"/>
      <c r="N1192" s="56" t="b">
        <v>0</v>
      </c>
      <c r="O1192" s="56" t="b">
        <v>0</v>
      </c>
      <c r="P1192" s="56"/>
      <c r="Q1192" s="56"/>
      <c r="R1192" s="56"/>
      <c r="S1192" s="56"/>
      <c r="T1192" s="56"/>
      <c r="U1192" s="56"/>
      <c r="V1192" s="56"/>
      <c r="W1192" s="56"/>
      <c r="X1192" s="56"/>
      <c r="Y1192" s="56"/>
      <c r="Z1192" s="56"/>
      <c r="AA1192" s="56"/>
      <c r="AB1192" s="56"/>
    </row>
    <row r="1193" ht="15.75" customHeight="1">
      <c r="A1193" s="169"/>
      <c r="B1193" s="63"/>
      <c r="C1193" s="22" t="s">
        <v>66</v>
      </c>
      <c r="D1193" s="38" t="s">
        <v>108</v>
      </c>
      <c r="E1193" s="10" t="s">
        <v>1646</v>
      </c>
      <c r="F1193" s="10" t="s">
        <v>1647</v>
      </c>
      <c r="G1193" s="66" t="s">
        <v>4892</v>
      </c>
      <c r="H1193" s="38" t="s">
        <v>5344</v>
      </c>
      <c r="I1193" s="38" t="s">
        <v>6242</v>
      </c>
      <c r="J1193" s="10" t="s">
        <v>1649</v>
      </c>
      <c r="K1193" s="38"/>
      <c r="L1193" s="38"/>
      <c r="M1193" s="56"/>
      <c r="N1193" s="56" t="b">
        <v>0</v>
      </c>
      <c r="O1193" s="56" t="b">
        <v>0</v>
      </c>
      <c r="P1193" s="56"/>
      <c r="Q1193" s="56"/>
      <c r="R1193" s="56"/>
      <c r="S1193" s="56"/>
      <c r="T1193" s="56"/>
      <c r="U1193" s="56"/>
      <c r="V1193" s="56"/>
      <c r="W1193" s="56"/>
      <c r="X1193" s="56"/>
      <c r="Y1193" s="56"/>
      <c r="Z1193" s="56"/>
      <c r="AA1193" s="56"/>
      <c r="AB1193" s="56"/>
    </row>
    <row r="1194" ht="15.75" customHeight="1">
      <c r="A1194" s="169"/>
      <c r="B1194" s="63"/>
      <c r="C1194" s="22" t="s">
        <v>66</v>
      </c>
      <c r="D1194" s="38" t="s">
        <v>108</v>
      </c>
      <c r="E1194" s="10" t="s">
        <v>1517</v>
      </c>
      <c r="F1194" s="10" t="s">
        <v>1518</v>
      </c>
      <c r="G1194" s="66" t="s">
        <v>4899</v>
      </c>
      <c r="H1194" s="38" t="s">
        <v>4880</v>
      </c>
      <c r="I1194" s="38" t="s">
        <v>6243</v>
      </c>
      <c r="J1194" s="10" t="s">
        <v>1520</v>
      </c>
      <c r="K1194" s="38"/>
      <c r="L1194" s="38"/>
      <c r="M1194" s="56"/>
      <c r="N1194" s="56" t="b">
        <v>0</v>
      </c>
      <c r="O1194" s="56" t="b">
        <v>0</v>
      </c>
      <c r="P1194" s="56"/>
      <c r="Q1194" s="56"/>
      <c r="R1194" s="56"/>
      <c r="S1194" s="56"/>
      <c r="T1194" s="56"/>
      <c r="U1194" s="56"/>
      <c r="V1194" s="56"/>
      <c r="W1194" s="56"/>
      <c r="X1194" s="56"/>
      <c r="Y1194" s="56"/>
      <c r="Z1194" s="56"/>
      <c r="AA1194" s="56"/>
      <c r="AB1194" s="56"/>
    </row>
    <row r="1195" ht="15.75" customHeight="1">
      <c r="A1195" s="169"/>
      <c r="B1195" s="63"/>
      <c r="C1195" s="22" t="s">
        <v>66</v>
      </c>
      <c r="D1195" s="102" t="s">
        <v>108</v>
      </c>
      <c r="E1195" s="243" t="s">
        <v>1067</v>
      </c>
      <c r="F1195" s="243" t="s">
        <v>1068</v>
      </c>
      <c r="G1195" s="133" t="s">
        <v>4997</v>
      </c>
      <c r="H1195" s="102" t="s">
        <v>4880</v>
      </c>
      <c r="I1195" s="244" t="s">
        <v>6244</v>
      </c>
      <c r="J1195" s="243" t="s">
        <v>1070</v>
      </c>
      <c r="K1195" s="102" t="s">
        <v>6245</v>
      </c>
      <c r="L1195" s="38"/>
      <c r="M1195" s="56"/>
      <c r="N1195" s="56" t="b">
        <v>0</v>
      </c>
      <c r="O1195" s="56" t="b">
        <v>0</v>
      </c>
      <c r="P1195" s="56"/>
      <c r="Q1195" s="56"/>
      <c r="R1195" s="56"/>
      <c r="S1195" s="56"/>
      <c r="T1195" s="56"/>
      <c r="U1195" s="56"/>
      <c r="V1195" s="56"/>
      <c r="W1195" s="56"/>
      <c r="X1195" s="56"/>
      <c r="Y1195" s="56"/>
      <c r="Z1195" s="56"/>
      <c r="AA1195" s="56"/>
      <c r="AB1195" s="56"/>
    </row>
    <row r="1196" ht="15.75" customHeight="1">
      <c r="A1196" s="169"/>
      <c r="B1196" s="63"/>
      <c r="C1196" s="22" t="s">
        <v>66</v>
      </c>
      <c r="D1196" s="38"/>
      <c r="E1196" s="38"/>
      <c r="F1196" s="65"/>
      <c r="G1196" s="66"/>
      <c r="H1196" s="38"/>
      <c r="I1196" s="38"/>
      <c r="J1196" s="38"/>
      <c r="K1196" s="38"/>
      <c r="L1196" s="38"/>
      <c r="M1196" s="56"/>
      <c r="N1196" s="56" t="b">
        <v>0</v>
      </c>
      <c r="O1196" s="56" t="b">
        <v>0</v>
      </c>
      <c r="P1196" s="56"/>
      <c r="Q1196" s="56"/>
      <c r="R1196" s="56"/>
      <c r="S1196" s="56"/>
      <c r="T1196" s="56"/>
      <c r="U1196" s="56"/>
      <c r="V1196" s="56"/>
      <c r="W1196" s="56"/>
      <c r="X1196" s="56"/>
      <c r="Y1196" s="56"/>
      <c r="Z1196" s="56"/>
      <c r="AA1196" s="56"/>
      <c r="AB1196" s="56"/>
    </row>
    <row r="1197" ht="15.75" customHeight="1">
      <c r="A1197" s="169"/>
      <c r="B1197" s="69"/>
      <c r="C1197" s="22" t="s">
        <v>66</v>
      </c>
      <c r="D1197" s="38"/>
      <c r="E1197" s="38"/>
      <c r="F1197" s="65"/>
      <c r="G1197" s="66"/>
      <c r="H1197" s="38"/>
      <c r="I1197" s="38"/>
      <c r="J1197" s="38"/>
      <c r="K1197" s="38"/>
      <c r="L1197" s="38"/>
      <c r="M1197" s="56"/>
      <c r="N1197" s="56" t="b">
        <v>0</v>
      </c>
      <c r="O1197" s="56" t="b">
        <v>0</v>
      </c>
      <c r="P1197" s="56"/>
      <c r="Q1197" s="56"/>
      <c r="R1197" s="56"/>
      <c r="S1197" s="56"/>
      <c r="T1197" s="56"/>
      <c r="U1197" s="56"/>
      <c r="V1197" s="56"/>
      <c r="W1197" s="56"/>
      <c r="X1197" s="56"/>
      <c r="Y1197" s="56"/>
      <c r="Z1197" s="56"/>
      <c r="AA1197" s="56"/>
      <c r="AB1197" s="56"/>
    </row>
    <row r="1198" ht="15.75" customHeight="1">
      <c r="A1198" s="169"/>
      <c r="B1198" s="219" t="s">
        <v>4836</v>
      </c>
      <c r="C1198" s="220">
        <v>44490.0</v>
      </c>
      <c r="D1198" s="38"/>
      <c r="E1198" s="38"/>
      <c r="F1198" s="65"/>
      <c r="G1198" s="66"/>
      <c r="H1198" s="38"/>
      <c r="I1198" s="38"/>
      <c r="J1198" s="38"/>
      <c r="K1198" s="38"/>
      <c r="L1198" s="38"/>
      <c r="M1198" s="56"/>
      <c r="N1198" s="56" t="b">
        <v>0</v>
      </c>
      <c r="O1198" s="56" t="b">
        <v>0</v>
      </c>
      <c r="P1198" s="56"/>
      <c r="Q1198" s="56"/>
      <c r="R1198" s="56"/>
      <c r="S1198" s="56"/>
      <c r="T1198" s="56"/>
      <c r="U1198" s="56"/>
      <c r="V1198" s="56"/>
      <c r="W1198" s="56"/>
      <c r="X1198" s="56"/>
      <c r="Y1198" s="56"/>
      <c r="Z1198" s="56"/>
      <c r="AA1198" s="56"/>
      <c r="AB1198" s="56"/>
    </row>
    <row r="1199" ht="15.75" customHeight="1">
      <c r="A1199" s="169"/>
      <c r="B1199" s="63"/>
      <c r="C1199" s="22"/>
      <c r="D1199" s="38"/>
      <c r="E1199" s="38"/>
      <c r="F1199" s="65"/>
      <c r="G1199" s="66"/>
      <c r="H1199" s="38"/>
      <c r="I1199" s="38"/>
      <c r="J1199" s="38"/>
      <c r="K1199" s="38"/>
      <c r="L1199" s="38"/>
      <c r="M1199" s="56"/>
      <c r="N1199" s="56" t="b">
        <v>0</v>
      </c>
      <c r="O1199" s="56" t="b">
        <v>0</v>
      </c>
      <c r="P1199" s="56"/>
      <c r="Q1199" s="56"/>
      <c r="R1199" s="56"/>
      <c r="S1199" s="56"/>
      <c r="T1199" s="56"/>
      <c r="U1199" s="56"/>
      <c r="V1199" s="56"/>
      <c r="W1199" s="56"/>
      <c r="X1199" s="56"/>
      <c r="Y1199" s="56"/>
      <c r="Z1199" s="56"/>
      <c r="AA1199" s="56"/>
      <c r="AB1199" s="56"/>
    </row>
    <row r="1200" ht="15.75" customHeight="1">
      <c r="A1200" s="169"/>
      <c r="B1200" s="63"/>
      <c r="C1200" s="22" t="s">
        <v>53</v>
      </c>
      <c r="G1200" s="245"/>
      <c r="K1200" s="38"/>
      <c r="L1200" s="38"/>
      <c r="M1200" s="56"/>
      <c r="N1200" s="56" t="b">
        <v>0</v>
      </c>
      <c r="O1200" s="56" t="b">
        <v>0</v>
      </c>
      <c r="P1200" s="56"/>
      <c r="Q1200" s="56"/>
      <c r="R1200" s="56"/>
      <c r="S1200" s="56"/>
      <c r="T1200" s="56"/>
      <c r="U1200" s="56"/>
      <c r="V1200" s="56"/>
      <c r="W1200" s="56"/>
      <c r="X1200" s="56"/>
      <c r="Y1200" s="56"/>
      <c r="Z1200" s="56"/>
      <c r="AA1200" s="56"/>
      <c r="AB1200" s="56"/>
    </row>
    <row r="1201" ht="15.75" customHeight="1">
      <c r="A1201" s="169"/>
      <c r="B1201" s="63"/>
      <c r="C1201" s="22" t="s">
        <v>53</v>
      </c>
      <c r="D1201" s="66" t="s">
        <v>6246</v>
      </c>
      <c r="E1201" s="10" t="s">
        <v>626</v>
      </c>
      <c r="F1201" s="10" t="s">
        <v>627</v>
      </c>
      <c r="G1201" s="66" t="s">
        <v>5602</v>
      </c>
      <c r="H1201" s="38" t="s">
        <v>5165</v>
      </c>
      <c r="I1201" s="38" t="s">
        <v>5166</v>
      </c>
      <c r="J1201" s="38" t="s">
        <v>629</v>
      </c>
      <c r="K1201" s="38" t="s">
        <v>5528</v>
      </c>
      <c r="L1201" s="38"/>
      <c r="M1201" s="56"/>
      <c r="N1201" s="56" t="b">
        <v>0</v>
      </c>
      <c r="O1201" s="56" t="b">
        <v>0</v>
      </c>
      <c r="P1201" s="56"/>
      <c r="Q1201" s="56"/>
      <c r="R1201" s="56"/>
      <c r="S1201" s="56"/>
      <c r="T1201" s="56"/>
      <c r="U1201" s="56"/>
      <c r="V1201" s="56"/>
      <c r="W1201" s="56"/>
      <c r="X1201" s="56"/>
      <c r="Y1201" s="56"/>
      <c r="Z1201" s="56"/>
      <c r="AA1201" s="56"/>
      <c r="AB1201" s="56"/>
    </row>
    <row r="1202" ht="15.75" customHeight="1">
      <c r="A1202" s="169"/>
      <c r="B1202" s="63"/>
      <c r="C1202" s="22" t="s">
        <v>53</v>
      </c>
      <c r="D1202" s="76" t="s">
        <v>133</v>
      </c>
      <c r="E1202" s="203" t="s">
        <v>3686</v>
      </c>
      <c r="F1202" s="203" t="s">
        <v>3687</v>
      </c>
      <c r="G1202" s="82" t="s">
        <v>4858</v>
      </c>
      <c r="H1202" s="76" t="s">
        <v>6247</v>
      </c>
      <c r="I1202" s="76" t="s">
        <v>6248</v>
      </c>
      <c r="J1202" s="76" t="s">
        <v>3689</v>
      </c>
      <c r="K1202" s="38" t="s">
        <v>5528</v>
      </c>
      <c r="L1202" s="38"/>
      <c r="M1202" s="56"/>
      <c r="N1202" s="56" t="b">
        <v>0</v>
      </c>
      <c r="O1202" s="56" t="b">
        <v>0</v>
      </c>
      <c r="P1202" s="56"/>
      <c r="Q1202" s="56"/>
      <c r="R1202" s="56"/>
      <c r="S1202" s="56"/>
      <c r="T1202" s="56"/>
      <c r="U1202" s="56"/>
      <c r="V1202" s="56"/>
      <c r="W1202" s="56"/>
      <c r="X1202" s="56"/>
      <c r="Y1202" s="56"/>
      <c r="Z1202" s="56"/>
      <c r="AA1202" s="56"/>
      <c r="AB1202" s="56"/>
    </row>
    <row r="1203" ht="15.75" customHeight="1">
      <c r="A1203" s="169"/>
      <c r="B1203" s="63"/>
      <c r="C1203" s="22" t="s">
        <v>53</v>
      </c>
      <c r="D1203" s="76" t="s">
        <v>133</v>
      </c>
      <c r="E1203" s="77" t="s">
        <v>3360</v>
      </c>
      <c r="F1203" s="77" t="s">
        <v>3361</v>
      </c>
      <c r="G1203" s="82" t="s">
        <v>4847</v>
      </c>
      <c r="H1203" s="76" t="s">
        <v>6249</v>
      </c>
      <c r="I1203" s="76" t="s">
        <v>6250</v>
      </c>
      <c r="J1203" s="76" t="s">
        <v>3363</v>
      </c>
      <c r="K1203" s="38" t="s">
        <v>5528</v>
      </c>
      <c r="L1203" s="38"/>
      <c r="M1203" s="56"/>
      <c r="N1203" s="56" t="b">
        <v>0</v>
      </c>
      <c r="O1203" s="56" t="b">
        <v>0</v>
      </c>
      <c r="P1203" s="56"/>
      <c r="Q1203" s="56"/>
      <c r="R1203" s="56"/>
      <c r="S1203" s="56"/>
      <c r="T1203" s="56"/>
      <c r="U1203" s="56"/>
      <c r="V1203" s="56"/>
      <c r="W1203" s="56"/>
      <c r="X1203" s="56"/>
      <c r="Y1203" s="56"/>
      <c r="Z1203" s="56"/>
      <c r="AA1203" s="56"/>
      <c r="AB1203" s="56"/>
    </row>
    <row r="1204" ht="15.75" customHeight="1">
      <c r="A1204" s="169"/>
      <c r="B1204" s="69"/>
      <c r="C1204" s="22" t="s">
        <v>53</v>
      </c>
      <c r="D1204" s="38"/>
      <c r="E1204" s="38"/>
      <c r="F1204" s="65"/>
      <c r="G1204" s="66" t="s">
        <v>4947</v>
      </c>
      <c r="H1204" s="38"/>
      <c r="I1204" s="38"/>
      <c r="J1204" s="38"/>
      <c r="K1204" s="38"/>
      <c r="L1204" s="38"/>
      <c r="M1204" s="56"/>
      <c r="N1204" s="56" t="b">
        <v>0</v>
      </c>
      <c r="O1204" s="56" t="b">
        <v>0</v>
      </c>
      <c r="P1204" s="56"/>
      <c r="Q1204" s="56"/>
      <c r="R1204" s="56"/>
      <c r="S1204" s="56"/>
      <c r="T1204" s="56"/>
      <c r="U1204" s="56"/>
      <c r="V1204" s="56"/>
      <c r="W1204" s="56"/>
      <c r="X1204" s="56"/>
      <c r="Y1204" s="56"/>
      <c r="Z1204" s="56"/>
      <c r="AA1204" s="56"/>
      <c r="AB1204" s="56"/>
    </row>
    <row r="1205" ht="15.75" customHeight="1">
      <c r="A1205" s="169"/>
      <c r="B1205" s="219" t="s">
        <v>6168</v>
      </c>
      <c r="C1205" s="226"/>
      <c r="D1205" s="38"/>
      <c r="E1205" s="38"/>
      <c r="F1205" s="65"/>
      <c r="G1205" s="66"/>
      <c r="H1205" s="38"/>
      <c r="I1205" s="38"/>
      <c r="J1205" s="38"/>
      <c r="K1205" s="38"/>
      <c r="L1205" s="38"/>
      <c r="M1205" s="56"/>
      <c r="N1205" s="56" t="b">
        <v>0</v>
      </c>
      <c r="O1205" s="56" t="b">
        <v>0</v>
      </c>
      <c r="P1205" s="56"/>
      <c r="Q1205" s="56"/>
      <c r="R1205" s="56"/>
      <c r="S1205" s="56"/>
      <c r="T1205" s="56"/>
      <c r="U1205" s="56"/>
      <c r="V1205" s="56"/>
      <c r="W1205" s="56"/>
      <c r="X1205" s="56"/>
      <c r="Y1205" s="56"/>
      <c r="Z1205" s="56"/>
      <c r="AA1205" s="56"/>
      <c r="AB1205" s="56"/>
    </row>
    <row r="1206" ht="15.75" customHeight="1">
      <c r="A1206" s="169"/>
      <c r="B1206" s="63"/>
      <c r="D1206" s="38"/>
      <c r="E1206" s="38"/>
      <c r="F1206" s="65"/>
      <c r="G1206" s="66"/>
      <c r="H1206" s="38"/>
      <c r="I1206" s="38"/>
      <c r="J1206" s="38"/>
      <c r="K1206" s="38"/>
      <c r="L1206" s="38"/>
      <c r="M1206" s="56"/>
      <c r="N1206" s="56" t="b">
        <v>0</v>
      </c>
      <c r="O1206" s="56" t="b">
        <v>0</v>
      </c>
      <c r="P1206" s="56"/>
      <c r="Q1206" s="56"/>
      <c r="R1206" s="56"/>
      <c r="S1206" s="56"/>
      <c r="T1206" s="56"/>
      <c r="U1206" s="56"/>
      <c r="V1206" s="56"/>
      <c r="W1206" s="56"/>
      <c r="X1206" s="56"/>
      <c r="Y1206" s="56"/>
      <c r="Z1206" s="56"/>
      <c r="AA1206" s="56"/>
      <c r="AB1206" s="56"/>
    </row>
    <row r="1207" ht="15.75" customHeight="1">
      <c r="A1207" s="169"/>
      <c r="B1207" s="63"/>
      <c r="C1207" s="22" t="s">
        <v>66</v>
      </c>
      <c r="D1207" s="38"/>
      <c r="E1207" s="38"/>
      <c r="F1207" s="65"/>
      <c r="G1207" s="66"/>
      <c r="H1207" s="38"/>
      <c r="I1207" s="38"/>
      <c r="J1207" s="38"/>
      <c r="K1207" s="38"/>
      <c r="L1207" s="38"/>
      <c r="M1207" s="56"/>
      <c r="N1207" s="56" t="b">
        <v>0</v>
      </c>
      <c r="O1207" s="56" t="b">
        <v>0</v>
      </c>
      <c r="P1207" s="56"/>
      <c r="Q1207" s="56"/>
      <c r="R1207" s="56"/>
      <c r="S1207" s="56"/>
      <c r="T1207" s="56"/>
      <c r="U1207" s="56"/>
      <c r="V1207" s="56"/>
      <c r="W1207" s="56"/>
      <c r="X1207" s="56"/>
      <c r="Y1207" s="56"/>
      <c r="Z1207" s="56"/>
      <c r="AA1207" s="56"/>
      <c r="AB1207" s="56"/>
    </row>
    <row r="1208" ht="15.75" customHeight="1">
      <c r="A1208" s="169"/>
      <c r="B1208" s="63"/>
      <c r="C1208" s="22" t="s">
        <v>66</v>
      </c>
      <c r="D1208" s="38"/>
      <c r="E1208" s="168" t="s">
        <v>6251</v>
      </c>
      <c r="F1208" s="55"/>
      <c r="G1208" s="66"/>
      <c r="H1208" s="38"/>
      <c r="I1208" s="38"/>
      <c r="J1208" s="38"/>
      <c r="K1208" s="38"/>
      <c r="L1208" s="38"/>
      <c r="M1208" s="56"/>
      <c r="N1208" s="56" t="b">
        <v>0</v>
      </c>
      <c r="O1208" s="56" t="b">
        <v>0</v>
      </c>
      <c r="P1208" s="56"/>
      <c r="Q1208" s="56"/>
      <c r="R1208" s="56"/>
      <c r="S1208" s="56"/>
      <c r="T1208" s="56"/>
      <c r="U1208" s="56"/>
      <c r="V1208" s="56"/>
      <c r="W1208" s="56"/>
      <c r="X1208" s="56"/>
      <c r="Y1208" s="56"/>
      <c r="Z1208" s="56"/>
      <c r="AA1208" s="56"/>
      <c r="AB1208" s="56"/>
    </row>
    <row r="1209" ht="15.75" customHeight="1">
      <c r="A1209" s="169"/>
      <c r="B1209" s="63"/>
      <c r="C1209" s="22" t="s">
        <v>66</v>
      </c>
      <c r="D1209" s="76" t="s">
        <v>108</v>
      </c>
      <c r="E1209" s="203" t="s">
        <v>3933</v>
      </c>
      <c r="F1209" s="203" t="s">
        <v>3934</v>
      </c>
      <c r="G1209" s="82" t="s">
        <v>4851</v>
      </c>
      <c r="H1209" s="76" t="s">
        <v>5055</v>
      </c>
      <c r="I1209" s="202" t="s">
        <v>6252</v>
      </c>
      <c r="J1209" s="203" t="s">
        <v>6253</v>
      </c>
      <c r="K1209" s="38" t="s">
        <v>6254</v>
      </c>
      <c r="L1209" s="38"/>
      <c r="M1209" s="56"/>
      <c r="N1209" s="56" t="b">
        <v>0</v>
      </c>
      <c r="O1209" s="56" t="b">
        <v>0</v>
      </c>
      <c r="P1209" s="56"/>
      <c r="Q1209" s="56"/>
      <c r="R1209" s="56"/>
      <c r="S1209" s="56"/>
      <c r="T1209" s="56"/>
      <c r="U1209" s="56"/>
      <c r="V1209" s="56"/>
      <c r="W1209" s="56"/>
      <c r="X1209" s="56"/>
      <c r="Y1209" s="56"/>
      <c r="Z1209" s="56"/>
      <c r="AA1209" s="56"/>
      <c r="AB1209" s="56"/>
    </row>
    <row r="1210" ht="15.75" customHeight="1">
      <c r="A1210" s="169"/>
      <c r="B1210" s="63"/>
      <c r="C1210" s="22" t="s">
        <v>66</v>
      </c>
      <c r="D1210" s="202" t="s">
        <v>103</v>
      </c>
      <c r="E1210" s="203" t="s">
        <v>4203</v>
      </c>
      <c r="F1210" s="203" t="s">
        <v>4204</v>
      </c>
      <c r="G1210" s="246">
        <v>0.5625</v>
      </c>
      <c r="H1210" s="247" t="s">
        <v>5548</v>
      </c>
      <c r="I1210" s="247" t="s">
        <v>6255</v>
      </c>
      <c r="J1210" s="248" t="s">
        <v>4206</v>
      </c>
      <c r="K1210" s="249" t="s">
        <v>6256</v>
      </c>
      <c r="L1210" s="38" t="s">
        <v>6257</v>
      </c>
      <c r="M1210" s="56"/>
      <c r="N1210" s="56" t="b">
        <v>0</v>
      </c>
      <c r="O1210" s="56" t="b">
        <v>0</v>
      </c>
      <c r="P1210" s="56"/>
      <c r="Q1210" s="56"/>
      <c r="R1210" s="56"/>
      <c r="S1210" s="56"/>
      <c r="T1210" s="56"/>
      <c r="U1210" s="56"/>
      <c r="V1210" s="56"/>
      <c r="W1210" s="56"/>
      <c r="X1210" s="56"/>
      <c r="Y1210" s="56"/>
      <c r="Z1210" s="56"/>
      <c r="AA1210" s="56"/>
      <c r="AB1210" s="56"/>
    </row>
    <row r="1211" ht="15.75" customHeight="1">
      <c r="A1211" s="169"/>
      <c r="B1211" s="63"/>
      <c r="C1211" s="22" t="s">
        <v>66</v>
      </c>
      <c r="D1211" s="13" t="s">
        <v>103</v>
      </c>
      <c r="E1211" s="10" t="s">
        <v>1093</v>
      </c>
      <c r="F1211" s="10" t="s">
        <v>1094</v>
      </c>
      <c r="G1211" s="66" t="s">
        <v>4892</v>
      </c>
      <c r="H1211" s="38" t="s">
        <v>5751</v>
      </c>
      <c r="I1211" s="38" t="s">
        <v>5078</v>
      </c>
      <c r="J1211" s="10" t="s">
        <v>1096</v>
      </c>
      <c r="K1211" s="38" t="s">
        <v>6258</v>
      </c>
      <c r="L1211" s="38" t="s">
        <v>6259</v>
      </c>
      <c r="M1211" s="56"/>
      <c r="N1211" s="56" t="b">
        <v>0</v>
      </c>
      <c r="O1211" s="56" t="b">
        <v>0</v>
      </c>
      <c r="P1211" s="56"/>
      <c r="Q1211" s="56"/>
      <c r="R1211" s="56"/>
      <c r="S1211" s="56"/>
      <c r="T1211" s="56"/>
      <c r="U1211" s="56"/>
      <c r="V1211" s="56"/>
      <c r="W1211" s="56"/>
      <c r="X1211" s="56"/>
      <c r="Y1211" s="56"/>
      <c r="Z1211" s="56"/>
      <c r="AA1211" s="56"/>
      <c r="AB1211" s="56"/>
    </row>
    <row r="1212" ht="15.75" customHeight="1">
      <c r="A1212" s="169"/>
      <c r="B1212" s="63"/>
      <c r="C1212" s="22" t="s">
        <v>66</v>
      </c>
      <c r="D1212" s="202" t="s">
        <v>103</v>
      </c>
      <c r="E1212" s="203" t="s">
        <v>2279</v>
      </c>
      <c r="F1212" s="203" t="s">
        <v>2280</v>
      </c>
      <c r="G1212" s="82" t="s">
        <v>4899</v>
      </c>
      <c r="H1212" s="76" t="s">
        <v>5922</v>
      </c>
      <c r="I1212" s="76" t="s">
        <v>6260</v>
      </c>
      <c r="J1212" s="203" t="s">
        <v>1085</v>
      </c>
      <c r="K1212" s="76" t="s">
        <v>6261</v>
      </c>
      <c r="L1212" s="76"/>
      <c r="M1212" s="56"/>
      <c r="N1212" s="56" t="b">
        <v>0</v>
      </c>
      <c r="O1212" s="56" t="b">
        <v>0</v>
      </c>
      <c r="P1212" s="56"/>
      <c r="Q1212" s="56"/>
      <c r="R1212" s="56"/>
      <c r="S1212" s="56"/>
      <c r="T1212" s="56"/>
      <c r="U1212" s="56"/>
      <c r="V1212" s="56"/>
      <c r="W1212" s="56"/>
      <c r="X1212" s="56"/>
      <c r="Y1212" s="56"/>
      <c r="Z1212" s="56"/>
      <c r="AA1212" s="56"/>
      <c r="AB1212" s="56"/>
    </row>
    <row r="1213" ht="15.75" customHeight="1">
      <c r="A1213" s="169"/>
      <c r="B1213" s="63"/>
      <c r="C1213" s="22" t="s">
        <v>66</v>
      </c>
      <c r="D1213" s="202" t="s">
        <v>103</v>
      </c>
      <c r="E1213" s="203" t="s">
        <v>142</v>
      </c>
      <c r="F1213" s="203" t="s">
        <v>143</v>
      </c>
      <c r="G1213" s="82" t="s">
        <v>5089</v>
      </c>
      <c r="H1213" s="76" t="s">
        <v>5922</v>
      </c>
      <c r="I1213" s="76" t="s">
        <v>6262</v>
      </c>
      <c r="J1213" s="203" t="s">
        <v>145</v>
      </c>
      <c r="K1213" s="76" t="s">
        <v>6263</v>
      </c>
      <c r="L1213" s="76"/>
      <c r="M1213" s="56"/>
      <c r="N1213" s="56" t="b">
        <v>0</v>
      </c>
      <c r="O1213" s="56" t="b">
        <v>0</v>
      </c>
      <c r="P1213" s="56"/>
      <c r="Q1213" s="56"/>
      <c r="R1213" s="56"/>
      <c r="S1213" s="56"/>
      <c r="T1213" s="56"/>
      <c r="U1213" s="56"/>
      <c r="V1213" s="56"/>
      <c r="W1213" s="56"/>
      <c r="X1213" s="56"/>
      <c r="Y1213" s="56"/>
      <c r="Z1213" s="56"/>
      <c r="AA1213" s="56"/>
      <c r="AB1213" s="56"/>
    </row>
    <row r="1214" ht="15.75" customHeight="1">
      <c r="A1214" s="169"/>
      <c r="B1214" s="69"/>
      <c r="C1214" s="22" t="s">
        <v>66</v>
      </c>
      <c r="D1214" s="38"/>
      <c r="E1214" s="38"/>
      <c r="F1214" s="65"/>
      <c r="G1214" s="66"/>
      <c r="H1214" s="38"/>
      <c r="I1214" s="38"/>
      <c r="J1214" s="38"/>
      <c r="K1214" s="38"/>
      <c r="L1214" s="38"/>
      <c r="M1214" s="56"/>
      <c r="N1214" s="56" t="b">
        <v>0</v>
      </c>
      <c r="O1214" s="56" t="b">
        <v>0</v>
      </c>
      <c r="P1214" s="56"/>
      <c r="Q1214" s="56"/>
      <c r="R1214" s="56"/>
      <c r="S1214" s="56"/>
      <c r="T1214" s="56"/>
      <c r="U1214" s="56"/>
      <c r="V1214" s="56"/>
      <c r="W1214" s="56"/>
      <c r="X1214" s="56"/>
      <c r="Y1214" s="56"/>
      <c r="Z1214" s="56"/>
      <c r="AA1214" s="56"/>
      <c r="AB1214" s="56"/>
    </row>
    <row r="1215" ht="15.75" customHeight="1">
      <c r="A1215" s="169"/>
      <c r="B1215" s="219" t="s">
        <v>4836</v>
      </c>
      <c r="C1215" s="220">
        <v>44491.0</v>
      </c>
      <c r="D1215" s="38"/>
      <c r="E1215" s="38"/>
      <c r="F1215" s="65"/>
      <c r="G1215" s="66"/>
      <c r="H1215" s="38"/>
      <c r="I1215" s="38"/>
      <c r="J1215" s="38"/>
      <c r="K1215" s="38"/>
      <c r="L1215" s="38"/>
      <c r="M1215" s="56"/>
      <c r="N1215" s="56" t="b">
        <v>0</v>
      </c>
      <c r="O1215" s="56" t="b">
        <v>0</v>
      </c>
      <c r="P1215" s="56"/>
      <c r="Q1215" s="56"/>
      <c r="R1215" s="56"/>
      <c r="S1215" s="56"/>
      <c r="T1215" s="56"/>
      <c r="U1215" s="56"/>
      <c r="V1215" s="56"/>
      <c r="W1215" s="56"/>
      <c r="X1215" s="56"/>
      <c r="Y1215" s="56"/>
      <c r="Z1215" s="56"/>
      <c r="AA1215" s="56"/>
      <c r="AB1215" s="56"/>
    </row>
    <row r="1216" ht="15.75" customHeight="1">
      <c r="A1216" s="169"/>
      <c r="B1216" s="63"/>
      <c r="C1216" s="22"/>
      <c r="D1216" s="38"/>
      <c r="E1216" s="38"/>
      <c r="F1216" s="65"/>
      <c r="G1216" s="66"/>
      <c r="H1216" s="38"/>
      <c r="I1216" s="38"/>
      <c r="J1216" s="38"/>
      <c r="K1216" s="38"/>
      <c r="L1216" s="38"/>
      <c r="M1216" s="56"/>
      <c r="N1216" s="56" t="b">
        <v>0</v>
      </c>
      <c r="O1216" s="56" t="b">
        <v>0</v>
      </c>
      <c r="P1216" s="56"/>
      <c r="Q1216" s="56"/>
      <c r="R1216" s="56"/>
      <c r="S1216" s="56"/>
      <c r="T1216" s="56"/>
      <c r="U1216" s="56"/>
      <c r="V1216" s="56"/>
      <c r="W1216" s="56"/>
      <c r="X1216" s="56"/>
      <c r="Y1216" s="56"/>
      <c r="Z1216" s="56"/>
      <c r="AA1216" s="56"/>
      <c r="AB1216" s="56"/>
    </row>
    <row r="1217" ht="15.75" customHeight="1">
      <c r="A1217" s="169"/>
      <c r="B1217" s="63"/>
      <c r="C1217" s="22" t="s">
        <v>53</v>
      </c>
      <c r="D1217" s="23"/>
      <c r="E1217" s="164"/>
      <c r="F1217" s="164"/>
      <c r="G1217" s="201"/>
      <c r="H1217" s="164"/>
      <c r="I1217" s="164"/>
      <c r="K1217" s="38"/>
      <c r="L1217" s="38"/>
      <c r="M1217" s="56"/>
      <c r="N1217" s="56" t="b">
        <v>0</v>
      </c>
      <c r="O1217" s="56" t="b">
        <v>0</v>
      </c>
      <c r="P1217" s="56"/>
      <c r="Q1217" s="56"/>
      <c r="R1217" s="56"/>
      <c r="S1217" s="56"/>
      <c r="T1217" s="56"/>
      <c r="U1217" s="56"/>
      <c r="V1217" s="56"/>
      <c r="W1217" s="56"/>
      <c r="X1217" s="56"/>
      <c r="Y1217" s="56"/>
      <c r="Z1217" s="56"/>
      <c r="AA1217" s="56"/>
      <c r="AB1217" s="56"/>
    </row>
    <row r="1218" ht="15.75" customHeight="1">
      <c r="A1218" s="169"/>
      <c r="B1218" s="63"/>
      <c r="C1218" s="22" t="s">
        <v>53</v>
      </c>
      <c r="D1218" s="23" t="s">
        <v>103</v>
      </c>
      <c r="E1218" s="67" t="s">
        <v>1508</v>
      </c>
      <c r="F1218" s="67" t="s">
        <v>1509</v>
      </c>
      <c r="G1218" s="66" t="s">
        <v>4887</v>
      </c>
      <c r="H1218" s="38" t="s">
        <v>5342</v>
      </c>
      <c r="I1218" s="38" t="s">
        <v>6264</v>
      </c>
      <c r="J1218" s="10" t="s">
        <v>1511</v>
      </c>
      <c r="K1218" s="38"/>
      <c r="L1218" s="38"/>
      <c r="M1218" s="56"/>
      <c r="N1218" s="56" t="b">
        <v>0</v>
      </c>
      <c r="O1218" s="56" t="b">
        <v>0</v>
      </c>
      <c r="P1218" s="56"/>
      <c r="Q1218" s="56"/>
      <c r="R1218" s="56"/>
      <c r="S1218" s="56"/>
      <c r="T1218" s="56"/>
      <c r="U1218" s="56"/>
      <c r="V1218" s="56"/>
      <c r="W1218" s="56"/>
      <c r="X1218" s="56"/>
      <c r="Y1218" s="56"/>
      <c r="Z1218" s="56"/>
      <c r="AA1218" s="56"/>
      <c r="AB1218" s="56"/>
    </row>
    <row r="1219" ht="15.75" customHeight="1">
      <c r="A1219" s="169"/>
      <c r="B1219" s="63"/>
      <c r="C1219" s="22" t="s">
        <v>53</v>
      </c>
      <c r="D1219" s="23" t="s">
        <v>103</v>
      </c>
      <c r="E1219" s="67" t="s">
        <v>3074</v>
      </c>
      <c r="F1219" s="67" t="s">
        <v>3075</v>
      </c>
      <c r="G1219" s="66" t="s">
        <v>4892</v>
      </c>
      <c r="H1219" s="38" t="s">
        <v>5259</v>
      </c>
      <c r="I1219" s="38" t="s">
        <v>6265</v>
      </c>
      <c r="J1219" s="10" t="s">
        <v>3077</v>
      </c>
      <c r="K1219" s="38"/>
      <c r="L1219" s="38"/>
      <c r="M1219" s="56"/>
      <c r="N1219" s="56" t="b">
        <v>0</v>
      </c>
      <c r="O1219" s="56" t="b">
        <v>0</v>
      </c>
      <c r="P1219" s="56"/>
      <c r="Q1219" s="56"/>
      <c r="R1219" s="56"/>
      <c r="S1219" s="56"/>
      <c r="T1219" s="56"/>
      <c r="U1219" s="56"/>
      <c r="V1219" s="56"/>
      <c r="W1219" s="56"/>
      <c r="X1219" s="56"/>
      <c r="Y1219" s="56"/>
      <c r="Z1219" s="56"/>
      <c r="AA1219" s="56"/>
      <c r="AB1219" s="56"/>
    </row>
    <row r="1220" ht="15.75" customHeight="1">
      <c r="A1220" s="169"/>
      <c r="B1220" s="63"/>
      <c r="C1220" s="22" t="s">
        <v>53</v>
      </c>
      <c r="D1220" s="23" t="s">
        <v>103</v>
      </c>
      <c r="E1220" s="38" t="s">
        <v>6266</v>
      </c>
      <c r="F1220" s="125" t="s">
        <v>6267</v>
      </c>
      <c r="G1220" s="66" t="s">
        <v>4899</v>
      </c>
      <c r="H1220" s="38" t="s">
        <v>6268</v>
      </c>
      <c r="I1220" s="38" t="s">
        <v>6262</v>
      </c>
      <c r="J1220" s="250" t="s">
        <v>6269</v>
      </c>
      <c r="K1220" s="38"/>
      <c r="L1220" s="38"/>
      <c r="M1220" s="56"/>
      <c r="N1220" s="56" t="b">
        <v>0</v>
      </c>
      <c r="O1220" s="56" t="b">
        <v>0</v>
      </c>
      <c r="P1220" s="56"/>
      <c r="Q1220" s="56"/>
      <c r="R1220" s="56"/>
      <c r="S1220" s="56"/>
      <c r="T1220" s="56"/>
      <c r="U1220" s="56"/>
      <c r="V1220" s="56"/>
      <c r="W1220" s="56"/>
      <c r="X1220" s="56"/>
      <c r="Y1220" s="56"/>
      <c r="Z1220" s="56"/>
      <c r="AA1220" s="56"/>
      <c r="AB1220" s="56"/>
    </row>
    <row r="1221" ht="15.75" customHeight="1">
      <c r="A1221" s="169"/>
      <c r="B1221" s="69"/>
      <c r="C1221" s="22" t="s">
        <v>53</v>
      </c>
      <c r="D1221" s="38"/>
      <c r="E1221" s="38"/>
      <c r="F1221" s="65"/>
      <c r="G1221" s="66"/>
      <c r="H1221" s="38"/>
      <c r="I1221" s="38"/>
      <c r="J1221" s="38"/>
      <c r="K1221" s="38"/>
      <c r="L1221" s="38"/>
      <c r="M1221" s="56"/>
      <c r="N1221" s="56" t="b">
        <v>0</v>
      </c>
      <c r="O1221" s="56" t="b">
        <v>0</v>
      </c>
      <c r="P1221" s="56"/>
      <c r="Q1221" s="56"/>
      <c r="R1221" s="56"/>
      <c r="S1221" s="56"/>
      <c r="T1221" s="56"/>
      <c r="U1221" s="56"/>
      <c r="V1221" s="56"/>
      <c r="W1221" s="56"/>
      <c r="X1221" s="56"/>
      <c r="Y1221" s="56"/>
      <c r="Z1221" s="56"/>
      <c r="AA1221" s="56"/>
      <c r="AB1221" s="56"/>
    </row>
    <row r="1222" ht="15.75" customHeight="1">
      <c r="A1222" s="169"/>
      <c r="B1222" s="219" t="s">
        <v>6168</v>
      </c>
      <c r="C1222" s="226"/>
      <c r="D1222" s="38"/>
      <c r="E1222" s="38"/>
      <c r="F1222" s="65"/>
      <c r="G1222" s="66"/>
      <c r="H1222" s="38"/>
      <c r="I1222" s="38"/>
      <c r="J1222" s="38"/>
      <c r="K1222" s="38"/>
      <c r="L1222" s="38"/>
      <c r="M1222" s="56"/>
      <c r="N1222" s="56" t="b">
        <v>0</v>
      </c>
      <c r="O1222" s="56" t="b">
        <v>0</v>
      </c>
      <c r="P1222" s="56"/>
      <c r="Q1222" s="56"/>
      <c r="R1222" s="56"/>
      <c r="S1222" s="56"/>
      <c r="T1222" s="56"/>
      <c r="U1222" s="56"/>
      <c r="V1222" s="56"/>
      <c r="W1222" s="56"/>
      <c r="X1222" s="56"/>
      <c r="Y1222" s="56"/>
      <c r="Z1222" s="56"/>
      <c r="AA1222" s="56"/>
      <c r="AB1222" s="56"/>
    </row>
    <row r="1223" ht="15.75" customHeight="1">
      <c r="A1223" s="169"/>
      <c r="B1223" s="63"/>
      <c r="D1223" s="38"/>
      <c r="E1223" s="38"/>
      <c r="F1223" s="65"/>
      <c r="G1223" s="66"/>
      <c r="H1223" s="38"/>
      <c r="I1223" s="38"/>
      <c r="J1223" s="38"/>
      <c r="K1223" s="38"/>
      <c r="L1223" s="38"/>
      <c r="M1223" s="56"/>
      <c r="N1223" s="56" t="b">
        <v>0</v>
      </c>
      <c r="O1223" s="56" t="b">
        <v>0</v>
      </c>
      <c r="P1223" s="56"/>
      <c r="Q1223" s="56"/>
      <c r="R1223" s="56"/>
      <c r="S1223" s="56"/>
      <c r="T1223" s="56"/>
      <c r="U1223" s="56"/>
      <c r="V1223" s="56"/>
      <c r="W1223" s="56"/>
      <c r="X1223" s="56"/>
      <c r="Y1223" s="56"/>
      <c r="Z1223" s="56"/>
      <c r="AA1223" s="56"/>
      <c r="AB1223" s="56"/>
    </row>
    <row r="1224" ht="15.75" customHeight="1">
      <c r="A1224" s="169"/>
      <c r="B1224" s="63"/>
      <c r="C1224" s="22" t="s">
        <v>66</v>
      </c>
      <c r="D1224" s="38"/>
      <c r="E1224" s="38"/>
      <c r="F1224" s="65"/>
      <c r="G1224" s="66"/>
      <c r="H1224" s="38"/>
      <c r="I1224" s="38"/>
      <c r="J1224" s="38"/>
      <c r="K1224" s="38"/>
      <c r="L1224" s="38"/>
      <c r="M1224" s="56"/>
      <c r="N1224" s="56" t="b">
        <v>0</v>
      </c>
      <c r="O1224" s="56" t="b">
        <v>0</v>
      </c>
      <c r="P1224" s="56"/>
      <c r="Q1224" s="56"/>
      <c r="R1224" s="56"/>
      <c r="S1224" s="56"/>
      <c r="T1224" s="56"/>
      <c r="U1224" s="56"/>
      <c r="V1224" s="56"/>
      <c r="W1224" s="56"/>
      <c r="X1224" s="56"/>
      <c r="Y1224" s="56"/>
      <c r="Z1224" s="56"/>
      <c r="AA1224" s="56"/>
      <c r="AB1224" s="56"/>
    </row>
    <row r="1225" ht="15.75" customHeight="1">
      <c r="A1225" s="169"/>
      <c r="B1225" s="63"/>
      <c r="C1225" s="22" t="s">
        <v>66</v>
      </c>
      <c r="D1225" s="62" t="s">
        <v>52</v>
      </c>
      <c r="E1225" s="60" t="s">
        <v>3933</v>
      </c>
      <c r="F1225" s="60" t="s">
        <v>3934</v>
      </c>
      <c r="G1225" s="73" t="s">
        <v>4851</v>
      </c>
      <c r="H1225" s="62" t="s">
        <v>5055</v>
      </c>
      <c r="I1225" s="227" t="s">
        <v>6252</v>
      </c>
      <c r="J1225" s="242" t="s">
        <v>6253</v>
      </c>
      <c r="K1225" s="38"/>
      <c r="L1225" s="38"/>
      <c r="M1225" s="56"/>
      <c r="N1225" s="56" t="b">
        <v>0</v>
      </c>
      <c r="O1225" s="56" t="b">
        <v>0</v>
      </c>
      <c r="P1225" s="56"/>
      <c r="Q1225" s="56"/>
      <c r="R1225" s="56"/>
      <c r="S1225" s="56"/>
      <c r="T1225" s="56"/>
      <c r="U1225" s="56"/>
      <c r="V1225" s="56"/>
      <c r="W1225" s="56"/>
      <c r="X1225" s="56"/>
      <c r="Y1225" s="56"/>
      <c r="Z1225" s="56"/>
      <c r="AA1225" s="56"/>
      <c r="AB1225" s="56"/>
    </row>
    <row r="1226" ht="15.75" customHeight="1">
      <c r="A1226" s="169"/>
      <c r="B1226" s="63"/>
      <c r="C1226" s="22" t="s">
        <v>66</v>
      </c>
      <c r="D1226" s="251" t="s">
        <v>103</v>
      </c>
      <c r="E1226" s="217" t="s">
        <v>2569</v>
      </c>
      <c r="F1226" s="217" t="s">
        <v>2570</v>
      </c>
      <c r="G1226" s="218" t="s">
        <v>5134</v>
      </c>
      <c r="H1226" s="173" t="s">
        <v>6227</v>
      </c>
      <c r="I1226" s="173" t="s">
        <v>6229</v>
      </c>
      <c r="J1226" s="252" t="s">
        <v>2572</v>
      </c>
      <c r="K1226" s="38"/>
      <c r="L1226" s="38"/>
      <c r="M1226" s="56"/>
      <c r="N1226" s="56" t="b">
        <v>0</v>
      </c>
      <c r="O1226" s="56" t="b">
        <v>0</v>
      </c>
      <c r="P1226" s="56"/>
      <c r="Q1226" s="56"/>
      <c r="R1226" s="56"/>
      <c r="S1226" s="56"/>
      <c r="T1226" s="56"/>
      <c r="U1226" s="56"/>
      <c r="V1226" s="56"/>
      <c r="W1226" s="56"/>
      <c r="X1226" s="56"/>
      <c r="Y1226" s="56"/>
      <c r="Z1226" s="56"/>
      <c r="AA1226" s="56"/>
      <c r="AB1226" s="56"/>
    </row>
    <row r="1227" ht="15.75" customHeight="1">
      <c r="A1227" s="169"/>
      <c r="B1227" s="63"/>
      <c r="C1227" s="22" t="s">
        <v>66</v>
      </c>
      <c r="D1227" s="251" t="s">
        <v>103</v>
      </c>
      <c r="E1227" s="145" t="s">
        <v>2279</v>
      </c>
      <c r="F1227" s="145" t="s">
        <v>2280</v>
      </c>
      <c r="G1227" s="140" t="s">
        <v>4892</v>
      </c>
      <c r="H1227" s="137" t="s">
        <v>5922</v>
      </c>
      <c r="I1227" s="137" t="s">
        <v>6260</v>
      </c>
      <c r="J1227" s="253" t="s">
        <v>1085</v>
      </c>
      <c r="K1227" s="38" t="s">
        <v>5528</v>
      </c>
      <c r="L1227" s="38"/>
      <c r="M1227" s="56"/>
      <c r="N1227" s="56" t="b">
        <v>0</v>
      </c>
      <c r="O1227" s="56" t="b">
        <v>0</v>
      </c>
      <c r="P1227" s="56"/>
      <c r="Q1227" s="56"/>
      <c r="R1227" s="56"/>
      <c r="S1227" s="56"/>
      <c r="T1227" s="56"/>
      <c r="U1227" s="56"/>
      <c r="V1227" s="56"/>
      <c r="W1227" s="56"/>
      <c r="X1227" s="56"/>
      <c r="Y1227" s="56"/>
      <c r="Z1227" s="56"/>
      <c r="AA1227" s="56"/>
      <c r="AB1227" s="56"/>
    </row>
    <row r="1228" ht="15.75" customHeight="1">
      <c r="A1228" s="169"/>
      <c r="B1228" s="63"/>
      <c r="C1228" s="22" t="s">
        <v>66</v>
      </c>
      <c r="D1228" s="251" t="s">
        <v>103</v>
      </c>
      <c r="E1228" s="145" t="s">
        <v>142</v>
      </c>
      <c r="F1228" s="145" t="s">
        <v>143</v>
      </c>
      <c r="G1228" s="140" t="s">
        <v>4899</v>
      </c>
      <c r="H1228" s="137" t="s">
        <v>5922</v>
      </c>
      <c r="I1228" s="137" t="s">
        <v>6262</v>
      </c>
      <c r="J1228" s="253" t="s">
        <v>145</v>
      </c>
      <c r="K1228" s="137" t="s">
        <v>5528</v>
      </c>
      <c r="L1228" s="38"/>
      <c r="M1228" s="56"/>
      <c r="N1228" s="56" t="b">
        <v>0</v>
      </c>
      <c r="O1228" s="56" t="b">
        <v>0</v>
      </c>
      <c r="P1228" s="56"/>
      <c r="Q1228" s="56"/>
      <c r="R1228" s="56"/>
      <c r="S1228" s="56"/>
      <c r="T1228" s="56"/>
      <c r="U1228" s="56"/>
      <c r="V1228" s="56"/>
      <c r="W1228" s="56"/>
      <c r="X1228" s="56"/>
      <c r="Y1228" s="56"/>
      <c r="Z1228" s="56"/>
      <c r="AA1228" s="56"/>
      <c r="AB1228" s="56"/>
    </row>
    <row r="1229" ht="15.75" customHeight="1">
      <c r="A1229" s="169"/>
      <c r="B1229" s="63"/>
      <c r="C1229" s="22" t="s">
        <v>66</v>
      </c>
      <c r="D1229" s="62" t="s">
        <v>171</v>
      </c>
      <c r="E1229" s="242" t="s">
        <v>5759</v>
      </c>
      <c r="F1229" s="242" t="s">
        <v>5760</v>
      </c>
      <c r="G1229" s="73" t="s">
        <v>5089</v>
      </c>
      <c r="H1229" s="62" t="s">
        <v>4994</v>
      </c>
      <c r="I1229" s="62" t="s">
        <v>5761</v>
      </c>
      <c r="J1229" s="242" t="s">
        <v>6270</v>
      </c>
      <c r="K1229" s="38"/>
      <c r="L1229" s="38"/>
      <c r="M1229" s="56"/>
      <c r="N1229" s="56" t="b">
        <v>0</v>
      </c>
      <c r="O1229" s="56" t="b">
        <v>0</v>
      </c>
      <c r="P1229" s="56"/>
      <c r="Q1229" s="56"/>
      <c r="R1229" s="56"/>
      <c r="S1229" s="56"/>
      <c r="T1229" s="56"/>
      <c r="U1229" s="56"/>
      <c r="V1229" s="56"/>
      <c r="W1229" s="56"/>
      <c r="X1229" s="56"/>
      <c r="Y1229" s="56"/>
      <c r="Z1229" s="56"/>
      <c r="AA1229" s="56"/>
      <c r="AB1229" s="56"/>
    </row>
    <row r="1230" ht="15.75" customHeight="1">
      <c r="A1230" s="169"/>
      <c r="B1230" s="63"/>
      <c r="C1230" s="22" t="s">
        <v>66</v>
      </c>
      <c r="D1230" s="38"/>
      <c r="E1230" s="38"/>
      <c r="F1230" s="65"/>
      <c r="G1230" s="66"/>
      <c r="H1230" s="38"/>
      <c r="I1230" s="38"/>
      <c r="J1230" s="38"/>
      <c r="K1230" s="38"/>
      <c r="L1230" s="38"/>
      <c r="M1230" s="56"/>
      <c r="N1230" s="56" t="b">
        <v>0</v>
      </c>
      <c r="O1230" s="56" t="b">
        <v>0</v>
      </c>
      <c r="P1230" s="56"/>
      <c r="Q1230" s="56"/>
      <c r="R1230" s="56"/>
      <c r="S1230" s="56"/>
      <c r="T1230" s="56"/>
      <c r="U1230" s="56"/>
      <c r="V1230" s="56"/>
      <c r="W1230" s="56"/>
      <c r="X1230" s="56"/>
      <c r="Y1230" s="56"/>
      <c r="Z1230" s="56"/>
      <c r="AA1230" s="56"/>
      <c r="AB1230" s="56"/>
    </row>
    <row r="1231" ht="15.75" customHeight="1">
      <c r="A1231" s="169"/>
      <c r="B1231" s="69"/>
      <c r="C1231" s="22" t="s">
        <v>66</v>
      </c>
      <c r="D1231" s="38"/>
      <c r="E1231" s="38"/>
      <c r="F1231" s="65"/>
      <c r="G1231" s="66"/>
      <c r="H1231" s="38"/>
      <c r="I1231" s="38"/>
      <c r="J1231" s="38"/>
      <c r="K1231" s="38"/>
      <c r="L1231" s="38"/>
      <c r="M1231" s="56"/>
      <c r="N1231" s="56" t="b">
        <v>0</v>
      </c>
      <c r="O1231" s="56" t="b">
        <v>0</v>
      </c>
      <c r="P1231" s="56"/>
      <c r="Q1231" s="56"/>
      <c r="R1231" s="56"/>
      <c r="S1231" s="56"/>
      <c r="T1231" s="56"/>
      <c r="U1231" s="56"/>
      <c r="V1231" s="56"/>
      <c r="W1231" s="56"/>
      <c r="X1231" s="56"/>
      <c r="Y1231" s="56"/>
      <c r="Z1231" s="56"/>
      <c r="AA1231" s="56"/>
      <c r="AB1231" s="56"/>
    </row>
    <row r="1232" ht="15.75" customHeight="1">
      <c r="A1232" s="169"/>
      <c r="B1232" s="219" t="s">
        <v>4836</v>
      </c>
      <c r="C1232" s="220">
        <v>44494.0</v>
      </c>
      <c r="D1232" s="38"/>
      <c r="E1232" s="38"/>
      <c r="F1232" s="65"/>
      <c r="G1232" s="66"/>
      <c r="H1232" s="38"/>
      <c r="I1232" s="38"/>
      <c r="J1232" s="38"/>
      <c r="K1232" s="38"/>
      <c r="L1232" s="38"/>
      <c r="M1232" s="56"/>
      <c r="N1232" s="56" t="b">
        <v>0</v>
      </c>
      <c r="O1232" s="56" t="b">
        <v>0</v>
      </c>
      <c r="P1232" s="56"/>
      <c r="Q1232" s="56"/>
      <c r="R1232" s="56"/>
      <c r="S1232" s="56"/>
      <c r="T1232" s="56"/>
      <c r="U1232" s="56"/>
      <c r="V1232" s="56"/>
      <c r="W1232" s="56"/>
      <c r="X1232" s="56"/>
      <c r="Y1232" s="56"/>
      <c r="Z1232" s="56"/>
      <c r="AA1232" s="56"/>
      <c r="AB1232" s="56"/>
    </row>
    <row r="1233" ht="15.75" customHeight="1">
      <c r="A1233" s="169"/>
      <c r="B1233" s="63"/>
      <c r="C1233" s="22"/>
      <c r="D1233" s="38"/>
      <c r="E1233" s="38"/>
      <c r="F1233" s="65"/>
      <c r="G1233" s="66"/>
      <c r="H1233" s="38"/>
      <c r="I1233" s="38"/>
      <c r="J1233" s="38"/>
      <c r="K1233" s="38"/>
      <c r="L1233" s="38"/>
      <c r="M1233" s="56"/>
      <c r="N1233" s="56" t="b">
        <v>0</v>
      </c>
      <c r="O1233" s="56" t="b">
        <v>0</v>
      </c>
      <c r="P1233" s="56"/>
      <c r="Q1233" s="56"/>
      <c r="R1233" s="56"/>
      <c r="S1233" s="56"/>
      <c r="T1233" s="56"/>
      <c r="U1233" s="56"/>
      <c r="V1233" s="56"/>
      <c r="W1233" s="56"/>
      <c r="X1233" s="56"/>
      <c r="Y1233" s="56"/>
      <c r="Z1233" s="56"/>
      <c r="AA1233" s="56"/>
      <c r="AB1233" s="56"/>
    </row>
    <row r="1234" ht="15.75" customHeight="1">
      <c r="A1234" s="169"/>
      <c r="B1234" s="63"/>
      <c r="C1234" s="22" t="s">
        <v>53</v>
      </c>
      <c r="D1234" s="38" t="s">
        <v>89</v>
      </c>
      <c r="E1234" s="67" t="s">
        <v>6271</v>
      </c>
      <c r="F1234" s="65" t="s">
        <v>6272</v>
      </c>
      <c r="G1234" s="66" t="s">
        <v>5704</v>
      </c>
      <c r="H1234" s="38" t="s">
        <v>6273</v>
      </c>
      <c r="I1234" s="164" t="s">
        <v>6274</v>
      </c>
      <c r="J1234" s="67" t="s">
        <v>6275</v>
      </c>
      <c r="K1234" s="38"/>
      <c r="L1234" s="38"/>
      <c r="M1234" s="56"/>
      <c r="N1234" s="56" t="b">
        <v>0</v>
      </c>
      <c r="O1234" s="56" t="b">
        <v>0</v>
      </c>
      <c r="P1234" s="56"/>
      <c r="Q1234" s="56"/>
      <c r="R1234" s="56"/>
      <c r="S1234" s="56"/>
      <c r="T1234" s="56"/>
      <c r="U1234" s="56"/>
      <c r="V1234" s="56"/>
      <c r="W1234" s="56"/>
      <c r="X1234" s="56"/>
      <c r="Y1234" s="56"/>
      <c r="Z1234" s="56"/>
      <c r="AA1234" s="56"/>
      <c r="AB1234" s="56"/>
    </row>
    <row r="1235" ht="15.75" customHeight="1">
      <c r="A1235" s="169"/>
      <c r="B1235" s="63"/>
      <c r="C1235" s="22" t="s">
        <v>53</v>
      </c>
      <c r="D1235" s="38" t="s">
        <v>89</v>
      </c>
      <c r="E1235" s="67" t="s">
        <v>3184</v>
      </c>
      <c r="F1235" s="67" t="s">
        <v>3185</v>
      </c>
      <c r="G1235" s="66" t="s">
        <v>5134</v>
      </c>
      <c r="H1235" s="38" t="s">
        <v>6276</v>
      </c>
      <c r="I1235" s="38" t="s">
        <v>6277</v>
      </c>
      <c r="J1235" s="67" t="s">
        <v>3187</v>
      </c>
      <c r="K1235" s="38"/>
      <c r="L1235" s="38"/>
      <c r="M1235" s="56"/>
      <c r="N1235" s="56" t="b">
        <v>0</v>
      </c>
      <c r="O1235" s="56" t="b">
        <v>0</v>
      </c>
      <c r="P1235" s="56"/>
      <c r="Q1235" s="56"/>
      <c r="R1235" s="56"/>
      <c r="S1235" s="56"/>
      <c r="T1235" s="56"/>
      <c r="U1235" s="56"/>
      <c r="V1235" s="56"/>
      <c r="W1235" s="56"/>
      <c r="X1235" s="56"/>
      <c r="Y1235" s="56"/>
      <c r="Z1235" s="56"/>
      <c r="AA1235" s="56"/>
      <c r="AB1235" s="56"/>
    </row>
    <row r="1236" ht="15.75" customHeight="1">
      <c r="A1236" s="169"/>
      <c r="B1236" s="63"/>
      <c r="C1236" s="22" t="s">
        <v>53</v>
      </c>
      <c r="D1236" s="76" t="s">
        <v>89</v>
      </c>
      <c r="E1236" s="77" t="s">
        <v>1225</v>
      </c>
      <c r="F1236" s="77" t="s">
        <v>1226</v>
      </c>
      <c r="G1236" s="254">
        <v>0.5833333333333334</v>
      </c>
      <c r="H1236" s="255" t="s">
        <v>6278</v>
      </c>
      <c r="I1236" s="76" t="s">
        <v>6279</v>
      </c>
      <c r="J1236" s="77" t="s">
        <v>1228</v>
      </c>
      <c r="K1236" s="137" t="s">
        <v>6280</v>
      </c>
      <c r="L1236" s="38"/>
      <c r="M1236" s="56"/>
      <c r="N1236" s="56" t="b">
        <v>0</v>
      </c>
      <c r="O1236" s="56" t="b">
        <v>0</v>
      </c>
      <c r="P1236" s="56"/>
      <c r="Q1236" s="56"/>
      <c r="R1236" s="56"/>
      <c r="S1236" s="56"/>
      <c r="T1236" s="56"/>
      <c r="U1236" s="56"/>
      <c r="V1236" s="56"/>
      <c r="W1236" s="56"/>
      <c r="X1236" s="56"/>
      <c r="Y1236" s="56"/>
      <c r="Z1236" s="56"/>
      <c r="AA1236" s="56"/>
      <c r="AB1236" s="56"/>
    </row>
    <row r="1237" ht="15.75" customHeight="1">
      <c r="A1237" s="169"/>
      <c r="B1237" s="63"/>
      <c r="C1237" s="22" t="s">
        <v>53</v>
      </c>
      <c r="D1237" s="38"/>
      <c r="E1237" s="164"/>
      <c r="F1237" s="164"/>
      <c r="G1237" s="166"/>
      <c r="H1237" s="164"/>
      <c r="I1237" s="164"/>
      <c r="J1237" s="164"/>
      <c r="K1237" s="38"/>
      <c r="L1237" s="38"/>
      <c r="M1237" s="56"/>
      <c r="N1237" s="56" t="b">
        <v>0</v>
      </c>
      <c r="O1237" s="56" t="b">
        <v>0</v>
      </c>
      <c r="P1237" s="56"/>
      <c r="Q1237" s="56"/>
      <c r="R1237" s="56"/>
      <c r="S1237" s="56"/>
      <c r="T1237" s="56"/>
      <c r="U1237" s="56"/>
      <c r="V1237" s="56"/>
      <c r="W1237" s="56"/>
      <c r="X1237" s="56"/>
      <c r="Y1237" s="56"/>
      <c r="Z1237" s="56"/>
      <c r="AA1237" s="56"/>
      <c r="AB1237" s="56"/>
    </row>
    <row r="1238" ht="15.75" customHeight="1">
      <c r="A1238" s="169"/>
      <c r="B1238" s="69"/>
      <c r="C1238" s="22" t="s">
        <v>53</v>
      </c>
      <c r="D1238" s="38"/>
      <c r="E1238" s="38"/>
      <c r="F1238" s="65"/>
      <c r="G1238" s="66"/>
      <c r="H1238" s="38"/>
      <c r="I1238" s="38"/>
      <c r="J1238" s="38"/>
      <c r="K1238" s="38"/>
      <c r="L1238" s="38"/>
      <c r="M1238" s="56"/>
      <c r="N1238" s="56" t="b">
        <v>0</v>
      </c>
      <c r="O1238" s="56" t="b">
        <v>0</v>
      </c>
      <c r="P1238" s="56"/>
      <c r="Q1238" s="56"/>
      <c r="R1238" s="56"/>
      <c r="S1238" s="56"/>
      <c r="T1238" s="56"/>
      <c r="U1238" s="56"/>
      <c r="V1238" s="56"/>
      <c r="W1238" s="56"/>
      <c r="X1238" s="56"/>
      <c r="Y1238" s="56"/>
      <c r="Z1238" s="56"/>
      <c r="AA1238" s="56"/>
      <c r="AB1238" s="56"/>
    </row>
    <row r="1239" ht="15.75" customHeight="1">
      <c r="A1239" s="169"/>
      <c r="B1239" s="219" t="s">
        <v>6168</v>
      </c>
      <c r="C1239" s="226"/>
      <c r="D1239" s="38"/>
      <c r="E1239" s="38"/>
      <c r="F1239" s="65"/>
      <c r="G1239" s="66"/>
      <c r="H1239" s="38"/>
      <c r="I1239" s="38"/>
      <c r="J1239" s="38"/>
      <c r="K1239" s="38"/>
      <c r="L1239" s="38"/>
      <c r="M1239" s="56"/>
      <c r="N1239" s="56" t="b">
        <v>0</v>
      </c>
      <c r="O1239" s="56" t="b">
        <v>0</v>
      </c>
      <c r="P1239" s="56"/>
      <c r="Q1239" s="56"/>
      <c r="R1239" s="56"/>
      <c r="S1239" s="56"/>
      <c r="T1239" s="56"/>
      <c r="U1239" s="56"/>
      <c r="V1239" s="56"/>
      <c r="W1239" s="56"/>
      <c r="X1239" s="56"/>
      <c r="Y1239" s="56"/>
      <c r="Z1239" s="56"/>
      <c r="AA1239" s="56"/>
      <c r="AB1239" s="56"/>
    </row>
    <row r="1240" ht="15.75" customHeight="1">
      <c r="A1240" s="169"/>
      <c r="B1240" s="63"/>
      <c r="D1240" s="38"/>
      <c r="E1240" s="38"/>
      <c r="F1240" s="65"/>
      <c r="G1240" s="66"/>
      <c r="H1240" s="38"/>
      <c r="I1240" s="38"/>
      <c r="J1240" s="38"/>
      <c r="K1240" s="38"/>
      <c r="L1240" s="38"/>
      <c r="M1240" s="56"/>
      <c r="N1240" s="56" t="b">
        <v>0</v>
      </c>
      <c r="O1240" s="56" t="b">
        <v>0</v>
      </c>
      <c r="P1240" s="56"/>
      <c r="Q1240" s="56"/>
      <c r="R1240" s="56"/>
      <c r="S1240" s="56"/>
      <c r="T1240" s="56"/>
      <c r="U1240" s="56"/>
      <c r="V1240" s="56"/>
      <c r="W1240" s="56"/>
      <c r="X1240" s="56"/>
      <c r="Y1240" s="56"/>
      <c r="Z1240" s="56"/>
      <c r="AA1240" s="56"/>
      <c r="AB1240" s="56"/>
    </row>
    <row r="1241" ht="15.75" customHeight="1">
      <c r="A1241" s="169"/>
      <c r="B1241" s="63"/>
      <c r="C1241" s="22" t="s">
        <v>66</v>
      </c>
      <c r="D1241" s="38"/>
      <c r="E1241" s="38"/>
      <c r="F1241" s="65"/>
      <c r="G1241" s="66"/>
      <c r="H1241" s="38"/>
      <c r="I1241" s="38"/>
      <c r="J1241" s="38"/>
      <c r="K1241" s="38"/>
      <c r="L1241" s="38"/>
      <c r="M1241" s="56"/>
      <c r="N1241" s="56" t="b">
        <v>0</v>
      </c>
      <c r="O1241" s="56" t="b">
        <v>0</v>
      </c>
      <c r="P1241" s="56"/>
      <c r="Q1241" s="56"/>
      <c r="R1241" s="56"/>
      <c r="S1241" s="56"/>
      <c r="T1241" s="56"/>
      <c r="U1241" s="56"/>
      <c r="V1241" s="56"/>
      <c r="W1241" s="56"/>
      <c r="X1241" s="56"/>
      <c r="Y1241" s="56"/>
      <c r="Z1241" s="56"/>
      <c r="AA1241" s="56"/>
      <c r="AB1241" s="56"/>
    </row>
    <row r="1242" ht="15.75" customHeight="1">
      <c r="A1242" s="169"/>
      <c r="B1242" s="63"/>
      <c r="C1242" s="22" t="s">
        <v>66</v>
      </c>
      <c r="D1242" s="38"/>
      <c r="E1242" s="38"/>
      <c r="F1242" s="65"/>
      <c r="G1242" s="66"/>
      <c r="H1242" s="38"/>
      <c r="I1242" s="38"/>
      <c r="J1242" s="38"/>
      <c r="K1242" s="38"/>
      <c r="L1242" s="38"/>
      <c r="M1242" s="56"/>
      <c r="N1242" s="56" t="b">
        <v>0</v>
      </c>
      <c r="O1242" s="56" t="b">
        <v>0</v>
      </c>
      <c r="P1242" s="56"/>
      <c r="Q1242" s="56"/>
      <c r="R1242" s="56"/>
      <c r="S1242" s="56"/>
      <c r="T1242" s="56"/>
      <c r="U1242" s="56"/>
      <c r="V1242" s="56"/>
      <c r="W1242" s="56"/>
      <c r="X1242" s="56"/>
      <c r="Y1242" s="56"/>
      <c r="Z1242" s="56"/>
      <c r="AA1242" s="56"/>
      <c r="AB1242" s="56"/>
    </row>
    <row r="1243" ht="15.75" customHeight="1">
      <c r="A1243" s="169"/>
      <c r="B1243" s="63"/>
      <c r="C1243" s="22" t="s">
        <v>66</v>
      </c>
      <c r="D1243" s="38" t="s">
        <v>52</v>
      </c>
      <c r="E1243" s="67" t="s">
        <v>4208</v>
      </c>
      <c r="F1243" s="67" t="s">
        <v>4209</v>
      </c>
      <c r="G1243" s="66" t="s">
        <v>5134</v>
      </c>
      <c r="H1243" s="38" t="s">
        <v>4971</v>
      </c>
      <c r="I1243" s="38" t="s">
        <v>6281</v>
      </c>
      <c r="J1243" s="67" t="s">
        <v>4211</v>
      </c>
      <c r="K1243" s="38"/>
      <c r="L1243" s="38"/>
      <c r="M1243" s="56"/>
      <c r="N1243" s="56" t="b">
        <v>0</v>
      </c>
      <c r="O1243" s="56" t="b">
        <v>0</v>
      </c>
      <c r="P1243" s="56"/>
      <c r="Q1243" s="56"/>
      <c r="R1243" s="56"/>
      <c r="S1243" s="56"/>
      <c r="T1243" s="56"/>
      <c r="U1243" s="56"/>
      <c r="V1243" s="56"/>
      <c r="W1243" s="56"/>
      <c r="X1243" s="56"/>
      <c r="Y1243" s="56"/>
      <c r="Z1243" s="56"/>
      <c r="AA1243" s="56"/>
      <c r="AB1243" s="56"/>
    </row>
    <row r="1244" ht="15.75" customHeight="1">
      <c r="A1244" s="169"/>
      <c r="B1244" s="63"/>
      <c r="C1244" s="22" t="s">
        <v>66</v>
      </c>
      <c r="D1244" s="62" t="s">
        <v>89</v>
      </c>
      <c r="E1244" s="256" t="s">
        <v>354</v>
      </c>
      <c r="F1244" s="257" t="s">
        <v>355</v>
      </c>
      <c r="G1244" s="258">
        <v>0.5833333333333334</v>
      </c>
      <c r="H1244" s="257" t="s">
        <v>6282</v>
      </c>
      <c r="I1244" s="259" t="s">
        <v>6283</v>
      </c>
      <c r="J1244" s="257" t="s">
        <v>358</v>
      </c>
      <c r="K1244" s="38"/>
      <c r="L1244" s="38"/>
      <c r="M1244" s="56"/>
      <c r="N1244" s="56" t="b">
        <v>0</v>
      </c>
      <c r="O1244" s="56" t="b">
        <v>0</v>
      </c>
      <c r="P1244" s="56"/>
      <c r="Q1244" s="56"/>
      <c r="R1244" s="56"/>
      <c r="S1244" s="56"/>
      <c r="T1244" s="56"/>
      <c r="U1244" s="56"/>
      <c r="V1244" s="56"/>
      <c r="W1244" s="56"/>
      <c r="X1244" s="56"/>
      <c r="Y1244" s="56"/>
      <c r="Z1244" s="56"/>
      <c r="AA1244" s="56"/>
      <c r="AB1244" s="56"/>
    </row>
    <row r="1245" ht="15.75" customHeight="1">
      <c r="A1245" s="169"/>
      <c r="B1245" s="63"/>
      <c r="C1245" s="22" t="s">
        <v>66</v>
      </c>
      <c r="D1245" s="62" t="s">
        <v>52</v>
      </c>
      <c r="E1245" s="60" t="s">
        <v>4427</v>
      </c>
      <c r="F1245" s="60" t="s">
        <v>4428</v>
      </c>
      <c r="G1245" s="73" t="s">
        <v>4858</v>
      </c>
      <c r="H1245" s="62" t="s">
        <v>5058</v>
      </c>
      <c r="I1245" s="62" t="s">
        <v>6284</v>
      </c>
      <c r="J1245" s="60" t="s">
        <v>4430</v>
      </c>
      <c r="K1245" s="38"/>
      <c r="L1245" s="38"/>
      <c r="M1245" s="56"/>
      <c r="N1245" s="56" t="b">
        <v>0</v>
      </c>
      <c r="O1245" s="56" t="b">
        <v>0</v>
      </c>
      <c r="P1245" s="56"/>
      <c r="Q1245" s="56"/>
      <c r="R1245" s="56"/>
      <c r="S1245" s="56"/>
      <c r="T1245" s="56"/>
      <c r="U1245" s="56"/>
      <c r="V1245" s="56"/>
      <c r="W1245" s="56"/>
      <c r="X1245" s="56"/>
      <c r="Y1245" s="56"/>
      <c r="Z1245" s="56"/>
      <c r="AA1245" s="56"/>
      <c r="AB1245" s="56"/>
    </row>
    <row r="1246" ht="15.75" customHeight="1">
      <c r="A1246" s="169"/>
      <c r="B1246" s="63"/>
      <c r="C1246" s="22" t="s">
        <v>66</v>
      </c>
      <c r="D1246" s="38" t="s">
        <v>52</v>
      </c>
      <c r="E1246" s="67" t="s">
        <v>4508</v>
      </c>
      <c r="F1246" s="67" t="s">
        <v>4509</v>
      </c>
      <c r="G1246" s="66" t="s">
        <v>4847</v>
      </c>
      <c r="H1246" s="38" t="s">
        <v>5058</v>
      </c>
      <c r="I1246" s="38" t="s">
        <v>6285</v>
      </c>
      <c r="J1246" s="67" t="s">
        <v>4511</v>
      </c>
      <c r="K1246" s="38"/>
      <c r="L1246" s="38"/>
      <c r="M1246" s="56"/>
      <c r="N1246" s="56" t="b">
        <v>0</v>
      </c>
      <c r="O1246" s="56" t="b">
        <v>0</v>
      </c>
      <c r="P1246" s="56"/>
      <c r="Q1246" s="56"/>
      <c r="R1246" s="56"/>
      <c r="S1246" s="56"/>
      <c r="T1246" s="56"/>
      <c r="U1246" s="56"/>
      <c r="V1246" s="56"/>
      <c r="W1246" s="56"/>
      <c r="X1246" s="56"/>
      <c r="Y1246" s="56"/>
      <c r="Z1246" s="56"/>
      <c r="AA1246" s="56"/>
      <c r="AB1246" s="56"/>
    </row>
    <row r="1247" ht="15.75" customHeight="1">
      <c r="A1247" s="169"/>
      <c r="B1247" s="63"/>
      <c r="C1247" s="22" t="s">
        <v>66</v>
      </c>
      <c r="D1247" s="38" t="s">
        <v>52</v>
      </c>
      <c r="E1247" s="260" t="s">
        <v>3014</v>
      </c>
      <c r="F1247" s="260" t="s">
        <v>3015</v>
      </c>
      <c r="G1247" s="261" t="s">
        <v>4997</v>
      </c>
      <c r="H1247" s="262" t="s">
        <v>5619</v>
      </c>
      <c r="I1247" s="260" t="s">
        <v>6139</v>
      </c>
      <c r="J1247" s="260" t="s">
        <v>3017</v>
      </c>
      <c r="K1247" s="38"/>
      <c r="L1247" s="38"/>
      <c r="M1247" s="56"/>
      <c r="N1247" s="56" t="b">
        <v>0</v>
      </c>
      <c r="O1247" s="56" t="b">
        <v>0</v>
      </c>
      <c r="P1247" s="56"/>
      <c r="Q1247" s="56"/>
      <c r="R1247" s="56"/>
      <c r="S1247" s="56"/>
      <c r="T1247" s="56"/>
      <c r="U1247" s="56"/>
      <c r="V1247" s="56"/>
      <c r="W1247" s="56"/>
      <c r="X1247" s="56"/>
      <c r="Y1247" s="56"/>
      <c r="Z1247" s="56"/>
      <c r="AA1247" s="56"/>
      <c r="AB1247" s="56"/>
    </row>
    <row r="1248" ht="15.75" customHeight="1">
      <c r="A1248" s="169"/>
      <c r="B1248" s="69"/>
      <c r="C1248" s="22" t="s">
        <v>66</v>
      </c>
      <c r="D1248" s="38"/>
      <c r="E1248" s="38"/>
      <c r="F1248" s="65"/>
      <c r="G1248" s="66"/>
      <c r="H1248" s="38"/>
      <c r="I1248" s="38"/>
      <c r="J1248" s="38"/>
      <c r="K1248" s="38"/>
      <c r="L1248" s="38"/>
      <c r="M1248" s="56"/>
      <c r="N1248" s="56" t="b">
        <v>0</v>
      </c>
      <c r="O1248" s="56" t="b">
        <v>0</v>
      </c>
      <c r="P1248" s="56"/>
      <c r="Q1248" s="56"/>
      <c r="R1248" s="56"/>
      <c r="S1248" s="56"/>
      <c r="T1248" s="56"/>
      <c r="U1248" s="56"/>
      <c r="V1248" s="56"/>
      <c r="W1248" s="56"/>
      <c r="X1248" s="56"/>
      <c r="Y1248" s="56"/>
      <c r="Z1248" s="56"/>
      <c r="AA1248" s="56"/>
      <c r="AB1248" s="56"/>
    </row>
    <row r="1249" ht="15.75" customHeight="1">
      <c r="A1249" s="169"/>
      <c r="B1249" s="219" t="s">
        <v>4836</v>
      </c>
      <c r="C1249" s="220">
        <v>44495.0</v>
      </c>
      <c r="D1249" s="38"/>
      <c r="E1249" s="38"/>
      <c r="F1249" s="65"/>
      <c r="G1249" s="66"/>
      <c r="H1249" s="38"/>
      <c r="I1249" s="38"/>
      <c r="J1249" s="38"/>
      <c r="K1249" s="38"/>
      <c r="L1249" s="38"/>
      <c r="M1249" s="56"/>
      <c r="N1249" s="56" t="b">
        <v>0</v>
      </c>
      <c r="O1249" s="56" t="b">
        <v>0</v>
      </c>
      <c r="P1249" s="56"/>
      <c r="Q1249" s="56"/>
      <c r="R1249" s="56"/>
      <c r="S1249" s="56"/>
      <c r="T1249" s="56"/>
      <c r="U1249" s="56"/>
      <c r="V1249" s="56"/>
      <c r="W1249" s="56"/>
      <c r="X1249" s="56"/>
      <c r="Y1249" s="56"/>
      <c r="Z1249" s="56"/>
      <c r="AA1249" s="56"/>
      <c r="AB1249" s="56"/>
    </row>
    <row r="1250" ht="15.75" customHeight="1">
      <c r="A1250" s="169"/>
      <c r="B1250" s="63"/>
      <c r="C1250" s="22"/>
      <c r="D1250" s="38" t="s">
        <v>52</v>
      </c>
      <c r="E1250" s="216" t="s">
        <v>6286</v>
      </c>
      <c r="F1250" s="216" t="s">
        <v>6287</v>
      </c>
      <c r="G1250" s="82" t="s">
        <v>5704</v>
      </c>
      <c r="H1250" s="76" t="s">
        <v>5044</v>
      </c>
      <c r="I1250" s="76" t="s">
        <v>6288</v>
      </c>
      <c r="J1250" s="203" t="s">
        <v>6289</v>
      </c>
      <c r="K1250" s="38"/>
      <c r="L1250" s="38"/>
      <c r="M1250" s="56"/>
      <c r="N1250" s="56" t="b">
        <v>0</v>
      </c>
      <c r="O1250" s="56" t="b">
        <v>0</v>
      </c>
      <c r="P1250" s="56"/>
      <c r="Q1250" s="56"/>
      <c r="R1250" s="56"/>
      <c r="S1250" s="56"/>
      <c r="T1250" s="56"/>
      <c r="U1250" s="56"/>
      <c r="V1250" s="56"/>
      <c r="W1250" s="56"/>
      <c r="X1250" s="56"/>
      <c r="Y1250" s="56"/>
      <c r="Z1250" s="56"/>
      <c r="AA1250" s="56"/>
      <c r="AB1250" s="56"/>
    </row>
    <row r="1251" ht="15.75" customHeight="1">
      <c r="A1251" s="169"/>
      <c r="B1251" s="63"/>
      <c r="C1251" s="22" t="s">
        <v>53</v>
      </c>
      <c r="D1251" s="76" t="s">
        <v>52</v>
      </c>
      <c r="E1251" s="203" t="s">
        <v>308</v>
      </c>
      <c r="F1251" s="203" t="s">
        <v>309</v>
      </c>
      <c r="G1251" s="82" t="s">
        <v>5134</v>
      </c>
      <c r="H1251" s="76" t="s">
        <v>4852</v>
      </c>
      <c r="I1251" s="76" t="s">
        <v>6290</v>
      </c>
      <c r="J1251" s="203" t="s">
        <v>312</v>
      </c>
      <c r="K1251" s="38"/>
      <c r="L1251" s="38"/>
      <c r="M1251" s="56"/>
      <c r="N1251" s="56" t="b">
        <v>0</v>
      </c>
      <c r="O1251" s="56" t="b">
        <v>0</v>
      </c>
      <c r="P1251" s="56"/>
      <c r="Q1251" s="56"/>
      <c r="R1251" s="56"/>
      <c r="S1251" s="56"/>
      <c r="T1251" s="56"/>
      <c r="U1251" s="56"/>
      <c r="V1251" s="56"/>
      <c r="W1251" s="56"/>
      <c r="X1251" s="56"/>
      <c r="Y1251" s="56"/>
      <c r="Z1251" s="56"/>
      <c r="AA1251" s="56"/>
      <c r="AB1251" s="56"/>
    </row>
    <row r="1252" ht="15.75" customHeight="1">
      <c r="A1252" s="169"/>
      <c r="B1252" s="63"/>
      <c r="C1252" s="22" t="s">
        <v>53</v>
      </c>
      <c r="D1252" s="38" t="s">
        <v>89</v>
      </c>
      <c r="E1252" s="203" t="s">
        <v>6291</v>
      </c>
      <c r="F1252" s="203" t="s">
        <v>6292</v>
      </c>
      <c r="G1252" s="82" t="s">
        <v>4856</v>
      </c>
      <c r="H1252" s="76" t="s">
        <v>6293</v>
      </c>
      <c r="I1252" s="76" t="s">
        <v>6294</v>
      </c>
      <c r="J1252" s="203" t="s">
        <v>6295</v>
      </c>
      <c r="K1252" s="38" t="s">
        <v>6296</v>
      </c>
      <c r="L1252" s="38"/>
      <c r="M1252" s="56"/>
      <c r="N1252" s="56" t="b">
        <v>0</v>
      </c>
      <c r="O1252" s="56" t="b">
        <v>0</v>
      </c>
      <c r="P1252" s="56"/>
      <c r="Q1252" s="56"/>
      <c r="R1252" s="56"/>
      <c r="S1252" s="56"/>
      <c r="T1252" s="56"/>
      <c r="U1252" s="56"/>
      <c r="V1252" s="56"/>
      <c r="W1252" s="56"/>
      <c r="X1252" s="56"/>
      <c r="Y1252" s="56"/>
      <c r="Z1252" s="56"/>
      <c r="AA1252" s="56"/>
      <c r="AB1252" s="56"/>
    </row>
    <row r="1253" ht="15.75" customHeight="1">
      <c r="A1253" s="169"/>
      <c r="B1253" s="63"/>
      <c r="C1253" s="22" t="s">
        <v>53</v>
      </c>
      <c r="D1253" s="38"/>
      <c r="E1253" s="38"/>
      <c r="F1253" s="65"/>
      <c r="G1253" s="66" t="s">
        <v>4858</v>
      </c>
      <c r="H1253" s="38"/>
      <c r="I1253" s="38"/>
      <c r="J1253" s="38"/>
      <c r="K1253" s="38"/>
      <c r="L1253" s="38"/>
      <c r="M1253" s="56"/>
      <c r="N1253" s="56" t="b">
        <v>0</v>
      </c>
      <c r="O1253" s="56" t="b">
        <v>0</v>
      </c>
      <c r="P1253" s="56"/>
      <c r="Q1253" s="56"/>
      <c r="R1253" s="56"/>
      <c r="S1253" s="56"/>
      <c r="T1253" s="56"/>
      <c r="U1253" s="56"/>
      <c r="V1253" s="56"/>
      <c r="W1253" s="56"/>
      <c r="X1253" s="56"/>
      <c r="Y1253" s="56"/>
      <c r="Z1253" s="56"/>
      <c r="AA1253" s="56"/>
      <c r="AB1253" s="56"/>
    </row>
    <row r="1254" ht="15.75" customHeight="1">
      <c r="A1254" s="169"/>
      <c r="B1254" s="63"/>
      <c r="C1254" s="22" t="s">
        <v>53</v>
      </c>
      <c r="D1254" s="38"/>
      <c r="E1254" s="38"/>
      <c r="F1254" s="65"/>
      <c r="G1254" s="66"/>
      <c r="H1254" s="38"/>
      <c r="I1254" s="38"/>
      <c r="J1254" s="38"/>
      <c r="K1254" s="38"/>
      <c r="L1254" s="38"/>
      <c r="M1254" s="56"/>
      <c r="N1254" s="56" t="b">
        <v>0</v>
      </c>
      <c r="O1254" s="56" t="b">
        <v>0</v>
      </c>
      <c r="P1254" s="56"/>
      <c r="Q1254" s="56"/>
      <c r="R1254" s="56"/>
      <c r="S1254" s="56"/>
      <c r="T1254" s="56"/>
      <c r="U1254" s="56"/>
      <c r="V1254" s="56"/>
      <c r="W1254" s="56"/>
      <c r="X1254" s="56"/>
      <c r="Y1254" s="56"/>
      <c r="Z1254" s="56"/>
      <c r="AA1254" s="56"/>
      <c r="AB1254" s="56"/>
    </row>
    <row r="1255" ht="15.75" customHeight="1">
      <c r="A1255" s="169"/>
      <c r="B1255" s="69"/>
      <c r="C1255" s="22" t="s">
        <v>53</v>
      </c>
      <c r="D1255" s="38"/>
      <c r="E1255" s="38"/>
      <c r="F1255" s="65"/>
      <c r="G1255" s="66"/>
      <c r="H1255" s="38"/>
      <c r="I1255" s="38"/>
      <c r="J1255" s="38"/>
      <c r="K1255" s="38"/>
      <c r="L1255" s="38"/>
      <c r="M1255" s="56"/>
      <c r="N1255" s="56" t="b">
        <v>0</v>
      </c>
      <c r="O1255" s="56" t="b">
        <v>0</v>
      </c>
      <c r="P1255" s="56"/>
      <c r="Q1255" s="56"/>
      <c r="R1255" s="56"/>
      <c r="S1255" s="56"/>
      <c r="T1255" s="56"/>
      <c r="U1255" s="56"/>
      <c r="V1255" s="56"/>
      <c r="W1255" s="56"/>
      <c r="X1255" s="56"/>
      <c r="Y1255" s="56"/>
      <c r="Z1255" s="56"/>
      <c r="AA1255" s="56"/>
      <c r="AB1255" s="56"/>
    </row>
    <row r="1256" ht="15.75" customHeight="1">
      <c r="A1256" s="169"/>
      <c r="B1256" s="219" t="s">
        <v>6168</v>
      </c>
      <c r="C1256" s="226"/>
      <c r="D1256" s="38"/>
      <c r="E1256" s="38"/>
      <c r="F1256" s="65"/>
      <c r="G1256" s="66"/>
      <c r="H1256" s="38"/>
      <c r="I1256" s="38"/>
      <c r="J1256" s="38"/>
      <c r="K1256" s="38"/>
      <c r="L1256" s="38"/>
      <c r="M1256" s="56"/>
      <c r="N1256" s="56" t="b">
        <v>0</v>
      </c>
      <c r="O1256" s="56" t="b">
        <v>0</v>
      </c>
      <c r="P1256" s="56"/>
      <c r="Q1256" s="56"/>
      <c r="R1256" s="56"/>
      <c r="S1256" s="56"/>
      <c r="T1256" s="56"/>
      <c r="U1256" s="56"/>
      <c r="V1256" s="56"/>
      <c r="W1256" s="56"/>
      <c r="X1256" s="56"/>
      <c r="Y1256" s="56"/>
      <c r="Z1256" s="56"/>
      <c r="AA1256" s="56"/>
      <c r="AB1256" s="56"/>
    </row>
    <row r="1257" ht="15.75" customHeight="1">
      <c r="A1257" s="169"/>
      <c r="B1257" s="63"/>
      <c r="D1257" s="38"/>
      <c r="E1257" s="38"/>
      <c r="F1257" s="65"/>
      <c r="G1257" s="66"/>
      <c r="H1257" s="38"/>
      <c r="I1257" s="38"/>
      <c r="J1257" s="38"/>
      <c r="K1257" s="38"/>
      <c r="L1257" s="38"/>
      <c r="M1257" s="56"/>
      <c r="N1257" s="56" t="b">
        <v>0</v>
      </c>
      <c r="O1257" s="56" t="b">
        <v>0</v>
      </c>
      <c r="P1257" s="56"/>
      <c r="Q1257" s="56"/>
      <c r="R1257" s="56"/>
      <c r="S1257" s="56"/>
      <c r="T1257" s="56"/>
      <c r="U1257" s="56"/>
      <c r="V1257" s="56"/>
      <c r="W1257" s="56"/>
      <c r="X1257" s="56"/>
      <c r="Y1257" s="56"/>
      <c r="Z1257" s="56"/>
      <c r="AA1257" s="56"/>
      <c r="AB1257" s="56"/>
    </row>
    <row r="1258" ht="15.75" customHeight="1">
      <c r="A1258" s="169"/>
      <c r="B1258" s="63"/>
      <c r="C1258" s="22" t="s">
        <v>66</v>
      </c>
      <c r="D1258" s="38" t="s">
        <v>52</v>
      </c>
      <c r="E1258" s="38" t="s">
        <v>268</v>
      </c>
      <c r="F1258" s="65" t="s">
        <v>6297</v>
      </c>
      <c r="G1258" s="66" t="s">
        <v>5004</v>
      </c>
      <c r="H1258" s="38" t="s">
        <v>5142</v>
      </c>
      <c r="I1258" s="38" t="s">
        <v>6298</v>
      </c>
      <c r="J1258" s="38" t="s">
        <v>6299</v>
      </c>
      <c r="K1258" s="38"/>
      <c r="L1258" s="38"/>
      <c r="M1258" s="56"/>
      <c r="N1258" s="56" t="b">
        <v>0</v>
      </c>
      <c r="O1258" s="56" t="b">
        <v>0</v>
      </c>
      <c r="P1258" s="56"/>
      <c r="Q1258" s="56"/>
      <c r="R1258" s="56"/>
      <c r="S1258" s="56"/>
      <c r="T1258" s="56"/>
      <c r="U1258" s="56"/>
      <c r="V1258" s="56"/>
      <c r="W1258" s="56"/>
      <c r="X1258" s="56"/>
      <c r="Y1258" s="56"/>
      <c r="Z1258" s="56"/>
      <c r="AA1258" s="56"/>
      <c r="AB1258" s="56"/>
    </row>
    <row r="1259" ht="15.75" customHeight="1">
      <c r="A1259" s="169"/>
      <c r="B1259" s="63"/>
      <c r="C1259" s="22" t="s">
        <v>66</v>
      </c>
      <c r="D1259" s="38" t="s">
        <v>52</v>
      </c>
      <c r="E1259" s="67" t="s">
        <v>5118</v>
      </c>
      <c r="F1259" s="67" t="s">
        <v>5119</v>
      </c>
      <c r="G1259" s="66" t="s">
        <v>4851</v>
      </c>
      <c r="H1259" s="38" t="s">
        <v>6300</v>
      </c>
      <c r="I1259" s="38" t="s">
        <v>6301</v>
      </c>
      <c r="J1259" s="10" t="s">
        <v>5122</v>
      </c>
      <c r="K1259" s="38"/>
      <c r="L1259" s="38"/>
      <c r="M1259" s="56"/>
      <c r="N1259" s="56" t="b">
        <v>0</v>
      </c>
      <c r="O1259" s="56" t="b">
        <v>0</v>
      </c>
      <c r="P1259" s="56"/>
      <c r="Q1259" s="56"/>
      <c r="R1259" s="56"/>
      <c r="S1259" s="56"/>
      <c r="T1259" s="56"/>
      <c r="U1259" s="56"/>
      <c r="V1259" s="56"/>
      <c r="W1259" s="56"/>
      <c r="X1259" s="56"/>
      <c r="Y1259" s="56"/>
      <c r="Z1259" s="56"/>
      <c r="AA1259" s="56"/>
      <c r="AB1259" s="56"/>
    </row>
    <row r="1260" ht="15.75" customHeight="1">
      <c r="A1260" s="169"/>
      <c r="B1260" s="63"/>
      <c r="C1260" s="22" t="s">
        <v>66</v>
      </c>
      <c r="D1260" s="38" t="s">
        <v>52</v>
      </c>
      <c r="E1260" s="77" t="s">
        <v>4696</v>
      </c>
      <c r="F1260" s="77" t="s">
        <v>4697</v>
      </c>
      <c r="G1260" s="82" t="s">
        <v>5196</v>
      </c>
      <c r="H1260" s="76" t="s">
        <v>6302</v>
      </c>
      <c r="I1260" s="76" t="s">
        <v>6303</v>
      </c>
      <c r="J1260" s="263" t="s">
        <v>6304</v>
      </c>
      <c r="K1260" s="38" t="s">
        <v>6305</v>
      </c>
      <c r="L1260" s="38"/>
      <c r="M1260" s="56"/>
      <c r="N1260" s="56" t="b">
        <v>0</v>
      </c>
      <c r="O1260" s="56" t="b">
        <v>0</v>
      </c>
      <c r="P1260" s="56"/>
      <c r="Q1260" s="56"/>
      <c r="R1260" s="56"/>
      <c r="S1260" s="56"/>
      <c r="T1260" s="56"/>
      <c r="U1260" s="56"/>
      <c r="V1260" s="56"/>
      <c r="W1260" s="56"/>
      <c r="X1260" s="56"/>
      <c r="Y1260" s="56"/>
      <c r="Z1260" s="56"/>
      <c r="AA1260" s="56"/>
      <c r="AB1260" s="56"/>
    </row>
    <row r="1261" ht="15.75" customHeight="1">
      <c r="A1261" s="169"/>
      <c r="B1261" s="63"/>
      <c r="C1261" s="22" t="s">
        <v>66</v>
      </c>
      <c r="D1261" s="38" t="s">
        <v>52</v>
      </c>
      <c r="E1261" s="60" t="s">
        <v>4072</v>
      </c>
      <c r="F1261" s="60" t="s">
        <v>4073</v>
      </c>
      <c r="G1261" s="73" t="s">
        <v>4856</v>
      </c>
      <c r="H1261" s="62" t="s">
        <v>5033</v>
      </c>
      <c r="I1261" s="62" t="s">
        <v>5056</v>
      </c>
      <c r="J1261" s="242" t="s">
        <v>4075</v>
      </c>
      <c r="K1261" s="38"/>
      <c r="L1261" s="38"/>
      <c r="M1261" s="56"/>
      <c r="N1261" s="56" t="b">
        <v>0</v>
      </c>
      <c r="O1261" s="56" t="b">
        <v>0</v>
      </c>
      <c r="P1261" s="56"/>
      <c r="Q1261" s="56"/>
      <c r="R1261" s="56"/>
      <c r="S1261" s="56"/>
      <c r="T1261" s="56"/>
      <c r="U1261" s="56"/>
      <c r="V1261" s="56"/>
      <c r="W1261" s="56"/>
      <c r="X1261" s="56"/>
      <c r="Y1261" s="56"/>
      <c r="Z1261" s="56"/>
      <c r="AA1261" s="56"/>
      <c r="AB1261" s="56"/>
    </row>
    <row r="1262" ht="15.75" customHeight="1">
      <c r="A1262" s="169"/>
      <c r="B1262" s="63"/>
      <c r="C1262" s="22" t="s">
        <v>66</v>
      </c>
      <c r="D1262" s="38" t="s">
        <v>52</v>
      </c>
      <c r="E1262" s="203" t="s">
        <v>747</v>
      </c>
      <c r="F1262" s="203" t="s">
        <v>748</v>
      </c>
      <c r="G1262" s="82" t="s">
        <v>4858</v>
      </c>
      <c r="H1262" s="76" t="s">
        <v>5974</v>
      </c>
      <c r="I1262" s="76" t="s">
        <v>6306</v>
      </c>
      <c r="J1262" s="203" t="s">
        <v>750</v>
      </c>
      <c r="K1262" s="38"/>
      <c r="L1262" s="38"/>
      <c r="M1262" s="56"/>
      <c r="N1262" s="56" t="b">
        <v>0</v>
      </c>
      <c r="O1262" s="56" t="b">
        <v>0</v>
      </c>
      <c r="P1262" s="56"/>
      <c r="Q1262" s="56"/>
      <c r="R1262" s="56"/>
      <c r="S1262" s="56"/>
      <c r="T1262" s="56"/>
      <c r="U1262" s="56"/>
      <c r="V1262" s="56"/>
      <c r="W1262" s="56"/>
      <c r="X1262" s="56"/>
      <c r="Y1262" s="56"/>
      <c r="Z1262" s="56"/>
      <c r="AA1262" s="56"/>
      <c r="AB1262" s="56"/>
    </row>
    <row r="1263" ht="15.75" customHeight="1">
      <c r="A1263" s="169"/>
      <c r="B1263" s="63"/>
      <c r="C1263" s="22" t="s">
        <v>66</v>
      </c>
      <c r="D1263" s="38" t="s">
        <v>52</v>
      </c>
      <c r="E1263" s="77" t="s">
        <v>4236</v>
      </c>
      <c r="F1263" s="77" t="s">
        <v>4237</v>
      </c>
      <c r="G1263" s="82" t="s">
        <v>5089</v>
      </c>
      <c r="H1263" s="76" t="s">
        <v>6307</v>
      </c>
      <c r="I1263" s="76" t="s">
        <v>6308</v>
      </c>
      <c r="J1263" s="203" t="s">
        <v>4239</v>
      </c>
      <c r="K1263" s="38"/>
      <c r="L1263" s="38"/>
      <c r="M1263" s="56"/>
      <c r="N1263" s="56" t="b">
        <v>0</v>
      </c>
      <c r="O1263" s="56" t="b">
        <v>0</v>
      </c>
      <c r="P1263" s="56"/>
      <c r="Q1263" s="56"/>
      <c r="R1263" s="56"/>
      <c r="S1263" s="56"/>
      <c r="T1263" s="56"/>
      <c r="U1263" s="56"/>
      <c r="V1263" s="56"/>
      <c r="W1263" s="56"/>
      <c r="X1263" s="56"/>
      <c r="Y1263" s="56"/>
      <c r="Z1263" s="56"/>
      <c r="AA1263" s="56"/>
      <c r="AB1263" s="56"/>
    </row>
    <row r="1264" ht="15.75" customHeight="1">
      <c r="A1264" s="169"/>
      <c r="B1264" s="63"/>
      <c r="C1264" s="22" t="s">
        <v>66</v>
      </c>
      <c r="D1264" s="62" t="s">
        <v>52</v>
      </c>
      <c r="E1264" s="221" t="s">
        <v>3963</v>
      </c>
      <c r="F1264" s="221" t="s">
        <v>3964</v>
      </c>
      <c r="G1264" s="264" t="s">
        <v>5981</v>
      </c>
      <c r="H1264" s="265" t="s">
        <v>4884</v>
      </c>
      <c r="I1264" s="265" t="s">
        <v>6131</v>
      </c>
      <c r="J1264" s="221" t="s">
        <v>3966</v>
      </c>
      <c r="K1264" s="38" t="s">
        <v>5528</v>
      </c>
      <c r="L1264" s="38"/>
      <c r="M1264" s="56"/>
      <c r="N1264" s="56" t="b">
        <v>0</v>
      </c>
      <c r="O1264" s="56" t="b">
        <v>0</v>
      </c>
      <c r="P1264" s="56"/>
      <c r="Q1264" s="56"/>
      <c r="R1264" s="56"/>
      <c r="S1264" s="56"/>
      <c r="T1264" s="56"/>
      <c r="U1264" s="56"/>
      <c r="V1264" s="56"/>
      <c r="W1264" s="56"/>
      <c r="X1264" s="56"/>
      <c r="Y1264" s="56"/>
      <c r="Z1264" s="56"/>
      <c r="AA1264" s="56"/>
      <c r="AB1264" s="56"/>
    </row>
    <row r="1265" ht="15.75" customHeight="1">
      <c r="A1265" s="169"/>
      <c r="B1265" s="63"/>
      <c r="C1265" s="22" t="s">
        <v>66</v>
      </c>
      <c r="D1265" s="38"/>
      <c r="E1265" s="38"/>
      <c r="F1265" s="65"/>
      <c r="G1265" s="66"/>
      <c r="H1265" s="38"/>
      <c r="I1265" s="38"/>
      <c r="J1265" s="38"/>
      <c r="K1265" s="38"/>
      <c r="L1265" s="38"/>
      <c r="M1265" s="56"/>
      <c r="N1265" s="56" t="b">
        <v>0</v>
      </c>
      <c r="O1265" s="56" t="b">
        <v>0</v>
      </c>
      <c r="P1265" s="56"/>
      <c r="Q1265" s="56"/>
      <c r="R1265" s="56"/>
      <c r="S1265" s="56"/>
      <c r="T1265" s="56"/>
      <c r="U1265" s="56"/>
      <c r="V1265" s="56"/>
      <c r="W1265" s="56"/>
      <c r="X1265" s="56"/>
      <c r="Y1265" s="56"/>
      <c r="Z1265" s="56"/>
      <c r="AA1265" s="56"/>
      <c r="AB1265" s="56"/>
    </row>
    <row r="1266" ht="15.75" customHeight="1">
      <c r="A1266" s="169"/>
      <c r="B1266" s="69"/>
      <c r="D1266" s="38"/>
      <c r="E1266" s="38"/>
      <c r="F1266" s="65"/>
      <c r="G1266" s="66"/>
      <c r="H1266" s="38"/>
      <c r="I1266" s="38"/>
      <c r="J1266" s="38"/>
      <c r="K1266" s="38"/>
      <c r="L1266" s="38"/>
      <c r="M1266" s="56"/>
      <c r="N1266" s="56" t="b">
        <v>0</v>
      </c>
      <c r="O1266" s="56" t="b">
        <v>0</v>
      </c>
      <c r="P1266" s="56"/>
      <c r="Q1266" s="56"/>
      <c r="R1266" s="56"/>
      <c r="S1266" s="56"/>
      <c r="T1266" s="56"/>
      <c r="U1266" s="56"/>
      <c r="V1266" s="56"/>
      <c r="W1266" s="56"/>
      <c r="X1266" s="56"/>
      <c r="Y1266" s="56"/>
      <c r="Z1266" s="56"/>
      <c r="AA1266" s="56"/>
      <c r="AB1266" s="56"/>
    </row>
    <row r="1267" ht="15.75" customHeight="1">
      <c r="A1267" s="169"/>
      <c r="B1267" s="219" t="s">
        <v>4836</v>
      </c>
      <c r="C1267" s="220">
        <v>44496.0</v>
      </c>
      <c r="D1267" s="38"/>
      <c r="E1267" s="38"/>
      <c r="F1267" s="65"/>
      <c r="G1267" s="66"/>
      <c r="H1267" s="38"/>
      <c r="I1267" s="38"/>
      <c r="J1267" s="38"/>
      <c r="K1267" s="38"/>
      <c r="L1267" s="38"/>
      <c r="M1267" s="56"/>
      <c r="N1267" s="56" t="b">
        <v>0</v>
      </c>
      <c r="O1267" s="56" t="b">
        <v>0</v>
      </c>
      <c r="P1267" s="56"/>
      <c r="Q1267" s="56"/>
      <c r="R1267" s="56"/>
      <c r="S1267" s="56"/>
      <c r="T1267" s="56"/>
      <c r="U1267" s="56"/>
      <c r="V1267" s="56"/>
      <c r="W1267" s="56"/>
      <c r="X1267" s="56"/>
      <c r="Y1267" s="56"/>
      <c r="Z1267" s="56"/>
      <c r="AA1267" s="56"/>
      <c r="AB1267" s="56"/>
    </row>
    <row r="1268" ht="15.75" customHeight="1">
      <c r="A1268" s="169"/>
      <c r="B1268" s="63"/>
      <c r="C1268" s="22" t="s">
        <v>53</v>
      </c>
      <c r="D1268" s="23" t="s">
        <v>87</v>
      </c>
      <c r="E1268" s="67" t="s">
        <v>1781</v>
      </c>
      <c r="F1268" s="67" t="s">
        <v>1782</v>
      </c>
      <c r="G1268" s="66" t="s">
        <v>4926</v>
      </c>
      <c r="H1268" s="39" t="s">
        <v>6309</v>
      </c>
      <c r="I1268" s="38" t="s">
        <v>6310</v>
      </c>
      <c r="J1268" s="250" t="s">
        <v>1784</v>
      </c>
      <c r="K1268" s="38"/>
      <c r="L1268" s="38"/>
      <c r="M1268" s="56"/>
      <c r="N1268" s="56" t="b">
        <v>0</v>
      </c>
      <c r="O1268" s="56" t="b">
        <v>0</v>
      </c>
      <c r="P1268" s="56"/>
      <c r="Q1268" s="56"/>
      <c r="R1268" s="56"/>
      <c r="S1268" s="56"/>
      <c r="T1268" s="56"/>
      <c r="U1268" s="56"/>
      <c r="V1268" s="56"/>
      <c r="W1268" s="56"/>
      <c r="X1268" s="56"/>
      <c r="Y1268" s="56"/>
      <c r="Z1268" s="56"/>
      <c r="AA1268" s="56"/>
      <c r="AB1268" s="56"/>
    </row>
    <row r="1269" ht="15.75" customHeight="1">
      <c r="A1269" s="169"/>
      <c r="B1269" s="63"/>
      <c r="C1269" s="22" t="s">
        <v>53</v>
      </c>
      <c r="D1269" s="227" t="s">
        <v>87</v>
      </c>
      <c r="E1269" s="60" t="s">
        <v>3365</v>
      </c>
      <c r="F1269" s="60" t="s">
        <v>3366</v>
      </c>
      <c r="G1269" s="266" t="s">
        <v>4938</v>
      </c>
      <c r="H1269" s="75" t="s">
        <v>5211</v>
      </c>
      <c r="I1269" s="62" t="s">
        <v>6311</v>
      </c>
      <c r="J1269" s="267" t="s">
        <v>3368</v>
      </c>
      <c r="K1269" s="38"/>
      <c r="L1269" s="38"/>
      <c r="M1269" s="56"/>
      <c r="N1269" s="56" t="b">
        <v>0</v>
      </c>
      <c r="O1269" s="56" t="b">
        <v>0</v>
      </c>
      <c r="P1269" s="56"/>
      <c r="Q1269" s="56"/>
      <c r="R1269" s="56"/>
      <c r="S1269" s="56"/>
      <c r="T1269" s="56"/>
      <c r="U1269" s="56"/>
      <c r="V1269" s="56"/>
      <c r="W1269" s="56"/>
      <c r="X1269" s="56"/>
      <c r="Y1269" s="56"/>
      <c r="Z1269" s="56"/>
      <c r="AA1269" s="56"/>
      <c r="AB1269" s="56"/>
    </row>
    <row r="1270" ht="15.75" customHeight="1">
      <c r="A1270" s="169"/>
      <c r="B1270" s="63"/>
      <c r="C1270" s="22" t="s">
        <v>53</v>
      </c>
      <c r="D1270" s="172" t="s">
        <v>87</v>
      </c>
      <c r="E1270" s="203" t="s">
        <v>2911</v>
      </c>
      <c r="F1270" s="203" t="s">
        <v>2912</v>
      </c>
      <c r="G1270" s="82" t="s">
        <v>5602</v>
      </c>
      <c r="H1270" s="224" t="s">
        <v>6312</v>
      </c>
      <c r="I1270" s="76" t="s">
        <v>6313</v>
      </c>
      <c r="J1270" s="263" t="s">
        <v>2914</v>
      </c>
      <c r="K1270" s="38" t="s">
        <v>6314</v>
      </c>
      <c r="L1270" s="38"/>
      <c r="M1270" s="56"/>
      <c r="N1270" s="56" t="b">
        <v>0</v>
      </c>
      <c r="O1270" s="56" t="b">
        <v>0</v>
      </c>
      <c r="P1270" s="56"/>
      <c r="Q1270" s="56"/>
      <c r="R1270" s="56"/>
      <c r="S1270" s="56"/>
      <c r="T1270" s="56"/>
      <c r="U1270" s="56"/>
      <c r="V1270" s="56"/>
      <c r="W1270" s="56"/>
      <c r="X1270" s="56"/>
      <c r="Y1270" s="56"/>
      <c r="Z1270" s="56"/>
      <c r="AA1270" s="56"/>
      <c r="AB1270" s="56"/>
    </row>
    <row r="1271" ht="15.75" customHeight="1">
      <c r="A1271" s="169"/>
      <c r="B1271" s="63"/>
      <c r="C1271" s="22" t="s">
        <v>53</v>
      </c>
      <c r="D1271" s="23" t="s">
        <v>87</v>
      </c>
      <c r="E1271" s="77" t="s">
        <v>6315</v>
      </c>
      <c r="F1271" s="77" t="s">
        <v>6316</v>
      </c>
      <c r="G1271" s="82" t="s">
        <v>4940</v>
      </c>
      <c r="H1271" s="88" t="s">
        <v>5211</v>
      </c>
      <c r="I1271" s="76" t="s">
        <v>6317</v>
      </c>
      <c r="J1271" s="263" t="s">
        <v>6318</v>
      </c>
      <c r="K1271" s="38"/>
      <c r="L1271" s="38"/>
      <c r="M1271" s="56"/>
      <c r="N1271" s="56" t="b">
        <v>0</v>
      </c>
      <c r="O1271" s="56" t="b">
        <v>0</v>
      </c>
      <c r="P1271" s="56"/>
      <c r="Q1271" s="56"/>
      <c r="R1271" s="56"/>
      <c r="S1271" s="56"/>
      <c r="T1271" s="56"/>
      <c r="U1271" s="56"/>
      <c r="V1271" s="56"/>
      <c r="W1271" s="56"/>
      <c r="X1271" s="56"/>
      <c r="Y1271" s="56"/>
      <c r="Z1271" s="56"/>
      <c r="AA1271" s="56"/>
      <c r="AB1271" s="56"/>
    </row>
    <row r="1272" ht="15.75" customHeight="1">
      <c r="A1272" s="169"/>
      <c r="B1272" s="63"/>
      <c r="C1272" s="22" t="s">
        <v>53</v>
      </c>
      <c r="D1272" s="23" t="s">
        <v>87</v>
      </c>
      <c r="E1272" s="67" t="s">
        <v>224</v>
      </c>
      <c r="F1272" s="67" t="s">
        <v>225</v>
      </c>
      <c r="G1272" s="66" t="s">
        <v>5266</v>
      </c>
      <c r="H1272" s="39" t="s">
        <v>6319</v>
      </c>
      <c r="I1272" s="38" t="s">
        <v>6320</v>
      </c>
      <c r="J1272" s="250" t="s">
        <v>228</v>
      </c>
      <c r="K1272" s="38"/>
      <c r="L1272" s="38"/>
      <c r="M1272" s="56"/>
      <c r="N1272" s="56" t="b">
        <v>0</v>
      </c>
      <c r="O1272" s="56" t="b">
        <v>0</v>
      </c>
      <c r="P1272" s="56"/>
      <c r="Q1272" s="56"/>
      <c r="R1272" s="56"/>
      <c r="S1272" s="56"/>
      <c r="T1272" s="56"/>
      <c r="U1272" s="56"/>
      <c r="V1272" s="56"/>
      <c r="W1272" s="56"/>
      <c r="X1272" s="56"/>
      <c r="Y1272" s="56"/>
      <c r="Z1272" s="56"/>
      <c r="AA1272" s="56"/>
      <c r="AB1272" s="56"/>
    </row>
    <row r="1273" ht="15.75" customHeight="1">
      <c r="A1273" s="169"/>
      <c r="B1273" s="63"/>
      <c r="C1273" s="22" t="s">
        <v>53</v>
      </c>
      <c r="D1273" s="38"/>
      <c r="E1273" s="38"/>
      <c r="F1273" s="65"/>
      <c r="G1273" s="66"/>
      <c r="H1273" s="38"/>
      <c r="I1273" s="38"/>
      <c r="J1273" s="38"/>
      <c r="K1273" s="38"/>
      <c r="L1273" s="38"/>
      <c r="M1273" s="56"/>
      <c r="N1273" s="56" t="b">
        <v>0</v>
      </c>
      <c r="O1273" s="56" t="b">
        <v>0</v>
      </c>
      <c r="P1273" s="56"/>
      <c r="Q1273" s="56"/>
      <c r="R1273" s="56"/>
      <c r="S1273" s="56"/>
      <c r="T1273" s="56"/>
      <c r="U1273" s="56"/>
      <c r="V1273" s="56"/>
      <c r="W1273" s="56"/>
      <c r="X1273" s="56"/>
      <c r="Y1273" s="56"/>
      <c r="Z1273" s="56"/>
      <c r="AA1273" s="56"/>
      <c r="AB1273" s="56"/>
    </row>
    <row r="1274" ht="15.75" customHeight="1">
      <c r="A1274" s="169"/>
      <c r="B1274" s="69"/>
      <c r="C1274" s="22" t="s">
        <v>53</v>
      </c>
      <c r="D1274" s="38"/>
      <c r="E1274" s="38"/>
      <c r="F1274" s="65"/>
      <c r="G1274" s="66"/>
      <c r="H1274" s="38"/>
      <c r="I1274" s="38"/>
      <c r="J1274" s="38"/>
      <c r="K1274" s="38"/>
      <c r="L1274" s="38"/>
      <c r="M1274" s="56"/>
      <c r="N1274" s="56" t="b">
        <v>0</v>
      </c>
      <c r="O1274" s="56" t="b">
        <v>0</v>
      </c>
      <c r="P1274" s="56"/>
      <c r="Q1274" s="56"/>
      <c r="R1274" s="56"/>
      <c r="S1274" s="56"/>
      <c r="T1274" s="56"/>
      <c r="U1274" s="56"/>
      <c r="V1274" s="56"/>
      <c r="W1274" s="56"/>
      <c r="X1274" s="56"/>
      <c r="Y1274" s="56"/>
      <c r="Z1274" s="56"/>
      <c r="AA1274" s="56"/>
      <c r="AB1274" s="56"/>
    </row>
    <row r="1275" ht="15.75" customHeight="1">
      <c r="A1275" s="169"/>
      <c r="B1275" s="219" t="s">
        <v>6168</v>
      </c>
      <c r="C1275" s="226"/>
      <c r="D1275" s="38"/>
      <c r="E1275" s="38"/>
      <c r="F1275" s="65"/>
      <c r="G1275" s="66"/>
      <c r="H1275" s="38"/>
      <c r="I1275" s="38"/>
      <c r="J1275" s="38"/>
      <c r="K1275" s="38"/>
      <c r="L1275" s="38"/>
      <c r="M1275" s="56"/>
      <c r="N1275" s="56" t="b">
        <v>0</v>
      </c>
      <c r="O1275" s="56" t="b">
        <v>0</v>
      </c>
      <c r="P1275" s="56"/>
      <c r="Q1275" s="56"/>
      <c r="R1275" s="56"/>
      <c r="S1275" s="56"/>
      <c r="T1275" s="56"/>
      <c r="U1275" s="56"/>
      <c r="V1275" s="56"/>
      <c r="W1275" s="56"/>
      <c r="X1275" s="56"/>
      <c r="Y1275" s="56"/>
      <c r="Z1275" s="56"/>
      <c r="AA1275" s="56"/>
      <c r="AB1275" s="56"/>
    </row>
    <row r="1276" ht="15.75" customHeight="1">
      <c r="A1276" s="169"/>
      <c r="B1276" s="63"/>
      <c r="D1276" s="38"/>
      <c r="E1276" s="38"/>
      <c r="F1276" s="65"/>
      <c r="G1276" s="66"/>
      <c r="H1276" s="38"/>
      <c r="I1276" s="38"/>
      <c r="J1276" s="38"/>
      <c r="K1276" s="38"/>
      <c r="L1276" s="38"/>
      <c r="M1276" s="56"/>
      <c r="N1276" s="56" t="b">
        <v>0</v>
      </c>
      <c r="O1276" s="56" t="b">
        <v>0</v>
      </c>
      <c r="P1276" s="56"/>
      <c r="Q1276" s="56"/>
      <c r="R1276" s="56"/>
      <c r="S1276" s="56"/>
      <c r="T1276" s="56"/>
      <c r="U1276" s="56"/>
      <c r="V1276" s="56"/>
      <c r="W1276" s="56"/>
      <c r="X1276" s="56"/>
      <c r="Y1276" s="56"/>
      <c r="Z1276" s="56"/>
      <c r="AA1276" s="56"/>
      <c r="AB1276" s="56"/>
    </row>
    <row r="1277" ht="15.75" customHeight="1">
      <c r="A1277" s="169"/>
      <c r="B1277" s="63"/>
      <c r="C1277" s="22" t="s">
        <v>66</v>
      </c>
      <c r="D1277" s="23" t="s">
        <v>89</v>
      </c>
      <c r="E1277" s="67" t="s">
        <v>3603</v>
      </c>
      <c r="F1277" s="67" t="s">
        <v>3604</v>
      </c>
      <c r="G1277" s="66" t="s">
        <v>5704</v>
      </c>
      <c r="H1277" s="38" t="s">
        <v>6321</v>
      </c>
      <c r="I1277" s="38" t="s">
        <v>6322</v>
      </c>
      <c r="J1277" s="10" t="s">
        <v>3606</v>
      </c>
      <c r="K1277" s="38"/>
      <c r="L1277" s="38"/>
      <c r="M1277" s="56"/>
      <c r="N1277" s="56" t="b">
        <v>0</v>
      </c>
      <c r="O1277" s="56" t="b">
        <v>0</v>
      </c>
      <c r="P1277" s="56"/>
      <c r="Q1277" s="56"/>
      <c r="R1277" s="56"/>
      <c r="S1277" s="56"/>
      <c r="T1277" s="56"/>
      <c r="U1277" s="56"/>
      <c r="V1277" s="56"/>
      <c r="W1277" s="56"/>
      <c r="X1277" s="56"/>
      <c r="Y1277" s="56"/>
      <c r="Z1277" s="56"/>
      <c r="AA1277" s="56"/>
      <c r="AB1277" s="56"/>
    </row>
    <row r="1278" ht="15.75" customHeight="1">
      <c r="A1278" s="169"/>
      <c r="B1278" s="63"/>
      <c r="C1278" s="22" t="s">
        <v>66</v>
      </c>
      <c r="D1278" s="23" t="s">
        <v>89</v>
      </c>
      <c r="E1278" s="67" t="s">
        <v>2574</v>
      </c>
      <c r="F1278" s="67" t="s">
        <v>2575</v>
      </c>
      <c r="G1278" s="66" t="s">
        <v>5134</v>
      </c>
      <c r="H1278" s="38" t="s">
        <v>6323</v>
      </c>
      <c r="I1278" s="38" t="s">
        <v>6324</v>
      </c>
      <c r="J1278" s="10" t="s">
        <v>2577</v>
      </c>
      <c r="K1278" s="38"/>
      <c r="L1278" s="38"/>
      <c r="M1278" s="56"/>
      <c r="N1278" s="56" t="b">
        <v>0</v>
      </c>
      <c r="O1278" s="56" t="b">
        <v>0</v>
      </c>
      <c r="P1278" s="56"/>
      <c r="Q1278" s="56"/>
      <c r="R1278" s="56"/>
      <c r="S1278" s="56"/>
      <c r="T1278" s="56"/>
      <c r="U1278" s="56"/>
      <c r="V1278" s="56"/>
      <c r="W1278" s="56"/>
      <c r="X1278" s="56"/>
      <c r="Y1278" s="56"/>
      <c r="Z1278" s="56"/>
      <c r="AA1278" s="56"/>
      <c r="AB1278" s="56"/>
    </row>
    <row r="1279" ht="15.75" customHeight="1">
      <c r="A1279" s="169"/>
      <c r="B1279" s="63"/>
      <c r="C1279" s="22" t="s">
        <v>66</v>
      </c>
      <c r="D1279" s="227" t="s">
        <v>89</v>
      </c>
      <c r="E1279" s="60" t="s">
        <v>6325</v>
      </c>
      <c r="F1279" s="60" t="s">
        <v>191</v>
      </c>
      <c r="G1279" s="73" t="s">
        <v>4856</v>
      </c>
      <c r="H1279" s="62" t="s">
        <v>6326</v>
      </c>
      <c r="I1279" s="62" t="s">
        <v>6327</v>
      </c>
      <c r="J1279" s="242" t="s">
        <v>193</v>
      </c>
      <c r="K1279" s="38"/>
      <c r="L1279" s="38"/>
      <c r="M1279" s="56"/>
      <c r="N1279" s="56" t="b">
        <v>0</v>
      </c>
      <c r="O1279" s="56" t="b">
        <v>0</v>
      </c>
      <c r="P1279" s="56"/>
      <c r="Q1279" s="56"/>
      <c r="R1279" s="56"/>
      <c r="S1279" s="56"/>
      <c r="T1279" s="56"/>
      <c r="U1279" s="56"/>
      <c r="V1279" s="56"/>
      <c r="W1279" s="56"/>
      <c r="X1279" s="56"/>
      <c r="Y1279" s="56"/>
      <c r="Z1279" s="56"/>
      <c r="AA1279" s="56"/>
      <c r="AB1279" s="56"/>
    </row>
    <row r="1280" ht="15.75" customHeight="1">
      <c r="A1280" s="169"/>
      <c r="B1280" s="63"/>
      <c r="C1280" s="22" t="s">
        <v>66</v>
      </c>
      <c r="D1280" s="227" t="s">
        <v>89</v>
      </c>
      <c r="E1280" s="60" t="s">
        <v>4115</v>
      </c>
      <c r="F1280" s="60" t="s">
        <v>4116</v>
      </c>
      <c r="G1280" s="73" t="s">
        <v>4858</v>
      </c>
      <c r="H1280" s="62" t="s">
        <v>5911</v>
      </c>
      <c r="I1280" s="62" t="s">
        <v>6328</v>
      </c>
      <c r="J1280" s="242" t="s">
        <v>4118</v>
      </c>
      <c r="K1280" s="38"/>
      <c r="L1280" s="38"/>
      <c r="M1280" s="56"/>
      <c r="N1280" s="56" t="b">
        <v>0</v>
      </c>
      <c r="O1280" s="56" t="b">
        <v>0</v>
      </c>
      <c r="P1280" s="56"/>
      <c r="Q1280" s="56"/>
      <c r="R1280" s="56"/>
      <c r="S1280" s="56"/>
      <c r="T1280" s="56"/>
      <c r="U1280" s="56"/>
      <c r="V1280" s="56"/>
      <c r="W1280" s="56"/>
      <c r="X1280" s="56"/>
      <c r="Y1280" s="56"/>
      <c r="Z1280" s="56"/>
      <c r="AA1280" s="56"/>
      <c r="AB1280" s="56"/>
    </row>
    <row r="1281" ht="15.75" customHeight="1">
      <c r="A1281" s="169"/>
      <c r="B1281" s="63"/>
      <c r="C1281" s="22" t="s">
        <v>66</v>
      </c>
      <c r="D1281" s="227" t="s">
        <v>89</v>
      </c>
      <c r="E1281" s="60" t="s">
        <v>3686</v>
      </c>
      <c r="F1281" s="60" t="s">
        <v>3687</v>
      </c>
      <c r="G1281" s="73" t="s">
        <v>4847</v>
      </c>
      <c r="H1281" s="62" t="s">
        <v>6329</v>
      </c>
      <c r="I1281" s="62" t="s">
        <v>6330</v>
      </c>
      <c r="J1281" s="242" t="s">
        <v>3689</v>
      </c>
      <c r="K1281" s="38" t="s">
        <v>6331</v>
      </c>
      <c r="L1281" s="38"/>
      <c r="M1281" s="56"/>
      <c r="N1281" s="56" t="b">
        <v>0</v>
      </c>
      <c r="O1281" s="56" t="b">
        <v>0</v>
      </c>
      <c r="P1281" s="56"/>
      <c r="Q1281" s="56"/>
      <c r="R1281" s="56"/>
      <c r="S1281" s="56"/>
      <c r="T1281" s="56"/>
      <c r="U1281" s="56"/>
      <c r="V1281" s="56"/>
      <c r="W1281" s="56"/>
      <c r="X1281" s="56"/>
      <c r="Y1281" s="56"/>
      <c r="Z1281" s="56"/>
      <c r="AA1281" s="56"/>
      <c r="AB1281" s="56"/>
    </row>
    <row r="1282" ht="15.75" customHeight="1">
      <c r="A1282" s="169"/>
      <c r="B1282" s="63"/>
      <c r="C1282" s="22" t="s">
        <v>66</v>
      </c>
      <c r="D1282" s="38"/>
      <c r="E1282" s="38"/>
      <c r="F1282" s="65"/>
      <c r="G1282" s="66"/>
      <c r="H1282" s="38"/>
      <c r="I1282" s="38"/>
      <c r="J1282" s="38"/>
      <c r="K1282" s="38"/>
      <c r="L1282" s="38"/>
      <c r="M1282" s="56"/>
      <c r="N1282" s="56" t="b">
        <v>0</v>
      </c>
      <c r="O1282" s="56" t="b">
        <v>0</v>
      </c>
      <c r="P1282" s="56"/>
      <c r="Q1282" s="56"/>
      <c r="R1282" s="56"/>
      <c r="S1282" s="56"/>
      <c r="T1282" s="56"/>
      <c r="U1282" s="56"/>
      <c r="V1282" s="56"/>
      <c r="W1282" s="56"/>
      <c r="X1282" s="56"/>
      <c r="Y1282" s="56"/>
      <c r="Z1282" s="56"/>
      <c r="AA1282" s="56"/>
      <c r="AB1282" s="56"/>
    </row>
    <row r="1283" ht="15.75" customHeight="1">
      <c r="A1283" s="169"/>
      <c r="B1283" s="63"/>
      <c r="C1283" s="22" t="s">
        <v>66</v>
      </c>
      <c r="D1283" s="38"/>
      <c r="E1283" s="38"/>
      <c r="F1283" s="65"/>
      <c r="G1283" s="66"/>
      <c r="H1283" s="38"/>
      <c r="I1283" s="38"/>
      <c r="J1283" s="38"/>
      <c r="K1283" s="38"/>
      <c r="L1283" s="38"/>
      <c r="M1283" s="56"/>
      <c r="N1283" s="56" t="b">
        <v>0</v>
      </c>
      <c r="O1283" s="56" t="b">
        <v>0</v>
      </c>
      <c r="P1283" s="56"/>
      <c r="Q1283" s="56"/>
      <c r="R1283" s="56"/>
      <c r="S1283" s="56"/>
      <c r="T1283" s="56"/>
      <c r="U1283" s="56"/>
      <c r="V1283" s="56"/>
      <c r="W1283" s="56"/>
      <c r="X1283" s="56"/>
      <c r="Y1283" s="56"/>
      <c r="Z1283" s="56"/>
      <c r="AA1283" s="56"/>
      <c r="AB1283" s="56"/>
    </row>
    <row r="1284" ht="15.75" customHeight="1">
      <c r="A1284" s="169"/>
      <c r="B1284" s="69"/>
      <c r="C1284" s="22" t="s">
        <v>66</v>
      </c>
      <c r="D1284" s="38"/>
      <c r="E1284" s="38"/>
      <c r="F1284" s="65"/>
      <c r="G1284" s="66"/>
      <c r="H1284" s="38"/>
      <c r="I1284" s="38"/>
      <c r="J1284" s="38"/>
      <c r="K1284" s="38"/>
      <c r="L1284" s="38"/>
      <c r="M1284" s="56"/>
      <c r="N1284" s="56" t="b">
        <v>0</v>
      </c>
      <c r="O1284" s="56" t="b">
        <v>0</v>
      </c>
      <c r="P1284" s="56"/>
      <c r="Q1284" s="56"/>
      <c r="R1284" s="56"/>
      <c r="S1284" s="56"/>
      <c r="T1284" s="56"/>
      <c r="U1284" s="56"/>
      <c r="V1284" s="56"/>
      <c r="W1284" s="56"/>
      <c r="X1284" s="56"/>
      <c r="Y1284" s="56"/>
      <c r="Z1284" s="56"/>
      <c r="AA1284" s="56"/>
      <c r="AB1284" s="56"/>
    </row>
    <row r="1285" ht="15.75" customHeight="1">
      <c r="A1285" s="169"/>
      <c r="B1285" s="219" t="s">
        <v>4836</v>
      </c>
      <c r="C1285" s="220">
        <v>44497.0</v>
      </c>
      <c r="D1285" s="38"/>
      <c r="E1285" s="38"/>
      <c r="F1285" s="65"/>
      <c r="G1285" s="66"/>
      <c r="H1285" s="38"/>
      <c r="I1285" s="38"/>
      <c r="J1285" s="38"/>
      <c r="K1285" s="38"/>
      <c r="L1285" s="38"/>
      <c r="M1285" s="56"/>
      <c r="N1285" s="56" t="b">
        <v>0</v>
      </c>
      <c r="O1285" s="56" t="b">
        <v>0</v>
      </c>
      <c r="P1285" s="56"/>
      <c r="Q1285" s="56"/>
      <c r="R1285" s="56"/>
      <c r="S1285" s="56"/>
      <c r="T1285" s="56"/>
      <c r="U1285" s="56"/>
      <c r="V1285" s="56"/>
      <c r="W1285" s="56"/>
      <c r="X1285" s="56"/>
      <c r="Y1285" s="56"/>
      <c r="Z1285" s="56"/>
      <c r="AA1285" s="56"/>
      <c r="AB1285" s="56"/>
    </row>
    <row r="1286" ht="15.75" customHeight="1">
      <c r="A1286" s="169"/>
      <c r="B1286" s="63"/>
      <c r="C1286" s="22"/>
      <c r="D1286" s="38"/>
      <c r="E1286" s="268"/>
      <c r="F1286" s="268"/>
      <c r="G1286" s="66"/>
      <c r="H1286" s="38"/>
      <c r="I1286" s="38"/>
      <c r="J1286" s="38"/>
      <c r="K1286" s="38"/>
      <c r="L1286" s="38"/>
      <c r="M1286" s="56"/>
      <c r="N1286" s="56" t="b">
        <v>0</v>
      </c>
      <c r="O1286" s="56" t="b">
        <v>0</v>
      </c>
      <c r="P1286" s="56"/>
      <c r="Q1286" s="56"/>
      <c r="R1286" s="56"/>
      <c r="S1286" s="56"/>
      <c r="T1286" s="56"/>
      <c r="U1286" s="56"/>
      <c r="V1286" s="56"/>
      <c r="W1286" s="56"/>
      <c r="X1286" s="56"/>
      <c r="Y1286" s="56"/>
      <c r="Z1286" s="56"/>
      <c r="AA1286" s="56"/>
      <c r="AB1286" s="56"/>
    </row>
    <row r="1287" ht="15.75" customHeight="1">
      <c r="A1287" s="169"/>
      <c r="B1287" s="63"/>
      <c r="C1287" s="22" t="s">
        <v>53</v>
      </c>
      <c r="D1287" s="172" t="s">
        <v>87</v>
      </c>
      <c r="E1287" s="77" t="s">
        <v>2569</v>
      </c>
      <c r="F1287" s="77" t="s">
        <v>2570</v>
      </c>
      <c r="G1287" s="82" t="s">
        <v>4997</v>
      </c>
      <c r="H1287" s="88" t="s">
        <v>5922</v>
      </c>
      <c r="I1287" s="76" t="s">
        <v>6332</v>
      </c>
      <c r="J1287" s="263" t="s">
        <v>2572</v>
      </c>
      <c r="K1287" s="38" t="s">
        <v>6333</v>
      </c>
      <c r="L1287" s="38"/>
      <c r="M1287" s="56"/>
      <c r="N1287" s="56" t="b">
        <v>0</v>
      </c>
      <c r="O1287" s="56" t="b">
        <v>0</v>
      </c>
      <c r="P1287" s="56"/>
      <c r="Q1287" s="56"/>
      <c r="R1287" s="56"/>
      <c r="S1287" s="56"/>
      <c r="T1287" s="56"/>
      <c r="U1287" s="56"/>
      <c r="V1287" s="56"/>
      <c r="W1287" s="56"/>
      <c r="X1287" s="56"/>
      <c r="Y1287" s="56"/>
      <c r="Z1287" s="56"/>
      <c r="AA1287" s="56"/>
      <c r="AB1287" s="56"/>
    </row>
    <row r="1288" ht="15.75" customHeight="1">
      <c r="A1288" s="169"/>
      <c r="B1288" s="63"/>
      <c r="C1288" s="22" t="s">
        <v>53</v>
      </c>
      <c r="D1288" s="172" t="s">
        <v>87</v>
      </c>
      <c r="E1288" s="77" t="s">
        <v>3977</v>
      </c>
      <c r="F1288" s="77" t="s">
        <v>3978</v>
      </c>
      <c r="G1288" s="82" t="s">
        <v>4938</v>
      </c>
      <c r="H1288" s="88" t="s">
        <v>6334</v>
      </c>
      <c r="I1288" s="76" t="s">
        <v>6335</v>
      </c>
      <c r="J1288" s="263" t="s">
        <v>3980</v>
      </c>
      <c r="K1288" s="38" t="s">
        <v>6336</v>
      </c>
      <c r="L1288" s="38"/>
      <c r="M1288" s="56"/>
      <c r="N1288" s="56" t="b">
        <v>0</v>
      </c>
      <c r="O1288" s="56" t="b">
        <v>0</v>
      </c>
      <c r="P1288" s="56"/>
      <c r="Q1288" s="56"/>
      <c r="R1288" s="56"/>
      <c r="S1288" s="56"/>
      <c r="T1288" s="56"/>
      <c r="U1288" s="56"/>
      <c r="V1288" s="56"/>
      <c r="W1288" s="56"/>
      <c r="X1288" s="56"/>
      <c r="Y1288" s="56"/>
      <c r="Z1288" s="56"/>
      <c r="AA1288" s="56"/>
      <c r="AB1288" s="56"/>
    </row>
    <row r="1289" ht="15.75" customHeight="1">
      <c r="A1289" s="169"/>
      <c r="B1289" s="63"/>
      <c r="C1289" s="22" t="s">
        <v>53</v>
      </c>
      <c r="D1289" s="227" t="s">
        <v>87</v>
      </c>
      <c r="E1289" s="60" t="s">
        <v>4498</v>
      </c>
      <c r="F1289" s="60" t="s">
        <v>4499</v>
      </c>
      <c r="G1289" s="73" t="s">
        <v>4940</v>
      </c>
      <c r="H1289" s="269" t="s">
        <v>6337</v>
      </c>
      <c r="I1289" s="62" t="s">
        <v>6338</v>
      </c>
      <c r="J1289" s="267" t="s">
        <v>4501</v>
      </c>
      <c r="K1289" s="38"/>
      <c r="L1289" s="38"/>
      <c r="M1289" s="56"/>
      <c r="N1289" s="56" t="b">
        <v>0</v>
      </c>
      <c r="O1289" s="56" t="b">
        <v>0</v>
      </c>
      <c r="P1289" s="56"/>
      <c r="Q1289" s="56"/>
      <c r="R1289" s="56"/>
      <c r="S1289" s="56"/>
      <c r="T1289" s="56"/>
      <c r="U1289" s="56"/>
      <c r="V1289" s="56"/>
      <c r="W1289" s="56"/>
      <c r="X1289" s="56"/>
      <c r="Y1289" s="56"/>
      <c r="Z1289" s="56"/>
      <c r="AA1289" s="56"/>
      <c r="AB1289" s="56"/>
    </row>
    <row r="1290" ht="15.75" customHeight="1">
      <c r="A1290" s="169"/>
      <c r="B1290" s="63"/>
      <c r="C1290" s="22" t="s">
        <v>53</v>
      </c>
      <c r="D1290" s="23" t="s">
        <v>87</v>
      </c>
      <c r="E1290" s="10" t="s">
        <v>3968</v>
      </c>
      <c r="F1290" s="10" t="s">
        <v>3969</v>
      </c>
      <c r="G1290" s="66" t="s">
        <v>4967</v>
      </c>
      <c r="H1290" s="39" t="s">
        <v>5807</v>
      </c>
      <c r="I1290" s="38" t="s">
        <v>6339</v>
      </c>
      <c r="J1290" s="250" t="s">
        <v>3971</v>
      </c>
      <c r="K1290" s="38"/>
      <c r="L1290" s="38"/>
      <c r="M1290" s="56"/>
      <c r="N1290" s="56" t="b">
        <v>0</v>
      </c>
      <c r="O1290" s="56" t="b">
        <v>0</v>
      </c>
      <c r="P1290" s="56"/>
      <c r="Q1290" s="56"/>
      <c r="R1290" s="56"/>
      <c r="S1290" s="56"/>
      <c r="T1290" s="56"/>
      <c r="U1290" s="56"/>
      <c r="V1290" s="56"/>
      <c r="W1290" s="56"/>
      <c r="X1290" s="56"/>
      <c r="Y1290" s="56"/>
      <c r="Z1290" s="56"/>
      <c r="AA1290" s="56"/>
      <c r="AB1290" s="56"/>
    </row>
    <row r="1291" ht="15.75" customHeight="1">
      <c r="A1291" s="169"/>
      <c r="B1291" s="69"/>
      <c r="C1291" s="22" t="s">
        <v>53</v>
      </c>
      <c r="D1291" s="38"/>
      <c r="E1291" s="38"/>
      <c r="F1291" s="65"/>
      <c r="G1291" s="66"/>
      <c r="H1291" s="38"/>
      <c r="I1291" s="38"/>
      <c r="J1291" s="38"/>
      <c r="K1291" s="38"/>
      <c r="L1291" s="38"/>
      <c r="M1291" s="56"/>
      <c r="N1291" s="56" t="b">
        <v>0</v>
      </c>
      <c r="O1291" s="56" t="b">
        <v>0</v>
      </c>
      <c r="P1291" s="56"/>
      <c r="Q1291" s="56"/>
      <c r="R1291" s="56"/>
      <c r="S1291" s="56"/>
      <c r="T1291" s="56"/>
      <c r="U1291" s="56"/>
      <c r="V1291" s="56"/>
      <c r="W1291" s="56"/>
      <c r="X1291" s="56"/>
      <c r="Y1291" s="56"/>
      <c r="Z1291" s="56"/>
      <c r="AA1291" s="56"/>
      <c r="AB1291" s="56"/>
    </row>
    <row r="1292" ht="15.75" customHeight="1">
      <c r="A1292" s="169"/>
      <c r="B1292" s="219" t="s">
        <v>6168</v>
      </c>
      <c r="C1292" s="226"/>
      <c r="D1292" s="38"/>
      <c r="E1292" s="38"/>
      <c r="F1292" s="65"/>
      <c r="G1292" s="66"/>
      <c r="H1292" s="38"/>
      <c r="I1292" s="38"/>
      <c r="J1292" s="38"/>
      <c r="K1292" s="38"/>
      <c r="L1292" s="38"/>
      <c r="M1292" s="56"/>
      <c r="N1292" s="56" t="b">
        <v>0</v>
      </c>
      <c r="O1292" s="56" t="b">
        <v>0</v>
      </c>
      <c r="P1292" s="56"/>
      <c r="Q1292" s="56"/>
      <c r="R1292" s="56"/>
      <c r="S1292" s="56"/>
      <c r="T1292" s="56"/>
      <c r="U1292" s="56"/>
      <c r="V1292" s="56"/>
      <c r="W1292" s="56"/>
      <c r="X1292" s="56"/>
      <c r="Y1292" s="56"/>
      <c r="Z1292" s="56"/>
      <c r="AA1292" s="56"/>
      <c r="AB1292" s="56"/>
    </row>
    <row r="1293" ht="15.75" customHeight="1">
      <c r="A1293" s="169"/>
      <c r="B1293" s="63"/>
      <c r="D1293" s="38"/>
      <c r="E1293" s="164"/>
      <c r="F1293" s="164"/>
      <c r="G1293" s="201"/>
      <c r="H1293" s="164"/>
      <c r="I1293" s="164"/>
      <c r="J1293" s="164"/>
      <c r="K1293" s="38"/>
      <c r="L1293" s="38"/>
      <c r="M1293" s="56"/>
      <c r="N1293" s="56" t="b">
        <v>0</v>
      </c>
      <c r="O1293" s="56" t="b">
        <v>0</v>
      </c>
      <c r="P1293" s="56"/>
      <c r="Q1293" s="56"/>
      <c r="R1293" s="56"/>
      <c r="S1293" s="56"/>
      <c r="T1293" s="56"/>
      <c r="U1293" s="56"/>
      <c r="V1293" s="56"/>
      <c r="W1293" s="56"/>
      <c r="X1293" s="56"/>
      <c r="Y1293" s="56"/>
      <c r="Z1293" s="56"/>
      <c r="AA1293" s="56"/>
      <c r="AB1293" s="56"/>
    </row>
    <row r="1294" ht="15.75" customHeight="1">
      <c r="A1294" s="169"/>
      <c r="B1294" s="63"/>
      <c r="C1294" s="22" t="s">
        <v>66</v>
      </c>
      <c r="D1294" s="38"/>
      <c r="E1294" s="38"/>
      <c r="F1294" s="65"/>
      <c r="G1294" s="66"/>
      <c r="H1294" s="38"/>
      <c r="I1294" s="38"/>
      <c r="J1294" s="38"/>
      <c r="K1294" s="38"/>
      <c r="L1294" s="38"/>
      <c r="M1294" s="56"/>
      <c r="N1294" s="56" t="b">
        <v>0</v>
      </c>
      <c r="O1294" s="56" t="b">
        <v>0</v>
      </c>
      <c r="P1294" s="56"/>
      <c r="Q1294" s="56"/>
      <c r="R1294" s="56"/>
      <c r="S1294" s="56"/>
      <c r="T1294" s="56"/>
      <c r="U1294" s="56"/>
      <c r="V1294" s="56"/>
      <c r="W1294" s="56"/>
      <c r="X1294" s="56"/>
      <c r="Y1294" s="56"/>
      <c r="Z1294" s="56"/>
      <c r="AA1294" s="56"/>
      <c r="AB1294" s="56"/>
    </row>
    <row r="1295" ht="15.75" customHeight="1">
      <c r="A1295" s="169"/>
      <c r="B1295" s="63"/>
      <c r="C1295" s="22" t="s">
        <v>66</v>
      </c>
      <c r="D1295" s="164"/>
      <c r="E1295" s="164"/>
      <c r="F1295" s="164"/>
      <c r="G1295" s="201"/>
      <c r="H1295" s="164"/>
      <c r="I1295" s="164"/>
      <c r="J1295" s="164"/>
      <c r="K1295" s="38"/>
      <c r="L1295" s="38"/>
      <c r="M1295" s="56"/>
      <c r="N1295" s="56" t="b">
        <v>0</v>
      </c>
      <c r="O1295" s="56" t="b">
        <v>0</v>
      </c>
      <c r="P1295" s="56"/>
      <c r="Q1295" s="56"/>
      <c r="R1295" s="56"/>
      <c r="S1295" s="56"/>
      <c r="T1295" s="56"/>
      <c r="U1295" s="56"/>
      <c r="V1295" s="56"/>
      <c r="W1295" s="56"/>
      <c r="X1295" s="56"/>
      <c r="Y1295" s="56"/>
      <c r="Z1295" s="56"/>
      <c r="AA1295" s="56"/>
      <c r="AB1295" s="56"/>
    </row>
    <row r="1296" ht="15.75" customHeight="1">
      <c r="A1296" s="169"/>
      <c r="B1296" s="63"/>
      <c r="C1296" s="22" t="s">
        <v>66</v>
      </c>
      <c r="D1296" s="38"/>
      <c r="E1296" s="38"/>
      <c r="F1296" s="65"/>
      <c r="G1296" s="66"/>
      <c r="H1296" s="38"/>
      <c r="I1296" s="38"/>
      <c r="J1296" s="38"/>
      <c r="K1296" s="38"/>
      <c r="L1296" s="38"/>
      <c r="M1296" s="56"/>
      <c r="N1296" s="56" t="b">
        <v>0</v>
      </c>
      <c r="O1296" s="56" t="b">
        <v>0</v>
      </c>
      <c r="P1296" s="56"/>
      <c r="Q1296" s="56"/>
      <c r="R1296" s="56"/>
      <c r="S1296" s="56"/>
      <c r="T1296" s="56"/>
      <c r="U1296" s="56"/>
      <c r="V1296" s="56"/>
      <c r="W1296" s="56"/>
      <c r="X1296" s="56"/>
      <c r="Y1296" s="56"/>
      <c r="Z1296" s="56"/>
      <c r="AA1296" s="56"/>
      <c r="AB1296" s="56"/>
    </row>
    <row r="1297" ht="15.75" customHeight="1">
      <c r="A1297" s="169"/>
      <c r="B1297" s="63"/>
      <c r="C1297" s="22" t="s">
        <v>66</v>
      </c>
      <c r="D1297" s="38"/>
      <c r="E1297" s="162" t="s">
        <v>5784</v>
      </c>
      <c r="F1297" s="155"/>
      <c r="G1297" s="66"/>
      <c r="H1297" s="38"/>
      <c r="I1297" s="38"/>
      <c r="J1297" s="38"/>
      <c r="K1297" s="38"/>
      <c r="L1297" s="38"/>
      <c r="M1297" s="56"/>
      <c r="N1297" s="56" t="b">
        <v>0</v>
      </c>
      <c r="O1297" s="56" t="b">
        <v>0</v>
      </c>
      <c r="P1297" s="56"/>
      <c r="Q1297" s="56"/>
      <c r="R1297" s="56"/>
      <c r="S1297" s="56"/>
      <c r="T1297" s="56"/>
      <c r="U1297" s="56"/>
      <c r="V1297" s="56"/>
      <c r="W1297" s="56"/>
      <c r="X1297" s="56"/>
      <c r="Y1297" s="56"/>
      <c r="Z1297" s="56"/>
      <c r="AA1297" s="56"/>
      <c r="AB1297" s="56"/>
    </row>
    <row r="1298" ht="15.75" customHeight="1">
      <c r="A1298" s="169"/>
      <c r="B1298" s="63"/>
      <c r="C1298" s="22" t="s">
        <v>66</v>
      </c>
      <c r="D1298" s="38"/>
      <c r="E1298" s="156"/>
      <c r="F1298" s="157"/>
      <c r="G1298" s="66"/>
      <c r="H1298" s="38"/>
      <c r="I1298" s="38"/>
      <c r="J1298" s="38"/>
      <c r="K1298" s="38"/>
      <c r="L1298" s="38"/>
      <c r="M1298" s="56"/>
      <c r="N1298" s="56" t="b">
        <v>0</v>
      </c>
      <c r="O1298" s="56" t="b">
        <v>0</v>
      </c>
      <c r="P1298" s="56"/>
      <c r="Q1298" s="56"/>
      <c r="R1298" s="56"/>
      <c r="S1298" s="56"/>
      <c r="T1298" s="56"/>
      <c r="U1298" s="56"/>
      <c r="V1298" s="56"/>
      <c r="W1298" s="56"/>
      <c r="X1298" s="56"/>
      <c r="Y1298" s="56"/>
      <c r="Z1298" s="56"/>
      <c r="AA1298" s="56"/>
      <c r="AB1298" s="56"/>
    </row>
    <row r="1299" ht="15.75" customHeight="1">
      <c r="A1299" s="169"/>
      <c r="B1299" s="63"/>
      <c r="C1299" s="22" t="s">
        <v>66</v>
      </c>
      <c r="D1299" s="38"/>
      <c r="E1299" s="158"/>
      <c r="F1299" s="159"/>
      <c r="G1299" s="66"/>
      <c r="H1299" s="38"/>
      <c r="I1299" s="38"/>
      <c r="J1299" s="38"/>
      <c r="K1299" s="38"/>
      <c r="L1299" s="38"/>
      <c r="M1299" s="56"/>
      <c r="N1299" s="56" t="b">
        <v>0</v>
      </c>
      <c r="O1299" s="56" t="b">
        <v>0</v>
      </c>
      <c r="P1299" s="56"/>
      <c r="Q1299" s="56"/>
      <c r="R1299" s="56"/>
      <c r="S1299" s="56"/>
      <c r="T1299" s="56"/>
      <c r="U1299" s="56"/>
      <c r="V1299" s="56"/>
      <c r="W1299" s="56"/>
      <c r="X1299" s="56"/>
      <c r="Y1299" s="56"/>
      <c r="Z1299" s="56"/>
      <c r="AA1299" s="56"/>
      <c r="AB1299" s="56"/>
    </row>
    <row r="1300" ht="15.75" customHeight="1">
      <c r="A1300" s="169"/>
      <c r="B1300" s="63"/>
      <c r="C1300" s="22" t="s">
        <v>66</v>
      </c>
      <c r="D1300" s="38"/>
      <c r="E1300" s="38"/>
      <c r="F1300" s="65"/>
      <c r="G1300" s="66"/>
      <c r="H1300" s="38"/>
      <c r="I1300" s="38"/>
      <c r="J1300" s="38"/>
      <c r="K1300" s="38"/>
      <c r="L1300" s="38"/>
      <c r="M1300" s="56"/>
      <c r="N1300" s="56" t="b">
        <v>0</v>
      </c>
      <c r="O1300" s="56" t="b">
        <v>0</v>
      </c>
      <c r="P1300" s="56"/>
      <c r="Q1300" s="56"/>
      <c r="R1300" s="56"/>
      <c r="S1300" s="56"/>
      <c r="T1300" s="56"/>
      <c r="U1300" s="56"/>
      <c r="V1300" s="56"/>
      <c r="W1300" s="56"/>
      <c r="X1300" s="56"/>
      <c r="Y1300" s="56"/>
      <c r="Z1300" s="56"/>
      <c r="AA1300" s="56"/>
      <c r="AB1300" s="56"/>
    </row>
    <row r="1301" ht="15.75" customHeight="1">
      <c r="A1301" s="169"/>
      <c r="B1301" s="69"/>
      <c r="C1301" s="22" t="s">
        <v>66</v>
      </c>
      <c r="D1301" s="38"/>
      <c r="E1301" s="38"/>
      <c r="F1301" s="65"/>
      <c r="G1301" s="66"/>
      <c r="H1301" s="38"/>
      <c r="I1301" s="38"/>
      <c r="J1301" s="38"/>
      <c r="K1301" s="38"/>
      <c r="L1301" s="38"/>
      <c r="M1301" s="56"/>
      <c r="N1301" s="56" t="b">
        <v>0</v>
      </c>
      <c r="O1301" s="56" t="b">
        <v>0</v>
      </c>
      <c r="P1301" s="56"/>
      <c r="Q1301" s="56"/>
      <c r="R1301" s="56"/>
      <c r="S1301" s="56"/>
      <c r="T1301" s="56"/>
      <c r="U1301" s="56"/>
      <c r="V1301" s="56"/>
      <c r="W1301" s="56"/>
      <c r="X1301" s="56"/>
      <c r="Y1301" s="56"/>
      <c r="Z1301" s="56"/>
      <c r="AA1301" s="56"/>
      <c r="AB1301" s="56"/>
    </row>
    <row r="1302" ht="15.75" customHeight="1">
      <c r="A1302" s="169"/>
      <c r="B1302" s="219" t="s">
        <v>4836</v>
      </c>
      <c r="C1302" s="220">
        <v>44498.0</v>
      </c>
      <c r="D1302" s="38"/>
      <c r="E1302" s="38"/>
      <c r="F1302" s="65"/>
      <c r="G1302" s="66"/>
      <c r="H1302" s="38"/>
      <c r="I1302" s="38"/>
      <c r="J1302" s="38"/>
      <c r="K1302" s="38"/>
      <c r="L1302" s="38"/>
      <c r="M1302" s="56"/>
      <c r="N1302" s="56" t="b">
        <v>0</v>
      </c>
      <c r="O1302" s="56" t="b">
        <v>0</v>
      </c>
      <c r="P1302" s="56"/>
      <c r="Q1302" s="56"/>
      <c r="R1302" s="56"/>
      <c r="S1302" s="56"/>
      <c r="T1302" s="56"/>
      <c r="U1302" s="56"/>
      <c r="V1302" s="56"/>
      <c r="W1302" s="56"/>
      <c r="X1302" s="56"/>
      <c r="Y1302" s="56"/>
      <c r="Z1302" s="56"/>
      <c r="AA1302" s="56"/>
      <c r="AB1302" s="56"/>
    </row>
    <row r="1303" ht="15.75" customHeight="1">
      <c r="A1303" s="169"/>
      <c r="B1303" s="63"/>
      <c r="C1303" s="22"/>
      <c r="D1303" s="38"/>
      <c r="E1303" s="38"/>
      <c r="F1303" s="65"/>
      <c r="G1303" s="66"/>
      <c r="H1303" s="38"/>
      <c r="I1303" s="38"/>
      <c r="J1303" s="38"/>
      <c r="K1303" s="38"/>
      <c r="L1303" s="38"/>
      <c r="M1303" s="56"/>
      <c r="N1303" s="56" t="b">
        <v>0</v>
      </c>
      <c r="O1303" s="56" t="b">
        <v>0</v>
      </c>
      <c r="P1303" s="56"/>
      <c r="Q1303" s="56"/>
      <c r="R1303" s="56"/>
      <c r="S1303" s="56"/>
      <c r="T1303" s="56"/>
      <c r="U1303" s="56"/>
      <c r="V1303" s="56"/>
      <c r="W1303" s="56"/>
      <c r="X1303" s="56"/>
      <c r="Y1303" s="56"/>
      <c r="Z1303" s="56"/>
      <c r="AA1303" s="56"/>
      <c r="AB1303" s="56"/>
    </row>
    <row r="1304" ht="15.75" customHeight="1">
      <c r="A1304" s="169"/>
      <c r="B1304" s="63"/>
      <c r="C1304" s="22" t="s">
        <v>53</v>
      </c>
      <c r="D1304" s="38"/>
      <c r="E1304" s="162" t="s">
        <v>5784</v>
      </c>
      <c r="F1304" s="155"/>
      <c r="G1304" s="66"/>
      <c r="H1304" s="38"/>
      <c r="I1304" s="38"/>
      <c r="J1304" s="38"/>
      <c r="K1304" s="38"/>
      <c r="L1304" s="38"/>
      <c r="M1304" s="56"/>
      <c r="N1304" s="56" t="b">
        <v>0</v>
      </c>
      <c r="O1304" s="56" t="b">
        <v>0</v>
      </c>
      <c r="P1304" s="56"/>
      <c r="Q1304" s="56"/>
      <c r="R1304" s="56"/>
      <c r="S1304" s="56"/>
      <c r="T1304" s="56"/>
      <c r="U1304" s="56"/>
      <c r="V1304" s="56"/>
      <c r="W1304" s="56"/>
      <c r="X1304" s="56"/>
      <c r="Y1304" s="56"/>
      <c r="Z1304" s="56"/>
      <c r="AA1304" s="56"/>
      <c r="AB1304" s="56"/>
    </row>
    <row r="1305" ht="15.75" customHeight="1">
      <c r="A1305" s="169"/>
      <c r="B1305" s="63"/>
      <c r="C1305" s="22" t="s">
        <v>53</v>
      </c>
      <c r="D1305" s="38"/>
      <c r="E1305" s="156"/>
      <c r="F1305" s="157"/>
      <c r="G1305" s="66"/>
      <c r="H1305" s="38"/>
      <c r="I1305" s="38"/>
      <c r="J1305" s="38"/>
      <c r="K1305" s="38"/>
      <c r="L1305" s="38"/>
      <c r="M1305" s="56"/>
      <c r="N1305" s="56" t="b">
        <v>0</v>
      </c>
      <c r="O1305" s="56" t="b">
        <v>0</v>
      </c>
      <c r="P1305" s="56"/>
      <c r="Q1305" s="56"/>
      <c r="R1305" s="56"/>
      <c r="S1305" s="56"/>
      <c r="T1305" s="56"/>
      <c r="U1305" s="56"/>
      <c r="V1305" s="56"/>
      <c r="W1305" s="56"/>
      <c r="X1305" s="56"/>
      <c r="Y1305" s="56"/>
      <c r="Z1305" s="56"/>
      <c r="AA1305" s="56"/>
      <c r="AB1305" s="56"/>
    </row>
    <row r="1306" ht="15.75" customHeight="1">
      <c r="A1306" s="169"/>
      <c r="B1306" s="63"/>
      <c r="C1306" s="22" t="s">
        <v>53</v>
      </c>
      <c r="D1306" s="38"/>
      <c r="E1306" s="158"/>
      <c r="F1306" s="159"/>
      <c r="G1306" s="66"/>
      <c r="H1306" s="38"/>
      <c r="I1306" s="38"/>
      <c r="J1306" s="38"/>
      <c r="K1306" s="38"/>
      <c r="L1306" s="38"/>
      <c r="M1306" s="56"/>
      <c r="N1306" s="56" t="b">
        <v>0</v>
      </c>
      <c r="O1306" s="56" t="b">
        <v>0</v>
      </c>
      <c r="P1306" s="56"/>
      <c r="Q1306" s="56"/>
      <c r="R1306" s="56"/>
      <c r="S1306" s="56"/>
      <c r="T1306" s="56"/>
      <c r="U1306" s="56"/>
      <c r="V1306" s="56"/>
      <c r="W1306" s="56"/>
      <c r="X1306" s="56"/>
      <c r="Y1306" s="56"/>
      <c r="Z1306" s="56"/>
      <c r="AA1306" s="56"/>
      <c r="AB1306" s="56"/>
    </row>
    <row r="1307" ht="15.75" customHeight="1">
      <c r="A1307" s="169"/>
      <c r="B1307" s="63"/>
      <c r="C1307" s="22" t="s">
        <v>53</v>
      </c>
      <c r="D1307" s="38"/>
      <c r="E1307" s="38"/>
      <c r="F1307" s="65"/>
      <c r="G1307" s="66"/>
      <c r="H1307" s="38"/>
      <c r="I1307" s="38"/>
      <c r="J1307" s="38"/>
      <c r="K1307" s="38"/>
      <c r="L1307" s="38"/>
      <c r="M1307" s="56"/>
      <c r="N1307" s="56" t="b">
        <v>0</v>
      </c>
      <c r="O1307" s="56" t="b">
        <v>0</v>
      </c>
      <c r="P1307" s="56"/>
      <c r="Q1307" s="56"/>
      <c r="R1307" s="56"/>
      <c r="S1307" s="56"/>
      <c r="T1307" s="56"/>
      <c r="U1307" s="56"/>
      <c r="V1307" s="56"/>
      <c r="W1307" s="56"/>
      <c r="X1307" s="56"/>
      <c r="Y1307" s="56"/>
      <c r="Z1307" s="56"/>
      <c r="AA1307" s="56"/>
      <c r="AB1307" s="56"/>
    </row>
    <row r="1308" ht="15.75" customHeight="1">
      <c r="A1308" s="169"/>
      <c r="B1308" s="69"/>
      <c r="C1308" s="22" t="s">
        <v>53</v>
      </c>
      <c r="D1308" s="38"/>
      <c r="E1308" s="38"/>
      <c r="F1308" s="65"/>
      <c r="G1308" s="66"/>
      <c r="H1308" s="38"/>
      <c r="I1308" s="38"/>
      <c r="J1308" s="38"/>
      <c r="K1308" s="38"/>
      <c r="L1308" s="38"/>
      <c r="M1308" s="56"/>
      <c r="N1308" s="56" t="b">
        <v>0</v>
      </c>
      <c r="O1308" s="56" t="b">
        <v>0</v>
      </c>
      <c r="P1308" s="56"/>
      <c r="Q1308" s="56"/>
      <c r="R1308" s="56"/>
      <c r="S1308" s="56"/>
      <c r="T1308" s="56"/>
      <c r="U1308" s="56"/>
      <c r="V1308" s="56"/>
      <c r="W1308" s="56"/>
      <c r="X1308" s="56"/>
      <c r="Y1308" s="56"/>
      <c r="Z1308" s="56"/>
      <c r="AA1308" s="56"/>
      <c r="AB1308" s="56"/>
    </row>
    <row r="1309" ht="15.75" customHeight="1">
      <c r="A1309" s="169"/>
      <c r="B1309" s="219" t="s">
        <v>6168</v>
      </c>
      <c r="C1309" s="226"/>
      <c r="D1309" s="38"/>
      <c r="E1309" s="38"/>
      <c r="F1309" s="65"/>
      <c r="G1309" s="66"/>
      <c r="H1309" s="38"/>
      <c r="I1309" s="38"/>
      <c r="J1309" s="38"/>
      <c r="K1309" s="38"/>
      <c r="L1309" s="38"/>
      <c r="M1309" s="56"/>
      <c r="N1309" s="56" t="b">
        <v>0</v>
      </c>
      <c r="O1309" s="56" t="b">
        <v>0</v>
      </c>
      <c r="P1309" s="56"/>
      <c r="Q1309" s="56"/>
      <c r="R1309" s="56"/>
      <c r="S1309" s="56"/>
      <c r="T1309" s="56"/>
      <c r="U1309" s="56"/>
      <c r="V1309" s="56"/>
      <c r="W1309" s="56"/>
      <c r="X1309" s="56"/>
      <c r="Y1309" s="56"/>
      <c r="Z1309" s="56"/>
      <c r="AA1309" s="56"/>
      <c r="AB1309" s="56"/>
    </row>
    <row r="1310" ht="15.75" customHeight="1">
      <c r="A1310" s="169"/>
      <c r="B1310" s="63"/>
      <c r="D1310" s="38"/>
      <c r="E1310" s="38"/>
      <c r="F1310" s="127" t="s">
        <v>6340</v>
      </c>
      <c r="G1310" s="66"/>
      <c r="H1310" s="38"/>
      <c r="I1310" s="38"/>
      <c r="J1310" s="38"/>
      <c r="K1310" s="38"/>
      <c r="L1310" s="38"/>
      <c r="M1310" s="56"/>
      <c r="N1310" s="56" t="b">
        <v>0</v>
      </c>
      <c r="O1310" s="56" t="b">
        <v>0</v>
      </c>
      <c r="P1310" s="56"/>
      <c r="Q1310" s="56"/>
      <c r="R1310" s="56"/>
      <c r="S1310" s="56"/>
      <c r="T1310" s="56"/>
      <c r="U1310" s="56"/>
      <c r="V1310" s="56"/>
      <c r="W1310" s="56"/>
      <c r="X1310" s="56"/>
      <c r="Y1310" s="56"/>
      <c r="Z1310" s="56"/>
      <c r="AA1310" s="56"/>
      <c r="AB1310" s="56"/>
    </row>
    <row r="1311" ht="15.75" customHeight="1">
      <c r="A1311" s="169"/>
      <c r="B1311" s="63"/>
      <c r="C1311" s="22" t="s">
        <v>66</v>
      </c>
      <c r="D1311" s="38"/>
      <c r="E1311" s="38"/>
      <c r="F1311" s="65"/>
      <c r="G1311" s="66"/>
      <c r="H1311" s="38"/>
      <c r="I1311" s="38"/>
      <c r="J1311" s="38"/>
      <c r="K1311" s="38"/>
      <c r="L1311" s="38"/>
      <c r="M1311" s="56"/>
      <c r="N1311" s="56" t="b">
        <v>0</v>
      </c>
      <c r="O1311" s="56" t="b">
        <v>0</v>
      </c>
      <c r="P1311" s="56"/>
      <c r="Q1311" s="56"/>
      <c r="R1311" s="56"/>
      <c r="S1311" s="56"/>
      <c r="T1311" s="56"/>
      <c r="U1311" s="56"/>
      <c r="V1311" s="56"/>
      <c r="W1311" s="56"/>
      <c r="X1311" s="56"/>
      <c r="Y1311" s="56"/>
      <c r="Z1311" s="56"/>
      <c r="AA1311" s="56"/>
      <c r="AB1311" s="56"/>
    </row>
    <row r="1312" ht="15.75" customHeight="1">
      <c r="A1312" s="169"/>
      <c r="B1312" s="63"/>
      <c r="C1312" s="22" t="s">
        <v>66</v>
      </c>
      <c r="D1312" s="38" t="s">
        <v>267</v>
      </c>
      <c r="E1312" s="67" t="s">
        <v>3946</v>
      </c>
      <c r="F1312" s="67" t="s">
        <v>3947</v>
      </c>
      <c r="G1312" s="66" t="s">
        <v>6341</v>
      </c>
      <c r="H1312" s="10" t="s">
        <v>4935</v>
      </c>
      <c r="I1312" s="125" t="s">
        <v>6342</v>
      </c>
      <c r="J1312" s="67" t="s">
        <v>3948</v>
      </c>
      <c r="K1312" s="38" t="s">
        <v>6343</v>
      </c>
      <c r="L1312" s="38"/>
      <c r="M1312" s="56"/>
      <c r="N1312" s="56" t="b">
        <v>0</v>
      </c>
      <c r="O1312" s="56" t="b">
        <v>0</v>
      </c>
      <c r="P1312" s="56"/>
      <c r="Q1312" s="56"/>
      <c r="R1312" s="56"/>
      <c r="S1312" s="56"/>
      <c r="T1312" s="56"/>
      <c r="U1312" s="56"/>
      <c r="V1312" s="56"/>
      <c r="W1312" s="56"/>
      <c r="X1312" s="56"/>
      <c r="Y1312" s="56"/>
      <c r="Z1312" s="56"/>
      <c r="AA1312" s="56"/>
      <c r="AB1312" s="56"/>
    </row>
    <row r="1313" ht="15.75" customHeight="1">
      <c r="A1313" s="169"/>
      <c r="B1313" s="63"/>
      <c r="C1313" s="22" t="s">
        <v>66</v>
      </c>
      <c r="D1313" s="38" t="s">
        <v>267</v>
      </c>
      <c r="E1313" s="77" t="s">
        <v>674</v>
      </c>
      <c r="F1313" s="203" t="s">
        <v>675</v>
      </c>
      <c r="G1313" s="82" t="s">
        <v>4856</v>
      </c>
      <c r="H1313" s="77" t="s">
        <v>6092</v>
      </c>
      <c r="I1313" s="77" t="s">
        <v>6344</v>
      </c>
      <c r="J1313" s="203" t="s">
        <v>679</v>
      </c>
      <c r="K1313" s="38"/>
      <c r="L1313" s="38"/>
      <c r="M1313" s="56"/>
      <c r="N1313" s="56" t="b">
        <v>0</v>
      </c>
      <c r="O1313" s="56" t="b">
        <v>0</v>
      </c>
      <c r="P1313" s="56"/>
      <c r="Q1313" s="56"/>
      <c r="R1313" s="56"/>
      <c r="S1313" s="56"/>
      <c r="T1313" s="56"/>
      <c r="U1313" s="56"/>
      <c r="V1313" s="56"/>
      <c r="W1313" s="56"/>
      <c r="X1313" s="56"/>
      <c r="Y1313" s="56"/>
      <c r="Z1313" s="56"/>
      <c r="AA1313" s="56"/>
      <c r="AB1313" s="56"/>
    </row>
    <row r="1314" ht="15.75" customHeight="1">
      <c r="A1314" s="169"/>
      <c r="B1314" s="63"/>
      <c r="C1314" s="22" t="s">
        <v>66</v>
      </c>
      <c r="D1314" s="38" t="s">
        <v>267</v>
      </c>
      <c r="E1314" s="77" t="s">
        <v>1253</v>
      </c>
      <c r="F1314" s="77" t="s">
        <v>1254</v>
      </c>
      <c r="G1314" s="82" t="s">
        <v>4896</v>
      </c>
      <c r="H1314" s="203" t="s">
        <v>5191</v>
      </c>
      <c r="I1314" s="77" t="s">
        <v>6345</v>
      </c>
      <c r="J1314" s="77" t="s">
        <v>1256</v>
      </c>
      <c r="K1314" s="38"/>
      <c r="L1314" s="38"/>
      <c r="M1314" s="56"/>
      <c r="N1314" s="56" t="b">
        <v>0</v>
      </c>
      <c r="O1314" s="56" t="b">
        <v>0</v>
      </c>
      <c r="P1314" s="56"/>
      <c r="Q1314" s="56"/>
      <c r="R1314" s="56"/>
      <c r="S1314" s="56"/>
      <c r="T1314" s="56"/>
      <c r="U1314" s="56"/>
      <c r="V1314" s="56"/>
      <c r="W1314" s="56"/>
      <c r="X1314" s="56"/>
      <c r="Y1314" s="56"/>
      <c r="Z1314" s="56"/>
      <c r="AA1314" s="56"/>
      <c r="AB1314" s="56"/>
    </row>
    <row r="1315" ht="15.75" customHeight="1">
      <c r="A1315" s="169"/>
      <c r="B1315" s="63"/>
      <c r="C1315" s="22" t="s">
        <v>66</v>
      </c>
      <c r="D1315" s="38" t="s">
        <v>267</v>
      </c>
      <c r="E1315" s="67" t="s">
        <v>3899</v>
      </c>
      <c r="F1315" s="10" t="s">
        <v>3900</v>
      </c>
      <c r="G1315" s="66" t="s">
        <v>4899</v>
      </c>
      <c r="H1315" s="67" t="s">
        <v>6103</v>
      </c>
      <c r="I1315" s="67" t="s">
        <v>6346</v>
      </c>
      <c r="J1315" s="10" t="s">
        <v>3902</v>
      </c>
      <c r="K1315" s="38"/>
      <c r="L1315" s="38"/>
      <c r="M1315" s="56"/>
      <c r="N1315" s="56" t="b">
        <v>0</v>
      </c>
      <c r="O1315" s="56" t="b">
        <v>0</v>
      </c>
      <c r="P1315" s="56"/>
      <c r="Q1315" s="56"/>
      <c r="R1315" s="56"/>
      <c r="S1315" s="56"/>
      <c r="T1315" s="56"/>
      <c r="U1315" s="56"/>
      <c r="V1315" s="56"/>
      <c r="W1315" s="56"/>
      <c r="X1315" s="56"/>
      <c r="Y1315" s="56"/>
      <c r="Z1315" s="56"/>
      <c r="AA1315" s="56"/>
      <c r="AB1315" s="56"/>
    </row>
    <row r="1316" ht="15.75" customHeight="1">
      <c r="A1316" s="169"/>
      <c r="B1316" s="63"/>
      <c r="C1316" s="22" t="s">
        <v>66</v>
      </c>
      <c r="D1316" s="62" t="s">
        <v>267</v>
      </c>
      <c r="E1316" s="242" t="s">
        <v>2884</v>
      </c>
      <c r="F1316" s="60" t="s">
        <v>2885</v>
      </c>
      <c r="G1316" s="73" t="s">
        <v>4997</v>
      </c>
      <c r="H1316" s="242" t="s">
        <v>4935</v>
      </c>
      <c r="I1316" s="60" t="s">
        <v>6347</v>
      </c>
      <c r="J1316" s="60" t="s">
        <v>2887</v>
      </c>
      <c r="K1316" s="38"/>
      <c r="L1316" s="38"/>
      <c r="M1316" s="56"/>
      <c r="N1316" s="56" t="b">
        <v>0</v>
      </c>
      <c r="O1316" s="56" t="b">
        <v>0</v>
      </c>
      <c r="P1316" s="56"/>
      <c r="Q1316" s="56"/>
      <c r="R1316" s="56"/>
      <c r="S1316" s="56"/>
      <c r="T1316" s="56"/>
      <c r="U1316" s="56"/>
      <c r="V1316" s="56"/>
      <c r="W1316" s="56"/>
      <c r="X1316" s="56"/>
      <c r="Y1316" s="56"/>
      <c r="Z1316" s="56"/>
      <c r="AA1316" s="56"/>
      <c r="AB1316" s="56"/>
    </row>
    <row r="1317" ht="15.75" customHeight="1">
      <c r="A1317" s="169"/>
      <c r="B1317" s="63"/>
      <c r="C1317" s="22" t="s">
        <v>66</v>
      </c>
      <c r="D1317" s="38"/>
      <c r="E1317" s="38"/>
      <c r="F1317" s="65"/>
      <c r="G1317" s="66"/>
      <c r="H1317" s="38"/>
      <c r="I1317" s="38"/>
      <c r="J1317" s="38"/>
      <c r="K1317" s="38"/>
      <c r="L1317" s="38"/>
      <c r="M1317" s="56"/>
      <c r="N1317" s="56" t="b">
        <v>0</v>
      </c>
      <c r="O1317" s="56" t="b">
        <v>0</v>
      </c>
      <c r="P1317" s="56"/>
      <c r="Q1317" s="56"/>
      <c r="R1317" s="56"/>
      <c r="S1317" s="56"/>
      <c r="T1317" s="56"/>
      <c r="U1317" s="56"/>
      <c r="V1317" s="56"/>
      <c r="W1317" s="56"/>
      <c r="X1317" s="56"/>
      <c r="Y1317" s="56"/>
      <c r="Z1317" s="56"/>
      <c r="AA1317" s="56"/>
      <c r="AB1317" s="56"/>
    </row>
    <row r="1318" ht="15.75" customHeight="1">
      <c r="A1318" s="169"/>
      <c r="B1318" s="69"/>
      <c r="C1318" s="22" t="s">
        <v>66</v>
      </c>
      <c r="D1318" s="38"/>
      <c r="E1318" s="38"/>
      <c r="F1318" s="65"/>
      <c r="G1318" s="66"/>
      <c r="H1318" s="38"/>
      <c r="I1318" s="38"/>
      <c r="J1318" s="38"/>
      <c r="K1318" s="38"/>
      <c r="L1318" s="38"/>
      <c r="M1318" s="56"/>
      <c r="N1318" s="56" t="b">
        <v>0</v>
      </c>
      <c r="O1318" s="56" t="b">
        <v>0</v>
      </c>
      <c r="P1318" s="56"/>
      <c r="Q1318" s="56"/>
      <c r="R1318" s="56"/>
      <c r="S1318" s="56"/>
      <c r="T1318" s="56"/>
      <c r="U1318" s="56"/>
      <c r="V1318" s="56"/>
      <c r="W1318" s="56"/>
      <c r="X1318" s="56"/>
      <c r="Y1318" s="56"/>
      <c r="Z1318" s="56"/>
      <c r="AA1318" s="56"/>
      <c r="AB1318" s="56"/>
    </row>
    <row r="1319" ht="15.75" customHeight="1">
      <c r="A1319" s="169"/>
      <c r="B1319" s="219" t="s">
        <v>4836</v>
      </c>
      <c r="C1319" s="220">
        <v>44501.0</v>
      </c>
      <c r="D1319" s="38"/>
      <c r="E1319" s="38"/>
      <c r="F1319" s="65"/>
      <c r="G1319" s="66"/>
      <c r="H1319" s="38"/>
      <c r="I1319" s="38"/>
      <c r="J1319" s="38"/>
      <c r="K1319" s="38"/>
      <c r="L1319" s="38"/>
      <c r="M1319" s="56"/>
      <c r="N1319" s="56" t="b">
        <v>0</v>
      </c>
      <c r="O1319" s="56" t="b">
        <v>0</v>
      </c>
      <c r="P1319" s="56"/>
      <c r="Q1319" s="56"/>
      <c r="R1319" s="56"/>
      <c r="S1319" s="56"/>
      <c r="T1319" s="56"/>
      <c r="U1319" s="56"/>
      <c r="V1319" s="56"/>
      <c r="W1319" s="56"/>
      <c r="X1319" s="56"/>
      <c r="Y1319" s="56"/>
      <c r="Z1319" s="56"/>
      <c r="AA1319" s="56"/>
      <c r="AB1319" s="56"/>
    </row>
    <row r="1320" ht="15.75" customHeight="1">
      <c r="A1320" s="169"/>
      <c r="B1320" s="63"/>
      <c r="C1320" s="22"/>
      <c r="D1320" s="38"/>
      <c r="E1320" s="38"/>
      <c r="F1320" s="127" t="s">
        <v>6348</v>
      </c>
      <c r="G1320" s="270"/>
      <c r="H1320" s="38"/>
      <c r="I1320" s="38"/>
      <c r="J1320" s="38"/>
      <c r="K1320" s="38"/>
      <c r="L1320" s="38"/>
      <c r="M1320" s="56"/>
      <c r="N1320" s="56" t="b">
        <v>0</v>
      </c>
      <c r="O1320" s="56" t="b">
        <v>0</v>
      </c>
      <c r="P1320" s="56"/>
      <c r="Q1320" s="56"/>
      <c r="R1320" s="56"/>
      <c r="S1320" s="56"/>
      <c r="T1320" s="56"/>
      <c r="U1320" s="56"/>
      <c r="V1320" s="56"/>
      <c r="W1320" s="56"/>
      <c r="X1320" s="56"/>
      <c r="Y1320" s="56"/>
      <c r="Z1320" s="56"/>
      <c r="AA1320" s="56"/>
      <c r="AB1320" s="56"/>
    </row>
    <row r="1321" ht="15.75" customHeight="1">
      <c r="A1321" s="169"/>
      <c r="B1321" s="63"/>
      <c r="C1321" s="22" t="s">
        <v>53</v>
      </c>
      <c r="D1321" s="38"/>
      <c r="E1321" s="38"/>
      <c r="F1321" s="65"/>
      <c r="G1321" s="66"/>
      <c r="H1321" s="38"/>
      <c r="I1321" s="38"/>
      <c r="J1321" s="38"/>
      <c r="K1321" s="38"/>
      <c r="L1321" s="38"/>
      <c r="M1321" s="56"/>
      <c r="N1321" s="56" t="b">
        <v>0</v>
      </c>
      <c r="O1321" s="56" t="b">
        <v>0</v>
      </c>
      <c r="P1321" s="56"/>
      <c r="Q1321" s="56"/>
      <c r="R1321" s="56"/>
      <c r="S1321" s="56"/>
      <c r="T1321" s="56"/>
      <c r="U1321" s="56"/>
      <c r="V1321" s="56"/>
      <c r="W1321" s="56"/>
      <c r="X1321" s="56"/>
      <c r="Y1321" s="56"/>
      <c r="Z1321" s="56"/>
      <c r="AA1321" s="56"/>
      <c r="AB1321" s="56"/>
    </row>
    <row r="1322" ht="15.75" customHeight="1">
      <c r="A1322" s="169"/>
      <c r="B1322" s="63"/>
      <c r="C1322" s="22" t="s">
        <v>53</v>
      </c>
      <c r="D1322" s="27" t="s">
        <v>89</v>
      </c>
      <c r="E1322" s="60" t="s">
        <v>3406</v>
      </c>
      <c r="F1322" s="60" t="s">
        <v>3407</v>
      </c>
      <c r="G1322" s="73" t="s">
        <v>5704</v>
      </c>
      <c r="H1322" s="62" t="s">
        <v>6349</v>
      </c>
      <c r="I1322" s="62" t="s">
        <v>6350</v>
      </c>
      <c r="J1322" s="242" t="s">
        <v>3409</v>
      </c>
      <c r="K1322" s="38"/>
      <c r="L1322" s="38"/>
      <c r="M1322" s="56"/>
      <c r="N1322" s="56" t="b">
        <v>0</v>
      </c>
      <c r="O1322" s="56" t="b">
        <v>0</v>
      </c>
      <c r="P1322" s="56"/>
      <c r="Q1322" s="56"/>
      <c r="R1322" s="56"/>
      <c r="S1322" s="56"/>
      <c r="T1322" s="56"/>
      <c r="U1322" s="56"/>
      <c r="V1322" s="56"/>
      <c r="W1322" s="56"/>
      <c r="X1322" s="56"/>
      <c r="Y1322" s="56"/>
      <c r="Z1322" s="56"/>
      <c r="AA1322" s="56"/>
      <c r="AB1322" s="56"/>
    </row>
    <row r="1323" ht="15.75" customHeight="1">
      <c r="A1323" s="169"/>
      <c r="B1323" s="63"/>
      <c r="C1323" s="22" t="s">
        <v>53</v>
      </c>
      <c r="D1323" s="73" t="s">
        <v>6246</v>
      </c>
      <c r="E1323" s="60" t="s">
        <v>2557</v>
      </c>
      <c r="F1323" s="60" t="s">
        <v>2558</v>
      </c>
      <c r="G1323" s="73" t="s">
        <v>4960</v>
      </c>
      <c r="H1323" s="62" t="s">
        <v>6351</v>
      </c>
      <c r="I1323" s="62" t="s">
        <v>6352</v>
      </c>
      <c r="J1323" s="62" t="s">
        <v>2560</v>
      </c>
      <c r="K1323" s="38"/>
      <c r="L1323" s="38"/>
      <c r="M1323" s="56"/>
      <c r="N1323" s="56" t="b">
        <v>0</v>
      </c>
      <c r="O1323" s="56" t="b">
        <v>0</v>
      </c>
      <c r="P1323" s="56"/>
      <c r="Q1323" s="56"/>
      <c r="R1323" s="56"/>
      <c r="S1323" s="56"/>
      <c r="T1323" s="56"/>
      <c r="U1323" s="56"/>
      <c r="V1323" s="56"/>
      <c r="W1323" s="56"/>
      <c r="X1323" s="56"/>
      <c r="Y1323" s="56"/>
      <c r="Z1323" s="56"/>
      <c r="AA1323" s="56"/>
      <c r="AB1323" s="56"/>
    </row>
    <row r="1324" ht="15.75" customHeight="1">
      <c r="A1324" s="169"/>
      <c r="B1324" s="63"/>
      <c r="C1324" s="22" t="s">
        <v>53</v>
      </c>
      <c r="D1324" s="13" t="s">
        <v>89</v>
      </c>
      <c r="E1324" s="77" t="s">
        <v>2839</v>
      </c>
      <c r="F1324" s="77" t="s">
        <v>2840</v>
      </c>
      <c r="G1324" s="82" t="s">
        <v>4940</v>
      </c>
      <c r="H1324" s="76" t="s">
        <v>6353</v>
      </c>
      <c r="I1324" s="76" t="s">
        <v>6354</v>
      </c>
      <c r="J1324" s="203" t="s">
        <v>2842</v>
      </c>
      <c r="K1324" s="38"/>
      <c r="L1324" s="38"/>
      <c r="M1324" s="56"/>
      <c r="N1324" s="56" t="b">
        <v>0</v>
      </c>
      <c r="O1324" s="56" t="b">
        <v>0</v>
      </c>
      <c r="P1324" s="56"/>
      <c r="Q1324" s="56"/>
      <c r="R1324" s="56"/>
      <c r="S1324" s="56"/>
      <c r="T1324" s="56"/>
      <c r="U1324" s="56"/>
      <c r="V1324" s="56"/>
      <c r="W1324" s="56"/>
      <c r="X1324" s="56"/>
      <c r="Y1324" s="56"/>
      <c r="Z1324" s="56"/>
      <c r="AA1324" s="56"/>
      <c r="AB1324" s="56"/>
    </row>
    <row r="1325" ht="15.75" customHeight="1">
      <c r="A1325" s="169"/>
      <c r="B1325" s="69"/>
      <c r="C1325" s="22" t="s">
        <v>53</v>
      </c>
      <c r="D1325" s="66" t="s">
        <v>6246</v>
      </c>
      <c r="E1325" s="109" t="s">
        <v>1225</v>
      </c>
      <c r="F1325" s="109" t="s">
        <v>1226</v>
      </c>
      <c r="G1325" s="271">
        <v>0.7083333333333334</v>
      </c>
      <c r="H1325" s="272" t="s">
        <v>6278</v>
      </c>
      <c r="I1325" s="80" t="s">
        <v>6279</v>
      </c>
      <c r="J1325" s="109" t="s">
        <v>1228</v>
      </c>
      <c r="K1325" s="38"/>
      <c r="L1325" s="38"/>
      <c r="M1325" s="56"/>
      <c r="N1325" s="56" t="b">
        <v>0</v>
      </c>
      <c r="O1325" s="56" t="b">
        <v>0</v>
      </c>
      <c r="P1325" s="56"/>
      <c r="Q1325" s="56"/>
      <c r="R1325" s="56"/>
      <c r="S1325" s="56"/>
      <c r="T1325" s="56"/>
      <c r="U1325" s="56"/>
      <c r="V1325" s="56"/>
      <c r="W1325" s="56"/>
      <c r="X1325" s="56"/>
      <c r="Y1325" s="56"/>
      <c r="Z1325" s="56"/>
      <c r="AA1325" s="56"/>
      <c r="AB1325" s="56"/>
    </row>
    <row r="1326" ht="15.75" customHeight="1">
      <c r="A1326" s="169"/>
      <c r="B1326" s="219" t="s">
        <v>6168</v>
      </c>
      <c r="C1326" s="226"/>
      <c r="D1326" s="38"/>
      <c r="E1326" s="38"/>
      <c r="F1326" s="65"/>
      <c r="G1326" s="66"/>
      <c r="H1326" s="38"/>
      <c r="I1326" s="38"/>
      <c r="J1326" s="38"/>
      <c r="K1326" s="38"/>
      <c r="L1326" s="38"/>
      <c r="M1326" s="56"/>
      <c r="N1326" s="56" t="b">
        <v>0</v>
      </c>
      <c r="O1326" s="56" t="b">
        <v>0</v>
      </c>
      <c r="P1326" s="56"/>
      <c r="Q1326" s="56"/>
      <c r="R1326" s="56"/>
      <c r="S1326" s="56"/>
      <c r="T1326" s="56"/>
      <c r="U1326" s="56"/>
      <c r="V1326" s="56"/>
      <c r="W1326" s="56"/>
      <c r="X1326" s="56"/>
      <c r="Y1326" s="56"/>
      <c r="Z1326" s="56"/>
      <c r="AA1326" s="56"/>
      <c r="AB1326" s="56"/>
    </row>
    <row r="1327" ht="15.75" customHeight="1">
      <c r="A1327" s="169"/>
      <c r="B1327" s="63"/>
      <c r="D1327" s="38"/>
      <c r="E1327" s="38"/>
      <c r="F1327" s="65"/>
      <c r="G1327" s="66"/>
      <c r="H1327" s="38"/>
      <c r="I1327" s="38"/>
      <c r="J1327" s="38"/>
      <c r="K1327" s="38"/>
      <c r="L1327" s="38"/>
      <c r="M1327" s="56"/>
      <c r="N1327" s="56" t="b">
        <v>0</v>
      </c>
      <c r="O1327" s="56" t="b">
        <v>0</v>
      </c>
      <c r="P1327" s="56"/>
      <c r="Q1327" s="56"/>
      <c r="R1327" s="56"/>
      <c r="S1327" s="56"/>
      <c r="T1327" s="56"/>
      <c r="U1327" s="56"/>
      <c r="V1327" s="56"/>
      <c r="W1327" s="56"/>
      <c r="X1327" s="56"/>
      <c r="Y1327" s="56"/>
      <c r="Z1327" s="56"/>
      <c r="AA1327" s="56"/>
      <c r="AB1327" s="56"/>
    </row>
    <row r="1328" ht="15.75" customHeight="1">
      <c r="A1328" s="169"/>
      <c r="B1328" s="63"/>
      <c r="C1328" s="22" t="s">
        <v>66</v>
      </c>
      <c r="D1328" s="38"/>
      <c r="E1328" s="38"/>
      <c r="F1328" s="65"/>
      <c r="G1328" s="66"/>
      <c r="H1328" s="38"/>
      <c r="I1328" s="38"/>
      <c r="J1328" s="38"/>
      <c r="K1328" s="38"/>
      <c r="L1328" s="38"/>
      <c r="M1328" s="56"/>
      <c r="N1328" s="56" t="b">
        <v>0</v>
      </c>
      <c r="O1328" s="56" t="b">
        <v>0</v>
      </c>
      <c r="P1328" s="56"/>
      <c r="Q1328" s="56"/>
      <c r="R1328" s="56"/>
      <c r="S1328" s="56"/>
      <c r="T1328" s="56"/>
      <c r="U1328" s="56"/>
      <c r="V1328" s="56"/>
      <c r="W1328" s="56"/>
      <c r="X1328" s="56"/>
      <c r="Y1328" s="56"/>
      <c r="Z1328" s="56"/>
      <c r="AA1328" s="56"/>
      <c r="AB1328" s="56"/>
    </row>
    <row r="1329" ht="15.75" customHeight="1">
      <c r="A1329" s="169"/>
      <c r="B1329" s="63"/>
      <c r="C1329" s="22" t="s">
        <v>66</v>
      </c>
      <c r="D1329" s="38"/>
      <c r="E1329" s="38"/>
      <c r="F1329" s="65"/>
      <c r="G1329" s="66"/>
      <c r="H1329" s="38"/>
      <c r="I1329" s="38"/>
      <c r="J1329" s="38"/>
      <c r="K1329" s="38"/>
      <c r="L1329" s="38"/>
      <c r="M1329" s="56"/>
      <c r="N1329" s="56" t="b">
        <v>0</v>
      </c>
      <c r="O1329" s="56" t="b">
        <v>0</v>
      </c>
      <c r="P1329" s="56"/>
      <c r="Q1329" s="56"/>
      <c r="R1329" s="56"/>
      <c r="S1329" s="56"/>
      <c r="T1329" s="56"/>
      <c r="U1329" s="56"/>
      <c r="V1329" s="56"/>
      <c r="W1329" s="56"/>
      <c r="X1329" s="56"/>
      <c r="Y1329" s="56"/>
      <c r="Z1329" s="56"/>
      <c r="AA1329" s="56"/>
      <c r="AB1329" s="56"/>
    </row>
    <row r="1330" ht="15.75" customHeight="1">
      <c r="A1330" s="169"/>
      <c r="B1330" s="63"/>
      <c r="C1330" s="22" t="s">
        <v>66</v>
      </c>
      <c r="D1330" s="38"/>
      <c r="E1330" s="38"/>
      <c r="F1330" s="65"/>
      <c r="G1330" s="66"/>
      <c r="H1330" s="38"/>
      <c r="I1330" s="38"/>
      <c r="J1330" s="38"/>
      <c r="K1330" s="38"/>
      <c r="L1330" s="38"/>
      <c r="M1330" s="56"/>
      <c r="N1330" s="56" t="b">
        <v>0</v>
      </c>
      <c r="O1330" s="56" t="b">
        <v>0</v>
      </c>
      <c r="P1330" s="56"/>
      <c r="Q1330" s="56"/>
      <c r="R1330" s="56"/>
      <c r="S1330" s="56"/>
      <c r="T1330" s="56"/>
      <c r="U1330" s="56"/>
      <c r="V1330" s="56"/>
      <c r="W1330" s="56"/>
      <c r="X1330" s="56"/>
      <c r="Y1330" s="56"/>
      <c r="Z1330" s="56"/>
      <c r="AA1330" s="56"/>
      <c r="AB1330" s="56"/>
    </row>
    <row r="1331" ht="15.75" customHeight="1">
      <c r="A1331" s="169"/>
      <c r="B1331" s="63"/>
      <c r="C1331" s="22" t="s">
        <v>66</v>
      </c>
      <c r="D1331" s="38"/>
      <c r="E1331" s="38"/>
      <c r="F1331" s="65"/>
      <c r="G1331" s="66"/>
      <c r="H1331" s="38"/>
      <c r="I1331" s="38"/>
      <c r="J1331" s="38"/>
      <c r="K1331" s="38"/>
      <c r="L1331" s="38"/>
      <c r="M1331" s="56"/>
      <c r="N1331" s="56" t="b">
        <v>0</v>
      </c>
      <c r="O1331" s="56" t="b">
        <v>0</v>
      </c>
      <c r="P1331" s="56"/>
      <c r="Q1331" s="56"/>
      <c r="R1331" s="56"/>
      <c r="S1331" s="56"/>
      <c r="T1331" s="56"/>
      <c r="U1331" s="56"/>
      <c r="V1331" s="56"/>
      <c r="W1331" s="56"/>
      <c r="X1331" s="56"/>
      <c r="Y1331" s="56"/>
      <c r="Z1331" s="56"/>
      <c r="AA1331" s="56"/>
      <c r="AB1331" s="56"/>
    </row>
    <row r="1332" ht="15.75" customHeight="1">
      <c r="A1332" s="169"/>
      <c r="B1332" s="63"/>
      <c r="C1332" s="22" t="s">
        <v>66</v>
      </c>
      <c r="D1332" s="62" t="s">
        <v>133</v>
      </c>
      <c r="E1332" s="60" t="s">
        <v>3918</v>
      </c>
      <c r="F1332" s="60" t="s">
        <v>3919</v>
      </c>
      <c r="G1332" s="73" t="s">
        <v>5134</v>
      </c>
      <c r="H1332" s="62" t="s">
        <v>6355</v>
      </c>
      <c r="I1332" s="242" t="s">
        <v>6356</v>
      </c>
      <c r="J1332" s="242" t="s">
        <v>3921</v>
      </c>
      <c r="K1332" s="38"/>
      <c r="L1332" s="38"/>
      <c r="M1332" s="56"/>
      <c r="N1332" s="56" t="b">
        <v>0</v>
      </c>
      <c r="O1332" s="56" t="b">
        <v>0</v>
      </c>
      <c r="P1332" s="56"/>
      <c r="Q1332" s="56"/>
      <c r="R1332" s="56"/>
      <c r="S1332" s="56"/>
      <c r="T1332" s="56"/>
      <c r="U1332" s="56"/>
      <c r="V1332" s="56"/>
      <c r="W1332" s="56"/>
      <c r="X1332" s="56"/>
      <c r="Y1332" s="56"/>
      <c r="Z1332" s="56"/>
      <c r="AA1332" s="56"/>
      <c r="AB1332" s="56"/>
    </row>
    <row r="1333" ht="15.75" customHeight="1">
      <c r="A1333" s="169"/>
      <c r="B1333" s="63"/>
      <c r="C1333" s="22" t="s">
        <v>66</v>
      </c>
      <c r="D1333" s="202" t="s">
        <v>89</v>
      </c>
      <c r="E1333" s="77" t="s">
        <v>2513</v>
      </c>
      <c r="F1333" s="77" t="s">
        <v>2514</v>
      </c>
      <c r="G1333" s="82" t="s">
        <v>5160</v>
      </c>
      <c r="H1333" s="76" t="s">
        <v>6357</v>
      </c>
      <c r="I1333" s="76" t="s">
        <v>6358</v>
      </c>
      <c r="J1333" s="203" t="s">
        <v>2516</v>
      </c>
      <c r="K1333" s="38" t="s">
        <v>6359</v>
      </c>
      <c r="L1333" s="38"/>
      <c r="M1333" s="56"/>
      <c r="N1333" s="56" t="b">
        <v>0</v>
      </c>
      <c r="O1333" s="56" t="b">
        <v>0</v>
      </c>
      <c r="P1333" s="56"/>
      <c r="Q1333" s="56"/>
      <c r="R1333" s="56"/>
      <c r="S1333" s="56"/>
      <c r="T1333" s="56"/>
      <c r="U1333" s="56"/>
      <c r="V1333" s="56"/>
      <c r="W1333" s="56"/>
      <c r="X1333" s="56"/>
      <c r="Y1333" s="56"/>
      <c r="Z1333" s="56"/>
      <c r="AA1333" s="56"/>
      <c r="AB1333" s="56"/>
    </row>
    <row r="1334" ht="15.75" customHeight="1">
      <c r="A1334" s="169"/>
      <c r="B1334" s="63"/>
      <c r="C1334" s="22" t="s">
        <v>66</v>
      </c>
      <c r="D1334" s="13" t="s">
        <v>52</v>
      </c>
      <c r="E1334" s="67" t="s">
        <v>1125</v>
      </c>
      <c r="F1334" s="67" t="s">
        <v>1126</v>
      </c>
      <c r="G1334" s="66" t="s">
        <v>5160</v>
      </c>
      <c r="H1334" s="38" t="s">
        <v>4971</v>
      </c>
      <c r="I1334" s="38" t="s">
        <v>6360</v>
      </c>
      <c r="J1334" s="10" t="s">
        <v>1128</v>
      </c>
      <c r="K1334" s="38"/>
      <c r="L1334" s="38"/>
      <c r="M1334" s="56"/>
      <c r="N1334" s="56" t="b">
        <v>0</v>
      </c>
      <c r="O1334" s="56" t="b">
        <v>0</v>
      </c>
      <c r="P1334" s="56"/>
      <c r="Q1334" s="56"/>
      <c r="R1334" s="56"/>
      <c r="S1334" s="56"/>
      <c r="T1334" s="56"/>
      <c r="U1334" s="56"/>
      <c r="V1334" s="56"/>
      <c r="W1334" s="56"/>
      <c r="X1334" s="56"/>
      <c r="Y1334" s="56"/>
      <c r="Z1334" s="56"/>
      <c r="AA1334" s="56"/>
      <c r="AB1334" s="56"/>
    </row>
    <row r="1335" ht="15.75" customHeight="1">
      <c r="A1335" s="169"/>
      <c r="B1335" s="63"/>
      <c r="C1335" s="22" t="s">
        <v>66</v>
      </c>
      <c r="D1335" s="27" t="s">
        <v>89</v>
      </c>
      <c r="E1335" s="60" t="s">
        <v>2724</v>
      </c>
      <c r="F1335" s="60" t="s">
        <v>2725</v>
      </c>
      <c r="G1335" s="73" t="s">
        <v>4858</v>
      </c>
      <c r="H1335" s="62" t="s">
        <v>6361</v>
      </c>
      <c r="I1335" s="62" t="s">
        <v>6362</v>
      </c>
      <c r="J1335" s="242" t="s">
        <v>2727</v>
      </c>
      <c r="K1335" s="38"/>
      <c r="L1335" s="38"/>
      <c r="M1335" s="56"/>
      <c r="N1335" s="56" t="b">
        <v>0</v>
      </c>
      <c r="O1335" s="56" t="b">
        <v>0</v>
      </c>
      <c r="P1335" s="56"/>
      <c r="Q1335" s="56"/>
      <c r="R1335" s="56"/>
      <c r="S1335" s="56"/>
      <c r="T1335" s="56"/>
      <c r="U1335" s="56"/>
      <c r="V1335" s="56"/>
      <c r="W1335" s="56"/>
      <c r="X1335" s="56"/>
      <c r="Y1335" s="56"/>
      <c r="Z1335" s="56"/>
      <c r="AA1335" s="56"/>
      <c r="AB1335" s="56"/>
    </row>
    <row r="1336" ht="15.75" customHeight="1">
      <c r="A1336" s="169"/>
      <c r="B1336" s="69"/>
      <c r="C1336" s="22" t="s">
        <v>66</v>
      </c>
      <c r="D1336" s="27" t="s">
        <v>89</v>
      </c>
      <c r="E1336" s="60" t="s">
        <v>1236</v>
      </c>
      <c r="F1336" s="60" t="s">
        <v>1237</v>
      </c>
      <c r="G1336" s="73" t="s">
        <v>5089</v>
      </c>
      <c r="H1336" s="62" t="s">
        <v>6363</v>
      </c>
      <c r="I1336" s="62" t="s">
        <v>6364</v>
      </c>
      <c r="J1336" s="242" t="s">
        <v>1239</v>
      </c>
      <c r="K1336" s="38"/>
      <c r="L1336" s="38"/>
      <c r="M1336" s="56"/>
      <c r="N1336" s="56" t="b">
        <v>0</v>
      </c>
      <c r="O1336" s="56" t="b">
        <v>0</v>
      </c>
      <c r="P1336" s="56"/>
      <c r="Q1336" s="56"/>
      <c r="R1336" s="56"/>
      <c r="S1336" s="56"/>
      <c r="T1336" s="56"/>
      <c r="U1336" s="56"/>
      <c r="V1336" s="56"/>
      <c r="W1336" s="56"/>
      <c r="X1336" s="56"/>
      <c r="Y1336" s="56"/>
      <c r="Z1336" s="56"/>
      <c r="AA1336" s="56"/>
      <c r="AB1336" s="56"/>
    </row>
    <row r="1337" ht="15.75" customHeight="1">
      <c r="A1337" s="169"/>
      <c r="B1337" s="219" t="s">
        <v>4836</v>
      </c>
      <c r="C1337" s="220">
        <v>44502.0</v>
      </c>
      <c r="D1337" s="38"/>
      <c r="E1337" s="38"/>
      <c r="F1337" s="65"/>
      <c r="G1337" s="66"/>
      <c r="H1337" s="38"/>
      <c r="I1337" s="38"/>
      <c r="J1337" s="38"/>
      <c r="K1337" s="38"/>
      <c r="L1337" s="38"/>
      <c r="M1337" s="56"/>
      <c r="N1337" s="56" t="b">
        <v>0</v>
      </c>
      <c r="O1337" s="56" t="b">
        <v>0</v>
      </c>
      <c r="P1337" s="56"/>
      <c r="Q1337" s="56"/>
      <c r="R1337" s="56"/>
      <c r="S1337" s="56"/>
      <c r="T1337" s="56"/>
      <c r="U1337" s="56"/>
      <c r="V1337" s="56"/>
      <c r="W1337" s="56"/>
      <c r="X1337" s="56"/>
      <c r="Y1337" s="56"/>
      <c r="Z1337" s="56"/>
      <c r="AA1337" s="56"/>
      <c r="AB1337" s="56"/>
    </row>
    <row r="1338" ht="15.75" customHeight="1">
      <c r="A1338" s="169"/>
      <c r="B1338" s="63"/>
      <c r="C1338" s="22"/>
      <c r="D1338" s="38"/>
      <c r="E1338" s="38"/>
      <c r="F1338" s="65"/>
      <c r="G1338" s="66"/>
      <c r="H1338" s="38"/>
      <c r="I1338" s="38"/>
      <c r="J1338" s="38"/>
      <c r="K1338" s="38"/>
      <c r="L1338" s="38"/>
      <c r="M1338" s="56"/>
      <c r="N1338" s="56" t="b">
        <v>0</v>
      </c>
      <c r="O1338" s="56" t="b">
        <v>0</v>
      </c>
      <c r="P1338" s="56"/>
      <c r="Q1338" s="56"/>
      <c r="R1338" s="56"/>
      <c r="S1338" s="56"/>
      <c r="T1338" s="56"/>
      <c r="U1338" s="56"/>
      <c r="V1338" s="56"/>
      <c r="W1338" s="56"/>
      <c r="X1338" s="56"/>
      <c r="Y1338" s="56"/>
      <c r="Z1338" s="56"/>
      <c r="AA1338" s="56"/>
      <c r="AB1338" s="56"/>
    </row>
    <row r="1339" ht="15.75" customHeight="1">
      <c r="A1339" s="169"/>
      <c r="B1339" s="63"/>
      <c r="C1339" s="22" t="s">
        <v>53</v>
      </c>
      <c r="D1339" s="202" t="s">
        <v>89</v>
      </c>
      <c r="E1339" s="203" t="s">
        <v>1108</v>
      </c>
      <c r="F1339" s="203" t="s">
        <v>1109</v>
      </c>
      <c r="G1339" s="82" t="s">
        <v>5704</v>
      </c>
      <c r="H1339" s="76" t="s">
        <v>6365</v>
      </c>
      <c r="I1339" s="76" t="s">
        <v>6366</v>
      </c>
      <c r="J1339" s="203" t="s">
        <v>1111</v>
      </c>
      <c r="K1339" s="38" t="s">
        <v>6367</v>
      </c>
      <c r="L1339" s="38"/>
      <c r="M1339" s="56"/>
      <c r="N1339" s="56" t="b">
        <v>0</v>
      </c>
      <c r="O1339" s="56" t="b">
        <v>0</v>
      </c>
      <c r="P1339" s="56"/>
      <c r="Q1339" s="56"/>
      <c r="R1339" s="56"/>
      <c r="S1339" s="56"/>
      <c r="T1339" s="56"/>
      <c r="U1339" s="56"/>
      <c r="V1339" s="56"/>
      <c r="W1339" s="56"/>
      <c r="X1339" s="56"/>
      <c r="Y1339" s="56"/>
      <c r="Z1339" s="56"/>
      <c r="AA1339" s="56"/>
      <c r="AB1339" s="56"/>
    </row>
    <row r="1340" ht="15.75" customHeight="1">
      <c r="A1340" s="169"/>
      <c r="B1340" s="63"/>
      <c r="C1340" s="22" t="s">
        <v>53</v>
      </c>
      <c r="D1340" s="202" t="s">
        <v>89</v>
      </c>
      <c r="E1340" s="203" t="s">
        <v>1415</v>
      </c>
      <c r="F1340" s="203" t="s">
        <v>1416</v>
      </c>
      <c r="G1340" s="82" t="s">
        <v>6003</v>
      </c>
      <c r="H1340" s="76" t="s">
        <v>6368</v>
      </c>
      <c r="I1340" s="76" t="s">
        <v>6369</v>
      </c>
      <c r="J1340" s="203" t="s">
        <v>1418</v>
      </c>
      <c r="K1340" s="38" t="s">
        <v>6367</v>
      </c>
      <c r="L1340" s="38"/>
      <c r="M1340" s="56"/>
      <c r="N1340" s="56" t="b">
        <v>0</v>
      </c>
      <c r="O1340" s="56" t="b">
        <v>0</v>
      </c>
      <c r="P1340" s="56"/>
      <c r="Q1340" s="56"/>
      <c r="R1340" s="56"/>
      <c r="S1340" s="56"/>
      <c r="T1340" s="56"/>
      <c r="U1340" s="56"/>
      <c r="V1340" s="56"/>
      <c r="W1340" s="56"/>
      <c r="X1340" s="56"/>
      <c r="Y1340" s="56"/>
      <c r="Z1340" s="56"/>
      <c r="AA1340" s="56"/>
      <c r="AB1340" s="56"/>
    </row>
    <row r="1341" ht="15.75" customHeight="1">
      <c r="A1341" s="169"/>
      <c r="B1341" s="63"/>
      <c r="C1341" s="22" t="s">
        <v>53</v>
      </c>
      <c r="D1341" s="202" t="s">
        <v>89</v>
      </c>
      <c r="E1341" s="203" t="s">
        <v>6370</v>
      </c>
      <c r="F1341" s="203" t="s">
        <v>6371</v>
      </c>
      <c r="G1341" s="82" t="s">
        <v>4887</v>
      </c>
      <c r="H1341" s="76" t="s">
        <v>6372</v>
      </c>
      <c r="I1341" s="76" t="s">
        <v>6373</v>
      </c>
      <c r="J1341" s="203" t="s">
        <v>6374</v>
      </c>
      <c r="K1341" s="38" t="s">
        <v>6367</v>
      </c>
      <c r="L1341" s="38"/>
      <c r="M1341" s="56"/>
      <c r="N1341" s="56" t="b">
        <v>0</v>
      </c>
      <c r="O1341" s="56" t="b">
        <v>0</v>
      </c>
      <c r="P1341" s="56"/>
      <c r="Q1341" s="56"/>
      <c r="R1341" s="56"/>
      <c r="S1341" s="56"/>
      <c r="T1341" s="56"/>
      <c r="U1341" s="56"/>
      <c r="V1341" s="56"/>
      <c r="W1341" s="56"/>
      <c r="X1341" s="56"/>
      <c r="Y1341" s="56"/>
      <c r="Z1341" s="56"/>
      <c r="AA1341" s="56"/>
      <c r="AB1341" s="56"/>
    </row>
    <row r="1342" ht="15.75" customHeight="1">
      <c r="A1342" s="169"/>
      <c r="B1342" s="63"/>
      <c r="C1342" s="22" t="s">
        <v>53</v>
      </c>
      <c r="D1342" s="202" t="s">
        <v>89</v>
      </c>
      <c r="E1342" s="203" t="s">
        <v>1490</v>
      </c>
      <c r="F1342" s="203" t="s">
        <v>1491</v>
      </c>
      <c r="G1342" s="82" t="s">
        <v>5870</v>
      </c>
      <c r="H1342" s="76" t="s">
        <v>6368</v>
      </c>
      <c r="I1342" s="76" t="s">
        <v>6375</v>
      </c>
      <c r="J1342" s="203" t="s">
        <v>1493</v>
      </c>
      <c r="K1342" s="38" t="s">
        <v>6367</v>
      </c>
      <c r="L1342" s="38"/>
      <c r="M1342" s="56"/>
      <c r="N1342" s="56" t="b">
        <v>0</v>
      </c>
      <c r="O1342" s="56" t="b">
        <v>0</v>
      </c>
      <c r="P1342" s="56"/>
      <c r="Q1342" s="56"/>
      <c r="R1342" s="56"/>
      <c r="S1342" s="56"/>
      <c r="T1342" s="56"/>
      <c r="U1342" s="56"/>
      <c r="V1342" s="56"/>
      <c r="W1342" s="56"/>
      <c r="X1342" s="56"/>
      <c r="Y1342" s="56"/>
      <c r="Z1342" s="56"/>
      <c r="AA1342" s="56"/>
      <c r="AB1342" s="56"/>
    </row>
    <row r="1343" ht="15.75" customHeight="1">
      <c r="A1343" s="169"/>
      <c r="B1343" s="69"/>
      <c r="C1343" s="22" t="s">
        <v>53</v>
      </c>
      <c r="D1343" s="202" t="s">
        <v>89</v>
      </c>
      <c r="E1343" s="203" t="s">
        <v>1885</v>
      </c>
      <c r="F1343" s="203" t="s">
        <v>1886</v>
      </c>
      <c r="G1343" s="82" t="s">
        <v>4858</v>
      </c>
      <c r="H1343" s="76" t="s">
        <v>6372</v>
      </c>
      <c r="I1343" s="76" t="s">
        <v>6376</v>
      </c>
      <c r="J1343" s="203" t="s">
        <v>1884</v>
      </c>
      <c r="K1343" s="38" t="s">
        <v>6377</v>
      </c>
      <c r="L1343" s="38"/>
      <c r="M1343" s="56"/>
      <c r="N1343" s="56" t="b">
        <v>0</v>
      </c>
      <c r="O1343" s="56" t="b">
        <v>0</v>
      </c>
      <c r="P1343" s="56"/>
      <c r="Q1343" s="56"/>
      <c r="R1343" s="56"/>
      <c r="S1343" s="56"/>
      <c r="T1343" s="56"/>
      <c r="U1343" s="56"/>
      <c r="V1343" s="56"/>
      <c r="W1343" s="56"/>
      <c r="X1343" s="56"/>
      <c r="Y1343" s="56"/>
      <c r="Z1343" s="56"/>
      <c r="AA1343" s="56"/>
      <c r="AB1343" s="56"/>
    </row>
    <row r="1344" ht="15.75" customHeight="1">
      <c r="A1344" s="169"/>
      <c r="B1344" s="219" t="s">
        <v>6168</v>
      </c>
      <c r="C1344" s="22" t="s">
        <v>53</v>
      </c>
      <c r="D1344" s="202" t="s">
        <v>89</v>
      </c>
      <c r="E1344" s="203" t="s">
        <v>1881</v>
      </c>
      <c r="F1344" s="203" t="s">
        <v>1882</v>
      </c>
      <c r="G1344" s="82" t="s">
        <v>4847</v>
      </c>
      <c r="H1344" s="76" t="s">
        <v>6372</v>
      </c>
      <c r="I1344" s="76" t="s">
        <v>6376</v>
      </c>
      <c r="J1344" s="203" t="s">
        <v>1884</v>
      </c>
      <c r="K1344" s="38"/>
      <c r="L1344" s="38"/>
      <c r="M1344" s="56"/>
      <c r="N1344" s="56" t="b">
        <v>0</v>
      </c>
      <c r="O1344" s="56" t="b">
        <v>0</v>
      </c>
      <c r="P1344" s="56"/>
      <c r="Q1344" s="56"/>
      <c r="R1344" s="56"/>
      <c r="S1344" s="56"/>
      <c r="T1344" s="56"/>
      <c r="U1344" s="56"/>
      <c r="V1344" s="56"/>
      <c r="W1344" s="56"/>
      <c r="X1344" s="56"/>
      <c r="Y1344" s="56"/>
      <c r="Z1344" s="56"/>
      <c r="AA1344" s="56"/>
      <c r="AB1344" s="56"/>
    </row>
    <row r="1345" ht="15.75" customHeight="1">
      <c r="A1345" s="169"/>
      <c r="B1345" s="63"/>
      <c r="D1345" s="38"/>
      <c r="E1345" s="38"/>
      <c r="F1345" s="65"/>
      <c r="G1345" s="66"/>
      <c r="H1345" s="38"/>
      <c r="I1345" s="38"/>
      <c r="J1345" s="38"/>
      <c r="K1345" s="38"/>
      <c r="L1345" s="38"/>
      <c r="M1345" s="56"/>
      <c r="N1345" s="56" t="b">
        <v>0</v>
      </c>
      <c r="O1345" s="56" t="b">
        <v>0</v>
      </c>
      <c r="P1345" s="56"/>
      <c r="Q1345" s="56"/>
      <c r="R1345" s="56"/>
      <c r="S1345" s="56"/>
      <c r="T1345" s="56"/>
      <c r="U1345" s="56"/>
      <c r="V1345" s="56"/>
      <c r="W1345" s="56"/>
      <c r="X1345" s="56"/>
      <c r="Y1345" s="56"/>
      <c r="Z1345" s="56"/>
      <c r="AA1345" s="56"/>
      <c r="AB1345" s="56"/>
    </row>
    <row r="1346" ht="15.75" customHeight="1">
      <c r="A1346" s="169"/>
      <c r="B1346" s="63"/>
      <c r="C1346" s="22" t="s">
        <v>66</v>
      </c>
      <c r="D1346" s="38"/>
      <c r="E1346" s="38"/>
      <c r="F1346" s="65"/>
      <c r="G1346" s="66"/>
      <c r="H1346" s="38"/>
      <c r="I1346" s="38"/>
      <c r="J1346" s="38"/>
      <c r="K1346" s="38"/>
      <c r="L1346" s="38"/>
      <c r="M1346" s="56"/>
      <c r="N1346" s="56" t="b">
        <v>0</v>
      </c>
      <c r="O1346" s="56" t="b">
        <v>0</v>
      </c>
      <c r="P1346" s="56"/>
      <c r="Q1346" s="56"/>
      <c r="R1346" s="56"/>
      <c r="S1346" s="56"/>
      <c r="T1346" s="56"/>
      <c r="U1346" s="56"/>
      <c r="V1346" s="56"/>
      <c r="W1346" s="56"/>
      <c r="X1346" s="56"/>
      <c r="Y1346" s="56"/>
      <c r="Z1346" s="56"/>
      <c r="AA1346" s="56"/>
      <c r="AB1346" s="56"/>
    </row>
    <row r="1347" ht="15.75" customHeight="1">
      <c r="A1347" s="169"/>
      <c r="B1347" s="63"/>
      <c r="C1347" s="22" t="s">
        <v>66</v>
      </c>
      <c r="D1347" s="38"/>
      <c r="E1347" s="38"/>
      <c r="F1347" s="65"/>
      <c r="G1347" s="66"/>
      <c r="H1347" s="38"/>
      <c r="I1347" s="38"/>
      <c r="J1347" s="38"/>
      <c r="K1347" s="38"/>
      <c r="L1347" s="38"/>
      <c r="M1347" s="56"/>
      <c r="N1347" s="56" t="b">
        <v>0</v>
      </c>
      <c r="O1347" s="56" t="b">
        <v>0</v>
      </c>
      <c r="P1347" s="56"/>
      <c r="Q1347" s="56"/>
      <c r="R1347" s="56"/>
      <c r="S1347" s="56"/>
      <c r="T1347" s="56"/>
      <c r="U1347" s="56"/>
      <c r="V1347" s="56"/>
      <c r="W1347" s="56"/>
      <c r="X1347" s="56"/>
      <c r="Y1347" s="56"/>
      <c r="Z1347" s="56"/>
      <c r="AA1347" s="56"/>
      <c r="AB1347" s="56"/>
    </row>
    <row r="1348" ht="15.75" customHeight="1">
      <c r="A1348" s="169"/>
      <c r="B1348" s="63"/>
      <c r="C1348" s="22" t="s">
        <v>66</v>
      </c>
      <c r="D1348" s="38"/>
      <c r="E1348" s="162" t="s">
        <v>5784</v>
      </c>
      <c r="F1348" s="155"/>
      <c r="G1348" s="66"/>
      <c r="H1348" s="38"/>
      <c r="I1348" s="38"/>
      <c r="J1348" s="38"/>
      <c r="K1348" s="38"/>
      <c r="L1348" s="38"/>
      <c r="M1348" s="56"/>
      <c r="N1348" s="56" t="b">
        <v>0</v>
      </c>
      <c r="O1348" s="56" t="b">
        <v>0</v>
      </c>
      <c r="P1348" s="56"/>
      <c r="Q1348" s="56"/>
      <c r="R1348" s="56"/>
      <c r="S1348" s="56"/>
      <c r="T1348" s="56"/>
      <c r="U1348" s="56"/>
      <c r="V1348" s="56"/>
      <c r="W1348" s="56"/>
      <c r="X1348" s="56"/>
      <c r="Y1348" s="56"/>
      <c r="Z1348" s="56"/>
      <c r="AA1348" s="56"/>
      <c r="AB1348" s="56"/>
    </row>
    <row r="1349" ht="15.75" customHeight="1">
      <c r="A1349" s="169"/>
      <c r="B1349" s="63"/>
      <c r="C1349" s="22" t="s">
        <v>66</v>
      </c>
      <c r="D1349" s="38"/>
      <c r="E1349" s="156"/>
      <c r="F1349" s="157"/>
      <c r="G1349" s="66"/>
      <c r="H1349" s="38"/>
      <c r="I1349" s="38"/>
      <c r="J1349" s="38"/>
      <c r="K1349" s="38"/>
      <c r="L1349" s="38"/>
      <c r="M1349" s="56"/>
      <c r="N1349" s="56" t="b">
        <v>0</v>
      </c>
      <c r="O1349" s="56" t="b">
        <v>0</v>
      </c>
      <c r="P1349" s="56"/>
      <c r="Q1349" s="56"/>
      <c r="R1349" s="56"/>
      <c r="S1349" s="56"/>
      <c r="T1349" s="56"/>
      <c r="U1349" s="56"/>
      <c r="V1349" s="56"/>
      <c r="W1349" s="56"/>
      <c r="X1349" s="56"/>
      <c r="Y1349" s="56"/>
      <c r="Z1349" s="56"/>
      <c r="AA1349" s="56"/>
      <c r="AB1349" s="56"/>
    </row>
    <row r="1350" ht="15.75" customHeight="1">
      <c r="A1350" s="169"/>
      <c r="B1350" s="63"/>
      <c r="C1350" s="22" t="s">
        <v>66</v>
      </c>
      <c r="D1350" s="38"/>
      <c r="E1350" s="158"/>
      <c r="F1350" s="159"/>
      <c r="G1350" s="66"/>
      <c r="H1350" s="38"/>
      <c r="I1350" s="38"/>
      <c r="J1350" s="38"/>
      <c r="K1350" s="38"/>
      <c r="L1350" s="38"/>
      <c r="M1350" s="56"/>
      <c r="N1350" s="56" t="b">
        <v>0</v>
      </c>
      <c r="O1350" s="56" t="b">
        <v>0</v>
      </c>
      <c r="P1350" s="56"/>
      <c r="Q1350" s="56"/>
      <c r="R1350" s="56"/>
      <c r="S1350" s="56"/>
      <c r="T1350" s="56"/>
      <c r="U1350" s="56"/>
      <c r="V1350" s="56"/>
      <c r="W1350" s="56"/>
      <c r="X1350" s="56"/>
      <c r="Y1350" s="56"/>
      <c r="Z1350" s="56"/>
      <c r="AA1350" s="56"/>
      <c r="AB1350" s="56"/>
    </row>
    <row r="1351" ht="15.75" customHeight="1">
      <c r="A1351" s="169"/>
      <c r="B1351" s="63"/>
      <c r="C1351" s="22" t="s">
        <v>66</v>
      </c>
      <c r="D1351" s="38"/>
      <c r="E1351" s="38"/>
      <c r="F1351" s="65"/>
      <c r="G1351" s="66"/>
      <c r="H1351" s="38"/>
      <c r="I1351" s="38"/>
      <c r="J1351" s="38"/>
      <c r="K1351" s="38"/>
      <c r="L1351" s="38"/>
      <c r="M1351" s="56"/>
      <c r="N1351" s="56" t="b">
        <v>0</v>
      </c>
      <c r="O1351" s="56" t="b">
        <v>0</v>
      </c>
      <c r="P1351" s="56"/>
      <c r="Q1351" s="56"/>
      <c r="R1351" s="56"/>
      <c r="S1351" s="56"/>
      <c r="T1351" s="56"/>
      <c r="U1351" s="56"/>
      <c r="V1351" s="56"/>
      <c r="W1351" s="56"/>
      <c r="X1351" s="56"/>
      <c r="Y1351" s="56"/>
      <c r="Z1351" s="56"/>
      <c r="AA1351" s="56"/>
      <c r="AB1351" s="56"/>
    </row>
    <row r="1352" ht="15.75" customHeight="1">
      <c r="A1352" s="169"/>
      <c r="B1352" s="63"/>
      <c r="C1352" s="22" t="s">
        <v>66</v>
      </c>
      <c r="D1352" s="38"/>
      <c r="E1352" s="38"/>
      <c r="F1352" s="65"/>
      <c r="G1352" s="66"/>
      <c r="H1352" s="38"/>
      <c r="I1352" s="38"/>
      <c r="J1352" s="38"/>
      <c r="K1352" s="38"/>
      <c r="L1352" s="38"/>
      <c r="M1352" s="56"/>
      <c r="N1352" s="56" t="b">
        <v>0</v>
      </c>
      <c r="O1352" s="56" t="b">
        <v>0</v>
      </c>
      <c r="P1352" s="56"/>
      <c r="Q1352" s="56"/>
      <c r="R1352" s="56"/>
      <c r="S1352" s="56"/>
      <c r="T1352" s="56"/>
      <c r="U1352" s="56"/>
      <c r="V1352" s="56"/>
      <c r="W1352" s="56"/>
      <c r="X1352" s="56"/>
      <c r="Y1352" s="56"/>
      <c r="Z1352" s="56"/>
      <c r="AA1352" s="56"/>
      <c r="AB1352" s="56"/>
    </row>
    <row r="1353" ht="15.75" customHeight="1">
      <c r="A1353" s="169"/>
      <c r="B1353" s="69"/>
      <c r="C1353" s="22" t="s">
        <v>66</v>
      </c>
      <c r="D1353" s="38"/>
      <c r="E1353" s="38"/>
      <c r="F1353" s="65"/>
      <c r="G1353" s="66"/>
      <c r="H1353" s="38"/>
      <c r="I1353" s="38"/>
      <c r="J1353" s="38"/>
      <c r="K1353" s="38"/>
      <c r="L1353" s="38"/>
      <c r="M1353" s="56"/>
      <c r="N1353" s="56" t="b">
        <v>0</v>
      </c>
      <c r="O1353" s="56" t="b">
        <v>0</v>
      </c>
      <c r="P1353" s="56"/>
      <c r="Q1353" s="56"/>
      <c r="R1353" s="56"/>
      <c r="S1353" s="56"/>
      <c r="T1353" s="56"/>
      <c r="U1353" s="56"/>
      <c r="V1353" s="56"/>
      <c r="W1353" s="56"/>
      <c r="X1353" s="56"/>
      <c r="Y1353" s="56"/>
      <c r="Z1353" s="56"/>
      <c r="AA1353" s="56"/>
      <c r="AB1353" s="56"/>
    </row>
    <row r="1354" ht="15.75" customHeight="1">
      <c r="A1354" s="169"/>
      <c r="B1354" s="219" t="s">
        <v>4836</v>
      </c>
      <c r="C1354" s="220">
        <v>44503.0</v>
      </c>
      <c r="D1354" s="38"/>
      <c r="E1354" s="38"/>
      <c r="F1354" s="65"/>
      <c r="G1354" s="66"/>
      <c r="H1354" s="38"/>
      <c r="I1354" s="38"/>
      <c r="J1354" s="38"/>
      <c r="K1354" s="38"/>
      <c r="L1354" s="38"/>
      <c r="M1354" s="56"/>
      <c r="N1354" s="56" t="b">
        <v>0</v>
      </c>
      <c r="O1354" s="56" t="b">
        <v>0</v>
      </c>
      <c r="P1354" s="56"/>
      <c r="Q1354" s="56"/>
      <c r="R1354" s="56"/>
      <c r="S1354" s="56"/>
      <c r="T1354" s="56"/>
      <c r="U1354" s="56"/>
      <c r="V1354" s="56"/>
      <c r="W1354" s="56"/>
      <c r="X1354" s="56"/>
      <c r="Y1354" s="56"/>
      <c r="Z1354" s="56"/>
      <c r="AA1354" s="56"/>
      <c r="AB1354" s="56"/>
    </row>
    <row r="1355" ht="15.75" customHeight="1">
      <c r="A1355" s="169"/>
      <c r="B1355" s="63"/>
      <c r="C1355" s="22"/>
      <c r="D1355" s="38"/>
      <c r="E1355" s="38"/>
      <c r="F1355" s="65"/>
      <c r="G1355" s="66"/>
      <c r="H1355" s="38"/>
      <c r="I1355" s="38"/>
      <c r="J1355" s="38"/>
      <c r="K1355" s="38"/>
      <c r="L1355" s="38"/>
      <c r="M1355" s="56"/>
      <c r="N1355" s="56" t="b">
        <v>0</v>
      </c>
      <c r="O1355" s="56" t="b">
        <v>0</v>
      </c>
      <c r="P1355" s="56"/>
      <c r="Q1355" s="56"/>
      <c r="R1355" s="56"/>
      <c r="S1355" s="56"/>
      <c r="T1355" s="56"/>
      <c r="U1355" s="56"/>
      <c r="V1355" s="56"/>
      <c r="W1355" s="56"/>
      <c r="X1355" s="56"/>
      <c r="Y1355" s="56"/>
      <c r="Z1355" s="56"/>
      <c r="AA1355" s="56"/>
      <c r="AB1355" s="56"/>
    </row>
    <row r="1356" ht="15.75" customHeight="1">
      <c r="A1356" s="169"/>
      <c r="B1356" s="63"/>
      <c r="C1356" s="22" t="s">
        <v>53</v>
      </c>
      <c r="D1356" s="38"/>
      <c r="E1356" s="38"/>
      <c r="F1356" s="65"/>
      <c r="G1356" s="66"/>
      <c r="H1356" s="38"/>
      <c r="I1356" s="38"/>
      <c r="J1356" s="38"/>
      <c r="K1356" s="38"/>
      <c r="L1356" s="38"/>
      <c r="M1356" s="56"/>
      <c r="N1356" s="56" t="b">
        <v>0</v>
      </c>
      <c r="O1356" s="56" t="b">
        <v>0</v>
      </c>
      <c r="P1356" s="56"/>
      <c r="Q1356" s="56"/>
      <c r="R1356" s="56"/>
      <c r="S1356" s="56"/>
      <c r="T1356" s="56"/>
      <c r="U1356" s="56"/>
      <c r="V1356" s="56"/>
      <c r="W1356" s="56"/>
      <c r="X1356" s="56"/>
      <c r="Y1356" s="56"/>
      <c r="Z1356" s="56"/>
      <c r="AA1356" s="56"/>
      <c r="AB1356" s="56"/>
    </row>
    <row r="1357" ht="15.75" customHeight="1">
      <c r="A1357" s="169"/>
      <c r="B1357" s="63"/>
      <c r="C1357" s="22" t="s">
        <v>53</v>
      </c>
      <c r="D1357" s="76" t="s">
        <v>1470</v>
      </c>
      <c r="E1357" s="203" t="s">
        <v>1920</v>
      </c>
      <c r="F1357" s="203" t="s">
        <v>1921</v>
      </c>
      <c r="G1357" s="82" t="s">
        <v>4887</v>
      </c>
      <c r="H1357" s="76" t="s">
        <v>5305</v>
      </c>
      <c r="I1357" s="76" t="s">
        <v>6378</v>
      </c>
      <c r="J1357" s="76" t="s">
        <v>1923</v>
      </c>
      <c r="K1357" s="38"/>
      <c r="L1357" s="38"/>
      <c r="M1357" s="56"/>
      <c r="N1357" s="56" t="b">
        <v>0</v>
      </c>
      <c r="O1357" s="56" t="b">
        <v>0</v>
      </c>
      <c r="P1357" s="56"/>
      <c r="Q1357" s="56"/>
      <c r="R1357" s="56"/>
      <c r="S1357" s="56"/>
      <c r="T1357" s="56"/>
      <c r="U1357" s="56"/>
      <c r="V1357" s="56"/>
      <c r="W1357" s="56"/>
      <c r="X1357" s="56"/>
      <c r="Y1357" s="56"/>
      <c r="Z1357" s="56"/>
      <c r="AA1357" s="56"/>
      <c r="AB1357" s="56"/>
    </row>
    <row r="1358" ht="15.75" customHeight="1">
      <c r="A1358" s="169"/>
      <c r="B1358" s="63"/>
      <c r="C1358" s="22" t="s">
        <v>53</v>
      </c>
      <c r="D1358" s="38"/>
      <c r="E1358" s="162" t="s">
        <v>5784</v>
      </c>
      <c r="F1358" s="155"/>
      <c r="G1358" s="66"/>
      <c r="H1358" s="38"/>
      <c r="I1358" s="38"/>
      <c r="J1358" s="38"/>
      <c r="K1358" s="38"/>
      <c r="L1358" s="38"/>
      <c r="M1358" s="56"/>
      <c r="N1358" s="56" t="b">
        <v>0</v>
      </c>
      <c r="O1358" s="56" t="b">
        <v>0</v>
      </c>
      <c r="P1358" s="56"/>
      <c r="Q1358" s="56"/>
      <c r="R1358" s="56"/>
      <c r="S1358" s="56"/>
      <c r="T1358" s="56"/>
      <c r="U1358" s="56"/>
      <c r="V1358" s="56"/>
      <c r="W1358" s="56"/>
      <c r="X1358" s="56"/>
      <c r="Y1358" s="56"/>
      <c r="Z1358" s="56"/>
      <c r="AA1358" s="56"/>
      <c r="AB1358" s="56"/>
    </row>
    <row r="1359" ht="15.75" customHeight="1">
      <c r="A1359" s="169"/>
      <c r="B1359" s="63"/>
      <c r="C1359" s="22" t="s">
        <v>53</v>
      </c>
      <c r="D1359" s="38"/>
      <c r="E1359" s="156"/>
      <c r="F1359" s="157"/>
      <c r="G1359" s="66"/>
      <c r="H1359" s="38"/>
      <c r="I1359" s="38"/>
      <c r="J1359" s="38"/>
      <c r="K1359" s="38"/>
      <c r="L1359" s="38"/>
      <c r="M1359" s="56"/>
      <c r="N1359" s="56" t="b">
        <v>0</v>
      </c>
      <c r="O1359" s="56" t="b">
        <v>0</v>
      </c>
      <c r="P1359" s="56"/>
      <c r="Q1359" s="56"/>
      <c r="R1359" s="56"/>
      <c r="S1359" s="56"/>
      <c r="T1359" s="56"/>
      <c r="U1359" s="56"/>
      <c r="V1359" s="56"/>
      <c r="W1359" s="56"/>
      <c r="X1359" s="56"/>
      <c r="Y1359" s="56"/>
      <c r="Z1359" s="56"/>
      <c r="AA1359" s="56"/>
      <c r="AB1359" s="56"/>
    </row>
    <row r="1360" ht="15.75" customHeight="1">
      <c r="A1360" s="169"/>
      <c r="B1360" s="69"/>
      <c r="C1360" s="22" t="s">
        <v>53</v>
      </c>
      <c r="D1360" s="38"/>
      <c r="E1360" s="158"/>
      <c r="F1360" s="159"/>
      <c r="G1360" s="66"/>
      <c r="H1360" s="38"/>
      <c r="I1360" s="38"/>
      <c r="J1360" s="38"/>
      <c r="K1360" s="38"/>
      <c r="L1360" s="38"/>
      <c r="M1360" s="56"/>
      <c r="N1360" s="56" t="b">
        <v>0</v>
      </c>
      <c r="O1360" s="56" t="b">
        <v>0</v>
      </c>
      <c r="P1360" s="56"/>
      <c r="Q1360" s="56"/>
      <c r="R1360" s="56"/>
      <c r="S1360" s="56"/>
      <c r="T1360" s="56"/>
      <c r="U1360" s="56"/>
      <c r="V1360" s="56"/>
      <c r="W1360" s="56"/>
      <c r="X1360" s="56"/>
      <c r="Y1360" s="56"/>
      <c r="Z1360" s="56"/>
      <c r="AA1360" s="56"/>
      <c r="AB1360" s="56"/>
    </row>
    <row r="1361" ht="15.75" customHeight="1">
      <c r="A1361" s="169"/>
      <c r="B1361" s="273" t="s">
        <v>6168</v>
      </c>
      <c r="C1361" s="274"/>
      <c r="D1361" s="38"/>
      <c r="E1361" s="38"/>
      <c r="F1361" s="65"/>
      <c r="G1361" s="66"/>
      <c r="H1361" s="38"/>
      <c r="I1361" s="38"/>
      <c r="J1361" s="38"/>
      <c r="K1361" s="38"/>
      <c r="L1361" s="38"/>
      <c r="M1361" s="56"/>
      <c r="N1361" s="56" t="b">
        <v>0</v>
      </c>
      <c r="O1361" s="56" t="b">
        <v>0</v>
      </c>
      <c r="P1361" s="56"/>
      <c r="Q1361" s="56"/>
      <c r="R1361" s="56"/>
      <c r="S1361" s="56"/>
      <c r="T1361" s="56"/>
      <c r="U1361" s="56"/>
      <c r="V1361" s="56"/>
      <c r="W1361" s="56"/>
      <c r="X1361" s="56"/>
      <c r="Y1361" s="56"/>
      <c r="Z1361" s="56"/>
      <c r="AA1361" s="56"/>
      <c r="AB1361" s="56"/>
    </row>
    <row r="1362" ht="15.75" customHeight="1">
      <c r="A1362" s="169"/>
      <c r="B1362" s="63"/>
      <c r="C1362" s="275"/>
      <c r="D1362" s="38"/>
      <c r="E1362" s="38"/>
      <c r="F1362" s="65"/>
      <c r="G1362" s="66"/>
      <c r="H1362" s="38"/>
      <c r="I1362" s="38"/>
      <c r="J1362" s="38"/>
      <c r="K1362" s="38"/>
      <c r="L1362" s="38"/>
      <c r="M1362" s="56"/>
      <c r="N1362" s="56" t="b">
        <v>0</v>
      </c>
      <c r="O1362" s="56" t="b">
        <v>0</v>
      </c>
      <c r="P1362" s="56"/>
      <c r="Q1362" s="56"/>
      <c r="R1362" s="56"/>
      <c r="S1362" s="56"/>
      <c r="T1362" s="56"/>
      <c r="U1362" s="56"/>
      <c r="V1362" s="56"/>
      <c r="W1362" s="56"/>
      <c r="X1362" s="56"/>
      <c r="Y1362" s="56"/>
      <c r="Z1362" s="56"/>
      <c r="AA1362" s="56"/>
      <c r="AB1362" s="56"/>
    </row>
    <row r="1363" ht="15.75" customHeight="1">
      <c r="A1363" s="169"/>
      <c r="B1363" s="63"/>
      <c r="C1363" s="22" t="s">
        <v>66</v>
      </c>
      <c r="D1363" s="38"/>
      <c r="E1363" s="38"/>
      <c r="F1363" s="65"/>
      <c r="G1363" s="66"/>
      <c r="H1363" s="38"/>
      <c r="I1363" s="38"/>
      <c r="J1363" s="38"/>
      <c r="K1363" s="38"/>
      <c r="L1363" s="38"/>
      <c r="M1363" s="56"/>
      <c r="N1363" s="56" t="b">
        <v>0</v>
      </c>
      <c r="O1363" s="56" t="b">
        <v>0</v>
      </c>
      <c r="P1363" s="56"/>
      <c r="Q1363" s="56"/>
      <c r="R1363" s="56"/>
      <c r="S1363" s="56"/>
      <c r="T1363" s="56"/>
      <c r="U1363" s="56"/>
      <c r="V1363" s="56"/>
      <c r="W1363" s="56"/>
      <c r="X1363" s="56"/>
      <c r="Y1363" s="56"/>
      <c r="Z1363" s="56"/>
      <c r="AA1363" s="56"/>
      <c r="AB1363" s="56"/>
    </row>
    <row r="1364" ht="15.75" customHeight="1">
      <c r="A1364" s="169"/>
      <c r="B1364" s="63"/>
      <c r="C1364" s="22" t="s">
        <v>66</v>
      </c>
      <c r="D1364" s="38"/>
      <c r="E1364" s="38"/>
      <c r="F1364" s="65"/>
      <c r="G1364" s="66"/>
      <c r="H1364" s="38"/>
      <c r="I1364" s="38"/>
      <c r="J1364" s="38"/>
      <c r="K1364" s="38"/>
      <c r="L1364" s="38"/>
      <c r="M1364" s="56"/>
      <c r="N1364" s="56" t="b">
        <v>0</v>
      </c>
      <c r="O1364" s="56" t="b">
        <v>0</v>
      </c>
      <c r="P1364" s="56"/>
      <c r="Q1364" s="56"/>
      <c r="R1364" s="56"/>
      <c r="S1364" s="56"/>
      <c r="T1364" s="56"/>
      <c r="U1364" s="56"/>
      <c r="V1364" s="56"/>
      <c r="W1364" s="56"/>
      <c r="X1364" s="56"/>
      <c r="Y1364" s="56"/>
      <c r="Z1364" s="56"/>
      <c r="AA1364" s="56"/>
      <c r="AB1364" s="56"/>
    </row>
    <row r="1365" ht="15.75" customHeight="1">
      <c r="A1365" s="169"/>
      <c r="B1365" s="63"/>
      <c r="C1365" s="22" t="s">
        <v>66</v>
      </c>
      <c r="D1365" s="38"/>
      <c r="E1365" s="162" t="s">
        <v>5784</v>
      </c>
      <c r="F1365" s="155"/>
      <c r="G1365" s="66"/>
      <c r="H1365" s="38"/>
      <c r="I1365" s="38"/>
      <c r="J1365" s="38"/>
      <c r="K1365" s="38"/>
      <c r="L1365" s="38"/>
      <c r="M1365" s="56"/>
      <c r="N1365" s="56" t="b">
        <v>0</v>
      </c>
      <c r="O1365" s="56" t="b">
        <v>0</v>
      </c>
      <c r="P1365" s="56"/>
      <c r="Q1365" s="56"/>
      <c r="R1365" s="56"/>
      <c r="S1365" s="56"/>
      <c r="T1365" s="56"/>
      <c r="U1365" s="56"/>
      <c r="V1365" s="56"/>
      <c r="W1365" s="56"/>
      <c r="X1365" s="56"/>
      <c r="Y1365" s="56"/>
      <c r="Z1365" s="56"/>
      <c r="AA1365" s="56"/>
      <c r="AB1365" s="56"/>
    </row>
    <row r="1366" ht="15.75" customHeight="1">
      <c r="A1366" s="169"/>
      <c r="B1366" s="63"/>
      <c r="C1366" s="22" t="s">
        <v>66</v>
      </c>
      <c r="D1366" s="38"/>
      <c r="E1366" s="156"/>
      <c r="F1366" s="157"/>
      <c r="G1366" s="66"/>
      <c r="H1366" s="38"/>
      <c r="I1366" s="38"/>
      <c r="J1366" s="38"/>
      <c r="K1366" s="38"/>
      <c r="L1366" s="38"/>
      <c r="M1366" s="56"/>
      <c r="N1366" s="56" t="b">
        <v>0</v>
      </c>
      <c r="O1366" s="56" t="b">
        <v>0</v>
      </c>
      <c r="P1366" s="56"/>
      <c r="Q1366" s="56"/>
      <c r="R1366" s="56"/>
      <c r="S1366" s="56"/>
      <c r="T1366" s="56"/>
      <c r="U1366" s="56"/>
      <c r="V1366" s="56"/>
      <c r="W1366" s="56"/>
      <c r="X1366" s="56"/>
      <c r="Y1366" s="56"/>
      <c r="Z1366" s="56"/>
      <c r="AA1366" s="56"/>
      <c r="AB1366" s="56"/>
    </row>
    <row r="1367" ht="15.75" customHeight="1">
      <c r="A1367" s="169"/>
      <c r="B1367" s="63"/>
      <c r="C1367" s="22" t="s">
        <v>66</v>
      </c>
      <c r="D1367" s="38"/>
      <c r="E1367" s="158"/>
      <c r="F1367" s="159"/>
      <c r="G1367" s="66"/>
      <c r="H1367" s="38"/>
      <c r="I1367" s="38"/>
      <c r="J1367" s="38"/>
      <c r="K1367" s="38"/>
      <c r="L1367" s="38"/>
      <c r="M1367" s="56"/>
      <c r="N1367" s="56" t="b">
        <v>0</v>
      </c>
      <c r="O1367" s="56" t="b">
        <v>0</v>
      </c>
      <c r="P1367" s="56"/>
      <c r="Q1367" s="56"/>
      <c r="R1367" s="56"/>
      <c r="S1367" s="56"/>
      <c r="T1367" s="56"/>
      <c r="U1367" s="56"/>
      <c r="V1367" s="56"/>
      <c r="W1367" s="56"/>
      <c r="X1367" s="56"/>
      <c r="Y1367" s="56"/>
      <c r="Z1367" s="56"/>
      <c r="AA1367" s="56"/>
      <c r="AB1367" s="56"/>
    </row>
    <row r="1368" ht="15.75" customHeight="1">
      <c r="A1368" s="169"/>
      <c r="B1368" s="63"/>
      <c r="C1368" s="22" t="s">
        <v>66</v>
      </c>
      <c r="D1368" s="38"/>
      <c r="E1368" s="164"/>
      <c r="F1368" s="164"/>
      <c r="G1368" s="66"/>
      <c r="H1368" s="38"/>
      <c r="I1368" s="38"/>
      <c r="J1368" s="38"/>
      <c r="K1368" s="38"/>
      <c r="L1368" s="38"/>
      <c r="M1368" s="56"/>
      <c r="N1368" s="56" t="b">
        <v>0</v>
      </c>
      <c r="O1368" s="56" t="b">
        <v>0</v>
      </c>
      <c r="P1368" s="56"/>
      <c r="Q1368" s="56"/>
      <c r="R1368" s="56"/>
      <c r="S1368" s="56"/>
      <c r="T1368" s="56"/>
      <c r="U1368" s="56"/>
      <c r="V1368" s="56"/>
      <c r="W1368" s="56"/>
      <c r="X1368" s="56"/>
      <c r="Y1368" s="56"/>
      <c r="Z1368" s="56"/>
      <c r="AA1368" s="56"/>
      <c r="AB1368" s="56"/>
    </row>
    <row r="1369" ht="15.75" customHeight="1">
      <c r="A1369" s="169"/>
      <c r="B1369" s="63"/>
      <c r="C1369" s="22" t="s">
        <v>66</v>
      </c>
      <c r="D1369" s="38"/>
      <c r="E1369" s="38"/>
      <c r="F1369" s="65"/>
      <c r="G1369" s="66"/>
      <c r="H1369" s="38"/>
      <c r="I1369" s="38"/>
      <c r="J1369" s="38"/>
      <c r="K1369" s="38"/>
      <c r="L1369" s="38"/>
      <c r="M1369" s="56"/>
      <c r="N1369" s="56" t="b">
        <v>0</v>
      </c>
      <c r="O1369" s="56" t="b">
        <v>0</v>
      </c>
      <c r="P1369" s="56"/>
      <c r="Q1369" s="56"/>
      <c r="R1369" s="56"/>
      <c r="S1369" s="56"/>
      <c r="T1369" s="56"/>
      <c r="U1369" s="56"/>
      <c r="V1369" s="56"/>
      <c r="W1369" s="56"/>
      <c r="X1369" s="56"/>
      <c r="Y1369" s="56"/>
      <c r="Z1369" s="56"/>
      <c r="AA1369" s="56"/>
      <c r="AB1369" s="56"/>
    </row>
    <row r="1370" ht="15.75" customHeight="1">
      <c r="A1370" s="169"/>
      <c r="B1370" s="69"/>
      <c r="C1370" s="22" t="s">
        <v>66</v>
      </c>
      <c r="D1370" s="38"/>
      <c r="E1370" s="38"/>
      <c r="F1370" s="65"/>
      <c r="G1370" s="66"/>
      <c r="H1370" s="38"/>
      <c r="I1370" s="38"/>
      <c r="J1370" s="38"/>
      <c r="K1370" s="38"/>
      <c r="L1370" s="38"/>
      <c r="M1370" s="56"/>
      <c r="N1370" s="56" t="b">
        <v>0</v>
      </c>
      <c r="O1370" s="56" t="b">
        <v>0</v>
      </c>
      <c r="P1370" s="56"/>
      <c r="Q1370" s="56"/>
      <c r="R1370" s="56"/>
      <c r="S1370" s="56"/>
      <c r="T1370" s="56"/>
      <c r="U1370" s="56"/>
      <c r="V1370" s="56"/>
      <c r="W1370" s="56"/>
      <c r="X1370" s="56"/>
      <c r="Y1370" s="56"/>
      <c r="Z1370" s="56"/>
      <c r="AA1370" s="56"/>
      <c r="AB1370" s="56"/>
    </row>
    <row r="1371" ht="15.75" customHeight="1">
      <c r="A1371" s="169"/>
      <c r="B1371" s="219" t="s">
        <v>4836</v>
      </c>
      <c r="C1371" s="220">
        <v>44504.0</v>
      </c>
      <c r="D1371" s="38"/>
      <c r="E1371" s="38"/>
      <c r="F1371" s="65"/>
      <c r="G1371" s="66"/>
      <c r="H1371" s="38"/>
      <c r="I1371" s="38"/>
      <c r="J1371" s="38"/>
      <c r="K1371" s="38"/>
      <c r="L1371" s="38"/>
      <c r="M1371" s="56"/>
      <c r="N1371" s="56" t="b">
        <v>0</v>
      </c>
      <c r="O1371" s="56" t="b">
        <v>0</v>
      </c>
      <c r="P1371" s="56"/>
      <c r="Q1371" s="56"/>
      <c r="R1371" s="56"/>
      <c r="S1371" s="56"/>
      <c r="T1371" s="56"/>
      <c r="U1371" s="56"/>
      <c r="V1371" s="56"/>
      <c r="W1371" s="56"/>
      <c r="X1371" s="56"/>
      <c r="Y1371" s="56"/>
      <c r="Z1371" s="56"/>
      <c r="AA1371" s="56"/>
      <c r="AB1371" s="56"/>
    </row>
    <row r="1372" ht="15.75" customHeight="1">
      <c r="A1372" s="169"/>
      <c r="B1372" s="63"/>
      <c r="C1372" s="22"/>
      <c r="D1372" s="38"/>
      <c r="E1372" s="38"/>
      <c r="F1372" s="65"/>
      <c r="G1372" s="66"/>
      <c r="H1372" s="38"/>
      <c r="I1372" s="38"/>
      <c r="J1372" s="38"/>
      <c r="K1372" s="38"/>
      <c r="L1372" s="38"/>
      <c r="M1372" s="56"/>
      <c r="N1372" s="56" t="b">
        <v>0</v>
      </c>
      <c r="O1372" s="56" t="b">
        <v>0</v>
      </c>
      <c r="P1372" s="56"/>
      <c r="Q1372" s="56"/>
      <c r="R1372" s="56"/>
      <c r="S1372" s="56"/>
      <c r="T1372" s="56"/>
      <c r="U1372" s="56"/>
      <c r="V1372" s="56"/>
      <c r="W1372" s="56"/>
      <c r="X1372" s="56"/>
      <c r="Y1372" s="56"/>
      <c r="Z1372" s="56"/>
      <c r="AA1372" s="56"/>
      <c r="AB1372" s="56"/>
    </row>
    <row r="1373" ht="15.75" customHeight="1">
      <c r="A1373" s="169"/>
      <c r="B1373" s="63"/>
      <c r="C1373" s="22" t="s">
        <v>53</v>
      </c>
      <c r="D1373" s="265" t="s">
        <v>89</v>
      </c>
      <c r="E1373" s="221" t="s">
        <v>1108</v>
      </c>
      <c r="F1373" s="221" t="s">
        <v>1109</v>
      </c>
      <c r="G1373" s="264" t="s">
        <v>5704</v>
      </c>
      <c r="H1373" s="265" t="s">
        <v>6365</v>
      </c>
      <c r="I1373" s="265" t="s">
        <v>6366</v>
      </c>
      <c r="J1373" s="221" t="s">
        <v>1111</v>
      </c>
      <c r="K1373" s="38"/>
      <c r="L1373" s="38"/>
      <c r="M1373" s="56"/>
      <c r="N1373" s="56" t="b">
        <v>0</v>
      </c>
      <c r="O1373" s="56" t="b">
        <v>0</v>
      </c>
      <c r="P1373" s="56"/>
      <c r="Q1373" s="56"/>
      <c r="R1373" s="56"/>
      <c r="S1373" s="56"/>
      <c r="T1373" s="56"/>
      <c r="U1373" s="56"/>
      <c r="V1373" s="56"/>
      <c r="W1373" s="56"/>
      <c r="X1373" s="56"/>
      <c r="Y1373" s="56"/>
      <c r="Z1373" s="56"/>
      <c r="AA1373" s="56"/>
      <c r="AB1373" s="56"/>
    </row>
    <row r="1374" ht="15.75" customHeight="1">
      <c r="A1374" s="169"/>
      <c r="B1374" s="63"/>
      <c r="C1374" s="22" t="s">
        <v>53</v>
      </c>
      <c r="D1374" s="23" t="s">
        <v>89</v>
      </c>
      <c r="E1374" s="67" t="s">
        <v>1415</v>
      </c>
      <c r="F1374" s="67" t="s">
        <v>1416</v>
      </c>
      <c r="G1374" s="66" t="s">
        <v>6003</v>
      </c>
      <c r="H1374" s="38" t="s">
        <v>6368</v>
      </c>
      <c r="I1374" s="38" t="s">
        <v>6369</v>
      </c>
      <c r="J1374" s="67" t="s">
        <v>1418</v>
      </c>
      <c r="K1374" s="38"/>
      <c r="L1374" s="38"/>
      <c r="M1374" s="56"/>
      <c r="N1374" s="56" t="b">
        <v>0</v>
      </c>
      <c r="O1374" s="56" t="b">
        <v>0</v>
      </c>
      <c r="P1374" s="56"/>
      <c r="Q1374" s="56"/>
      <c r="R1374" s="56"/>
      <c r="S1374" s="56"/>
      <c r="T1374" s="56"/>
      <c r="U1374" s="56"/>
      <c r="V1374" s="56"/>
      <c r="W1374" s="56"/>
      <c r="X1374" s="56"/>
      <c r="Y1374" s="56"/>
      <c r="Z1374" s="56"/>
      <c r="AA1374" s="56"/>
      <c r="AB1374" s="56"/>
    </row>
    <row r="1375" ht="15.75" customHeight="1">
      <c r="A1375" s="169"/>
      <c r="B1375" s="63"/>
      <c r="C1375" s="22" t="s">
        <v>53</v>
      </c>
      <c r="D1375" s="172" t="s">
        <v>89</v>
      </c>
      <c r="E1375" s="77" t="s">
        <v>6370</v>
      </c>
      <c r="F1375" s="77" t="s">
        <v>6371</v>
      </c>
      <c r="G1375" s="82" t="s">
        <v>4887</v>
      </c>
      <c r="H1375" s="76" t="s">
        <v>6372</v>
      </c>
      <c r="I1375" s="76" t="s">
        <v>6373</v>
      </c>
      <c r="J1375" s="77" t="s">
        <v>6374</v>
      </c>
      <c r="K1375" s="38" t="s">
        <v>6379</v>
      </c>
      <c r="L1375" s="38"/>
      <c r="M1375" s="56"/>
      <c r="N1375" s="56" t="b">
        <v>0</v>
      </c>
      <c r="O1375" s="56" t="b">
        <v>0</v>
      </c>
      <c r="P1375" s="56"/>
      <c r="Q1375" s="56"/>
      <c r="R1375" s="56"/>
      <c r="S1375" s="56"/>
      <c r="T1375" s="56"/>
      <c r="U1375" s="56"/>
      <c r="V1375" s="56"/>
      <c r="W1375" s="56"/>
      <c r="X1375" s="56"/>
      <c r="Y1375" s="56"/>
      <c r="Z1375" s="56"/>
      <c r="AA1375" s="56"/>
      <c r="AB1375" s="56"/>
    </row>
    <row r="1376" ht="15.75" customHeight="1">
      <c r="A1376" s="169"/>
      <c r="B1376" s="69"/>
      <c r="C1376" s="22" t="s">
        <v>53</v>
      </c>
      <c r="D1376" s="251" t="s">
        <v>89</v>
      </c>
      <c r="E1376" s="145" t="s">
        <v>1885</v>
      </c>
      <c r="F1376" s="145" t="s">
        <v>1886</v>
      </c>
      <c r="G1376" s="140" t="s">
        <v>4858</v>
      </c>
      <c r="H1376" s="137" t="s">
        <v>6372</v>
      </c>
      <c r="I1376" s="137" t="s">
        <v>6376</v>
      </c>
      <c r="J1376" s="145" t="s">
        <v>1884</v>
      </c>
      <c r="K1376" s="38"/>
      <c r="L1376" s="38"/>
      <c r="M1376" s="56"/>
      <c r="N1376" s="56" t="b">
        <v>0</v>
      </c>
      <c r="O1376" s="56" t="b">
        <v>0</v>
      </c>
      <c r="P1376" s="56"/>
      <c r="Q1376" s="56"/>
      <c r="R1376" s="56"/>
      <c r="S1376" s="56"/>
      <c r="T1376" s="56"/>
      <c r="U1376" s="56"/>
      <c r="V1376" s="56"/>
      <c r="W1376" s="56"/>
      <c r="X1376" s="56"/>
      <c r="Y1376" s="56"/>
      <c r="Z1376" s="56"/>
      <c r="AA1376" s="56"/>
      <c r="AB1376" s="56"/>
    </row>
    <row r="1377" ht="15.75" customHeight="1">
      <c r="A1377" s="169"/>
      <c r="B1377" s="276"/>
      <c r="C1377" s="22" t="s">
        <v>53</v>
      </c>
      <c r="D1377" s="251" t="s">
        <v>89</v>
      </c>
      <c r="E1377" s="145" t="s">
        <v>1881</v>
      </c>
      <c r="F1377" s="145" t="s">
        <v>1882</v>
      </c>
      <c r="G1377" s="140" t="s">
        <v>4858</v>
      </c>
      <c r="H1377" s="137" t="s">
        <v>6372</v>
      </c>
      <c r="I1377" s="137" t="s">
        <v>6376</v>
      </c>
      <c r="J1377" s="145" t="s">
        <v>1884</v>
      </c>
      <c r="K1377" s="38"/>
      <c r="L1377" s="38"/>
      <c r="M1377" s="56"/>
      <c r="N1377" s="56" t="b">
        <v>0</v>
      </c>
      <c r="O1377" s="56" t="b">
        <v>0</v>
      </c>
      <c r="P1377" s="56"/>
      <c r="Q1377" s="56"/>
      <c r="R1377" s="56"/>
      <c r="S1377" s="56"/>
      <c r="T1377" s="56"/>
      <c r="U1377" s="56"/>
      <c r="V1377" s="56"/>
      <c r="W1377" s="56"/>
      <c r="X1377" s="56"/>
      <c r="Y1377" s="56"/>
      <c r="Z1377" s="56"/>
      <c r="AA1377" s="56"/>
      <c r="AB1377" s="56"/>
    </row>
    <row r="1378" ht="15.75" customHeight="1">
      <c r="A1378" s="169"/>
      <c r="B1378" s="276"/>
      <c r="C1378" s="22" t="s">
        <v>53</v>
      </c>
      <c r="D1378" s="62" t="s">
        <v>52</v>
      </c>
      <c r="E1378" s="60" t="s">
        <v>43</v>
      </c>
      <c r="F1378" s="60" t="s">
        <v>44</v>
      </c>
      <c r="G1378" s="73" t="s">
        <v>4847</v>
      </c>
      <c r="H1378" s="62" t="s">
        <v>6372</v>
      </c>
      <c r="I1378" s="62" t="s">
        <v>6380</v>
      </c>
      <c r="J1378" s="277" t="s">
        <v>54</v>
      </c>
      <c r="K1378" s="38"/>
      <c r="L1378" s="38"/>
      <c r="M1378" s="56"/>
      <c r="N1378" s="56" t="b">
        <v>0</v>
      </c>
      <c r="O1378" s="56" t="b">
        <v>0</v>
      </c>
      <c r="P1378" s="56"/>
      <c r="Q1378" s="56"/>
      <c r="R1378" s="56"/>
      <c r="S1378" s="56"/>
      <c r="T1378" s="56"/>
      <c r="U1378" s="56"/>
      <c r="V1378" s="56"/>
      <c r="W1378" s="56"/>
      <c r="X1378" s="56"/>
      <c r="Y1378" s="56"/>
      <c r="Z1378" s="56"/>
      <c r="AA1378" s="56"/>
      <c r="AB1378" s="56"/>
    </row>
    <row r="1379" ht="15.75" customHeight="1">
      <c r="A1379" s="169"/>
      <c r="B1379" s="276"/>
      <c r="C1379" s="22" t="s">
        <v>53</v>
      </c>
      <c r="D1379" s="62" t="s">
        <v>52</v>
      </c>
      <c r="E1379" s="60" t="s">
        <v>4399</v>
      </c>
      <c r="F1379" s="60" t="s">
        <v>4400</v>
      </c>
      <c r="G1379" s="73" t="s">
        <v>4847</v>
      </c>
      <c r="H1379" s="62" t="s">
        <v>6372</v>
      </c>
      <c r="I1379" s="62" t="s">
        <v>6380</v>
      </c>
      <c r="J1379" s="277" t="s">
        <v>54</v>
      </c>
      <c r="K1379" s="38"/>
      <c r="L1379" s="38"/>
      <c r="M1379" s="56"/>
      <c r="N1379" s="56" t="b">
        <v>0</v>
      </c>
      <c r="O1379" s="56" t="b">
        <v>0</v>
      </c>
      <c r="P1379" s="56"/>
      <c r="Q1379" s="56"/>
      <c r="R1379" s="56"/>
      <c r="S1379" s="56"/>
      <c r="T1379" s="56"/>
      <c r="U1379" s="56"/>
      <c r="V1379" s="56"/>
      <c r="W1379" s="56"/>
      <c r="X1379" s="56"/>
      <c r="Y1379" s="56"/>
      <c r="Z1379" s="56"/>
      <c r="AA1379" s="56"/>
      <c r="AB1379" s="56"/>
    </row>
    <row r="1380" ht="15.75" customHeight="1">
      <c r="A1380" s="169"/>
      <c r="B1380" s="276"/>
      <c r="C1380" s="22"/>
      <c r="D1380" s="38"/>
      <c r="E1380" s="38"/>
      <c r="F1380" s="65"/>
      <c r="G1380" s="66"/>
      <c r="H1380" s="38"/>
      <c r="I1380" s="38"/>
      <c r="J1380" s="38"/>
      <c r="K1380" s="38"/>
      <c r="L1380" s="38"/>
      <c r="M1380" s="56"/>
      <c r="N1380" s="56" t="b">
        <v>0</v>
      </c>
      <c r="O1380" s="56" t="b">
        <v>0</v>
      </c>
      <c r="P1380" s="56"/>
      <c r="Q1380" s="56"/>
      <c r="R1380" s="56"/>
      <c r="S1380" s="56"/>
      <c r="T1380" s="56"/>
      <c r="U1380" s="56"/>
      <c r="V1380" s="56"/>
      <c r="W1380" s="56"/>
      <c r="X1380" s="56"/>
      <c r="Y1380" s="56"/>
      <c r="Z1380" s="56"/>
      <c r="AA1380" s="56"/>
      <c r="AB1380" s="56"/>
    </row>
    <row r="1381" ht="15.75" customHeight="1">
      <c r="A1381" s="169"/>
      <c r="B1381" s="273" t="s">
        <v>6168</v>
      </c>
      <c r="C1381" s="274"/>
      <c r="D1381" s="38"/>
      <c r="E1381" s="38"/>
      <c r="F1381" s="65"/>
      <c r="G1381" s="66"/>
      <c r="H1381" s="38"/>
      <c r="I1381" s="38"/>
      <c r="J1381" s="38"/>
      <c r="K1381" s="38"/>
      <c r="L1381" s="38"/>
      <c r="M1381" s="56"/>
      <c r="N1381" s="56" t="b">
        <v>0</v>
      </c>
      <c r="O1381" s="56" t="b">
        <v>0</v>
      </c>
      <c r="P1381" s="56"/>
      <c r="Q1381" s="56"/>
      <c r="R1381" s="56"/>
      <c r="S1381" s="56"/>
      <c r="T1381" s="56"/>
      <c r="U1381" s="56"/>
      <c r="V1381" s="56"/>
      <c r="W1381" s="56"/>
      <c r="X1381" s="56"/>
      <c r="Y1381" s="56"/>
      <c r="Z1381" s="56"/>
      <c r="AA1381" s="56"/>
      <c r="AB1381" s="56"/>
    </row>
    <row r="1382" ht="15.75" customHeight="1">
      <c r="A1382" s="169"/>
      <c r="B1382" s="63"/>
      <c r="C1382" s="31"/>
      <c r="D1382" s="38"/>
      <c r="E1382" s="38"/>
      <c r="F1382" s="65"/>
      <c r="G1382" s="66"/>
      <c r="H1382" s="38"/>
      <c r="I1382" s="38"/>
      <c r="J1382" s="38"/>
      <c r="K1382" s="38"/>
      <c r="L1382" s="38"/>
      <c r="M1382" s="56"/>
      <c r="N1382" s="56" t="b">
        <v>0</v>
      </c>
      <c r="O1382" s="56" t="b">
        <v>0</v>
      </c>
      <c r="P1382" s="56"/>
      <c r="Q1382" s="56"/>
      <c r="R1382" s="56"/>
      <c r="S1382" s="56"/>
      <c r="T1382" s="56"/>
      <c r="U1382" s="56"/>
      <c r="V1382" s="56"/>
      <c r="W1382" s="56"/>
      <c r="X1382" s="56"/>
      <c r="Y1382" s="56"/>
      <c r="Z1382" s="56"/>
      <c r="AA1382" s="56"/>
      <c r="AB1382" s="56"/>
    </row>
    <row r="1383" ht="15.75" customHeight="1">
      <c r="A1383" s="169"/>
      <c r="B1383" s="63"/>
      <c r="C1383" s="31" t="s">
        <v>66</v>
      </c>
      <c r="D1383" s="31"/>
      <c r="E1383" s="31"/>
      <c r="F1383" s="278"/>
      <c r="G1383" s="222"/>
      <c r="H1383" s="31"/>
      <c r="I1383" s="31"/>
      <c r="J1383" s="31"/>
      <c r="K1383" s="38"/>
      <c r="L1383" s="38"/>
      <c r="M1383" s="56"/>
      <c r="N1383" s="56" t="b">
        <v>0</v>
      </c>
      <c r="O1383" s="56" t="b">
        <v>0</v>
      </c>
      <c r="P1383" s="56"/>
      <c r="Q1383" s="56"/>
      <c r="R1383" s="56"/>
      <c r="S1383" s="56"/>
      <c r="T1383" s="56"/>
      <c r="U1383" s="56"/>
      <c r="V1383" s="56"/>
      <c r="W1383" s="56"/>
      <c r="X1383" s="56"/>
      <c r="Y1383" s="56"/>
      <c r="Z1383" s="56"/>
      <c r="AA1383" s="56"/>
      <c r="AB1383" s="56"/>
    </row>
    <row r="1384" ht="15.75" customHeight="1">
      <c r="A1384" s="169"/>
      <c r="B1384" s="63"/>
      <c r="C1384" s="31" t="s">
        <v>66</v>
      </c>
      <c r="D1384" s="279" t="s">
        <v>103</v>
      </c>
      <c r="E1384" s="280" t="s">
        <v>905</v>
      </c>
      <c r="F1384" s="280" t="s">
        <v>906</v>
      </c>
      <c r="G1384" s="264" t="s">
        <v>5134</v>
      </c>
      <c r="H1384" s="265" t="s">
        <v>5342</v>
      </c>
      <c r="I1384" s="265" t="s">
        <v>6381</v>
      </c>
      <c r="J1384" s="280" t="s">
        <v>908</v>
      </c>
      <c r="K1384" s="38"/>
      <c r="L1384" s="38"/>
      <c r="M1384" s="56"/>
      <c r="N1384" s="56" t="b">
        <v>0</v>
      </c>
      <c r="O1384" s="56" t="b">
        <v>0</v>
      </c>
      <c r="P1384" s="56"/>
      <c r="Q1384" s="56"/>
      <c r="R1384" s="56"/>
      <c r="S1384" s="56"/>
      <c r="T1384" s="56"/>
      <c r="U1384" s="56"/>
      <c r="V1384" s="56"/>
      <c r="W1384" s="56"/>
      <c r="X1384" s="56"/>
      <c r="Y1384" s="56"/>
      <c r="Z1384" s="56"/>
      <c r="AA1384" s="56"/>
      <c r="AB1384" s="56"/>
    </row>
    <row r="1385" ht="15.75" customHeight="1">
      <c r="A1385" s="169"/>
      <c r="B1385" s="63"/>
      <c r="C1385" s="22" t="s">
        <v>66</v>
      </c>
      <c r="D1385" s="279" t="s">
        <v>103</v>
      </c>
      <c r="E1385" s="280" t="s">
        <v>747</v>
      </c>
      <c r="F1385" s="280" t="s">
        <v>748</v>
      </c>
      <c r="G1385" s="264" t="s">
        <v>4856</v>
      </c>
      <c r="H1385" s="265" t="s">
        <v>4880</v>
      </c>
      <c r="I1385" s="265" t="s">
        <v>6382</v>
      </c>
      <c r="J1385" s="280" t="s">
        <v>750</v>
      </c>
      <c r="K1385" s="38"/>
      <c r="L1385" s="38"/>
      <c r="M1385" s="56"/>
      <c r="N1385" s="56" t="b">
        <v>0</v>
      </c>
      <c r="O1385" s="56" t="b">
        <v>0</v>
      </c>
      <c r="P1385" s="56"/>
      <c r="Q1385" s="56"/>
      <c r="R1385" s="56"/>
      <c r="S1385" s="56"/>
      <c r="T1385" s="56"/>
      <c r="U1385" s="56"/>
      <c r="V1385" s="56"/>
      <c r="W1385" s="56"/>
      <c r="X1385" s="56"/>
      <c r="Y1385" s="56"/>
      <c r="Z1385" s="56"/>
      <c r="AA1385" s="56"/>
      <c r="AB1385" s="56"/>
    </row>
    <row r="1386" ht="15.75" customHeight="1">
      <c r="A1386" s="169"/>
      <c r="B1386" s="63"/>
      <c r="C1386" s="22" t="s">
        <v>66</v>
      </c>
      <c r="D1386" s="281" t="s">
        <v>89</v>
      </c>
      <c r="E1386" s="282" t="s">
        <v>2995</v>
      </c>
      <c r="F1386" s="282" t="s">
        <v>2996</v>
      </c>
      <c r="G1386" s="254">
        <v>0.6666666666666666</v>
      </c>
      <c r="H1386" s="255" t="s">
        <v>6383</v>
      </c>
      <c r="I1386" s="255" t="s">
        <v>6384</v>
      </c>
      <c r="J1386" s="282" t="s">
        <v>2998</v>
      </c>
      <c r="K1386" s="38" t="s">
        <v>6385</v>
      </c>
      <c r="L1386" s="38"/>
      <c r="M1386" s="56"/>
      <c r="N1386" s="56" t="b">
        <v>0</v>
      </c>
      <c r="O1386" s="56" t="b">
        <v>0</v>
      </c>
      <c r="P1386" s="56"/>
      <c r="Q1386" s="56"/>
      <c r="R1386" s="56"/>
      <c r="S1386" s="56"/>
      <c r="T1386" s="56"/>
      <c r="U1386" s="56"/>
      <c r="V1386" s="56"/>
      <c r="W1386" s="56"/>
      <c r="X1386" s="56"/>
      <c r="Y1386" s="56"/>
      <c r="Z1386" s="56"/>
      <c r="AA1386" s="56"/>
      <c r="AB1386" s="56"/>
    </row>
    <row r="1387" ht="15.75" customHeight="1">
      <c r="A1387" s="169"/>
      <c r="B1387" s="63"/>
      <c r="C1387" s="22" t="s">
        <v>66</v>
      </c>
      <c r="D1387" s="279" t="s">
        <v>89</v>
      </c>
      <c r="E1387" s="280" t="s">
        <v>4236</v>
      </c>
      <c r="F1387" s="280" t="s">
        <v>4237</v>
      </c>
      <c r="G1387" s="264" t="s">
        <v>5089</v>
      </c>
      <c r="H1387" s="265" t="s">
        <v>6386</v>
      </c>
      <c r="I1387" s="265" t="s">
        <v>6387</v>
      </c>
      <c r="J1387" s="280" t="s">
        <v>4239</v>
      </c>
      <c r="K1387" s="38"/>
      <c r="L1387" s="38"/>
      <c r="M1387" s="56"/>
      <c r="N1387" s="56" t="b">
        <v>0</v>
      </c>
      <c r="O1387" s="56" t="b">
        <v>0</v>
      </c>
      <c r="P1387" s="56"/>
      <c r="Q1387" s="56"/>
      <c r="R1387" s="56"/>
      <c r="S1387" s="56"/>
      <c r="T1387" s="56"/>
      <c r="U1387" s="56"/>
      <c r="V1387" s="56"/>
      <c r="W1387" s="56"/>
      <c r="X1387" s="56"/>
      <c r="Y1387" s="56"/>
      <c r="Z1387" s="56"/>
      <c r="AA1387" s="56"/>
      <c r="AB1387" s="56"/>
    </row>
    <row r="1388" ht="15.75" customHeight="1">
      <c r="A1388" s="169"/>
      <c r="B1388" s="63"/>
      <c r="C1388" s="22" t="s">
        <v>66</v>
      </c>
      <c r="D1388" s="31"/>
      <c r="E1388" s="31"/>
      <c r="F1388" s="278"/>
      <c r="G1388" s="222"/>
      <c r="H1388" s="31"/>
      <c r="I1388" s="31"/>
      <c r="J1388" s="31"/>
      <c r="K1388" s="38"/>
      <c r="L1388" s="38"/>
      <c r="M1388" s="56"/>
      <c r="N1388" s="56" t="b">
        <v>0</v>
      </c>
      <c r="O1388" s="56" t="b">
        <v>0</v>
      </c>
      <c r="P1388" s="56"/>
      <c r="Q1388" s="56"/>
      <c r="R1388" s="56"/>
      <c r="S1388" s="56"/>
      <c r="T1388" s="56"/>
      <c r="U1388" s="56"/>
      <c r="V1388" s="56"/>
      <c r="W1388" s="56"/>
      <c r="X1388" s="56"/>
      <c r="Y1388" s="56"/>
      <c r="Z1388" s="56"/>
      <c r="AA1388" s="56"/>
      <c r="AB1388" s="56"/>
    </row>
    <row r="1389" ht="15.75" customHeight="1">
      <c r="A1389" s="169"/>
      <c r="B1389" s="63"/>
      <c r="C1389" s="22" t="s">
        <v>66</v>
      </c>
      <c r="D1389" s="31"/>
      <c r="E1389" s="31"/>
      <c r="F1389" s="278"/>
      <c r="G1389" s="222"/>
      <c r="H1389" s="31"/>
      <c r="I1389" s="31"/>
      <c r="J1389" s="31"/>
      <c r="K1389" s="38"/>
      <c r="L1389" s="38"/>
      <c r="M1389" s="56"/>
      <c r="N1389" s="56" t="b">
        <v>0</v>
      </c>
      <c r="O1389" s="56" t="b">
        <v>0</v>
      </c>
      <c r="P1389" s="56"/>
      <c r="Q1389" s="56"/>
      <c r="R1389" s="56"/>
      <c r="S1389" s="56"/>
      <c r="T1389" s="56"/>
      <c r="U1389" s="56"/>
      <c r="V1389" s="56"/>
      <c r="W1389" s="56"/>
      <c r="X1389" s="56"/>
      <c r="Y1389" s="56"/>
      <c r="Z1389" s="56"/>
      <c r="AA1389" s="56"/>
      <c r="AB1389" s="56"/>
    </row>
    <row r="1390" ht="15.75" customHeight="1">
      <c r="A1390" s="169"/>
      <c r="B1390" s="69"/>
      <c r="C1390" s="22" t="s">
        <v>66</v>
      </c>
      <c r="D1390" s="31"/>
      <c r="E1390" s="31"/>
      <c r="F1390" s="278"/>
      <c r="G1390" s="222"/>
      <c r="H1390" s="31"/>
      <c r="I1390" s="31"/>
      <c r="J1390" s="31"/>
      <c r="K1390" s="38"/>
      <c r="L1390" s="38"/>
      <c r="M1390" s="56"/>
      <c r="N1390" s="56" t="b">
        <v>0</v>
      </c>
      <c r="O1390" s="56" t="b">
        <v>0</v>
      </c>
      <c r="P1390" s="56"/>
      <c r="Q1390" s="56"/>
      <c r="R1390" s="56"/>
      <c r="S1390" s="56"/>
      <c r="T1390" s="56"/>
      <c r="U1390" s="56"/>
      <c r="V1390" s="56"/>
      <c r="W1390" s="56"/>
      <c r="X1390" s="56"/>
      <c r="Y1390" s="56"/>
      <c r="Z1390" s="56"/>
      <c r="AA1390" s="56"/>
      <c r="AB1390" s="56"/>
    </row>
    <row r="1391" ht="15.75" customHeight="1">
      <c r="A1391" s="169"/>
      <c r="B1391" s="219" t="s">
        <v>4836</v>
      </c>
      <c r="C1391" s="220">
        <v>44505.0</v>
      </c>
      <c r="D1391" s="38"/>
      <c r="E1391" s="38"/>
      <c r="F1391" s="65"/>
      <c r="G1391" s="66"/>
      <c r="H1391" s="38"/>
      <c r="I1391" s="38"/>
      <c r="J1391" s="38"/>
      <c r="K1391" s="38"/>
      <c r="L1391" s="38"/>
      <c r="M1391" s="56"/>
      <c r="N1391" s="56" t="b">
        <v>0</v>
      </c>
      <c r="O1391" s="56" t="b">
        <v>0</v>
      </c>
      <c r="P1391" s="56"/>
      <c r="Q1391" s="56"/>
      <c r="R1391" s="56"/>
      <c r="S1391" s="56"/>
      <c r="T1391" s="56"/>
      <c r="U1391" s="56"/>
      <c r="V1391" s="56"/>
      <c r="W1391" s="56"/>
      <c r="X1391" s="56"/>
      <c r="Y1391" s="56"/>
      <c r="Z1391" s="56"/>
      <c r="AA1391" s="56"/>
      <c r="AB1391" s="56"/>
    </row>
    <row r="1392" ht="15.75" customHeight="1">
      <c r="A1392" s="169"/>
      <c r="B1392" s="63"/>
      <c r="C1392" s="22"/>
      <c r="D1392" s="38"/>
      <c r="E1392" s="38"/>
      <c r="F1392" s="65"/>
      <c r="G1392" s="66"/>
      <c r="H1392" s="38"/>
      <c r="I1392" s="38"/>
      <c r="J1392" s="38"/>
      <c r="K1392" s="38"/>
      <c r="L1392" s="38"/>
      <c r="M1392" s="56"/>
      <c r="N1392" s="56" t="b">
        <v>0</v>
      </c>
      <c r="O1392" s="56" t="b">
        <v>0</v>
      </c>
      <c r="P1392" s="56"/>
      <c r="Q1392" s="56"/>
      <c r="R1392" s="56"/>
      <c r="S1392" s="56"/>
      <c r="T1392" s="56"/>
      <c r="U1392" s="56"/>
      <c r="V1392" s="56"/>
      <c r="W1392" s="56"/>
      <c r="X1392" s="56"/>
      <c r="Y1392" s="56"/>
      <c r="Z1392" s="56"/>
      <c r="AA1392" s="56"/>
      <c r="AB1392" s="56"/>
    </row>
    <row r="1393" ht="15.75" customHeight="1">
      <c r="A1393" s="169"/>
      <c r="B1393" s="63"/>
      <c r="C1393" s="22" t="s">
        <v>53</v>
      </c>
      <c r="D1393" s="38"/>
      <c r="E1393" s="162" t="s">
        <v>5784</v>
      </c>
      <c r="F1393" s="155"/>
      <c r="G1393" s="66"/>
      <c r="H1393" s="38"/>
      <c r="I1393" s="38"/>
      <c r="J1393" s="38"/>
      <c r="K1393" s="38"/>
      <c r="L1393" s="38"/>
      <c r="M1393" s="56"/>
      <c r="N1393" s="56" t="b">
        <v>0</v>
      </c>
      <c r="O1393" s="56" t="b">
        <v>0</v>
      </c>
      <c r="P1393" s="56"/>
      <c r="Q1393" s="56"/>
      <c r="R1393" s="56"/>
      <c r="S1393" s="56"/>
      <c r="T1393" s="56"/>
      <c r="U1393" s="56"/>
      <c r="V1393" s="56"/>
      <c r="W1393" s="56"/>
      <c r="X1393" s="56"/>
      <c r="Y1393" s="56"/>
      <c r="Z1393" s="56"/>
      <c r="AA1393" s="56"/>
      <c r="AB1393" s="56"/>
    </row>
    <row r="1394" ht="15.75" customHeight="1">
      <c r="A1394" s="169"/>
      <c r="B1394" s="63"/>
      <c r="C1394" s="22" t="s">
        <v>53</v>
      </c>
      <c r="D1394" s="38"/>
      <c r="E1394" s="156"/>
      <c r="F1394" s="157"/>
      <c r="G1394" s="66"/>
      <c r="H1394" s="38"/>
      <c r="I1394" s="38"/>
      <c r="J1394" s="38"/>
      <c r="K1394" s="38"/>
      <c r="L1394" s="38"/>
      <c r="M1394" s="56"/>
      <c r="N1394" s="56" t="b">
        <v>0</v>
      </c>
      <c r="O1394" s="56" t="b">
        <v>0</v>
      </c>
      <c r="P1394" s="56"/>
      <c r="Q1394" s="56"/>
      <c r="R1394" s="56"/>
      <c r="S1394" s="56"/>
      <c r="T1394" s="56"/>
      <c r="U1394" s="56"/>
      <c r="V1394" s="56"/>
      <c r="W1394" s="56"/>
      <c r="X1394" s="56"/>
      <c r="Y1394" s="56"/>
      <c r="Z1394" s="56"/>
      <c r="AA1394" s="56"/>
      <c r="AB1394" s="56"/>
    </row>
    <row r="1395" ht="15.75" customHeight="1">
      <c r="A1395" s="169"/>
      <c r="B1395" s="63"/>
      <c r="C1395" s="22" t="s">
        <v>53</v>
      </c>
      <c r="D1395" s="38"/>
      <c r="E1395" s="158"/>
      <c r="F1395" s="159"/>
      <c r="G1395" s="66"/>
      <c r="H1395" s="38"/>
      <c r="I1395" s="38"/>
      <c r="J1395" s="38"/>
      <c r="K1395" s="38"/>
      <c r="L1395" s="38"/>
      <c r="M1395" s="56"/>
      <c r="N1395" s="56" t="b">
        <v>0</v>
      </c>
      <c r="O1395" s="56" t="b">
        <v>0</v>
      </c>
      <c r="P1395" s="56"/>
      <c r="Q1395" s="56"/>
      <c r="R1395" s="56"/>
      <c r="S1395" s="56"/>
      <c r="T1395" s="56"/>
      <c r="U1395" s="56"/>
      <c r="V1395" s="56"/>
      <c r="W1395" s="56"/>
      <c r="X1395" s="56"/>
      <c r="Y1395" s="56"/>
      <c r="Z1395" s="56"/>
      <c r="AA1395" s="56"/>
      <c r="AB1395" s="56"/>
    </row>
    <row r="1396" ht="15.75" customHeight="1">
      <c r="A1396" s="169"/>
      <c r="B1396" s="63"/>
      <c r="C1396" s="22" t="s">
        <v>53</v>
      </c>
      <c r="D1396" s="38"/>
      <c r="E1396" s="38"/>
      <c r="F1396" s="65"/>
      <c r="G1396" s="66"/>
      <c r="H1396" s="38"/>
      <c r="I1396" s="38"/>
      <c r="J1396" s="38"/>
      <c r="K1396" s="38"/>
      <c r="L1396" s="38"/>
      <c r="M1396" s="56"/>
      <c r="N1396" s="56" t="b">
        <v>0</v>
      </c>
      <c r="O1396" s="56" t="b">
        <v>0</v>
      </c>
      <c r="P1396" s="56"/>
      <c r="Q1396" s="56"/>
      <c r="R1396" s="56"/>
      <c r="S1396" s="56"/>
      <c r="T1396" s="56"/>
      <c r="U1396" s="56"/>
      <c r="V1396" s="56"/>
      <c r="W1396" s="56"/>
      <c r="X1396" s="56"/>
      <c r="Y1396" s="56"/>
      <c r="Z1396" s="56"/>
      <c r="AA1396" s="56"/>
      <c r="AB1396" s="56"/>
    </row>
    <row r="1397" ht="15.75" customHeight="1">
      <c r="A1397" s="169"/>
      <c r="B1397" s="69"/>
      <c r="C1397" s="22" t="s">
        <v>53</v>
      </c>
      <c r="D1397" s="38"/>
      <c r="E1397" s="38"/>
      <c r="F1397" s="65"/>
      <c r="G1397" s="66"/>
      <c r="H1397" s="38"/>
      <c r="I1397" s="38"/>
      <c r="J1397" s="38"/>
      <c r="K1397" s="38"/>
      <c r="L1397" s="38"/>
      <c r="M1397" s="56"/>
      <c r="N1397" s="56" t="b">
        <v>0</v>
      </c>
      <c r="O1397" s="56" t="b">
        <v>0</v>
      </c>
      <c r="P1397" s="56"/>
      <c r="Q1397" s="56"/>
      <c r="R1397" s="56"/>
      <c r="S1397" s="56"/>
      <c r="T1397" s="56"/>
      <c r="U1397" s="56"/>
      <c r="V1397" s="56"/>
      <c r="W1397" s="56"/>
      <c r="X1397" s="56"/>
      <c r="Y1397" s="56"/>
      <c r="Z1397" s="56"/>
      <c r="AA1397" s="56"/>
      <c r="AB1397" s="56"/>
    </row>
    <row r="1398" ht="15.75" customHeight="1">
      <c r="A1398" s="169"/>
      <c r="B1398" s="273"/>
      <c r="C1398" s="275"/>
      <c r="D1398" s="38"/>
      <c r="E1398" s="129" t="s">
        <v>6388</v>
      </c>
      <c r="F1398" s="127"/>
      <c r="G1398" s="66"/>
      <c r="H1398" s="38"/>
      <c r="I1398" s="38"/>
      <c r="J1398" s="38"/>
      <c r="K1398" s="38"/>
      <c r="L1398" s="38"/>
      <c r="M1398" s="56"/>
      <c r="N1398" s="56" t="b">
        <v>0</v>
      </c>
      <c r="O1398" s="56" t="b">
        <v>0</v>
      </c>
      <c r="P1398" s="56"/>
      <c r="Q1398" s="56"/>
      <c r="R1398" s="56"/>
      <c r="S1398" s="56"/>
      <c r="T1398" s="56"/>
      <c r="U1398" s="56"/>
      <c r="V1398" s="56"/>
      <c r="W1398" s="56"/>
      <c r="X1398" s="56"/>
      <c r="Y1398" s="56"/>
      <c r="Z1398" s="56"/>
      <c r="AA1398" s="56"/>
      <c r="AB1398" s="56"/>
    </row>
    <row r="1399" ht="15.75" customHeight="1">
      <c r="A1399" s="169"/>
      <c r="B1399" s="63"/>
      <c r="C1399" s="22" t="s">
        <v>66</v>
      </c>
      <c r="D1399" s="38"/>
      <c r="E1399" s="38"/>
      <c r="F1399" s="65"/>
      <c r="G1399" s="66"/>
      <c r="H1399" s="38"/>
      <c r="I1399" s="38"/>
      <c r="J1399" s="38"/>
      <c r="K1399" s="38"/>
      <c r="L1399" s="38"/>
      <c r="M1399" s="56"/>
      <c r="N1399" s="56" t="b">
        <v>0</v>
      </c>
      <c r="O1399" s="56" t="b">
        <v>0</v>
      </c>
      <c r="P1399" s="56"/>
      <c r="Q1399" s="56"/>
      <c r="R1399" s="56"/>
      <c r="S1399" s="56"/>
      <c r="T1399" s="56"/>
      <c r="U1399" s="56"/>
      <c r="V1399" s="56"/>
      <c r="W1399" s="56"/>
      <c r="X1399" s="56"/>
      <c r="Y1399" s="56"/>
      <c r="Z1399" s="56"/>
      <c r="AA1399" s="56"/>
      <c r="AB1399" s="56"/>
    </row>
    <row r="1400" ht="15.75" customHeight="1">
      <c r="A1400" s="169"/>
      <c r="B1400" s="63"/>
      <c r="C1400" s="22" t="s">
        <v>66</v>
      </c>
      <c r="D1400" s="38"/>
      <c r="E1400" s="10"/>
      <c r="F1400" s="10"/>
      <c r="G1400" s="66"/>
      <c r="H1400" s="38"/>
      <c r="I1400" s="38"/>
      <c r="J1400" s="10"/>
      <c r="K1400" s="38"/>
      <c r="L1400" s="38"/>
      <c r="M1400" s="56"/>
      <c r="N1400" s="56" t="b">
        <v>0</v>
      </c>
      <c r="O1400" s="56" t="b">
        <v>0</v>
      </c>
      <c r="P1400" s="56"/>
      <c r="Q1400" s="56"/>
      <c r="R1400" s="56"/>
      <c r="S1400" s="56"/>
      <c r="T1400" s="56"/>
      <c r="U1400" s="56"/>
      <c r="V1400" s="56"/>
      <c r="W1400" s="56"/>
      <c r="X1400" s="56"/>
      <c r="Y1400" s="56"/>
      <c r="Z1400" s="56"/>
      <c r="AA1400" s="56"/>
      <c r="AB1400" s="56"/>
    </row>
    <row r="1401" ht="15.75" customHeight="1">
      <c r="A1401" s="169"/>
      <c r="B1401" s="63"/>
      <c r="C1401" s="22" t="s">
        <v>66</v>
      </c>
      <c r="D1401" s="283" t="s">
        <v>103</v>
      </c>
      <c r="E1401" s="243" t="s">
        <v>4640</v>
      </c>
      <c r="F1401" s="243" t="s">
        <v>4641</v>
      </c>
      <c r="G1401" s="133" t="s">
        <v>4858</v>
      </c>
      <c r="H1401" s="102" t="s">
        <v>6175</v>
      </c>
      <c r="I1401" s="102" t="s">
        <v>6389</v>
      </c>
      <c r="J1401" s="243" t="s">
        <v>4643</v>
      </c>
      <c r="K1401" s="38"/>
      <c r="L1401" s="38"/>
      <c r="M1401" s="56"/>
      <c r="N1401" s="56" t="b">
        <v>0</v>
      </c>
      <c r="O1401" s="56" t="b">
        <v>0</v>
      </c>
      <c r="P1401" s="56"/>
      <c r="Q1401" s="56"/>
      <c r="R1401" s="56"/>
      <c r="S1401" s="56"/>
      <c r="T1401" s="56"/>
      <c r="U1401" s="56"/>
      <c r="V1401" s="56"/>
      <c r="W1401" s="56"/>
      <c r="X1401" s="56"/>
      <c r="Y1401" s="56"/>
      <c r="Z1401" s="56"/>
      <c r="AA1401" s="56"/>
      <c r="AB1401" s="56"/>
    </row>
    <row r="1402" ht="15.75" customHeight="1">
      <c r="A1402" s="169"/>
      <c r="B1402" s="63"/>
      <c r="C1402" s="22" t="s">
        <v>66</v>
      </c>
      <c r="D1402" s="38"/>
      <c r="E1402" s="162" t="s">
        <v>5784</v>
      </c>
      <c r="F1402" s="155"/>
      <c r="G1402" s="66" t="s">
        <v>5089</v>
      </c>
      <c r="H1402" s="38"/>
      <c r="I1402" s="38"/>
      <c r="J1402" s="38"/>
      <c r="K1402" s="38"/>
      <c r="L1402" s="38"/>
      <c r="M1402" s="56"/>
      <c r="N1402" s="56" t="b">
        <v>0</v>
      </c>
      <c r="O1402" s="56" t="b">
        <v>0</v>
      </c>
      <c r="P1402" s="56"/>
      <c r="Q1402" s="56"/>
      <c r="R1402" s="56"/>
      <c r="S1402" s="56"/>
      <c r="T1402" s="56"/>
      <c r="U1402" s="56"/>
      <c r="V1402" s="56"/>
      <c r="W1402" s="56"/>
      <c r="X1402" s="56"/>
      <c r="Y1402" s="56"/>
      <c r="Z1402" s="56"/>
      <c r="AA1402" s="56"/>
      <c r="AB1402" s="56"/>
    </row>
    <row r="1403" ht="15.75" customHeight="1">
      <c r="A1403" s="169"/>
      <c r="B1403" s="63"/>
      <c r="C1403" s="22" t="s">
        <v>66</v>
      </c>
      <c r="D1403" s="38"/>
      <c r="E1403" s="158"/>
      <c r="F1403" s="159"/>
      <c r="G1403" s="66"/>
      <c r="H1403" s="38"/>
      <c r="I1403" s="38"/>
      <c r="J1403" s="38"/>
      <c r="K1403" s="38"/>
      <c r="L1403" s="38"/>
      <c r="M1403" s="56"/>
      <c r="N1403" s="56" t="b">
        <v>0</v>
      </c>
      <c r="O1403" s="56" t="b">
        <v>0</v>
      </c>
      <c r="P1403" s="56"/>
      <c r="Q1403" s="56"/>
      <c r="R1403" s="56"/>
      <c r="S1403" s="56"/>
      <c r="T1403" s="56"/>
      <c r="U1403" s="56"/>
      <c r="V1403" s="56"/>
      <c r="W1403" s="56"/>
      <c r="X1403" s="56"/>
      <c r="Y1403" s="56"/>
      <c r="Z1403" s="56"/>
      <c r="AA1403" s="56"/>
      <c r="AB1403" s="56"/>
    </row>
    <row r="1404" ht="15.75" customHeight="1">
      <c r="A1404" s="169"/>
      <c r="B1404" s="69"/>
      <c r="C1404" s="22" t="s">
        <v>66</v>
      </c>
      <c r="D1404" s="38"/>
      <c r="E1404" s="38"/>
      <c r="F1404" s="65"/>
      <c r="G1404" s="66"/>
      <c r="H1404" s="38"/>
      <c r="I1404" s="38"/>
      <c r="J1404" s="38"/>
      <c r="K1404" s="38"/>
      <c r="L1404" s="38"/>
      <c r="M1404" s="56"/>
      <c r="N1404" s="56" t="b">
        <v>0</v>
      </c>
      <c r="O1404" s="56" t="b">
        <v>0</v>
      </c>
      <c r="P1404" s="56"/>
      <c r="Q1404" s="56"/>
      <c r="R1404" s="56"/>
      <c r="S1404" s="56"/>
      <c r="T1404" s="56"/>
      <c r="U1404" s="56"/>
      <c r="V1404" s="56"/>
      <c r="W1404" s="56"/>
      <c r="X1404" s="56"/>
      <c r="Y1404" s="56"/>
      <c r="Z1404" s="56"/>
      <c r="AA1404" s="56"/>
      <c r="AB1404" s="56"/>
    </row>
    <row r="1405" ht="15.75" customHeight="1">
      <c r="A1405" s="169"/>
      <c r="B1405" s="118"/>
      <c r="C1405" s="38"/>
      <c r="D1405" s="38"/>
      <c r="E1405" s="38"/>
      <c r="F1405" s="65"/>
      <c r="G1405" s="66"/>
      <c r="H1405" s="38"/>
      <c r="I1405" s="38"/>
      <c r="J1405" s="38"/>
      <c r="K1405" s="38"/>
      <c r="L1405" s="38"/>
      <c r="M1405" s="56"/>
      <c r="N1405" s="56" t="b">
        <v>0</v>
      </c>
      <c r="O1405" s="56" t="b">
        <v>0</v>
      </c>
      <c r="P1405" s="56"/>
      <c r="Q1405" s="56"/>
      <c r="R1405" s="56"/>
      <c r="S1405" s="56"/>
      <c r="T1405" s="56"/>
      <c r="U1405" s="56"/>
      <c r="V1405" s="56"/>
      <c r="W1405" s="56"/>
      <c r="X1405" s="56"/>
      <c r="Y1405" s="56"/>
      <c r="Z1405" s="56"/>
      <c r="AA1405" s="56"/>
      <c r="AB1405" s="56"/>
    </row>
    <row r="1406" ht="15.75" customHeight="1">
      <c r="A1406" s="169"/>
      <c r="B1406" s="118"/>
      <c r="C1406" s="38"/>
      <c r="D1406" s="38"/>
      <c r="E1406" s="38"/>
      <c r="F1406" s="65"/>
      <c r="G1406" s="66"/>
      <c r="H1406" s="38"/>
      <c r="I1406" s="38"/>
      <c r="J1406" s="38"/>
      <c r="K1406" s="38"/>
      <c r="L1406" s="38"/>
      <c r="M1406" s="56"/>
      <c r="N1406" s="56" t="b">
        <v>0</v>
      </c>
      <c r="O1406" s="56" t="b">
        <v>0</v>
      </c>
      <c r="P1406" s="56"/>
      <c r="Q1406" s="56"/>
      <c r="R1406" s="56"/>
      <c r="S1406" s="56"/>
      <c r="T1406" s="56"/>
      <c r="U1406" s="56"/>
      <c r="V1406" s="56"/>
      <c r="W1406" s="56"/>
      <c r="X1406" s="56"/>
      <c r="Y1406" s="56"/>
      <c r="Z1406" s="56"/>
      <c r="AA1406" s="56"/>
      <c r="AB1406" s="56"/>
    </row>
    <row r="1407" ht="15.75" customHeight="1">
      <c r="A1407" s="169"/>
      <c r="B1407" s="219" t="s">
        <v>4836</v>
      </c>
      <c r="C1407" s="220">
        <v>44508.0</v>
      </c>
      <c r="D1407" s="38"/>
      <c r="E1407" s="38"/>
      <c r="F1407" s="284" t="s">
        <v>6390</v>
      </c>
      <c r="G1407" s="66"/>
      <c r="H1407" s="38"/>
      <c r="I1407" s="38"/>
      <c r="J1407" s="38"/>
      <c r="K1407" s="38"/>
      <c r="L1407" s="38"/>
      <c r="M1407" s="56"/>
      <c r="N1407" s="56" t="b">
        <v>0</v>
      </c>
      <c r="O1407" s="56" t="b">
        <v>0</v>
      </c>
      <c r="P1407" s="56"/>
      <c r="Q1407" s="56"/>
      <c r="R1407" s="56"/>
      <c r="S1407" s="56"/>
      <c r="T1407" s="56"/>
      <c r="U1407" s="56"/>
      <c r="V1407" s="56"/>
      <c r="W1407" s="56"/>
      <c r="X1407" s="56"/>
      <c r="Y1407" s="56"/>
      <c r="Z1407" s="56"/>
      <c r="AA1407" s="56"/>
      <c r="AB1407" s="56"/>
    </row>
    <row r="1408" ht="15.75" customHeight="1">
      <c r="A1408" s="169"/>
      <c r="B1408" s="63"/>
      <c r="C1408" s="22"/>
      <c r="D1408" s="13"/>
      <c r="E1408" s="10"/>
      <c r="F1408" s="10"/>
      <c r="G1408" s="66"/>
      <c r="H1408" s="38"/>
      <c r="I1408" s="38"/>
      <c r="J1408" s="10"/>
      <c r="K1408" s="38"/>
      <c r="L1408" s="38"/>
      <c r="M1408" s="56"/>
      <c r="N1408" s="56" t="b">
        <v>0</v>
      </c>
      <c r="O1408" s="56" t="b">
        <v>0</v>
      </c>
      <c r="P1408" s="56"/>
      <c r="Q1408" s="56"/>
      <c r="R1408" s="56"/>
      <c r="S1408" s="56"/>
      <c r="T1408" s="56"/>
      <c r="U1408" s="56"/>
      <c r="V1408" s="56"/>
      <c r="W1408" s="56"/>
      <c r="X1408" s="56"/>
      <c r="Y1408" s="56"/>
      <c r="Z1408" s="56"/>
      <c r="AA1408" s="56"/>
      <c r="AB1408" s="56"/>
    </row>
    <row r="1409" ht="15.75" customHeight="1">
      <c r="A1409" s="169"/>
      <c r="B1409" s="63"/>
      <c r="C1409" s="22" t="s">
        <v>53</v>
      </c>
      <c r="D1409" s="62" t="s">
        <v>108</v>
      </c>
      <c r="E1409" s="242" t="s">
        <v>3646</v>
      </c>
      <c r="F1409" s="242" t="s">
        <v>3647</v>
      </c>
      <c r="G1409" s="73" t="s">
        <v>4854</v>
      </c>
      <c r="H1409" s="62" t="s">
        <v>6391</v>
      </c>
      <c r="I1409" s="62" t="s">
        <v>6392</v>
      </c>
      <c r="J1409" s="242" t="s">
        <v>3649</v>
      </c>
      <c r="K1409" s="38"/>
      <c r="L1409" s="38"/>
      <c r="M1409" s="56"/>
      <c r="N1409" s="56" t="b">
        <v>0</v>
      </c>
      <c r="O1409" s="56" t="b">
        <v>0</v>
      </c>
      <c r="P1409" s="56"/>
      <c r="Q1409" s="56"/>
      <c r="R1409" s="56"/>
      <c r="S1409" s="56"/>
      <c r="T1409" s="56"/>
      <c r="U1409" s="56"/>
      <c r="V1409" s="56"/>
      <c r="W1409" s="56"/>
      <c r="X1409" s="56"/>
      <c r="Y1409" s="56"/>
      <c r="Z1409" s="56"/>
      <c r="AA1409" s="56"/>
      <c r="AB1409" s="56"/>
    </row>
    <row r="1410" ht="15.75" customHeight="1">
      <c r="A1410" s="169"/>
      <c r="B1410" s="63"/>
      <c r="C1410" s="22" t="s">
        <v>53</v>
      </c>
      <c r="D1410" s="27" t="s">
        <v>89</v>
      </c>
      <c r="E1410" s="242" t="s">
        <v>3414</v>
      </c>
      <c r="F1410" s="242" t="s">
        <v>3415</v>
      </c>
      <c r="G1410" s="73" t="s">
        <v>4960</v>
      </c>
      <c r="H1410" s="62" t="s">
        <v>6393</v>
      </c>
      <c r="I1410" s="62" t="s">
        <v>6394</v>
      </c>
      <c r="J1410" s="242" t="s">
        <v>3417</v>
      </c>
      <c r="K1410" s="38"/>
      <c r="L1410" s="38"/>
      <c r="M1410" s="56"/>
      <c r="N1410" s="56" t="b">
        <v>0</v>
      </c>
      <c r="O1410" s="56" t="b">
        <v>0</v>
      </c>
      <c r="P1410" s="56"/>
      <c r="Q1410" s="56"/>
      <c r="R1410" s="56"/>
      <c r="S1410" s="56"/>
      <c r="T1410" s="56"/>
      <c r="U1410" s="56"/>
      <c r="V1410" s="56"/>
      <c r="W1410" s="56"/>
      <c r="X1410" s="56"/>
      <c r="Y1410" s="56"/>
      <c r="Z1410" s="56"/>
      <c r="AA1410" s="56"/>
      <c r="AB1410" s="56"/>
    </row>
    <row r="1411" ht="15.75" customHeight="1">
      <c r="A1411" s="169"/>
      <c r="B1411" s="63"/>
      <c r="C1411" s="22" t="s">
        <v>53</v>
      </c>
      <c r="D1411" s="27" t="s">
        <v>89</v>
      </c>
      <c r="E1411" s="242" t="s">
        <v>1264</v>
      </c>
      <c r="F1411" s="242" t="s">
        <v>1265</v>
      </c>
      <c r="G1411" s="73" t="s">
        <v>4856</v>
      </c>
      <c r="H1411" s="62" t="s">
        <v>6391</v>
      </c>
      <c r="I1411" s="62" t="s">
        <v>6395</v>
      </c>
      <c r="J1411" s="242" t="s">
        <v>1267</v>
      </c>
      <c r="K1411" s="38"/>
      <c r="L1411" s="38"/>
      <c r="M1411" s="56"/>
      <c r="N1411" s="56" t="b">
        <v>0</v>
      </c>
      <c r="O1411" s="56" t="b">
        <v>0</v>
      </c>
      <c r="P1411" s="56"/>
      <c r="Q1411" s="56"/>
      <c r="R1411" s="56"/>
      <c r="S1411" s="56"/>
      <c r="T1411" s="56"/>
      <c r="U1411" s="56"/>
      <c r="V1411" s="56"/>
      <c r="W1411" s="56"/>
      <c r="X1411" s="56"/>
      <c r="Y1411" s="56"/>
      <c r="Z1411" s="56"/>
      <c r="AA1411" s="56"/>
      <c r="AB1411" s="56"/>
    </row>
    <row r="1412" ht="15.75" customHeight="1">
      <c r="A1412" s="169"/>
      <c r="B1412" s="63"/>
      <c r="C1412" s="22" t="s">
        <v>53</v>
      </c>
      <c r="D1412" s="76" t="s">
        <v>108</v>
      </c>
      <c r="E1412" s="203" t="s">
        <v>3923</v>
      </c>
      <c r="F1412" s="203" t="s">
        <v>3924</v>
      </c>
      <c r="G1412" s="82" t="s">
        <v>4896</v>
      </c>
      <c r="H1412" s="76" t="s">
        <v>6391</v>
      </c>
      <c r="I1412" s="76" t="s">
        <v>6396</v>
      </c>
      <c r="J1412" s="203" t="s">
        <v>3926</v>
      </c>
      <c r="K1412" s="38" t="s">
        <v>6397</v>
      </c>
      <c r="L1412" s="38"/>
      <c r="M1412" s="56"/>
      <c r="N1412" s="56" t="b">
        <v>0</v>
      </c>
      <c r="O1412" s="56" t="b">
        <v>0</v>
      </c>
      <c r="P1412" s="56"/>
      <c r="Q1412" s="56"/>
      <c r="R1412" s="56"/>
      <c r="S1412" s="56"/>
      <c r="T1412" s="56"/>
      <c r="U1412" s="56"/>
      <c r="V1412" s="56"/>
      <c r="W1412" s="56"/>
      <c r="X1412" s="56"/>
      <c r="Y1412" s="56"/>
      <c r="Z1412" s="56"/>
      <c r="AA1412" s="56"/>
      <c r="AB1412" s="56"/>
    </row>
    <row r="1413" ht="15.75" customHeight="1">
      <c r="A1413" s="169"/>
      <c r="B1413" s="63"/>
      <c r="C1413" s="22" t="s">
        <v>53</v>
      </c>
      <c r="D1413" s="62" t="s">
        <v>108</v>
      </c>
      <c r="E1413" s="242" t="s">
        <v>4212</v>
      </c>
      <c r="F1413" s="242" t="s">
        <v>4213</v>
      </c>
      <c r="G1413" s="73" t="s">
        <v>4899</v>
      </c>
      <c r="H1413" s="62" t="s">
        <v>6391</v>
      </c>
      <c r="I1413" s="62" t="s">
        <v>6398</v>
      </c>
      <c r="J1413" s="242" t="s">
        <v>4215</v>
      </c>
      <c r="K1413" s="38"/>
      <c r="L1413" s="38"/>
      <c r="M1413" s="56"/>
      <c r="N1413" s="56" t="b">
        <v>0</v>
      </c>
      <c r="O1413" s="56" t="b">
        <v>0</v>
      </c>
      <c r="P1413" s="56"/>
      <c r="Q1413" s="56"/>
      <c r="R1413" s="56"/>
      <c r="S1413" s="56"/>
      <c r="T1413" s="56"/>
      <c r="U1413" s="56"/>
      <c r="V1413" s="56"/>
      <c r="W1413" s="56"/>
      <c r="X1413" s="56"/>
      <c r="Y1413" s="56"/>
      <c r="Z1413" s="56"/>
      <c r="AA1413" s="56"/>
      <c r="AB1413" s="56"/>
    </row>
    <row r="1414" ht="15.75" customHeight="1">
      <c r="A1414" s="169"/>
      <c r="B1414" s="69"/>
      <c r="C1414" s="22" t="s">
        <v>53</v>
      </c>
      <c r="D1414" s="62" t="s">
        <v>108</v>
      </c>
      <c r="E1414" s="242" t="s">
        <v>1305</v>
      </c>
      <c r="F1414" s="242" t="s">
        <v>1306</v>
      </c>
      <c r="G1414" s="73" t="s">
        <v>4997</v>
      </c>
      <c r="H1414" s="62" t="s">
        <v>6399</v>
      </c>
      <c r="I1414" s="62" t="s">
        <v>6400</v>
      </c>
      <c r="J1414" s="242" t="s">
        <v>1308</v>
      </c>
      <c r="K1414" s="38"/>
      <c r="L1414" s="38"/>
      <c r="M1414" s="56"/>
      <c r="N1414" s="56" t="b">
        <v>0</v>
      </c>
      <c r="O1414" s="56" t="b">
        <v>0</v>
      </c>
      <c r="P1414" s="56"/>
      <c r="Q1414" s="56"/>
      <c r="R1414" s="56"/>
      <c r="S1414" s="56"/>
      <c r="T1414" s="56"/>
      <c r="U1414" s="56"/>
      <c r="V1414" s="56"/>
      <c r="W1414" s="56"/>
      <c r="X1414" s="56"/>
      <c r="Y1414" s="56"/>
      <c r="Z1414" s="56"/>
      <c r="AA1414" s="56"/>
      <c r="AB1414" s="56"/>
    </row>
    <row r="1415" ht="15.75" customHeight="1">
      <c r="A1415" s="169"/>
      <c r="B1415" s="273"/>
      <c r="C1415" s="275"/>
      <c r="D1415" s="38"/>
      <c r="E1415" s="38"/>
      <c r="F1415" s="65"/>
      <c r="G1415" s="66"/>
      <c r="H1415" s="38"/>
      <c r="I1415" s="38"/>
      <c r="J1415" s="38"/>
      <c r="K1415" s="38"/>
      <c r="L1415" s="38"/>
      <c r="M1415" s="56"/>
      <c r="N1415" s="56" t="b">
        <v>0</v>
      </c>
      <c r="O1415" s="56" t="b">
        <v>0</v>
      </c>
      <c r="P1415" s="56"/>
      <c r="Q1415" s="56"/>
      <c r="R1415" s="56"/>
      <c r="S1415" s="56"/>
      <c r="T1415" s="56"/>
      <c r="U1415" s="56"/>
      <c r="V1415" s="56"/>
      <c r="W1415" s="56"/>
      <c r="X1415" s="56"/>
      <c r="Y1415" s="56"/>
      <c r="Z1415" s="56"/>
      <c r="AA1415" s="56"/>
      <c r="AB1415" s="56"/>
    </row>
    <row r="1416" ht="15.75" customHeight="1">
      <c r="A1416" s="169"/>
      <c r="B1416" s="63"/>
      <c r="C1416" s="22" t="s">
        <v>66</v>
      </c>
      <c r="D1416" s="38"/>
      <c r="E1416" s="38"/>
      <c r="F1416" s="65"/>
      <c r="G1416" s="66"/>
      <c r="H1416" s="38"/>
      <c r="I1416" s="38"/>
      <c r="J1416" s="38"/>
      <c r="K1416" s="38"/>
      <c r="L1416" s="38"/>
      <c r="M1416" s="56"/>
      <c r="N1416" s="56" t="b">
        <v>0</v>
      </c>
      <c r="O1416" s="56" t="b">
        <v>0</v>
      </c>
      <c r="P1416" s="56"/>
      <c r="Q1416" s="56"/>
      <c r="R1416" s="56"/>
      <c r="S1416" s="56"/>
      <c r="T1416" s="56"/>
      <c r="U1416" s="56"/>
      <c r="V1416" s="56"/>
      <c r="W1416" s="56"/>
      <c r="X1416" s="56"/>
      <c r="Y1416" s="56"/>
      <c r="Z1416" s="56"/>
      <c r="AA1416" s="56"/>
      <c r="AB1416" s="56"/>
    </row>
    <row r="1417" ht="15.75" customHeight="1">
      <c r="A1417" s="169"/>
      <c r="B1417" s="63"/>
      <c r="C1417" s="22" t="s">
        <v>66</v>
      </c>
      <c r="D1417" s="38"/>
      <c r="E1417" s="38"/>
      <c r="F1417" s="65"/>
      <c r="G1417" s="66"/>
      <c r="H1417" s="38"/>
      <c r="I1417" s="38"/>
      <c r="J1417" s="38"/>
      <c r="K1417" s="38"/>
      <c r="L1417" s="38"/>
      <c r="M1417" s="56"/>
      <c r="N1417" s="56" t="b">
        <v>0</v>
      </c>
      <c r="O1417" s="56" t="b">
        <v>0</v>
      </c>
      <c r="P1417" s="56"/>
      <c r="Q1417" s="56"/>
      <c r="R1417" s="56"/>
      <c r="S1417" s="56"/>
      <c r="T1417" s="56"/>
      <c r="U1417" s="56"/>
      <c r="V1417" s="56"/>
      <c r="W1417" s="56"/>
      <c r="X1417" s="56"/>
      <c r="Y1417" s="56"/>
      <c r="Z1417" s="56"/>
      <c r="AA1417" s="56"/>
      <c r="AB1417" s="56"/>
    </row>
    <row r="1418" ht="15.75" customHeight="1">
      <c r="A1418" s="169"/>
      <c r="B1418" s="63"/>
      <c r="C1418" s="22" t="s">
        <v>66</v>
      </c>
      <c r="D1418" s="27" t="s">
        <v>89</v>
      </c>
      <c r="E1418" s="242" t="s">
        <v>1619</v>
      </c>
      <c r="F1418" s="242" t="s">
        <v>1620</v>
      </c>
      <c r="G1418" s="73" t="s">
        <v>5134</v>
      </c>
      <c r="H1418" s="62" t="s">
        <v>6401</v>
      </c>
      <c r="I1418" s="62" t="s">
        <v>6402</v>
      </c>
      <c r="J1418" s="242" t="s">
        <v>1622</v>
      </c>
      <c r="K1418" s="38"/>
      <c r="L1418" s="38"/>
      <c r="M1418" s="56"/>
      <c r="N1418" s="56" t="b">
        <v>0</v>
      </c>
      <c r="O1418" s="56" t="b">
        <v>0</v>
      </c>
      <c r="P1418" s="56"/>
      <c r="Q1418" s="56"/>
      <c r="R1418" s="56"/>
      <c r="S1418" s="56"/>
      <c r="T1418" s="56"/>
      <c r="U1418" s="56"/>
      <c r="V1418" s="56"/>
      <c r="W1418" s="56"/>
      <c r="X1418" s="56"/>
      <c r="Y1418" s="56"/>
      <c r="Z1418" s="56"/>
      <c r="AA1418" s="56"/>
      <c r="AB1418" s="56"/>
    </row>
    <row r="1419" ht="15.75" customHeight="1">
      <c r="A1419" s="169"/>
      <c r="B1419" s="63"/>
      <c r="C1419" s="22" t="s">
        <v>66</v>
      </c>
      <c r="D1419" s="62" t="s">
        <v>108</v>
      </c>
      <c r="E1419" s="242" t="s">
        <v>3757</v>
      </c>
      <c r="F1419" s="242" t="s">
        <v>3758</v>
      </c>
      <c r="G1419" s="73" t="s">
        <v>4856</v>
      </c>
      <c r="H1419" s="62" t="s">
        <v>5179</v>
      </c>
      <c r="I1419" s="62" t="s">
        <v>6403</v>
      </c>
      <c r="J1419" s="242" t="s">
        <v>3759</v>
      </c>
      <c r="K1419" s="38" t="s">
        <v>5528</v>
      </c>
      <c r="L1419" s="38"/>
      <c r="M1419" s="56"/>
      <c r="N1419" s="56" t="b">
        <v>0</v>
      </c>
      <c r="O1419" s="56" t="b">
        <v>0</v>
      </c>
      <c r="P1419" s="56"/>
      <c r="Q1419" s="56"/>
      <c r="R1419" s="56"/>
      <c r="S1419" s="56"/>
      <c r="T1419" s="56"/>
      <c r="U1419" s="56"/>
      <c r="V1419" s="56"/>
      <c r="W1419" s="56"/>
      <c r="X1419" s="56"/>
      <c r="Y1419" s="56"/>
      <c r="Z1419" s="56"/>
      <c r="AA1419" s="56"/>
      <c r="AB1419" s="56"/>
    </row>
    <row r="1420" ht="15.75" customHeight="1">
      <c r="A1420" s="169"/>
      <c r="B1420" s="63"/>
      <c r="C1420" s="22"/>
      <c r="D1420" s="279" t="s">
        <v>103</v>
      </c>
      <c r="E1420" s="242" t="s">
        <v>2183</v>
      </c>
      <c r="F1420" s="242" t="s">
        <v>2184</v>
      </c>
      <c r="G1420" s="73" t="s">
        <v>4892</v>
      </c>
      <c r="H1420" s="62" t="s">
        <v>6217</v>
      </c>
      <c r="I1420" s="285" t="s">
        <v>6404</v>
      </c>
      <c r="J1420" s="242" t="s">
        <v>2185</v>
      </c>
      <c r="K1420" s="38" t="s">
        <v>5528</v>
      </c>
      <c r="L1420" s="38"/>
      <c r="M1420" s="56"/>
      <c r="N1420" s="56" t="b">
        <v>0</v>
      </c>
      <c r="O1420" s="56" t="b">
        <v>0</v>
      </c>
      <c r="P1420" s="56"/>
      <c r="Q1420" s="56"/>
      <c r="R1420" s="56"/>
      <c r="S1420" s="56"/>
      <c r="T1420" s="56"/>
      <c r="U1420" s="56"/>
      <c r="V1420" s="56"/>
      <c r="W1420" s="56"/>
      <c r="X1420" s="56"/>
      <c r="Y1420" s="56"/>
      <c r="Z1420" s="56"/>
      <c r="AA1420" s="56"/>
      <c r="AB1420" s="56"/>
    </row>
    <row r="1421" ht="15.75" customHeight="1">
      <c r="A1421" s="169"/>
      <c r="B1421" s="63"/>
      <c r="C1421" s="22" t="s">
        <v>66</v>
      </c>
      <c r="D1421" s="279" t="s">
        <v>103</v>
      </c>
      <c r="E1421" s="286" t="s">
        <v>674</v>
      </c>
      <c r="F1421" s="286" t="s">
        <v>675</v>
      </c>
      <c r="G1421" s="264" t="s">
        <v>4858</v>
      </c>
      <c r="H1421" s="265" t="s">
        <v>6092</v>
      </c>
      <c r="I1421" s="265" t="s">
        <v>6344</v>
      </c>
      <c r="J1421" s="286" t="s">
        <v>679</v>
      </c>
      <c r="K1421" s="38"/>
      <c r="L1421" s="38"/>
      <c r="M1421" s="56"/>
      <c r="N1421" s="56" t="b">
        <v>0</v>
      </c>
      <c r="O1421" s="56" t="b">
        <v>0</v>
      </c>
      <c r="P1421" s="56"/>
      <c r="Q1421" s="56"/>
      <c r="R1421" s="56"/>
      <c r="S1421" s="56"/>
      <c r="T1421" s="56"/>
      <c r="U1421" s="56"/>
      <c r="V1421" s="56"/>
      <c r="W1421" s="56"/>
      <c r="X1421" s="56"/>
      <c r="Y1421" s="56"/>
      <c r="Z1421" s="56"/>
      <c r="AA1421" s="56"/>
      <c r="AB1421" s="56"/>
    </row>
    <row r="1422" ht="15.75" customHeight="1">
      <c r="A1422" s="169"/>
      <c r="B1422" s="69"/>
      <c r="C1422" s="22" t="s">
        <v>66</v>
      </c>
      <c r="D1422" s="38"/>
      <c r="E1422" s="38"/>
      <c r="F1422" s="65"/>
      <c r="G1422" s="66"/>
      <c r="H1422" s="38"/>
      <c r="I1422" s="38"/>
      <c r="J1422" s="38"/>
      <c r="K1422" s="38"/>
      <c r="L1422" s="38"/>
      <c r="M1422" s="56"/>
      <c r="N1422" s="56" t="b">
        <v>0</v>
      </c>
      <c r="O1422" s="56" t="b">
        <v>0</v>
      </c>
      <c r="P1422" s="56"/>
      <c r="Q1422" s="56"/>
      <c r="R1422" s="56"/>
      <c r="S1422" s="56"/>
      <c r="T1422" s="56"/>
      <c r="U1422" s="56"/>
      <c r="V1422" s="56"/>
      <c r="W1422" s="56"/>
      <c r="X1422" s="56"/>
      <c r="Y1422" s="56"/>
      <c r="Z1422" s="56"/>
      <c r="AA1422" s="56"/>
      <c r="AB1422" s="56"/>
    </row>
    <row r="1423" ht="15.75" customHeight="1">
      <c r="A1423" s="169"/>
      <c r="B1423" s="118"/>
      <c r="C1423" s="38"/>
      <c r="D1423" s="38"/>
      <c r="E1423" s="38"/>
      <c r="F1423" s="65"/>
      <c r="G1423" s="66"/>
      <c r="H1423" s="38"/>
      <c r="I1423" s="38"/>
      <c r="J1423" s="38"/>
      <c r="K1423" s="38"/>
      <c r="L1423" s="38"/>
      <c r="M1423" s="56"/>
      <c r="N1423" s="56" t="b">
        <v>0</v>
      </c>
      <c r="O1423" s="56" t="b">
        <v>0</v>
      </c>
      <c r="P1423" s="56"/>
      <c r="Q1423" s="56"/>
      <c r="R1423" s="56"/>
      <c r="S1423" s="56"/>
      <c r="T1423" s="56"/>
      <c r="U1423" s="56"/>
      <c r="V1423" s="56"/>
      <c r="W1423" s="56"/>
      <c r="X1423" s="56"/>
      <c r="Y1423" s="56"/>
      <c r="Z1423" s="56"/>
      <c r="AA1423" s="56"/>
      <c r="AB1423" s="56"/>
    </row>
    <row r="1424" ht="15.75" customHeight="1">
      <c r="A1424" s="169"/>
      <c r="B1424" s="118"/>
      <c r="C1424" s="38"/>
      <c r="D1424" s="38"/>
      <c r="E1424" s="38"/>
      <c r="F1424" s="65"/>
      <c r="G1424" s="66"/>
      <c r="H1424" s="38"/>
      <c r="I1424" s="38"/>
      <c r="J1424" s="38"/>
      <c r="K1424" s="38"/>
      <c r="L1424" s="38"/>
      <c r="M1424" s="56"/>
      <c r="N1424" s="56" t="b">
        <v>0</v>
      </c>
      <c r="O1424" s="56" t="b">
        <v>0</v>
      </c>
      <c r="P1424" s="56"/>
      <c r="Q1424" s="56"/>
      <c r="R1424" s="56"/>
      <c r="S1424" s="56"/>
      <c r="T1424" s="56"/>
      <c r="U1424" s="56"/>
      <c r="V1424" s="56"/>
      <c r="W1424" s="56"/>
      <c r="X1424" s="56"/>
      <c r="Y1424" s="56"/>
      <c r="Z1424" s="56"/>
      <c r="AA1424" s="56"/>
      <c r="AB1424" s="56"/>
    </row>
    <row r="1425" ht="15.75" customHeight="1">
      <c r="A1425" s="169"/>
      <c r="B1425" s="219" t="s">
        <v>4836</v>
      </c>
      <c r="C1425" s="220">
        <v>44509.0</v>
      </c>
      <c r="D1425" s="38"/>
      <c r="E1425" s="38"/>
      <c r="F1425" s="65"/>
      <c r="G1425" s="66"/>
      <c r="H1425" s="38"/>
      <c r="I1425" s="38"/>
      <c r="J1425" s="38"/>
      <c r="K1425" s="38"/>
      <c r="L1425" s="38"/>
      <c r="M1425" s="56"/>
      <c r="N1425" s="56" t="b">
        <v>0</v>
      </c>
      <c r="O1425" s="56" t="b">
        <v>0</v>
      </c>
      <c r="P1425" s="56"/>
      <c r="Q1425" s="56"/>
      <c r="R1425" s="56"/>
      <c r="S1425" s="56"/>
      <c r="T1425" s="56"/>
      <c r="U1425" s="56"/>
      <c r="V1425" s="56"/>
      <c r="W1425" s="56"/>
      <c r="X1425" s="56"/>
      <c r="Y1425" s="56"/>
      <c r="Z1425" s="56"/>
      <c r="AA1425" s="56"/>
      <c r="AB1425" s="56"/>
    </row>
    <row r="1426" ht="15.75" customHeight="1">
      <c r="A1426" s="169"/>
      <c r="B1426" s="63"/>
      <c r="C1426" s="22"/>
      <c r="D1426" s="38"/>
      <c r="E1426" s="38"/>
      <c r="F1426" s="65"/>
      <c r="G1426" s="66"/>
      <c r="H1426" s="38"/>
      <c r="I1426" s="38"/>
      <c r="J1426" s="38"/>
      <c r="K1426" s="38"/>
      <c r="L1426" s="38"/>
      <c r="M1426" s="56"/>
      <c r="N1426" s="56" t="b">
        <v>0</v>
      </c>
      <c r="O1426" s="56" t="b">
        <v>0</v>
      </c>
      <c r="P1426" s="56"/>
      <c r="Q1426" s="56"/>
      <c r="R1426" s="56"/>
      <c r="S1426" s="56"/>
      <c r="T1426" s="56"/>
      <c r="U1426" s="56"/>
      <c r="V1426" s="56"/>
      <c r="W1426" s="56"/>
      <c r="X1426" s="56"/>
      <c r="Y1426" s="56"/>
      <c r="Z1426" s="56"/>
      <c r="AA1426" s="56"/>
      <c r="AB1426" s="56"/>
    </row>
    <row r="1427" ht="15.75" customHeight="1">
      <c r="A1427" s="169"/>
      <c r="B1427" s="63"/>
      <c r="C1427" s="22" t="s">
        <v>53</v>
      </c>
      <c r="D1427" s="227" t="s">
        <v>89</v>
      </c>
      <c r="E1427" s="242" t="s">
        <v>6405</v>
      </c>
      <c r="F1427" s="242" t="s">
        <v>6406</v>
      </c>
      <c r="G1427" s="258">
        <v>0.5</v>
      </c>
      <c r="H1427" s="62" t="s">
        <v>5179</v>
      </c>
      <c r="I1427" s="170" t="s">
        <v>6407</v>
      </c>
      <c r="J1427" s="242" t="s">
        <v>6408</v>
      </c>
      <c r="K1427" s="38"/>
      <c r="L1427" s="38"/>
      <c r="M1427" s="56"/>
      <c r="N1427" s="56" t="b">
        <v>0</v>
      </c>
      <c r="O1427" s="56" t="b">
        <v>0</v>
      </c>
      <c r="P1427" s="56"/>
      <c r="Q1427" s="56"/>
      <c r="R1427" s="56"/>
      <c r="S1427" s="56"/>
      <c r="T1427" s="56"/>
      <c r="U1427" s="56"/>
      <c r="V1427" s="56"/>
      <c r="W1427" s="56"/>
      <c r="X1427" s="56"/>
      <c r="Y1427" s="56"/>
      <c r="Z1427" s="56"/>
      <c r="AA1427" s="56"/>
      <c r="AB1427" s="56"/>
    </row>
    <row r="1428" ht="15.75" customHeight="1">
      <c r="A1428" s="169"/>
      <c r="B1428" s="63"/>
      <c r="C1428" s="22" t="s">
        <v>53</v>
      </c>
      <c r="D1428" s="227" t="s">
        <v>133</v>
      </c>
      <c r="E1428" s="242" t="s">
        <v>3631</v>
      </c>
      <c r="F1428" s="242" t="s">
        <v>3632</v>
      </c>
      <c r="G1428" s="258">
        <v>0.5833333333333334</v>
      </c>
      <c r="H1428" s="170" t="s">
        <v>5165</v>
      </c>
      <c r="I1428" s="170" t="s">
        <v>6409</v>
      </c>
      <c r="J1428" s="242" t="s">
        <v>3634</v>
      </c>
      <c r="K1428" s="38"/>
      <c r="L1428" s="38"/>
      <c r="M1428" s="56"/>
      <c r="N1428" s="56" t="b">
        <v>0</v>
      </c>
      <c r="O1428" s="56" t="b">
        <v>0</v>
      </c>
      <c r="P1428" s="56"/>
      <c r="Q1428" s="56"/>
      <c r="R1428" s="56"/>
      <c r="S1428" s="56"/>
      <c r="T1428" s="56"/>
      <c r="U1428" s="56"/>
      <c r="V1428" s="56"/>
      <c r="W1428" s="56"/>
      <c r="X1428" s="56"/>
      <c r="Y1428" s="56"/>
      <c r="Z1428" s="56"/>
      <c r="AA1428" s="56"/>
      <c r="AB1428" s="56"/>
    </row>
    <row r="1429" ht="15.75" customHeight="1">
      <c r="A1429" s="169"/>
      <c r="B1429" s="63"/>
      <c r="C1429" s="22" t="s">
        <v>53</v>
      </c>
      <c r="D1429" s="172" t="s">
        <v>89</v>
      </c>
      <c r="E1429" s="255" t="s">
        <v>6410</v>
      </c>
      <c r="F1429" s="255"/>
      <c r="G1429" s="254">
        <v>0.5833333333333334</v>
      </c>
      <c r="H1429" s="255" t="s">
        <v>6411</v>
      </c>
      <c r="I1429" s="255" t="s">
        <v>6412</v>
      </c>
      <c r="J1429" s="203" t="s">
        <v>3242</v>
      </c>
      <c r="K1429" s="38" t="s">
        <v>6413</v>
      </c>
      <c r="L1429" s="38"/>
      <c r="M1429" s="56"/>
      <c r="N1429" s="56" t="b">
        <v>0</v>
      </c>
      <c r="O1429" s="56" t="b">
        <v>0</v>
      </c>
      <c r="P1429" s="56"/>
      <c r="Q1429" s="56"/>
      <c r="R1429" s="56"/>
      <c r="S1429" s="56"/>
      <c r="T1429" s="56"/>
      <c r="U1429" s="56"/>
      <c r="V1429" s="56"/>
      <c r="W1429" s="56"/>
      <c r="X1429" s="56"/>
      <c r="Y1429" s="56"/>
      <c r="Z1429" s="56"/>
      <c r="AA1429" s="56"/>
      <c r="AB1429" s="56"/>
    </row>
    <row r="1430" ht="15.75" customHeight="1">
      <c r="A1430" s="169"/>
      <c r="B1430" s="63"/>
      <c r="C1430" s="22" t="s">
        <v>53</v>
      </c>
      <c r="D1430" s="62" t="s">
        <v>314</v>
      </c>
      <c r="E1430" s="60" t="s">
        <v>1605</v>
      </c>
      <c r="F1430" s="60" t="s">
        <v>1606</v>
      </c>
      <c r="G1430" s="73" t="s">
        <v>4858</v>
      </c>
      <c r="H1430" s="62" t="s">
        <v>5179</v>
      </c>
      <c r="I1430" s="62" t="s">
        <v>6414</v>
      </c>
      <c r="J1430" s="60" t="s">
        <v>1608</v>
      </c>
      <c r="K1430" s="38"/>
      <c r="L1430" s="38"/>
      <c r="M1430" s="56"/>
      <c r="N1430" s="56" t="b">
        <v>0</v>
      </c>
      <c r="O1430" s="56" t="b">
        <v>0</v>
      </c>
      <c r="P1430" s="56"/>
      <c r="Q1430" s="56"/>
      <c r="R1430" s="56"/>
      <c r="S1430" s="56"/>
      <c r="T1430" s="56"/>
      <c r="U1430" s="56"/>
      <c r="V1430" s="56"/>
      <c r="W1430" s="56"/>
      <c r="X1430" s="56"/>
      <c r="Y1430" s="56"/>
      <c r="Z1430" s="56"/>
      <c r="AA1430" s="56"/>
      <c r="AB1430" s="56"/>
    </row>
    <row r="1431" ht="15.75" customHeight="1">
      <c r="A1431" s="169"/>
      <c r="B1431" s="63"/>
      <c r="C1431" s="22" t="s">
        <v>53</v>
      </c>
      <c r="D1431" s="281" t="s">
        <v>103</v>
      </c>
      <c r="E1431" s="77" t="s">
        <v>3360</v>
      </c>
      <c r="F1431" s="77" t="s">
        <v>3361</v>
      </c>
      <c r="G1431" s="82" t="s">
        <v>5089</v>
      </c>
      <c r="H1431" s="76" t="s">
        <v>6175</v>
      </c>
      <c r="I1431" s="76" t="s">
        <v>6415</v>
      </c>
      <c r="J1431" s="77" t="s">
        <v>3363</v>
      </c>
      <c r="K1431" s="38" t="s">
        <v>6416</v>
      </c>
      <c r="L1431" s="38"/>
      <c r="M1431" s="56"/>
      <c r="N1431" s="56" t="b">
        <v>0</v>
      </c>
      <c r="O1431" s="56" t="b">
        <v>0</v>
      </c>
      <c r="P1431" s="56"/>
      <c r="Q1431" s="56"/>
      <c r="R1431" s="56"/>
      <c r="S1431" s="56"/>
      <c r="T1431" s="56"/>
      <c r="U1431" s="56"/>
      <c r="V1431" s="56"/>
      <c r="W1431" s="56"/>
      <c r="X1431" s="56"/>
      <c r="Y1431" s="56"/>
      <c r="Z1431" s="56"/>
      <c r="AA1431" s="56"/>
      <c r="AB1431" s="56"/>
    </row>
    <row r="1432" ht="15.75" customHeight="1">
      <c r="A1432" s="169"/>
      <c r="B1432" s="69"/>
      <c r="C1432" s="164"/>
      <c r="D1432" s="164"/>
      <c r="E1432" s="164"/>
      <c r="F1432" s="164"/>
      <c r="G1432" s="201"/>
      <c r="H1432" s="164"/>
      <c r="I1432" s="164"/>
      <c r="J1432" s="164"/>
      <c r="K1432" s="38"/>
      <c r="L1432" s="38"/>
      <c r="M1432" s="56"/>
      <c r="N1432" s="56" t="b">
        <v>0</v>
      </c>
      <c r="O1432" s="56" t="b">
        <v>0</v>
      </c>
      <c r="P1432" s="56"/>
      <c r="Q1432" s="56"/>
      <c r="R1432" s="56"/>
      <c r="S1432" s="56"/>
      <c r="T1432" s="56"/>
      <c r="U1432" s="56"/>
      <c r="V1432" s="56"/>
      <c r="W1432" s="56"/>
      <c r="X1432" s="56"/>
      <c r="Y1432" s="56"/>
      <c r="Z1432" s="56"/>
      <c r="AA1432" s="56"/>
      <c r="AB1432" s="56"/>
    </row>
    <row r="1433" ht="15.75" customHeight="1">
      <c r="A1433" s="169"/>
      <c r="B1433" s="273"/>
      <c r="C1433" s="31"/>
      <c r="D1433" s="164"/>
      <c r="E1433" s="164"/>
      <c r="F1433" s="164"/>
      <c r="G1433" s="201"/>
      <c r="H1433" s="164"/>
      <c r="I1433" s="164"/>
      <c r="J1433" s="164"/>
      <c r="K1433" s="38"/>
      <c r="L1433" s="38"/>
      <c r="M1433" s="56"/>
      <c r="N1433" s="56" t="b">
        <v>0</v>
      </c>
      <c r="O1433" s="56" t="b">
        <v>0</v>
      </c>
      <c r="P1433" s="56"/>
      <c r="Q1433" s="56"/>
      <c r="R1433" s="56"/>
      <c r="S1433" s="56"/>
      <c r="T1433" s="56"/>
      <c r="U1433" s="56"/>
      <c r="V1433" s="56"/>
      <c r="W1433" s="56"/>
      <c r="X1433" s="56"/>
      <c r="Y1433" s="56"/>
      <c r="Z1433" s="56"/>
      <c r="AA1433" s="56"/>
      <c r="AB1433" s="56"/>
    </row>
    <row r="1434" ht="15.75" customHeight="1">
      <c r="A1434" s="169"/>
      <c r="B1434" s="63"/>
      <c r="C1434" s="22" t="s">
        <v>66</v>
      </c>
      <c r="D1434" s="38"/>
      <c r="E1434" s="38"/>
      <c r="F1434" s="127" t="s">
        <v>6417</v>
      </c>
      <c r="G1434" s="270"/>
      <c r="H1434" s="129"/>
      <c r="I1434" s="38"/>
      <c r="J1434" s="38"/>
      <c r="K1434" s="38"/>
      <c r="L1434" s="38"/>
      <c r="M1434" s="56"/>
      <c r="N1434" s="56" t="b">
        <v>0</v>
      </c>
      <c r="O1434" s="56" t="b">
        <v>0</v>
      </c>
      <c r="P1434" s="56"/>
      <c r="Q1434" s="56"/>
      <c r="R1434" s="56"/>
      <c r="S1434" s="56"/>
      <c r="T1434" s="56"/>
      <c r="U1434" s="56"/>
      <c r="V1434" s="56"/>
      <c r="W1434" s="56"/>
      <c r="X1434" s="56"/>
      <c r="Y1434" s="56"/>
      <c r="Z1434" s="56"/>
      <c r="AA1434" s="56"/>
      <c r="AB1434" s="56"/>
    </row>
    <row r="1435" ht="15.75" customHeight="1">
      <c r="A1435" s="169"/>
      <c r="B1435" s="63"/>
      <c r="C1435" s="22" t="s">
        <v>66</v>
      </c>
      <c r="D1435" s="76" t="s">
        <v>314</v>
      </c>
      <c r="E1435" s="77" t="s">
        <v>6418</v>
      </c>
      <c r="F1435" s="77" t="s">
        <v>6419</v>
      </c>
      <c r="G1435" s="82" t="s">
        <v>5704</v>
      </c>
      <c r="H1435" s="76" t="s">
        <v>6420</v>
      </c>
      <c r="I1435" s="76" t="s">
        <v>6421</v>
      </c>
      <c r="J1435" s="77" t="s">
        <v>6422</v>
      </c>
      <c r="K1435" s="38" t="s">
        <v>6423</v>
      </c>
      <c r="L1435" s="38"/>
      <c r="M1435" s="56"/>
      <c r="N1435" s="56" t="b">
        <v>0</v>
      </c>
      <c r="O1435" s="56" t="b">
        <v>0</v>
      </c>
      <c r="P1435" s="56"/>
      <c r="Q1435" s="56"/>
      <c r="R1435" s="56"/>
      <c r="S1435" s="56"/>
      <c r="T1435" s="56"/>
      <c r="U1435" s="56"/>
      <c r="V1435" s="56"/>
      <c r="W1435" s="56"/>
      <c r="X1435" s="56"/>
      <c r="Y1435" s="56"/>
      <c r="Z1435" s="56"/>
      <c r="AA1435" s="56"/>
      <c r="AB1435" s="56"/>
    </row>
    <row r="1436" ht="15.75" customHeight="1">
      <c r="A1436" s="169"/>
      <c r="B1436" s="63"/>
      <c r="C1436" s="22" t="s">
        <v>66</v>
      </c>
      <c r="D1436" s="62" t="s">
        <v>314</v>
      </c>
      <c r="E1436" s="60" t="s">
        <v>3650</v>
      </c>
      <c r="F1436" s="60" t="s">
        <v>3651</v>
      </c>
      <c r="G1436" s="73" t="s">
        <v>5134</v>
      </c>
      <c r="H1436" s="62" t="s">
        <v>6137</v>
      </c>
      <c r="I1436" s="60" t="s">
        <v>6424</v>
      </c>
      <c r="J1436" s="60" t="s">
        <v>3653</v>
      </c>
      <c r="K1436" s="38"/>
      <c r="L1436" s="38"/>
      <c r="M1436" s="56"/>
      <c r="N1436" s="56" t="b">
        <v>0</v>
      </c>
      <c r="O1436" s="56" t="b">
        <v>0</v>
      </c>
      <c r="P1436" s="56"/>
      <c r="Q1436" s="56"/>
      <c r="R1436" s="56"/>
      <c r="S1436" s="56"/>
      <c r="T1436" s="56"/>
      <c r="U1436" s="56"/>
      <c r="V1436" s="56"/>
      <c r="W1436" s="56"/>
      <c r="X1436" s="56"/>
      <c r="Y1436" s="56"/>
      <c r="Z1436" s="56"/>
      <c r="AA1436" s="56"/>
      <c r="AB1436" s="56"/>
    </row>
    <row r="1437" ht="15.75" customHeight="1">
      <c r="A1437" s="169"/>
      <c r="B1437" s="63"/>
      <c r="C1437" s="22" t="s">
        <v>66</v>
      </c>
      <c r="D1437" s="172" t="s">
        <v>89</v>
      </c>
      <c r="E1437" s="77" t="s">
        <v>1937</v>
      </c>
      <c r="F1437" s="77" t="s">
        <v>1938</v>
      </c>
      <c r="G1437" s="82" t="s">
        <v>4856</v>
      </c>
      <c r="H1437" s="76" t="s">
        <v>6425</v>
      </c>
      <c r="I1437" s="76" t="s">
        <v>6426</v>
      </c>
      <c r="J1437" s="76" t="s">
        <v>1940</v>
      </c>
      <c r="K1437" s="76"/>
      <c r="L1437" s="38"/>
      <c r="M1437" s="56"/>
      <c r="N1437" s="56" t="b">
        <v>0</v>
      </c>
      <c r="O1437" s="56" t="b">
        <v>0</v>
      </c>
      <c r="P1437" s="56"/>
      <c r="Q1437" s="56"/>
      <c r="R1437" s="56"/>
      <c r="S1437" s="56"/>
      <c r="T1437" s="56"/>
      <c r="U1437" s="56"/>
      <c r="V1437" s="56"/>
      <c r="W1437" s="56"/>
      <c r="X1437" s="56"/>
      <c r="Y1437" s="56"/>
      <c r="Z1437" s="56"/>
      <c r="AA1437" s="56"/>
      <c r="AB1437" s="56"/>
    </row>
    <row r="1438" ht="15.75" customHeight="1">
      <c r="A1438" s="169"/>
      <c r="B1438" s="63"/>
      <c r="C1438" s="22" t="s">
        <v>66</v>
      </c>
      <c r="D1438" s="172" t="s">
        <v>89</v>
      </c>
      <c r="E1438" s="77" t="s">
        <v>517</v>
      </c>
      <c r="F1438" s="77" t="s">
        <v>518</v>
      </c>
      <c r="G1438" s="82" t="s">
        <v>4858</v>
      </c>
      <c r="H1438" s="76" t="s">
        <v>6427</v>
      </c>
      <c r="I1438" s="76" t="s">
        <v>6428</v>
      </c>
      <c r="J1438" s="77" t="s">
        <v>520</v>
      </c>
      <c r="K1438" s="38" t="s">
        <v>5528</v>
      </c>
      <c r="L1438" s="38"/>
      <c r="M1438" s="56"/>
      <c r="N1438" s="56" t="b">
        <v>0</v>
      </c>
      <c r="O1438" s="56" t="b">
        <v>0</v>
      </c>
      <c r="P1438" s="56"/>
      <c r="Q1438" s="56"/>
      <c r="R1438" s="56"/>
      <c r="S1438" s="56"/>
      <c r="T1438" s="56"/>
      <c r="U1438" s="56"/>
      <c r="V1438" s="56"/>
      <c r="W1438" s="56"/>
      <c r="X1438" s="56"/>
      <c r="Y1438" s="56"/>
      <c r="Z1438" s="56"/>
      <c r="AA1438" s="56"/>
      <c r="AB1438" s="56"/>
    </row>
    <row r="1439" ht="15.75" customHeight="1">
      <c r="A1439" s="169"/>
      <c r="B1439" s="69"/>
      <c r="C1439" s="22" t="s">
        <v>66</v>
      </c>
      <c r="D1439" s="38"/>
      <c r="E1439" s="38"/>
      <c r="F1439" s="65"/>
      <c r="G1439" s="66"/>
      <c r="H1439" s="38"/>
      <c r="I1439" s="38"/>
      <c r="J1439" s="38"/>
      <c r="K1439" s="38"/>
      <c r="L1439" s="38"/>
      <c r="M1439" s="56"/>
      <c r="N1439" s="56" t="b">
        <v>0</v>
      </c>
      <c r="O1439" s="56" t="b">
        <v>0</v>
      </c>
      <c r="P1439" s="56"/>
      <c r="Q1439" s="56"/>
      <c r="R1439" s="56"/>
      <c r="S1439" s="56"/>
      <c r="T1439" s="56"/>
      <c r="U1439" s="56"/>
      <c r="V1439" s="56"/>
      <c r="W1439" s="56"/>
      <c r="X1439" s="56"/>
      <c r="Y1439" s="56"/>
      <c r="Z1439" s="56"/>
      <c r="AA1439" s="56"/>
      <c r="AB1439" s="56"/>
    </row>
    <row r="1440" ht="15.75" customHeight="1">
      <c r="A1440" s="169"/>
      <c r="B1440" s="118"/>
      <c r="C1440" s="38"/>
      <c r="D1440" s="38"/>
      <c r="E1440" s="38"/>
      <c r="F1440" s="65"/>
      <c r="G1440" s="66"/>
      <c r="H1440" s="38"/>
      <c r="I1440" s="38"/>
      <c r="J1440" s="38"/>
      <c r="K1440" s="38"/>
      <c r="L1440" s="38"/>
      <c r="M1440" s="56"/>
      <c r="N1440" s="56" t="b">
        <v>0</v>
      </c>
      <c r="O1440" s="56" t="b">
        <v>0</v>
      </c>
      <c r="P1440" s="56"/>
      <c r="Q1440" s="56"/>
      <c r="R1440" s="56"/>
      <c r="S1440" s="56"/>
      <c r="T1440" s="56"/>
      <c r="U1440" s="56"/>
      <c r="V1440" s="56"/>
      <c r="W1440" s="56"/>
      <c r="X1440" s="56"/>
      <c r="Y1440" s="56"/>
      <c r="Z1440" s="56"/>
      <c r="AA1440" s="56"/>
      <c r="AB1440" s="56"/>
    </row>
    <row r="1441" ht="15.75" customHeight="1">
      <c r="A1441" s="169"/>
      <c r="B1441" s="118"/>
      <c r="C1441" s="38"/>
      <c r="D1441" s="38"/>
      <c r="E1441" s="38"/>
      <c r="F1441" s="65"/>
      <c r="G1441" s="66"/>
      <c r="H1441" s="38"/>
      <c r="I1441" s="38"/>
      <c r="J1441" s="38"/>
      <c r="K1441" s="38"/>
      <c r="L1441" s="38"/>
      <c r="M1441" s="56"/>
      <c r="N1441" s="56" t="b">
        <v>0</v>
      </c>
      <c r="O1441" s="56" t="b">
        <v>0</v>
      </c>
      <c r="P1441" s="56"/>
      <c r="Q1441" s="56"/>
      <c r="R1441" s="56"/>
      <c r="S1441" s="56"/>
      <c r="T1441" s="56"/>
      <c r="U1441" s="56"/>
      <c r="V1441" s="56"/>
      <c r="W1441" s="56"/>
      <c r="X1441" s="56"/>
      <c r="Y1441" s="56"/>
      <c r="Z1441" s="56"/>
      <c r="AA1441" s="56"/>
      <c r="AB1441" s="56"/>
    </row>
    <row r="1442" ht="15.75" customHeight="1">
      <c r="A1442" s="169"/>
      <c r="B1442" s="219" t="s">
        <v>4836</v>
      </c>
      <c r="C1442" s="220">
        <v>44510.0</v>
      </c>
      <c r="D1442" s="38"/>
      <c r="E1442" s="38"/>
      <c r="F1442" s="65"/>
      <c r="G1442" s="66"/>
      <c r="H1442" s="38"/>
      <c r="I1442" s="38"/>
      <c r="J1442" s="38"/>
      <c r="K1442" s="38"/>
      <c r="L1442" s="38"/>
      <c r="M1442" s="56"/>
      <c r="N1442" s="56" t="b">
        <v>0</v>
      </c>
      <c r="O1442" s="56" t="b">
        <v>0</v>
      </c>
      <c r="P1442" s="56"/>
      <c r="Q1442" s="56"/>
      <c r="R1442" s="56"/>
      <c r="S1442" s="56"/>
      <c r="T1442" s="56"/>
      <c r="U1442" s="56"/>
      <c r="V1442" s="56"/>
      <c r="W1442" s="56"/>
      <c r="X1442" s="56"/>
      <c r="Y1442" s="56"/>
      <c r="Z1442" s="56"/>
      <c r="AA1442" s="56"/>
      <c r="AB1442" s="56"/>
    </row>
    <row r="1443" ht="15.75" customHeight="1">
      <c r="A1443" s="169"/>
      <c r="B1443" s="63"/>
      <c r="C1443" s="22"/>
      <c r="D1443" s="38"/>
      <c r="E1443" s="38"/>
      <c r="F1443" s="65"/>
      <c r="G1443" s="66"/>
      <c r="H1443" s="38"/>
      <c r="I1443" s="38"/>
      <c r="J1443" s="38"/>
      <c r="K1443" s="38"/>
      <c r="L1443" s="38"/>
      <c r="M1443" s="56"/>
      <c r="N1443" s="56" t="b">
        <v>0</v>
      </c>
      <c r="O1443" s="56" t="b">
        <v>0</v>
      </c>
      <c r="P1443" s="56"/>
      <c r="Q1443" s="56"/>
      <c r="R1443" s="56"/>
      <c r="S1443" s="56"/>
      <c r="T1443" s="56"/>
      <c r="U1443" s="56"/>
      <c r="V1443" s="56"/>
      <c r="W1443" s="56"/>
      <c r="X1443" s="56"/>
      <c r="Y1443" s="56"/>
      <c r="Z1443" s="56"/>
      <c r="AA1443" s="56"/>
      <c r="AB1443" s="56"/>
    </row>
    <row r="1444" ht="15.75" customHeight="1">
      <c r="A1444" s="169"/>
      <c r="B1444" s="63"/>
      <c r="C1444" s="22" t="s">
        <v>53</v>
      </c>
      <c r="D1444" s="62" t="s">
        <v>133</v>
      </c>
      <c r="E1444" s="242" t="s">
        <v>742</v>
      </c>
      <c r="F1444" s="242" t="s">
        <v>743</v>
      </c>
      <c r="G1444" s="287">
        <v>0.5</v>
      </c>
      <c r="H1444" s="288" t="s">
        <v>6429</v>
      </c>
      <c r="I1444" s="288" t="s">
        <v>6430</v>
      </c>
      <c r="J1444" s="288" t="s">
        <v>746</v>
      </c>
      <c r="K1444" s="38"/>
      <c r="L1444" s="38"/>
      <c r="M1444" s="56"/>
      <c r="N1444" s="56" t="b">
        <v>0</v>
      </c>
      <c r="O1444" s="56" t="b">
        <v>0</v>
      </c>
      <c r="P1444" s="56"/>
      <c r="Q1444" s="56"/>
      <c r="R1444" s="56"/>
      <c r="S1444" s="56"/>
      <c r="T1444" s="56"/>
      <c r="U1444" s="56"/>
      <c r="V1444" s="56"/>
      <c r="W1444" s="56"/>
      <c r="X1444" s="56"/>
      <c r="Y1444" s="56"/>
      <c r="Z1444" s="56"/>
      <c r="AA1444" s="56"/>
      <c r="AB1444" s="56"/>
    </row>
    <row r="1445" ht="15.75" customHeight="1">
      <c r="A1445" s="169"/>
      <c r="B1445" s="63"/>
      <c r="C1445" s="22" t="s">
        <v>53</v>
      </c>
      <c r="D1445" s="76" t="s">
        <v>133</v>
      </c>
      <c r="E1445" s="203" t="s">
        <v>1816</v>
      </c>
      <c r="F1445" s="203" t="s">
        <v>1817</v>
      </c>
      <c r="G1445" s="82" t="s">
        <v>4892</v>
      </c>
      <c r="H1445" s="76" t="s">
        <v>6429</v>
      </c>
      <c r="I1445" s="76" t="s">
        <v>6431</v>
      </c>
      <c r="J1445" s="76" t="s">
        <v>1819</v>
      </c>
      <c r="K1445" s="38" t="s">
        <v>273</v>
      </c>
      <c r="L1445" s="38"/>
      <c r="M1445" s="56"/>
      <c r="N1445" s="56" t="b">
        <v>0</v>
      </c>
      <c r="O1445" s="56" t="b">
        <v>0</v>
      </c>
      <c r="P1445" s="56"/>
      <c r="Q1445" s="56"/>
      <c r="R1445" s="56"/>
      <c r="S1445" s="56"/>
      <c r="T1445" s="56"/>
      <c r="U1445" s="56"/>
      <c r="V1445" s="56"/>
      <c r="W1445" s="56"/>
      <c r="X1445" s="56"/>
      <c r="Y1445" s="56"/>
      <c r="Z1445" s="56"/>
      <c r="AA1445" s="56"/>
      <c r="AB1445" s="56"/>
    </row>
    <row r="1446" ht="15.75" customHeight="1">
      <c r="A1446" s="169"/>
      <c r="B1446" s="63"/>
      <c r="C1446" s="22" t="s">
        <v>53</v>
      </c>
      <c r="D1446" s="62" t="s">
        <v>133</v>
      </c>
      <c r="E1446" s="242" t="s">
        <v>1402</v>
      </c>
      <c r="F1446" s="242" t="s">
        <v>1403</v>
      </c>
      <c r="G1446" s="73" t="s">
        <v>5036</v>
      </c>
      <c r="H1446" s="62" t="s">
        <v>6432</v>
      </c>
      <c r="I1446" s="62" t="s">
        <v>6433</v>
      </c>
      <c r="J1446" s="242" t="s">
        <v>1405</v>
      </c>
      <c r="K1446" s="289" t="s">
        <v>6434</v>
      </c>
      <c r="L1446" s="289"/>
      <c r="M1446" s="56"/>
      <c r="N1446" s="56" t="b">
        <v>0</v>
      </c>
      <c r="O1446" s="56" t="b">
        <v>0</v>
      </c>
      <c r="P1446" s="56"/>
      <c r="Q1446" s="56"/>
      <c r="R1446" s="56"/>
      <c r="S1446" s="56"/>
      <c r="T1446" s="56"/>
      <c r="U1446" s="56"/>
      <c r="V1446" s="56"/>
      <c r="W1446" s="56"/>
      <c r="X1446" s="56"/>
      <c r="Y1446" s="56"/>
      <c r="Z1446" s="56"/>
      <c r="AA1446" s="56"/>
      <c r="AB1446" s="56"/>
    </row>
    <row r="1447" ht="15.75" customHeight="1">
      <c r="A1447" s="169"/>
      <c r="B1447" s="63"/>
      <c r="C1447" s="22" t="s">
        <v>53</v>
      </c>
      <c r="D1447" s="281" t="s">
        <v>103</v>
      </c>
      <c r="E1447" s="203" t="s">
        <v>2413</v>
      </c>
      <c r="F1447" s="203" t="s">
        <v>2414</v>
      </c>
      <c r="G1447" s="82" t="s">
        <v>5089</v>
      </c>
      <c r="H1447" s="76" t="s">
        <v>5944</v>
      </c>
      <c r="I1447" s="76" t="s">
        <v>6435</v>
      </c>
      <c r="J1447" s="203" t="s">
        <v>2417</v>
      </c>
      <c r="K1447" s="76" t="s">
        <v>6436</v>
      </c>
      <c r="L1447" s="76"/>
      <c r="M1447" s="56"/>
      <c r="N1447" s="56" t="b">
        <v>0</v>
      </c>
      <c r="O1447" s="56" t="b">
        <v>0</v>
      </c>
      <c r="P1447" s="56"/>
      <c r="Q1447" s="56"/>
      <c r="R1447" s="56"/>
      <c r="S1447" s="56"/>
      <c r="T1447" s="56"/>
      <c r="U1447" s="56"/>
      <c r="V1447" s="56"/>
      <c r="W1447" s="56"/>
      <c r="X1447" s="56"/>
      <c r="Y1447" s="56"/>
      <c r="Z1447" s="56"/>
      <c r="AA1447" s="56"/>
      <c r="AB1447" s="56"/>
    </row>
    <row r="1448" ht="15.75" customHeight="1">
      <c r="A1448" s="169"/>
      <c r="B1448" s="69"/>
      <c r="C1448" s="22" t="s">
        <v>53</v>
      </c>
      <c r="D1448" s="38"/>
      <c r="E1448" s="38"/>
      <c r="F1448" s="65"/>
      <c r="G1448" s="66"/>
      <c r="H1448" s="38"/>
      <c r="I1448" s="38"/>
      <c r="J1448" s="38"/>
      <c r="K1448" s="38"/>
      <c r="L1448" s="38"/>
      <c r="M1448" s="56"/>
      <c r="N1448" s="56" t="b">
        <v>0</v>
      </c>
      <c r="O1448" s="56" t="b">
        <v>0</v>
      </c>
      <c r="P1448" s="56"/>
      <c r="Q1448" s="56"/>
      <c r="R1448" s="56"/>
      <c r="S1448" s="56"/>
      <c r="T1448" s="56"/>
      <c r="U1448" s="56"/>
      <c r="V1448" s="56"/>
      <c r="W1448" s="56"/>
      <c r="X1448" s="56"/>
      <c r="Y1448" s="56"/>
      <c r="Z1448" s="56"/>
      <c r="AA1448" s="56"/>
      <c r="AB1448" s="56"/>
    </row>
    <row r="1449" ht="15.75" customHeight="1">
      <c r="A1449" s="169"/>
      <c r="B1449" s="273" t="s">
        <v>6168</v>
      </c>
      <c r="C1449" s="275"/>
      <c r="D1449" s="38"/>
      <c r="E1449" s="38"/>
      <c r="F1449" s="65"/>
      <c r="G1449" s="66"/>
      <c r="H1449" s="38"/>
      <c r="I1449" s="38"/>
      <c r="J1449" s="38"/>
      <c r="K1449" s="38"/>
      <c r="L1449" s="38"/>
      <c r="M1449" s="56"/>
      <c r="N1449" s="56" t="b">
        <v>0</v>
      </c>
      <c r="O1449" s="56" t="b">
        <v>0</v>
      </c>
      <c r="P1449" s="56"/>
      <c r="Q1449" s="56"/>
      <c r="R1449" s="56"/>
      <c r="S1449" s="56"/>
      <c r="T1449" s="56"/>
      <c r="U1449" s="56"/>
      <c r="V1449" s="56"/>
      <c r="W1449" s="56"/>
      <c r="X1449" s="56"/>
      <c r="Y1449" s="56"/>
      <c r="Z1449" s="56"/>
      <c r="AA1449" s="56"/>
      <c r="AB1449" s="56"/>
    </row>
    <row r="1450" ht="15.75" customHeight="1">
      <c r="A1450" s="169"/>
      <c r="B1450" s="63"/>
      <c r="C1450" s="22" t="s">
        <v>66</v>
      </c>
      <c r="D1450" s="38"/>
      <c r="E1450" s="162" t="s">
        <v>5784</v>
      </c>
      <c r="F1450" s="155"/>
      <c r="G1450" s="66" t="s">
        <v>5704</v>
      </c>
      <c r="H1450" s="38"/>
      <c r="I1450" s="38"/>
      <c r="J1450" s="38"/>
      <c r="K1450" s="38"/>
      <c r="L1450" s="38"/>
      <c r="M1450" s="56"/>
      <c r="N1450" s="56" t="b">
        <v>0</v>
      </c>
      <c r="O1450" s="56" t="b">
        <v>0</v>
      </c>
      <c r="P1450" s="56"/>
      <c r="Q1450" s="56"/>
      <c r="R1450" s="56"/>
      <c r="S1450" s="56"/>
      <c r="T1450" s="56"/>
      <c r="U1450" s="56"/>
      <c r="V1450" s="56"/>
      <c r="W1450" s="56"/>
      <c r="X1450" s="56"/>
      <c r="Y1450" s="56"/>
      <c r="Z1450" s="56"/>
      <c r="AA1450" s="56"/>
      <c r="AB1450" s="56"/>
    </row>
    <row r="1451" ht="15.75" customHeight="1">
      <c r="A1451" s="169"/>
      <c r="B1451" s="63"/>
      <c r="C1451" s="22" t="s">
        <v>66</v>
      </c>
      <c r="D1451" s="38"/>
      <c r="E1451" s="158"/>
      <c r="F1451" s="159"/>
      <c r="G1451" s="66" t="s">
        <v>5134</v>
      </c>
      <c r="H1451" s="38"/>
      <c r="I1451" s="38"/>
      <c r="J1451" s="38"/>
      <c r="K1451" s="38"/>
      <c r="L1451" s="38"/>
      <c r="M1451" s="56"/>
      <c r="N1451" s="56" t="b">
        <v>0</v>
      </c>
      <c r="O1451" s="56" t="b">
        <v>0</v>
      </c>
      <c r="P1451" s="56"/>
      <c r="Q1451" s="56"/>
      <c r="R1451" s="56"/>
      <c r="S1451" s="56"/>
      <c r="T1451" s="56"/>
      <c r="U1451" s="56"/>
      <c r="V1451" s="56"/>
      <c r="W1451" s="56"/>
      <c r="X1451" s="56"/>
      <c r="Y1451" s="56"/>
      <c r="Z1451" s="56"/>
      <c r="AA1451" s="56"/>
      <c r="AB1451" s="56"/>
    </row>
    <row r="1452" ht="15.75" customHeight="1">
      <c r="A1452" s="169"/>
      <c r="B1452" s="63"/>
      <c r="C1452" s="22" t="s">
        <v>66</v>
      </c>
      <c r="D1452" s="38"/>
      <c r="E1452" s="38"/>
      <c r="F1452" s="65"/>
      <c r="G1452" s="66" t="s">
        <v>4960</v>
      </c>
      <c r="H1452" s="38"/>
      <c r="I1452" s="38"/>
      <c r="J1452" s="38"/>
      <c r="K1452" s="38"/>
      <c r="L1452" s="38"/>
      <c r="M1452" s="56"/>
      <c r="N1452" s="56" t="b">
        <v>0</v>
      </c>
      <c r="O1452" s="56" t="b">
        <v>0</v>
      </c>
      <c r="P1452" s="56"/>
      <c r="Q1452" s="56"/>
      <c r="R1452" s="56"/>
      <c r="S1452" s="56"/>
      <c r="T1452" s="56"/>
      <c r="U1452" s="56"/>
      <c r="V1452" s="56"/>
      <c r="W1452" s="56"/>
      <c r="X1452" s="56"/>
      <c r="Y1452" s="56"/>
      <c r="Z1452" s="56"/>
      <c r="AA1452" s="56"/>
      <c r="AB1452" s="56"/>
    </row>
    <row r="1453" ht="15.75" customHeight="1">
      <c r="A1453" s="169"/>
      <c r="B1453" s="63"/>
      <c r="C1453" s="22" t="s">
        <v>66</v>
      </c>
      <c r="D1453" s="290" t="s">
        <v>52</v>
      </c>
      <c r="E1453" s="291" t="s">
        <v>148</v>
      </c>
      <c r="F1453" s="291" t="s">
        <v>149</v>
      </c>
      <c r="G1453" s="292" t="s">
        <v>4858</v>
      </c>
      <c r="H1453" s="290" t="s">
        <v>6437</v>
      </c>
      <c r="I1453" s="290" t="s">
        <v>4853</v>
      </c>
      <c r="J1453" s="291" t="s">
        <v>151</v>
      </c>
      <c r="K1453" s="38"/>
      <c r="L1453" s="38"/>
      <c r="M1453" s="56"/>
      <c r="N1453" s="56" t="b">
        <v>0</v>
      </c>
      <c r="O1453" s="56" t="b">
        <v>0</v>
      </c>
      <c r="P1453" s="56"/>
      <c r="Q1453" s="56"/>
      <c r="R1453" s="56"/>
      <c r="S1453" s="56"/>
      <c r="T1453" s="56"/>
      <c r="U1453" s="56"/>
      <c r="V1453" s="56"/>
      <c r="W1453" s="56"/>
      <c r="X1453" s="56"/>
      <c r="Y1453" s="56"/>
      <c r="Z1453" s="56"/>
      <c r="AA1453" s="56"/>
      <c r="AB1453" s="56"/>
    </row>
    <row r="1454" ht="15.75" customHeight="1">
      <c r="A1454" s="169"/>
      <c r="B1454" s="63"/>
      <c r="C1454" s="22" t="s">
        <v>66</v>
      </c>
      <c r="D1454" s="38"/>
      <c r="E1454" s="38"/>
      <c r="F1454" s="65"/>
      <c r="G1454" s="66"/>
      <c r="H1454" s="38"/>
      <c r="I1454" s="38"/>
      <c r="J1454" s="38"/>
      <c r="K1454" s="38"/>
      <c r="L1454" s="38"/>
      <c r="M1454" s="56"/>
      <c r="N1454" s="56" t="b">
        <v>0</v>
      </c>
      <c r="O1454" s="56" t="b">
        <v>0</v>
      </c>
      <c r="P1454" s="56"/>
      <c r="Q1454" s="56"/>
      <c r="R1454" s="56"/>
      <c r="S1454" s="56"/>
      <c r="T1454" s="56"/>
      <c r="U1454" s="56"/>
      <c r="V1454" s="56"/>
      <c r="W1454" s="56"/>
      <c r="X1454" s="56"/>
      <c r="Y1454" s="56"/>
      <c r="Z1454" s="56"/>
      <c r="AA1454" s="56"/>
      <c r="AB1454" s="56"/>
    </row>
    <row r="1455" ht="15.75" customHeight="1">
      <c r="A1455" s="169"/>
      <c r="B1455" s="69"/>
      <c r="C1455" s="22" t="s">
        <v>66</v>
      </c>
      <c r="D1455" s="38"/>
      <c r="E1455" s="38"/>
      <c r="F1455" s="65"/>
      <c r="G1455" s="66"/>
      <c r="H1455" s="38"/>
      <c r="I1455" s="38"/>
      <c r="J1455" s="38"/>
      <c r="K1455" s="38"/>
      <c r="L1455" s="38"/>
      <c r="M1455" s="56"/>
      <c r="N1455" s="56" t="b">
        <v>0</v>
      </c>
      <c r="O1455" s="56" t="b">
        <v>0</v>
      </c>
      <c r="P1455" s="56"/>
      <c r="Q1455" s="56"/>
      <c r="R1455" s="56"/>
      <c r="S1455" s="56"/>
      <c r="T1455" s="56"/>
      <c r="U1455" s="56"/>
      <c r="V1455" s="56"/>
      <c r="W1455" s="56"/>
      <c r="X1455" s="56"/>
      <c r="Y1455" s="56"/>
      <c r="Z1455" s="56"/>
      <c r="AA1455" s="56"/>
      <c r="AB1455" s="56"/>
    </row>
    <row r="1456" ht="15.75" customHeight="1">
      <c r="A1456" s="169"/>
      <c r="B1456" s="219" t="s">
        <v>4836</v>
      </c>
      <c r="C1456" s="220">
        <v>44511.0</v>
      </c>
      <c r="D1456" s="38"/>
      <c r="E1456" s="38"/>
      <c r="F1456" s="65"/>
      <c r="G1456" s="66"/>
      <c r="H1456" s="38"/>
      <c r="I1456" s="38"/>
      <c r="J1456" s="38"/>
      <c r="K1456" s="38"/>
      <c r="L1456" s="38"/>
      <c r="M1456" s="56"/>
      <c r="N1456" s="56" t="b">
        <v>0</v>
      </c>
      <c r="O1456" s="56" t="b">
        <v>0</v>
      </c>
      <c r="P1456" s="56"/>
      <c r="Q1456" s="56"/>
      <c r="R1456" s="56"/>
      <c r="S1456" s="56"/>
      <c r="T1456" s="56"/>
      <c r="U1456" s="56"/>
      <c r="V1456" s="56"/>
      <c r="W1456" s="56"/>
      <c r="X1456" s="56"/>
      <c r="Y1456" s="56"/>
      <c r="Z1456" s="56"/>
      <c r="AA1456" s="56"/>
      <c r="AB1456" s="56"/>
    </row>
    <row r="1457" ht="15.75" customHeight="1">
      <c r="A1457" s="169"/>
      <c r="B1457" s="63"/>
      <c r="C1457" s="22"/>
      <c r="D1457" s="38"/>
      <c r="E1457" s="38"/>
      <c r="F1457" s="65"/>
      <c r="G1457" s="66"/>
      <c r="H1457" s="38"/>
      <c r="I1457" s="38"/>
      <c r="J1457" s="38"/>
      <c r="K1457" s="38"/>
      <c r="L1457" s="38"/>
      <c r="M1457" s="56"/>
      <c r="N1457" s="56" t="b">
        <v>0</v>
      </c>
      <c r="O1457" s="56" t="b">
        <v>0</v>
      </c>
      <c r="P1457" s="56"/>
      <c r="Q1457" s="56"/>
      <c r="R1457" s="56"/>
      <c r="S1457" s="56"/>
      <c r="T1457" s="56"/>
      <c r="U1457" s="56"/>
      <c r="V1457" s="56"/>
      <c r="W1457" s="56"/>
      <c r="X1457" s="56"/>
      <c r="Y1457" s="56"/>
      <c r="Z1457" s="56"/>
      <c r="AA1457" s="56"/>
      <c r="AB1457" s="56"/>
    </row>
    <row r="1458" ht="15.75" customHeight="1">
      <c r="A1458" s="169"/>
      <c r="B1458" s="63"/>
      <c r="C1458" s="22" t="s">
        <v>53</v>
      </c>
      <c r="D1458" s="38"/>
      <c r="E1458" s="38"/>
      <c r="F1458" s="65"/>
      <c r="G1458" s="66"/>
      <c r="H1458" s="38"/>
      <c r="I1458" s="38"/>
      <c r="J1458" s="38"/>
      <c r="K1458" s="38"/>
      <c r="L1458" s="38"/>
      <c r="M1458" s="56"/>
      <c r="N1458" s="56" t="b">
        <v>0</v>
      </c>
      <c r="O1458" s="56" t="b">
        <v>0</v>
      </c>
      <c r="P1458" s="56"/>
      <c r="Q1458" s="56"/>
      <c r="R1458" s="56"/>
      <c r="S1458" s="56"/>
      <c r="T1458" s="56"/>
      <c r="U1458" s="56"/>
      <c r="V1458" s="56"/>
      <c r="W1458" s="56"/>
      <c r="X1458" s="56"/>
      <c r="Y1458" s="56"/>
      <c r="Z1458" s="56"/>
      <c r="AA1458" s="56"/>
      <c r="AB1458" s="56"/>
    </row>
    <row r="1459" ht="15.75" customHeight="1">
      <c r="A1459" s="169"/>
      <c r="B1459" s="63"/>
      <c r="C1459" s="22" t="s">
        <v>53</v>
      </c>
      <c r="D1459" s="38"/>
      <c r="E1459" s="162" t="s">
        <v>5784</v>
      </c>
      <c r="F1459" s="155"/>
      <c r="G1459" s="66"/>
      <c r="H1459" s="38"/>
      <c r="I1459" s="38"/>
      <c r="J1459" s="38"/>
      <c r="K1459" s="38"/>
      <c r="L1459" s="38"/>
      <c r="M1459" s="56"/>
      <c r="N1459" s="56" t="b">
        <v>0</v>
      </c>
      <c r="O1459" s="56" t="b">
        <v>0</v>
      </c>
      <c r="P1459" s="56"/>
      <c r="Q1459" s="56"/>
      <c r="R1459" s="56"/>
      <c r="S1459" s="56"/>
      <c r="T1459" s="56"/>
      <c r="U1459" s="56"/>
      <c r="V1459" s="56"/>
      <c r="W1459" s="56"/>
      <c r="X1459" s="56"/>
      <c r="Y1459" s="56"/>
      <c r="Z1459" s="56"/>
      <c r="AA1459" s="56"/>
      <c r="AB1459" s="56"/>
    </row>
    <row r="1460" ht="15.75" customHeight="1">
      <c r="A1460" s="169"/>
      <c r="B1460" s="63"/>
      <c r="C1460" s="22" t="s">
        <v>53</v>
      </c>
      <c r="D1460" s="38"/>
      <c r="E1460" s="158"/>
      <c r="F1460" s="159"/>
      <c r="G1460" s="66"/>
      <c r="H1460" s="38"/>
      <c r="I1460" s="38"/>
      <c r="J1460" s="38"/>
      <c r="K1460" s="38"/>
      <c r="L1460" s="38"/>
      <c r="M1460" s="56"/>
      <c r="N1460" s="56" t="b">
        <v>0</v>
      </c>
      <c r="O1460" s="56" t="b">
        <v>0</v>
      </c>
      <c r="P1460" s="56"/>
      <c r="Q1460" s="56"/>
      <c r="R1460" s="56"/>
      <c r="S1460" s="56"/>
      <c r="T1460" s="56"/>
      <c r="U1460" s="56"/>
      <c r="V1460" s="56"/>
      <c r="W1460" s="56"/>
      <c r="X1460" s="56"/>
      <c r="Y1460" s="56"/>
      <c r="Z1460" s="56"/>
      <c r="AA1460" s="56"/>
      <c r="AB1460" s="56"/>
    </row>
    <row r="1461" ht="15.75" customHeight="1">
      <c r="A1461" s="169"/>
      <c r="B1461" s="63"/>
      <c r="C1461" s="22" t="s">
        <v>53</v>
      </c>
      <c r="D1461" s="38"/>
      <c r="E1461" s="38"/>
      <c r="F1461" s="65"/>
      <c r="G1461" s="66"/>
      <c r="H1461" s="38"/>
      <c r="I1461" s="38"/>
      <c r="J1461" s="38"/>
      <c r="K1461" s="38"/>
      <c r="L1461" s="38"/>
      <c r="M1461" s="56"/>
      <c r="N1461" s="56" t="b">
        <v>0</v>
      </c>
      <c r="O1461" s="56" t="b">
        <v>0</v>
      </c>
      <c r="P1461" s="56"/>
      <c r="Q1461" s="56"/>
      <c r="R1461" s="56"/>
      <c r="S1461" s="56"/>
      <c r="T1461" s="56"/>
      <c r="U1461" s="56"/>
      <c r="V1461" s="56"/>
      <c r="W1461" s="56"/>
      <c r="X1461" s="56"/>
      <c r="Y1461" s="56"/>
      <c r="Z1461" s="56"/>
      <c r="AA1461" s="56"/>
      <c r="AB1461" s="56"/>
    </row>
    <row r="1462" ht="15.75" customHeight="1">
      <c r="A1462" s="169"/>
      <c r="B1462" s="69"/>
      <c r="C1462" s="22" t="s">
        <v>53</v>
      </c>
      <c r="D1462" s="38"/>
      <c r="E1462" s="38"/>
      <c r="F1462" s="65"/>
      <c r="G1462" s="66"/>
      <c r="H1462" s="38"/>
      <c r="I1462" s="38"/>
      <c r="J1462" s="38"/>
      <c r="K1462" s="38"/>
      <c r="L1462" s="38"/>
      <c r="M1462" s="56"/>
      <c r="N1462" s="56" t="b">
        <v>0</v>
      </c>
      <c r="O1462" s="56" t="b">
        <v>0</v>
      </c>
      <c r="P1462" s="56"/>
      <c r="Q1462" s="56"/>
      <c r="R1462" s="56"/>
      <c r="S1462" s="56"/>
      <c r="T1462" s="56"/>
      <c r="U1462" s="56"/>
      <c r="V1462" s="56"/>
      <c r="W1462" s="56"/>
      <c r="X1462" s="56"/>
      <c r="Y1462" s="56"/>
      <c r="Z1462" s="56"/>
      <c r="AA1462" s="56"/>
      <c r="AB1462" s="56"/>
    </row>
    <row r="1463" ht="15.75" customHeight="1">
      <c r="A1463" s="169"/>
      <c r="B1463" s="273" t="s">
        <v>6168</v>
      </c>
      <c r="C1463" s="275"/>
      <c r="D1463" s="38"/>
      <c r="E1463" s="38"/>
      <c r="F1463" s="65"/>
      <c r="G1463" s="66"/>
      <c r="H1463" s="38"/>
      <c r="I1463" s="38"/>
      <c r="J1463" s="38"/>
      <c r="K1463" s="38"/>
      <c r="L1463" s="38"/>
      <c r="M1463" s="56"/>
      <c r="N1463" s="56" t="b">
        <v>0</v>
      </c>
      <c r="O1463" s="56" t="b">
        <v>0</v>
      </c>
      <c r="P1463" s="56"/>
      <c r="Q1463" s="56"/>
      <c r="R1463" s="56"/>
      <c r="S1463" s="56"/>
      <c r="T1463" s="56"/>
      <c r="U1463" s="56"/>
      <c r="V1463" s="56"/>
      <c r="W1463" s="56"/>
      <c r="X1463" s="56"/>
      <c r="Y1463" s="56"/>
      <c r="Z1463" s="56"/>
      <c r="AA1463" s="56"/>
      <c r="AB1463" s="56"/>
    </row>
    <row r="1464" ht="15.75" customHeight="1">
      <c r="A1464" s="169"/>
      <c r="B1464" s="63"/>
      <c r="C1464" s="22" t="s">
        <v>66</v>
      </c>
      <c r="D1464" s="38"/>
      <c r="E1464" s="38"/>
      <c r="F1464" s="65"/>
      <c r="G1464" s="66"/>
      <c r="H1464" s="38"/>
      <c r="I1464" s="38"/>
      <c r="J1464" s="38"/>
      <c r="K1464" s="38"/>
      <c r="L1464" s="38"/>
      <c r="M1464" s="56"/>
      <c r="N1464" s="56" t="b">
        <v>0</v>
      </c>
      <c r="O1464" s="56" t="b">
        <v>0</v>
      </c>
      <c r="P1464" s="56"/>
      <c r="Q1464" s="56"/>
      <c r="R1464" s="56"/>
      <c r="S1464" s="56"/>
      <c r="T1464" s="56"/>
      <c r="U1464" s="56"/>
      <c r="V1464" s="56"/>
      <c r="W1464" s="56"/>
      <c r="X1464" s="56"/>
      <c r="Y1464" s="56"/>
      <c r="Z1464" s="56"/>
      <c r="AA1464" s="56"/>
      <c r="AB1464" s="56"/>
    </row>
    <row r="1465" ht="15.75" customHeight="1">
      <c r="A1465" s="169"/>
      <c r="B1465" s="63"/>
      <c r="C1465" s="22" t="s">
        <v>66</v>
      </c>
      <c r="D1465" s="38"/>
      <c r="E1465" s="38"/>
      <c r="F1465" s="65"/>
      <c r="G1465" s="66"/>
      <c r="H1465" s="38"/>
      <c r="I1465" s="38"/>
      <c r="J1465" s="38"/>
      <c r="K1465" s="38"/>
      <c r="L1465" s="38"/>
      <c r="M1465" s="56"/>
      <c r="N1465" s="56" t="b">
        <v>0</v>
      </c>
      <c r="O1465" s="56" t="b">
        <v>0</v>
      </c>
      <c r="P1465" s="56"/>
      <c r="Q1465" s="56"/>
      <c r="R1465" s="56"/>
      <c r="S1465" s="56"/>
      <c r="T1465" s="56"/>
      <c r="U1465" s="56"/>
      <c r="V1465" s="56"/>
      <c r="W1465" s="56"/>
      <c r="X1465" s="56"/>
      <c r="Y1465" s="56"/>
      <c r="Z1465" s="56"/>
      <c r="AA1465" s="56"/>
      <c r="AB1465" s="56"/>
    </row>
    <row r="1466" ht="15.75" customHeight="1">
      <c r="A1466" s="169"/>
      <c r="B1466" s="63"/>
      <c r="C1466" s="22" t="s">
        <v>66</v>
      </c>
      <c r="D1466" s="76" t="s">
        <v>52</v>
      </c>
      <c r="E1466" s="203" t="s">
        <v>817</v>
      </c>
      <c r="F1466" s="203" t="s">
        <v>818</v>
      </c>
      <c r="G1466" s="82" t="s">
        <v>4856</v>
      </c>
      <c r="H1466" s="76" t="s">
        <v>6438</v>
      </c>
      <c r="I1466" s="203" t="s">
        <v>6439</v>
      </c>
      <c r="J1466" s="203" t="s">
        <v>820</v>
      </c>
      <c r="K1466" s="38" t="s">
        <v>6440</v>
      </c>
      <c r="L1466" s="38"/>
      <c r="M1466" s="56"/>
      <c r="N1466" s="56" t="b">
        <v>0</v>
      </c>
      <c r="O1466" s="56" t="b">
        <v>0</v>
      </c>
      <c r="P1466" s="56"/>
      <c r="Q1466" s="56"/>
      <c r="R1466" s="56"/>
      <c r="S1466" s="56"/>
      <c r="T1466" s="56"/>
      <c r="U1466" s="56"/>
      <c r="V1466" s="56"/>
      <c r="W1466" s="56"/>
      <c r="X1466" s="56"/>
      <c r="Y1466" s="56"/>
      <c r="Z1466" s="56"/>
      <c r="AA1466" s="56"/>
      <c r="AB1466" s="56"/>
    </row>
    <row r="1467" ht="15.75" customHeight="1">
      <c r="A1467" s="169"/>
      <c r="B1467" s="63"/>
      <c r="C1467" s="22" t="s">
        <v>66</v>
      </c>
      <c r="D1467" s="281" t="s">
        <v>103</v>
      </c>
      <c r="E1467" s="203" t="s">
        <v>2953</v>
      </c>
      <c r="F1467" s="203" t="s">
        <v>2954</v>
      </c>
      <c r="G1467" s="82" t="s">
        <v>4892</v>
      </c>
      <c r="H1467" s="76" t="s">
        <v>4880</v>
      </c>
      <c r="I1467" s="293" t="s">
        <v>6441</v>
      </c>
      <c r="J1467" s="203" t="s">
        <v>2956</v>
      </c>
      <c r="K1467" s="38" t="s">
        <v>6442</v>
      </c>
      <c r="L1467" s="38"/>
      <c r="M1467" s="56"/>
      <c r="N1467" s="56" t="b">
        <v>0</v>
      </c>
      <c r="O1467" s="56" t="b">
        <v>0</v>
      </c>
      <c r="P1467" s="56"/>
      <c r="Q1467" s="56"/>
      <c r="R1467" s="56"/>
      <c r="S1467" s="56"/>
      <c r="T1467" s="56"/>
      <c r="U1467" s="56"/>
      <c r="V1467" s="56"/>
      <c r="W1467" s="56"/>
      <c r="X1467" s="56"/>
      <c r="Y1467" s="56"/>
      <c r="Z1467" s="56"/>
      <c r="AA1467" s="56"/>
      <c r="AB1467" s="56"/>
    </row>
    <row r="1468" ht="15.75" customHeight="1">
      <c r="A1468" s="169"/>
      <c r="B1468" s="63"/>
      <c r="C1468" s="22" t="s">
        <v>66</v>
      </c>
      <c r="D1468" s="281" t="s">
        <v>103</v>
      </c>
      <c r="E1468" s="77" t="s">
        <v>6418</v>
      </c>
      <c r="F1468" s="77" t="s">
        <v>6419</v>
      </c>
      <c r="G1468" s="82" t="s">
        <v>4858</v>
      </c>
      <c r="H1468" s="76" t="s">
        <v>6420</v>
      </c>
      <c r="I1468" s="76" t="s">
        <v>6421</v>
      </c>
      <c r="J1468" s="77" t="s">
        <v>6422</v>
      </c>
      <c r="K1468" s="38" t="s">
        <v>6443</v>
      </c>
      <c r="L1468" s="38"/>
      <c r="M1468" s="56"/>
      <c r="N1468" s="56" t="b">
        <v>0</v>
      </c>
      <c r="O1468" s="56" t="b">
        <v>0</v>
      </c>
      <c r="P1468" s="56"/>
      <c r="Q1468" s="56"/>
      <c r="R1468" s="56"/>
      <c r="S1468" s="56"/>
      <c r="T1468" s="56"/>
      <c r="U1468" s="56"/>
      <c r="V1468" s="56"/>
      <c r="W1468" s="56"/>
      <c r="X1468" s="56"/>
      <c r="Y1468" s="56"/>
      <c r="Z1468" s="56"/>
      <c r="AA1468" s="56"/>
      <c r="AB1468" s="56"/>
    </row>
    <row r="1469" ht="15.75" customHeight="1">
      <c r="A1469" s="169"/>
      <c r="B1469" s="63"/>
      <c r="C1469" s="22" t="s">
        <v>66</v>
      </c>
      <c r="D1469" s="62" t="s">
        <v>52</v>
      </c>
      <c r="E1469" s="242" t="s">
        <v>148</v>
      </c>
      <c r="F1469" s="242" t="s">
        <v>149</v>
      </c>
      <c r="G1469" s="73" t="s">
        <v>4847</v>
      </c>
      <c r="H1469" s="62" t="s">
        <v>6437</v>
      </c>
      <c r="I1469" s="62" t="s">
        <v>4853</v>
      </c>
      <c r="J1469" s="242" t="s">
        <v>151</v>
      </c>
      <c r="K1469" s="62" t="s">
        <v>6444</v>
      </c>
      <c r="L1469" s="38"/>
      <c r="M1469" s="56"/>
      <c r="N1469" s="56" t="b">
        <v>0</v>
      </c>
      <c r="O1469" s="56" t="b">
        <v>0</v>
      </c>
      <c r="P1469" s="56"/>
      <c r="Q1469" s="56"/>
      <c r="R1469" s="56"/>
      <c r="S1469" s="56"/>
      <c r="T1469" s="56"/>
      <c r="U1469" s="56"/>
      <c r="V1469" s="56"/>
      <c r="W1469" s="56"/>
      <c r="X1469" s="56"/>
      <c r="Y1469" s="56"/>
      <c r="Z1469" s="56"/>
      <c r="AA1469" s="56"/>
      <c r="AB1469" s="56"/>
    </row>
    <row r="1470" ht="15.75" customHeight="1">
      <c r="A1470" s="169"/>
      <c r="B1470" s="69"/>
      <c r="C1470" s="22" t="s">
        <v>66</v>
      </c>
      <c r="D1470" s="38"/>
      <c r="E1470" s="66"/>
      <c r="F1470" s="65"/>
      <c r="G1470" s="66"/>
      <c r="H1470" s="38"/>
      <c r="I1470" s="38"/>
      <c r="J1470" s="38"/>
      <c r="K1470" s="38"/>
      <c r="L1470" s="38"/>
      <c r="M1470" s="56"/>
      <c r="N1470" s="56" t="b">
        <v>0</v>
      </c>
      <c r="O1470" s="56" t="b">
        <v>0</v>
      </c>
      <c r="P1470" s="56"/>
      <c r="Q1470" s="56"/>
      <c r="R1470" s="56"/>
      <c r="S1470" s="56"/>
      <c r="T1470" s="56"/>
      <c r="U1470" s="56"/>
      <c r="V1470" s="56"/>
      <c r="W1470" s="56"/>
      <c r="X1470" s="56"/>
      <c r="Y1470" s="56"/>
      <c r="Z1470" s="56"/>
      <c r="AA1470" s="56"/>
      <c r="AB1470" s="56"/>
    </row>
    <row r="1471" ht="15.75" customHeight="1">
      <c r="A1471" s="169"/>
      <c r="B1471" s="219" t="s">
        <v>4836</v>
      </c>
      <c r="C1471" s="220">
        <v>44512.0</v>
      </c>
      <c r="D1471" s="38"/>
      <c r="E1471" s="38"/>
      <c r="F1471" s="65"/>
      <c r="G1471" s="66"/>
      <c r="H1471" s="38"/>
      <c r="I1471" s="38"/>
      <c r="J1471" s="38"/>
      <c r="K1471" s="38"/>
      <c r="L1471" s="38"/>
      <c r="M1471" s="56"/>
      <c r="N1471" s="56" t="b">
        <v>0</v>
      </c>
      <c r="O1471" s="56" t="b">
        <v>0</v>
      </c>
      <c r="P1471" s="56"/>
      <c r="Q1471" s="56"/>
      <c r="R1471" s="56"/>
      <c r="S1471" s="56"/>
      <c r="T1471" s="56"/>
      <c r="U1471" s="56"/>
      <c r="V1471" s="56"/>
      <c r="W1471" s="56"/>
      <c r="X1471" s="56"/>
      <c r="Y1471" s="56"/>
      <c r="Z1471" s="56"/>
      <c r="AA1471" s="56"/>
      <c r="AB1471" s="56"/>
    </row>
    <row r="1472" ht="15.75" customHeight="1">
      <c r="A1472" s="169"/>
      <c r="B1472" s="63"/>
      <c r="C1472" s="22"/>
      <c r="D1472" s="38"/>
      <c r="E1472" s="38"/>
      <c r="F1472" s="65"/>
      <c r="G1472" s="66"/>
      <c r="H1472" s="38"/>
      <c r="I1472" s="38"/>
      <c r="J1472" s="38"/>
      <c r="K1472" s="38"/>
      <c r="L1472" s="38"/>
      <c r="M1472" s="56"/>
      <c r="N1472" s="56" t="b">
        <v>0</v>
      </c>
      <c r="O1472" s="56" t="b">
        <v>0</v>
      </c>
      <c r="P1472" s="56"/>
      <c r="Q1472" s="56"/>
      <c r="R1472" s="56"/>
      <c r="S1472" s="56"/>
      <c r="T1472" s="56"/>
      <c r="U1472" s="56"/>
      <c r="V1472" s="56"/>
      <c r="W1472" s="56"/>
      <c r="X1472" s="56"/>
      <c r="Y1472" s="56"/>
      <c r="Z1472" s="56"/>
      <c r="AA1472" s="56"/>
      <c r="AB1472" s="56"/>
    </row>
    <row r="1473" ht="15.75" customHeight="1">
      <c r="A1473" s="169"/>
      <c r="B1473" s="63"/>
      <c r="C1473" s="22" t="s">
        <v>53</v>
      </c>
      <c r="D1473" s="38"/>
      <c r="E1473" s="162" t="s">
        <v>5784</v>
      </c>
      <c r="F1473" s="155"/>
      <c r="G1473" s="66"/>
      <c r="H1473" s="38"/>
      <c r="I1473" s="38"/>
      <c r="J1473" s="38"/>
      <c r="K1473" s="38"/>
      <c r="L1473" s="38"/>
      <c r="M1473" s="56"/>
      <c r="N1473" s="56" t="b">
        <v>0</v>
      </c>
      <c r="O1473" s="56" t="b">
        <v>0</v>
      </c>
      <c r="P1473" s="56"/>
      <c r="Q1473" s="56"/>
      <c r="R1473" s="56"/>
      <c r="S1473" s="56"/>
      <c r="T1473" s="56"/>
      <c r="U1473" s="56"/>
      <c r="V1473" s="56"/>
      <c r="W1473" s="56"/>
      <c r="X1473" s="56"/>
      <c r="Y1473" s="56"/>
      <c r="Z1473" s="56"/>
      <c r="AA1473" s="56"/>
      <c r="AB1473" s="56"/>
    </row>
    <row r="1474" ht="15.75" customHeight="1">
      <c r="A1474" s="169"/>
      <c r="B1474" s="63"/>
      <c r="C1474" s="22" t="s">
        <v>53</v>
      </c>
      <c r="D1474" s="38"/>
      <c r="E1474" s="158"/>
      <c r="F1474" s="159"/>
      <c r="G1474" s="66"/>
      <c r="H1474" s="38"/>
      <c r="I1474" s="38"/>
      <c r="J1474" s="38"/>
      <c r="K1474" s="38"/>
      <c r="L1474" s="38"/>
      <c r="M1474" s="56"/>
      <c r="N1474" s="56" t="b">
        <v>0</v>
      </c>
      <c r="O1474" s="56" t="b">
        <v>0</v>
      </c>
      <c r="P1474" s="56"/>
      <c r="Q1474" s="56"/>
      <c r="R1474" s="56"/>
      <c r="S1474" s="56"/>
      <c r="T1474" s="56"/>
      <c r="U1474" s="56"/>
      <c r="V1474" s="56"/>
      <c r="W1474" s="56"/>
      <c r="X1474" s="56"/>
      <c r="Y1474" s="56"/>
      <c r="Z1474" s="56"/>
      <c r="AA1474" s="56"/>
      <c r="AB1474" s="56"/>
    </row>
    <row r="1475" ht="15.75" customHeight="1">
      <c r="A1475" s="169"/>
      <c r="B1475" s="63"/>
      <c r="C1475" s="22" t="s">
        <v>53</v>
      </c>
      <c r="D1475" s="38"/>
      <c r="E1475" s="38"/>
      <c r="F1475" s="65"/>
      <c r="G1475" s="66"/>
      <c r="H1475" s="38"/>
      <c r="I1475" s="38"/>
      <c r="J1475" s="38"/>
      <c r="K1475" s="38"/>
      <c r="L1475" s="38"/>
      <c r="M1475" s="56"/>
      <c r="N1475" s="56" t="b">
        <v>0</v>
      </c>
      <c r="O1475" s="56" t="b">
        <v>0</v>
      </c>
      <c r="P1475" s="56"/>
      <c r="Q1475" s="56"/>
      <c r="R1475" s="56"/>
      <c r="S1475" s="56"/>
      <c r="T1475" s="56"/>
      <c r="U1475" s="56"/>
      <c r="V1475" s="56"/>
      <c r="W1475" s="56"/>
      <c r="X1475" s="56"/>
      <c r="Y1475" s="56"/>
      <c r="Z1475" s="56"/>
      <c r="AA1475" s="56"/>
      <c r="AB1475" s="56"/>
    </row>
    <row r="1476" ht="15.75" customHeight="1">
      <c r="A1476" s="169"/>
      <c r="B1476" s="63"/>
      <c r="C1476" s="22" t="s">
        <v>53</v>
      </c>
      <c r="D1476" s="38"/>
      <c r="E1476" s="38"/>
      <c r="F1476" s="65"/>
      <c r="G1476" s="66"/>
      <c r="H1476" s="38"/>
      <c r="I1476" s="38"/>
      <c r="J1476" s="38"/>
      <c r="K1476" s="38"/>
      <c r="L1476" s="38"/>
      <c r="M1476" s="56"/>
      <c r="N1476" s="56" t="b">
        <v>0</v>
      </c>
      <c r="O1476" s="56" t="b">
        <v>0</v>
      </c>
      <c r="P1476" s="56"/>
      <c r="Q1476" s="56"/>
      <c r="R1476" s="56"/>
      <c r="S1476" s="56"/>
      <c r="T1476" s="56"/>
      <c r="U1476" s="56"/>
      <c r="V1476" s="56"/>
      <c r="W1476" s="56"/>
      <c r="X1476" s="56"/>
      <c r="Y1476" s="56"/>
      <c r="Z1476" s="56"/>
      <c r="AA1476" s="56"/>
      <c r="AB1476" s="56"/>
    </row>
    <row r="1477" ht="15.75" customHeight="1">
      <c r="A1477" s="169"/>
      <c r="B1477" s="69"/>
      <c r="C1477" s="22" t="s">
        <v>53</v>
      </c>
      <c r="D1477" s="38"/>
      <c r="E1477" s="38"/>
      <c r="F1477" s="65"/>
      <c r="G1477" s="66"/>
      <c r="H1477" s="38"/>
      <c r="I1477" s="38"/>
      <c r="J1477" s="38"/>
      <c r="K1477" s="38"/>
      <c r="L1477" s="38"/>
      <c r="M1477" s="56"/>
      <c r="N1477" s="56" t="b">
        <v>0</v>
      </c>
      <c r="O1477" s="56" t="b">
        <v>0</v>
      </c>
      <c r="P1477" s="56"/>
      <c r="Q1477" s="56"/>
      <c r="R1477" s="56"/>
      <c r="S1477" s="56"/>
      <c r="T1477" s="56"/>
      <c r="U1477" s="56"/>
      <c r="V1477" s="56"/>
      <c r="W1477" s="56"/>
      <c r="X1477" s="56"/>
      <c r="Y1477" s="56"/>
      <c r="Z1477" s="56"/>
      <c r="AA1477" s="56"/>
      <c r="AB1477" s="56"/>
    </row>
    <row r="1478" ht="15.75" customHeight="1">
      <c r="A1478" s="169"/>
      <c r="B1478" s="273" t="s">
        <v>6168</v>
      </c>
      <c r="C1478" s="275"/>
      <c r="D1478" s="38"/>
      <c r="E1478" s="67"/>
      <c r="F1478" s="67"/>
      <c r="G1478" s="66"/>
      <c r="H1478" s="38"/>
      <c r="I1478" s="38"/>
      <c r="J1478" s="67"/>
      <c r="K1478" s="38"/>
      <c r="L1478" s="38"/>
      <c r="M1478" s="56"/>
      <c r="N1478" s="56" t="b">
        <v>0</v>
      </c>
      <c r="O1478" s="56" t="b">
        <v>0</v>
      </c>
      <c r="P1478" s="56"/>
      <c r="Q1478" s="56"/>
      <c r="R1478" s="56"/>
      <c r="S1478" s="56"/>
      <c r="T1478" s="56"/>
      <c r="U1478" s="56"/>
      <c r="V1478" s="56"/>
      <c r="W1478" s="56"/>
      <c r="X1478" s="56"/>
      <c r="Y1478" s="56"/>
      <c r="Z1478" s="56"/>
      <c r="AA1478" s="56"/>
      <c r="AB1478" s="56"/>
    </row>
    <row r="1479" ht="15.75" customHeight="1">
      <c r="A1479" s="169"/>
      <c r="B1479" s="63"/>
      <c r="C1479" s="22" t="s">
        <v>66</v>
      </c>
      <c r="D1479" s="62" t="s">
        <v>133</v>
      </c>
      <c r="E1479" s="60" t="s">
        <v>4072</v>
      </c>
      <c r="F1479" s="60" t="s">
        <v>4073</v>
      </c>
      <c r="G1479" s="73" t="s">
        <v>6003</v>
      </c>
      <c r="H1479" s="62" t="s">
        <v>5232</v>
      </c>
      <c r="I1479" s="62" t="s">
        <v>6445</v>
      </c>
      <c r="J1479" s="60" t="s">
        <v>4075</v>
      </c>
      <c r="K1479" s="38" t="s">
        <v>273</v>
      </c>
      <c r="L1479" s="38"/>
      <c r="M1479" s="56"/>
      <c r="N1479" s="56" t="b">
        <v>0</v>
      </c>
      <c r="O1479" s="56" t="b">
        <v>0</v>
      </c>
      <c r="P1479" s="56"/>
      <c r="Q1479" s="56"/>
      <c r="R1479" s="56"/>
      <c r="S1479" s="56"/>
      <c r="T1479" s="56"/>
      <c r="U1479" s="56"/>
      <c r="V1479" s="56"/>
      <c r="W1479" s="56"/>
      <c r="X1479" s="56"/>
      <c r="Y1479" s="56"/>
      <c r="Z1479" s="56"/>
      <c r="AA1479" s="56"/>
      <c r="AB1479" s="56"/>
    </row>
    <row r="1480" ht="15.75" customHeight="1">
      <c r="A1480" s="169"/>
      <c r="B1480" s="63"/>
      <c r="C1480" s="22" t="s">
        <v>66</v>
      </c>
      <c r="D1480" s="76" t="s">
        <v>133</v>
      </c>
      <c r="E1480" s="77" t="s">
        <v>3028</v>
      </c>
      <c r="F1480" s="77" t="s">
        <v>3029</v>
      </c>
      <c r="G1480" s="82" t="s">
        <v>4887</v>
      </c>
      <c r="H1480" s="76" t="s">
        <v>5205</v>
      </c>
      <c r="I1480" s="76" t="s">
        <v>6446</v>
      </c>
      <c r="J1480" s="77" t="s">
        <v>3031</v>
      </c>
      <c r="K1480" s="76" t="s">
        <v>6447</v>
      </c>
      <c r="L1480" s="38"/>
      <c r="M1480" s="56"/>
      <c r="N1480" s="56" t="b">
        <v>0</v>
      </c>
      <c r="O1480" s="56" t="b">
        <v>0</v>
      </c>
      <c r="P1480" s="56"/>
      <c r="Q1480" s="56"/>
      <c r="R1480" s="56"/>
      <c r="S1480" s="56"/>
      <c r="T1480" s="56"/>
      <c r="U1480" s="56"/>
      <c r="V1480" s="56"/>
      <c r="W1480" s="56"/>
      <c r="X1480" s="56"/>
      <c r="Y1480" s="56"/>
      <c r="Z1480" s="56"/>
      <c r="AA1480" s="56"/>
      <c r="AB1480" s="56"/>
    </row>
    <row r="1481" ht="15.75" customHeight="1">
      <c r="A1481" s="169"/>
      <c r="B1481" s="63"/>
      <c r="C1481" s="22" t="s">
        <v>66</v>
      </c>
      <c r="D1481" s="76" t="s">
        <v>133</v>
      </c>
      <c r="E1481" s="77" t="s">
        <v>5061</v>
      </c>
      <c r="F1481" s="77" t="s">
        <v>3951</v>
      </c>
      <c r="G1481" s="82" t="s">
        <v>5160</v>
      </c>
      <c r="H1481" s="76" t="s">
        <v>4968</v>
      </c>
      <c r="I1481" s="76" t="s">
        <v>6448</v>
      </c>
      <c r="J1481" s="77" t="s">
        <v>3953</v>
      </c>
      <c r="K1481" s="38" t="s">
        <v>273</v>
      </c>
      <c r="L1481" s="38"/>
      <c r="M1481" s="56"/>
      <c r="N1481" s="56" t="b">
        <v>0</v>
      </c>
      <c r="O1481" s="56" t="b">
        <v>0</v>
      </c>
      <c r="P1481" s="56"/>
      <c r="Q1481" s="56"/>
      <c r="R1481" s="56"/>
      <c r="S1481" s="56"/>
      <c r="T1481" s="56"/>
      <c r="U1481" s="56"/>
      <c r="V1481" s="56"/>
      <c r="W1481" s="56"/>
      <c r="X1481" s="56"/>
      <c r="Y1481" s="56"/>
      <c r="Z1481" s="56"/>
      <c r="AA1481" s="56"/>
      <c r="AB1481" s="56"/>
    </row>
    <row r="1482" ht="15.75" customHeight="1">
      <c r="A1482" s="169"/>
      <c r="B1482" s="63"/>
      <c r="C1482" s="22" t="s">
        <v>66</v>
      </c>
      <c r="D1482" s="62" t="s">
        <v>133</v>
      </c>
      <c r="E1482" s="60" t="s">
        <v>4005</v>
      </c>
      <c r="F1482" s="60" t="s">
        <v>4006</v>
      </c>
      <c r="G1482" s="73" t="s">
        <v>4858</v>
      </c>
      <c r="H1482" s="62" t="s">
        <v>6449</v>
      </c>
      <c r="I1482" s="62" t="s">
        <v>6450</v>
      </c>
      <c r="J1482" s="60" t="s">
        <v>4008</v>
      </c>
      <c r="K1482" s="38" t="s">
        <v>273</v>
      </c>
      <c r="L1482" s="38"/>
      <c r="M1482" s="56"/>
      <c r="N1482" s="56" t="b">
        <v>0</v>
      </c>
      <c r="O1482" s="56" t="b">
        <v>0</v>
      </c>
      <c r="P1482" s="56"/>
      <c r="Q1482" s="56"/>
      <c r="R1482" s="56"/>
      <c r="S1482" s="56"/>
      <c r="T1482" s="56"/>
      <c r="U1482" s="56"/>
      <c r="V1482" s="56"/>
      <c r="W1482" s="56"/>
      <c r="X1482" s="56"/>
      <c r="Y1482" s="56"/>
      <c r="Z1482" s="56"/>
      <c r="AA1482" s="56"/>
      <c r="AB1482" s="56"/>
    </row>
    <row r="1483" ht="15.75" customHeight="1">
      <c r="A1483" s="169"/>
      <c r="B1483" s="63"/>
      <c r="C1483" s="22" t="s">
        <v>66</v>
      </c>
      <c r="D1483" s="38"/>
      <c r="E1483" s="38"/>
      <c r="F1483" s="65"/>
      <c r="G1483" s="66"/>
      <c r="H1483" s="38"/>
      <c r="I1483" s="38"/>
      <c r="J1483" s="38"/>
      <c r="K1483" s="38"/>
      <c r="L1483" s="38"/>
      <c r="M1483" s="56"/>
      <c r="N1483" s="56" t="b">
        <v>0</v>
      </c>
      <c r="O1483" s="56" t="b">
        <v>0</v>
      </c>
      <c r="P1483" s="56"/>
      <c r="Q1483" s="56"/>
      <c r="R1483" s="56"/>
      <c r="S1483" s="56"/>
      <c r="T1483" s="56"/>
      <c r="U1483" s="56"/>
      <c r="V1483" s="56"/>
      <c r="W1483" s="56"/>
      <c r="X1483" s="56"/>
      <c r="Y1483" s="56"/>
      <c r="Z1483" s="56"/>
      <c r="AA1483" s="56"/>
      <c r="AB1483" s="56"/>
    </row>
    <row r="1484" ht="15.75" customHeight="1">
      <c r="A1484" s="169"/>
      <c r="B1484" s="69"/>
      <c r="C1484" s="22" t="s">
        <v>66</v>
      </c>
      <c r="D1484" s="38"/>
      <c r="E1484" s="38"/>
      <c r="F1484" s="65"/>
      <c r="G1484" s="66"/>
      <c r="H1484" s="38"/>
      <c r="I1484" s="38"/>
      <c r="J1484" s="38"/>
      <c r="K1484" s="38"/>
      <c r="L1484" s="38"/>
      <c r="M1484" s="56"/>
      <c r="N1484" s="56" t="b">
        <v>0</v>
      </c>
      <c r="O1484" s="56" t="b">
        <v>0</v>
      </c>
      <c r="P1484" s="56"/>
      <c r="Q1484" s="56"/>
      <c r="R1484" s="56"/>
      <c r="S1484" s="56"/>
      <c r="T1484" s="56"/>
      <c r="U1484" s="56"/>
      <c r="V1484" s="56"/>
      <c r="W1484" s="56"/>
      <c r="X1484" s="56"/>
      <c r="Y1484" s="56"/>
      <c r="Z1484" s="56"/>
      <c r="AA1484" s="56"/>
      <c r="AB1484" s="56"/>
    </row>
    <row r="1485" ht="15.75" customHeight="1">
      <c r="A1485" s="169"/>
      <c r="B1485" s="219" t="s">
        <v>4836</v>
      </c>
      <c r="C1485" s="220">
        <v>44515.0</v>
      </c>
      <c r="D1485" s="38"/>
      <c r="E1485" s="38"/>
      <c r="F1485" s="65"/>
      <c r="G1485" s="66"/>
      <c r="H1485" s="38"/>
      <c r="I1485" s="38"/>
      <c r="J1485" s="38"/>
      <c r="K1485" s="38"/>
      <c r="L1485" s="38"/>
      <c r="M1485" s="56"/>
      <c r="N1485" s="56" t="b">
        <v>0</v>
      </c>
      <c r="O1485" s="56" t="b">
        <v>0</v>
      </c>
      <c r="P1485" s="56"/>
      <c r="Q1485" s="56"/>
      <c r="R1485" s="56"/>
      <c r="S1485" s="56"/>
      <c r="T1485" s="56"/>
      <c r="U1485" s="56"/>
      <c r="V1485" s="56"/>
      <c r="W1485" s="56"/>
      <c r="X1485" s="56"/>
      <c r="Y1485" s="56"/>
      <c r="Z1485" s="56"/>
      <c r="AA1485" s="56"/>
      <c r="AB1485" s="56"/>
    </row>
    <row r="1486" ht="15.75" customHeight="1">
      <c r="A1486" s="169"/>
      <c r="B1486" s="63"/>
      <c r="C1486" s="22"/>
      <c r="D1486" s="38"/>
      <c r="E1486" s="38"/>
      <c r="F1486" s="65"/>
      <c r="G1486" s="66"/>
      <c r="H1486" s="38"/>
      <c r="I1486" s="38"/>
      <c r="J1486" s="38"/>
      <c r="K1486" s="38"/>
      <c r="L1486" s="38"/>
      <c r="M1486" s="56"/>
      <c r="N1486" s="56" t="b">
        <v>0</v>
      </c>
      <c r="O1486" s="56" t="b">
        <v>0</v>
      </c>
      <c r="P1486" s="56"/>
      <c r="Q1486" s="56"/>
      <c r="R1486" s="56"/>
      <c r="S1486" s="56"/>
      <c r="T1486" s="56"/>
      <c r="U1486" s="56"/>
      <c r="V1486" s="56"/>
      <c r="W1486" s="56"/>
      <c r="X1486" s="56"/>
      <c r="Y1486" s="56"/>
      <c r="Z1486" s="56"/>
      <c r="AA1486" s="56"/>
      <c r="AB1486" s="56"/>
    </row>
    <row r="1487" ht="15.75" customHeight="1">
      <c r="A1487" s="169"/>
      <c r="B1487" s="63"/>
      <c r="C1487" s="22" t="s">
        <v>53</v>
      </c>
      <c r="D1487" s="38"/>
      <c r="E1487" s="38"/>
      <c r="F1487" s="65"/>
      <c r="G1487" s="66"/>
      <c r="H1487" s="38"/>
      <c r="I1487" s="38"/>
      <c r="J1487" s="38"/>
      <c r="K1487" s="38"/>
      <c r="L1487" s="38"/>
      <c r="M1487" s="56"/>
      <c r="N1487" s="56" t="b">
        <v>0</v>
      </c>
      <c r="O1487" s="56" t="b">
        <v>0</v>
      </c>
      <c r="P1487" s="56"/>
      <c r="Q1487" s="56"/>
      <c r="R1487" s="56"/>
      <c r="S1487" s="56"/>
      <c r="T1487" s="56"/>
      <c r="U1487" s="56"/>
      <c r="V1487" s="56"/>
      <c r="W1487" s="56"/>
      <c r="X1487" s="56"/>
      <c r="Y1487" s="56"/>
      <c r="Z1487" s="56"/>
      <c r="AA1487" s="56"/>
      <c r="AB1487" s="56"/>
    </row>
    <row r="1488" ht="15.75" customHeight="1">
      <c r="A1488" s="169"/>
      <c r="B1488" s="63"/>
      <c r="C1488" s="22" t="s">
        <v>53</v>
      </c>
      <c r="D1488" s="227" t="s">
        <v>89</v>
      </c>
      <c r="E1488" s="170" t="s">
        <v>2894</v>
      </c>
      <c r="F1488" s="170" t="s">
        <v>6451</v>
      </c>
      <c r="G1488" s="73" t="s">
        <v>4851</v>
      </c>
      <c r="H1488" s="62" t="s">
        <v>6452</v>
      </c>
      <c r="I1488" s="62">
        <v>3.243265864E9</v>
      </c>
      <c r="J1488" s="62" t="s">
        <v>6453</v>
      </c>
      <c r="K1488" s="80"/>
      <c r="L1488" s="137"/>
      <c r="M1488" s="56"/>
      <c r="N1488" s="56" t="b">
        <v>0</v>
      </c>
      <c r="O1488" s="56" t="b">
        <v>0</v>
      </c>
      <c r="P1488" s="56"/>
      <c r="Q1488" s="56"/>
      <c r="R1488" s="56"/>
      <c r="S1488" s="56"/>
      <c r="T1488" s="56"/>
      <c r="U1488" s="56"/>
      <c r="V1488" s="56"/>
      <c r="W1488" s="56"/>
      <c r="X1488" s="56"/>
      <c r="Y1488" s="56"/>
      <c r="Z1488" s="56"/>
      <c r="AA1488" s="56"/>
      <c r="AB1488" s="56"/>
    </row>
    <row r="1489" ht="15.75" customHeight="1">
      <c r="A1489" s="169"/>
      <c r="B1489" s="63"/>
      <c r="C1489" s="22" t="s">
        <v>53</v>
      </c>
      <c r="D1489" s="227" t="s">
        <v>89</v>
      </c>
      <c r="E1489" s="60" t="s">
        <v>2953</v>
      </c>
      <c r="F1489" s="60" t="s">
        <v>2954</v>
      </c>
      <c r="G1489" s="73" t="s">
        <v>4856</v>
      </c>
      <c r="H1489" s="62" t="s">
        <v>4880</v>
      </c>
      <c r="I1489" s="62" t="s">
        <v>6441</v>
      </c>
      <c r="J1489" s="60" t="s">
        <v>2956</v>
      </c>
      <c r="K1489" s="38"/>
      <c r="L1489" s="38"/>
      <c r="M1489" s="56"/>
      <c r="N1489" s="56" t="b">
        <v>0</v>
      </c>
      <c r="O1489" s="56" t="b">
        <v>0</v>
      </c>
      <c r="P1489" s="56"/>
      <c r="Q1489" s="56"/>
      <c r="R1489" s="56"/>
      <c r="S1489" s="56"/>
      <c r="T1489" s="56"/>
      <c r="U1489" s="56"/>
      <c r="V1489" s="56"/>
      <c r="W1489" s="56"/>
      <c r="X1489" s="56"/>
      <c r="Y1489" s="56"/>
      <c r="Z1489" s="56"/>
      <c r="AA1489" s="56"/>
      <c r="AB1489" s="56"/>
    </row>
    <row r="1490" ht="15.75" customHeight="1">
      <c r="A1490" s="169"/>
      <c r="B1490" s="63"/>
      <c r="C1490" s="22" t="s">
        <v>53</v>
      </c>
      <c r="D1490" s="227" t="s">
        <v>89</v>
      </c>
      <c r="E1490" s="242" t="s">
        <v>2337</v>
      </c>
      <c r="F1490" s="242" t="s">
        <v>2338</v>
      </c>
      <c r="G1490" s="73" t="s">
        <v>4892</v>
      </c>
      <c r="H1490" s="62" t="s">
        <v>4880</v>
      </c>
      <c r="I1490" s="62" t="s">
        <v>6454</v>
      </c>
      <c r="J1490" s="242" t="s">
        <v>2339</v>
      </c>
      <c r="K1490" s="62" t="s">
        <v>2008</v>
      </c>
      <c r="L1490" s="38"/>
      <c r="M1490" s="56"/>
      <c r="N1490" s="56" t="b">
        <v>0</v>
      </c>
      <c r="O1490" s="56" t="b">
        <v>0</v>
      </c>
      <c r="P1490" s="56"/>
      <c r="Q1490" s="56"/>
      <c r="R1490" s="56"/>
      <c r="S1490" s="56"/>
      <c r="T1490" s="56"/>
      <c r="U1490" s="56"/>
      <c r="V1490" s="56"/>
      <c r="W1490" s="56"/>
      <c r="X1490" s="56"/>
      <c r="Y1490" s="56"/>
      <c r="Z1490" s="56"/>
      <c r="AA1490" s="56"/>
      <c r="AB1490" s="56"/>
    </row>
    <row r="1491" ht="15.75" customHeight="1">
      <c r="A1491" s="169"/>
      <c r="B1491" s="63"/>
      <c r="C1491" s="22" t="s">
        <v>53</v>
      </c>
      <c r="D1491" s="227" t="s">
        <v>89</v>
      </c>
      <c r="E1491" s="60" t="s">
        <v>817</v>
      </c>
      <c r="F1491" s="60" t="s">
        <v>818</v>
      </c>
      <c r="G1491" s="73" t="s">
        <v>4858</v>
      </c>
      <c r="H1491" s="62" t="s">
        <v>4880</v>
      </c>
      <c r="I1491" s="60" t="s">
        <v>6439</v>
      </c>
      <c r="J1491" s="60" t="s">
        <v>820</v>
      </c>
      <c r="K1491" s="62"/>
      <c r="L1491" s="38"/>
      <c r="M1491" s="56"/>
      <c r="N1491" s="56" t="b">
        <v>0</v>
      </c>
      <c r="O1491" s="56" t="b">
        <v>0</v>
      </c>
      <c r="P1491" s="56"/>
      <c r="Q1491" s="56"/>
      <c r="R1491" s="56"/>
      <c r="S1491" s="56"/>
      <c r="T1491" s="56"/>
      <c r="U1491" s="56"/>
      <c r="V1491" s="56"/>
      <c r="W1491" s="56"/>
      <c r="X1491" s="56"/>
      <c r="Y1491" s="56"/>
      <c r="Z1491" s="56"/>
      <c r="AA1491" s="56"/>
      <c r="AB1491" s="56"/>
    </row>
    <row r="1492" ht="15.75" customHeight="1">
      <c r="A1492" s="169"/>
      <c r="B1492" s="69"/>
      <c r="C1492" s="22" t="s">
        <v>53</v>
      </c>
      <c r="D1492" s="172" t="s">
        <v>89</v>
      </c>
      <c r="E1492" s="77" t="s">
        <v>6418</v>
      </c>
      <c r="F1492" s="77" t="s">
        <v>6419</v>
      </c>
      <c r="G1492" s="82" t="s">
        <v>5089</v>
      </c>
      <c r="H1492" s="76" t="s">
        <v>6420</v>
      </c>
      <c r="I1492" s="76" t="s">
        <v>6421</v>
      </c>
      <c r="J1492" s="77" t="s">
        <v>6422</v>
      </c>
      <c r="K1492" s="38" t="s">
        <v>6455</v>
      </c>
      <c r="L1492" s="38"/>
      <c r="M1492" s="56"/>
      <c r="N1492" s="56" t="b">
        <v>0</v>
      </c>
      <c r="O1492" s="56" t="b">
        <v>0</v>
      </c>
      <c r="P1492" s="56"/>
      <c r="Q1492" s="56"/>
      <c r="R1492" s="56"/>
      <c r="S1492" s="56"/>
      <c r="T1492" s="56"/>
      <c r="U1492" s="56"/>
      <c r="V1492" s="56"/>
      <c r="W1492" s="56"/>
      <c r="X1492" s="56"/>
      <c r="Y1492" s="56"/>
      <c r="Z1492" s="56"/>
      <c r="AA1492" s="56"/>
      <c r="AB1492" s="56"/>
    </row>
    <row r="1493" ht="15.75" customHeight="1">
      <c r="A1493" s="169"/>
      <c r="B1493" s="273" t="s">
        <v>6168</v>
      </c>
      <c r="C1493" s="275"/>
      <c r="D1493" s="38"/>
      <c r="E1493" s="38"/>
      <c r="F1493" s="65"/>
      <c r="G1493" s="66"/>
      <c r="H1493" s="38"/>
      <c r="I1493" s="38"/>
      <c r="J1493" s="38"/>
      <c r="K1493" s="38"/>
      <c r="L1493" s="38"/>
      <c r="M1493" s="56"/>
      <c r="N1493" s="56" t="b">
        <v>0</v>
      </c>
      <c r="O1493" s="56" t="b">
        <v>0</v>
      </c>
      <c r="P1493" s="56"/>
      <c r="Q1493" s="56"/>
      <c r="R1493" s="56"/>
      <c r="S1493" s="56"/>
      <c r="T1493" s="56"/>
      <c r="U1493" s="56"/>
      <c r="V1493" s="56"/>
      <c r="W1493" s="56"/>
      <c r="X1493" s="56"/>
      <c r="Y1493" s="56"/>
      <c r="Z1493" s="56"/>
      <c r="AA1493" s="56"/>
      <c r="AB1493" s="56"/>
    </row>
    <row r="1494" ht="15.75" customHeight="1">
      <c r="A1494" s="169"/>
      <c r="B1494" s="63"/>
      <c r="C1494" s="22" t="s">
        <v>66</v>
      </c>
      <c r="D1494" s="38"/>
      <c r="E1494" s="38"/>
      <c r="F1494" s="65"/>
      <c r="G1494" s="66"/>
      <c r="H1494" s="38"/>
      <c r="I1494" s="38"/>
      <c r="J1494" s="38"/>
      <c r="K1494" s="38"/>
      <c r="L1494" s="38"/>
      <c r="M1494" s="56"/>
      <c r="N1494" s="56" t="b">
        <v>0</v>
      </c>
      <c r="O1494" s="56" t="b">
        <v>0</v>
      </c>
      <c r="P1494" s="56"/>
      <c r="Q1494" s="56"/>
      <c r="R1494" s="56"/>
      <c r="S1494" s="56"/>
      <c r="T1494" s="56"/>
      <c r="U1494" s="56"/>
      <c r="V1494" s="56"/>
      <c r="W1494" s="56"/>
      <c r="X1494" s="56"/>
      <c r="Y1494" s="56"/>
      <c r="Z1494" s="56"/>
      <c r="AA1494" s="56"/>
      <c r="AB1494" s="56"/>
    </row>
    <row r="1495" ht="15.75" customHeight="1">
      <c r="A1495" s="169"/>
      <c r="B1495" s="63"/>
      <c r="C1495" s="22" t="s">
        <v>66</v>
      </c>
      <c r="D1495" s="38"/>
      <c r="E1495" s="162" t="s">
        <v>5784</v>
      </c>
      <c r="F1495" s="155"/>
      <c r="G1495" s="66"/>
      <c r="H1495" s="38"/>
      <c r="I1495" s="38"/>
      <c r="J1495" s="38"/>
      <c r="K1495" s="38"/>
      <c r="L1495" s="38"/>
      <c r="M1495" s="56"/>
      <c r="N1495" s="56" t="b">
        <v>0</v>
      </c>
      <c r="O1495" s="56" t="b">
        <v>0</v>
      </c>
      <c r="P1495" s="56"/>
      <c r="Q1495" s="56"/>
      <c r="R1495" s="56"/>
      <c r="S1495" s="56"/>
      <c r="T1495" s="56"/>
      <c r="U1495" s="56"/>
      <c r="V1495" s="56"/>
      <c r="W1495" s="56"/>
      <c r="X1495" s="56"/>
      <c r="Y1495" s="56"/>
      <c r="Z1495" s="56"/>
      <c r="AA1495" s="56"/>
      <c r="AB1495" s="56"/>
    </row>
    <row r="1496" ht="15.75" customHeight="1">
      <c r="A1496" s="169"/>
      <c r="B1496" s="63"/>
      <c r="C1496" s="22" t="s">
        <v>66</v>
      </c>
      <c r="D1496" s="38"/>
      <c r="E1496" s="158"/>
      <c r="F1496" s="159"/>
      <c r="G1496" s="66"/>
      <c r="H1496" s="38"/>
      <c r="I1496" s="38"/>
      <c r="J1496" s="38"/>
      <c r="K1496" s="38"/>
      <c r="L1496" s="38"/>
      <c r="M1496" s="56"/>
      <c r="N1496" s="56" t="b">
        <v>0</v>
      </c>
      <c r="O1496" s="56" t="b">
        <v>0</v>
      </c>
      <c r="P1496" s="56"/>
      <c r="Q1496" s="56"/>
      <c r="R1496" s="56"/>
      <c r="S1496" s="56"/>
      <c r="T1496" s="56"/>
      <c r="U1496" s="56"/>
      <c r="V1496" s="56"/>
      <c r="W1496" s="56"/>
      <c r="X1496" s="56"/>
      <c r="Y1496" s="56"/>
      <c r="Z1496" s="56"/>
      <c r="AA1496" s="56"/>
      <c r="AB1496" s="56"/>
    </row>
    <row r="1497" ht="15.75" customHeight="1">
      <c r="A1497" s="169"/>
      <c r="B1497" s="63"/>
      <c r="C1497" s="22" t="s">
        <v>66</v>
      </c>
      <c r="D1497" s="38"/>
      <c r="E1497" s="38"/>
      <c r="F1497" s="65"/>
      <c r="G1497" s="66"/>
      <c r="H1497" s="38"/>
      <c r="I1497" s="38"/>
      <c r="J1497" s="38"/>
      <c r="K1497" s="38"/>
      <c r="L1497" s="38"/>
      <c r="M1497" s="56"/>
      <c r="N1497" s="56" t="b">
        <v>0</v>
      </c>
      <c r="O1497" s="56" t="b">
        <v>0</v>
      </c>
      <c r="P1497" s="56"/>
      <c r="Q1497" s="56"/>
      <c r="R1497" s="56"/>
      <c r="S1497" s="56"/>
      <c r="T1497" s="56"/>
      <c r="U1497" s="56"/>
      <c r="V1497" s="56"/>
      <c r="W1497" s="56"/>
      <c r="X1497" s="56"/>
      <c r="Y1497" s="56"/>
      <c r="Z1497" s="56"/>
      <c r="AA1497" s="56"/>
      <c r="AB1497" s="56"/>
    </row>
    <row r="1498" ht="15.75" customHeight="1">
      <c r="A1498" s="169"/>
      <c r="B1498" s="63"/>
      <c r="C1498" s="22" t="s">
        <v>66</v>
      </c>
      <c r="G1498" s="245"/>
      <c r="K1498" s="38"/>
      <c r="L1498" s="38"/>
      <c r="M1498" s="56"/>
      <c r="N1498" s="56" t="b">
        <v>0</v>
      </c>
      <c r="O1498" s="56" t="b">
        <v>0</v>
      </c>
      <c r="P1498" s="56"/>
      <c r="Q1498" s="56"/>
      <c r="R1498" s="56"/>
      <c r="S1498" s="56"/>
      <c r="T1498" s="56"/>
      <c r="U1498" s="56"/>
      <c r="V1498" s="56"/>
      <c r="W1498" s="56"/>
      <c r="X1498" s="56"/>
      <c r="Y1498" s="56"/>
      <c r="Z1498" s="56"/>
      <c r="AA1498" s="56"/>
      <c r="AB1498" s="56"/>
    </row>
    <row r="1499" ht="15.75" customHeight="1">
      <c r="A1499" s="169"/>
      <c r="B1499" s="69"/>
      <c r="C1499" s="22" t="s">
        <v>66</v>
      </c>
      <c r="D1499" s="38"/>
      <c r="E1499" s="38"/>
      <c r="F1499" s="65"/>
      <c r="G1499" s="66"/>
      <c r="H1499" s="38"/>
      <c r="I1499" s="38"/>
      <c r="J1499" s="38"/>
      <c r="K1499" s="38"/>
      <c r="L1499" s="38"/>
      <c r="M1499" s="56"/>
      <c r="N1499" s="56" t="b">
        <v>0</v>
      </c>
      <c r="O1499" s="56" t="b">
        <v>0</v>
      </c>
      <c r="P1499" s="56"/>
      <c r="Q1499" s="56"/>
      <c r="R1499" s="56"/>
      <c r="S1499" s="56"/>
      <c r="T1499" s="56"/>
      <c r="U1499" s="56"/>
      <c r="V1499" s="56"/>
      <c r="W1499" s="56"/>
      <c r="X1499" s="56"/>
      <c r="Y1499" s="56"/>
      <c r="Z1499" s="56"/>
      <c r="AA1499" s="56"/>
      <c r="AB1499" s="56"/>
    </row>
    <row r="1500" ht="15.75" customHeight="1">
      <c r="A1500" s="169"/>
      <c r="B1500" s="219" t="s">
        <v>4836</v>
      </c>
      <c r="C1500" s="220">
        <v>44516.0</v>
      </c>
      <c r="D1500" s="38"/>
      <c r="E1500" s="38"/>
      <c r="F1500" s="65"/>
      <c r="G1500" s="66"/>
      <c r="H1500" s="38"/>
      <c r="I1500" s="38"/>
      <c r="J1500" s="38"/>
      <c r="K1500" s="38"/>
      <c r="L1500" s="38"/>
      <c r="M1500" s="56"/>
      <c r="N1500" s="56" t="b">
        <v>0</v>
      </c>
      <c r="O1500" s="56" t="b">
        <v>0</v>
      </c>
      <c r="P1500" s="56"/>
      <c r="Q1500" s="56"/>
      <c r="R1500" s="56"/>
      <c r="S1500" s="56"/>
      <c r="T1500" s="56"/>
      <c r="U1500" s="56"/>
      <c r="V1500" s="56"/>
      <c r="W1500" s="56"/>
      <c r="X1500" s="56"/>
      <c r="Y1500" s="56"/>
      <c r="Z1500" s="56"/>
      <c r="AA1500" s="56"/>
      <c r="AB1500" s="56"/>
    </row>
    <row r="1501" ht="15.75" customHeight="1">
      <c r="A1501" s="169"/>
      <c r="B1501" s="63"/>
      <c r="C1501" s="22"/>
      <c r="D1501" s="38"/>
      <c r="E1501" s="38"/>
      <c r="F1501" s="65"/>
      <c r="G1501" s="66"/>
      <c r="H1501" s="38"/>
      <c r="I1501" s="38"/>
      <c r="J1501" s="38"/>
      <c r="K1501" s="38"/>
      <c r="L1501" s="38"/>
      <c r="M1501" s="56"/>
      <c r="N1501" s="56" t="b">
        <v>0</v>
      </c>
      <c r="O1501" s="56" t="b">
        <v>0</v>
      </c>
      <c r="P1501" s="56"/>
      <c r="Q1501" s="56"/>
      <c r="R1501" s="56"/>
      <c r="S1501" s="56"/>
      <c r="T1501" s="56"/>
      <c r="U1501" s="56"/>
      <c r="V1501" s="56"/>
      <c r="W1501" s="56"/>
      <c r="X1501" s="56"/>
      <c r="Y1501" s="56"/>
      <c r="Z1501" s="56"/>
      <c r="AA1501" s="56"/>
      <c r="AB1501" s="56"/>
    </row>
    <row r="1502" ht="15.75" customHeight="1">
      <c r="A1502" s="169"/>
      <c r="B1502" s="63"/>
      <c r="C1502" s="22" t="s">
        <v>53</v>
      </c>
      <c r="D1502" s="62" t="s">
        <v>52</v>
      </c>
      <c r="E1502" s="242" t="s">
        <v>786</v>
      </c>
      <c r="F1502" s="242" t="s">
        <v>787</v>
      </c>
      <c r="G1502" s="73" t="s">
        <v>4851</v>
      </c>
      <c r="H1502" s="62" t="s">
        <v>6456</v>
      </c>
      <c r="I1502" s="62" t="s">
        <v>6457</v>
      </c>
      <c r="J1502" s="242" t="s">
        <v>6458</v>
      </c>
      <c r="K1502" s="62"/>
      <c r="L1502" s="38"/>
      <c r="M1502" s="56"/>
      <c r="N1502" s="56" t="b">
        <v>0</v>
      </c>
      <c r="O1502" s="56" t="b">
        <v>0</v>
      </c>
      <c r="P1502" s="56"/>
      <c r="Q1502" s="56"/>
      <c r="R1502" s="56"/>
      <c r="S1502" s="56"/>
      <c r="T1502" s="56"/>
      <c r="U1502" s="56"/>
      <c r="V1502" s="56"/>
      <c r="W1502" s="56"/>
      <c r="X1502" s="56"/>
      <c r="Y1502" s="56"/>
      <c r="Z1502" s="56"/>
      <c r="AA1502" s="56"/>
      <c r="AB1502" s="56"/>
    </row>
    <row r="1503" ht="15.75" customHeight="1">
      <c r="A1503" s="169"/>
      <c r="B1503" s="63"/>
      <c r="C1503" s="22" t="s">
        <v>53</v>
      </c>
      <c r="D1503" s="62" t="s">
        <v>52</v>
      </c>
      <c r="E1503" s="242" t="s">
        <v>4716</v>
      </c>
      <c r="F1503" s="242" t="s">
        <v>4717</v>
      </c>
      <c r="G1503" s="258">
        <v>0.5416666666666666</v>
      </c>
      <c r="H1503" s="170" t="s">
        <v>5866</v>
      </c>
      <c r="I1503" s="170" t="s">
        <v>6459</v>
      </c>
      <c r="J1503" s="242" t="s">
        <v>6460</v>
      </c>
      <c r="K1503" s="38"/>
      <c r="L1503" s="38"/>
      <c r="M1503" s="56"/>
      <c r="N1503" s="56" t="b">
        <v>0</v>
      </c>
      <c r="O1503" s="56" t="b">
        <v>0</v>
      </c>
      <c r="P1503" s="56"/>
      <c r="Q1503" s="56"/>
      <c r="R1503" s="56"/>
      <c r="S1503" s="56"/>
      <c r="T1503" s="56"/>
      <c r="U1503" s="56"/>
      <c r="V1503" s="56"/>
      <c r="W1503" s="56"/>
      <c r="X1503" s="56"/>
      <c r="Y1503" s="56"/>
      <c r="Z1503" s="56"/>
      <c r="AA1503" s="56"/>
      <c r="AB1503" s="56"/>
    </row>
    <row r="1504" ht="15.75" customHeight="1">
      <c r="A1504" s="169"/>
      <c r="B1504" s="63"/>
      <c r="C1504" s="22" t="s">
        <v>53</v>
      </c>
      <c r="D1504" s="227" t="s">
        <v>89</v>
      </c>
      <c r="E1504" s="242" t="s">
        <v>4298</v>
      </c>
      <c r="F1504" s="242" t="s">
        <v>4299</v>
      </c>
      <c r="G1504" s="258">
        <v>0.625</v>
      </c>
      <c r="H1504" s="170" t="s">
        <v>6461</v>
      </c>
      <c r="I1504" s="170" t="s">
        <v>6462</v>
      </c>
      <c r="J1504" s="242" t="s">
        <v>4301</v>
      </c>
      <c r="K1504" s="38"/>
      <c r="L1504" s="38"/>
      <c r="M1504" s="56"/>
      <c r="N1504" s="56" t="b">
        <v>0</v>
      </c>
      <c r="O1504" s="56" t="b">
        <v>0</v>
      </c>
      <c r="P1504" s="56"/>
      <c r="Q1504" s="56"/>
      <c r="R1504" s="56"/>
      <c r="S1504" s="56"/>
      <c r="T1504" s="56"/>
      <c r="U1504" s="56"/>
      <c r="V1504" s="56"/>
      <c r="W1504" s="56"/>
      <c r="X1504" s="56"/>
      <c r="Y1504" s="56"/>
      <c r="Z1504" s="56"/>
      <c r="AA1504" s="56"/>
      <c r="AB1504" s="56"/>
    </row>
    <row r="1505" ht="15.75" customHeight="1">
      <c r="A1505" s="169"/>
      <c r="B1505" s="63"/>
      <c r="C1505" s="22" t="s">
        <v>53</v>
      </c>
      <c r="D1505" s="23" t="s">
        <v>89</v>
      </c>
      <c r="E1505" s="294" t="s">
        <v>4399</v>
      </c>
      <c r="F1505" s="294" t="s">
        <v>4400</v>
      </c>
      <c r="G1505" s="292" t="s">
        <v>4892</v>
      </c>
      <c r="H1505" s="290" t="s">
        <v>6463</v>
      </c>
      <c r="I1505" s="290" t="s">
        <v>6464</v>
      </c>
      <c r="J1505" s="294" t="s">
        <v>49</v>
      </c>
      <c r="K1505" s="38" t="s">
        <v>6465</v>
      </c>
      <c r="L1505" s="38"/>
      <c r="M1505" s="56"/>
      <c r="N1505" s="56" t="b">
        <v>0</v>
      </c>
      <c r="O1505" s="56" t="b">
        <v>0</v>
      </c>
      <c r="P1505" s="56"/>
      <c r="Q1505" s="56"/>
      <c r="R1505" s="56"/>
      <c r="S1505" s="56"/>
      <c r="T1505" s="56"/>
      <c r="U1505" s="56"/>
      <c r="V1505" s="56"/>
      <c r="W1505" s="56"/>
      <c r="X1505" s="56"/>
      <c r="Y1505" s="56"/>
      <c r="Z1505" s="56"/>
      <c r="AA1505" s="56"/>
      <c r="AB1505" s="56"/>
    </row>
    <row r="1506" ht="15.75" customHeight="1">
      <c r="A1506" s="169"/>
      <c r="B1506" s="63"/>
      <c r="C1506" s="22" t="s">
        <v>53</v>
      </c>
      <c r="D1506" s="62" t="s">
        <v>267</v>
      </c>
      <c r="E1506" s="60" t="s">
        <v>2839</v>
      </c>
      <c r="F1506" s="60" t="s">
        <v>2840</v>
      </c>
      <c r="G1506" s="73" t="s">
        <v>4899</v>
      </c>
      <c r="H1506" s="60" t="s">
        <v>6309</v>
      </c>
      <c r="I1506" s="60" t="s">
        <v>6466</v>
      </c>
      <c r="J1506" s="60" t="s">
        <v>2842</v>
      </c>
      <c r="K1506" s="38"/>
      <c r="L1506" s="38"/>
      <c r="M1506" s="56"/>
      <c r="N1506" s="56" t="b">
        <v>0</v>
      </c>
      <c r="O1506" s="56" t="b">
        <v>0</v>
      </c>
      <c r="P1506" s="56"/>
      <c r="Q1506" s="56"/>
      <c r="R1506" s="56"/>
      <c r="S1506" s="56"/>
      <c r="T1506" s="56"/>
      <c r="U1506" s="56"/>
      <c r="V1506" s="56"/>
      <c r="W1506" s="56"/>
      <c r="X1506" s="56"/>
      <c r="Y1506" s="56"/>
      <c r="Z1506" s="56"/>
      <c r="AA1506" s="56"/>
      <c r="AB1506" s="56"/>
    </row>
    <row r="1507" ht="15.75" customHeight="1">
      <c r="A1507" s="169"/>
      <c r="B1507" s="69"/>
      <c r="C1507" s="22" t="s">
        <v>53</v>
      </c>
      <c r="D1507" s="38"/>
      <c r="E1507" s="38"/>
      <c r="F1507" s="65" t="s">
        <v>4119</v>
      </c>
      <c r="G1507" s="66"/>
      <c r="H1507" s="38"/>
      <c r="I1507" s="38"/>
      <c r="J1507" s="38"/>
      <c r="K1507" s="38"/>
      <c r="L1507" s="38"/>
      <c r="M1507" s="56"/>
      <c r="N1507" s="56" t="b">
        <v>0</v>
      </c>
      <c r="O1507" s="56" t="b">
        <v>0</v>
      </c>
      <c r="P1507" s="56"/>
      <c r="Q1507" s="56"/>
      <c r="R1507" s="56"/>
      <c r="S1507" s="56"/>
      <c r="T1507" s="56"/>
      <c r="U1507" s="56"/>
      <c r="V1507" s="56"/>
      <c r="W1507" s="56"/>
      <c r="X1507" s="56"/>
      <c r="Y1507" s="56"/>
      <c r="Z1507" s="56"/>
      <c r="AA1507" s="56"/>
      <c r="AB1507" s="56"/>
    </row>
    <row r="1508" ht="15.75" customHeight="1">
      <c r="A1508" s="169"/>
      <c r="B1508" s="273" t="s">
        <v>6168</v>
      </c>
      <c r="C1508" s="275"/>
      <c r="D1508" s="38"/>
      <c r="E1508" s="38"/>
      <c r="F1508" s="65"/>
      <c r="G1508" s="66"/>
      <c r="H1508" s="38"/>
      <c r="I1508" s="38"/>
      <c r="J1508" s="38"/>
      <c r="K1508" s="38"/>
      <c r="L1508" s="38"/>
      <c r="M1508" s="56"/>
      <c r="N1508" s="56" t="b">
        <v>0</v>
      </c>
      <c r="O1508" s="56" t="b">
        <v>0</v>
      </c>
      <c r="P1508" s="56"/>
      <c r="Q1508" s="56"/>
      <c r="R1508" s="56"/>
      <c r="S1508" s="56"/>
      <c r="T1508" s="56"/>
      <c r="U1508" s="56"/>
      <c r="V1508" s="56"/>
      <c r="W1508" s="56"/>
      <c r="X1508" s="56"/>
      <c r="Y1508" s="56"/>
      <c r="Z1508" s="56"/>
      <c r="AA1508" s="56"/>
      <c r="AB1508" s="56"/>
    </row>
    <row r="1509" ht="15.75" customHeight="1">
      <c r="A1509" s="169"/>
      <c r="B1509" s="63"/>
      <c r="C1509" s="22" t="s">
        <v>66</v>
      </c>
      <c r="D1509" s="38"/>
      <c r="E1509" s="38"/>
      <c r="F1509" s="65"/>
      <c r="G1509" s="66"/>
      <c r="H1509" s="38"/>
      <c r="I1509" s="38"/>
      <c r="J1509" s="38"/>
      <c r="K1509" s="38"/>
      <c r="L1509" s="38"/>
      <c r="M1509" s="56"/>
      <c r="N1509" s="56" t="b">
        <v>0</v>
      </c>
      <c r="O1509" s="56" t="b">
        <v>0</v>
      </c>
      <c r="P1509" s="56"/>
      <c r="Q1509" s="56"/>
      <c r="R1509" s="56"/>
      <c r="S1509" s="56"/>
      <c r="T1509" s="56"/>
      <c r="U1509" s="56"/>
      <c r="V1509" s="56"/>
      <c r="W1509" s="56"/>
      <c r="X1509" s="56"/>
      <c r="Y1509" s="56"/>
      <c r="Z1509" s="56"/>
      <c r="AA1509" s="56"/>
      <c r="AB1509" s="56"/>
    </row>
    <row r="1510" ht="15.75" customHeight="1">
      <c r="A1510" s="169"/>
      <c r="B1510" s="63"/>
      <c r="C1510" s="22" t="s">
        <v>66</v>
      </c>
      <c r="D1510" s="227" t="s">
        <v>89</v>
      </c>
      <c r="E1510" s="242" t="s">
        <v>6467</v>
      </c>
      <c r="F1510" s="242" t="s">
        <v>6468</v>
      </c>
      <c r="G1510" s="73" t="s">
        <v>5704</v>
      </c>
      <c r="H1510" s="62" t="s">
        <v>6469</v>
      </c>
      <c r="I1510" s="62" t="s">
        <v>6470</v>
      </c>
      <c r="J1510" s="242" t="s">
        <v>6471</v>
      </c>
      <c r="K1510" s="38"/>
      <c r="L1510" s="38"/>
      <c r="M1510" s="56"/>
      <c r="N1510" s="56" t="b">
        <v>0</v>
      </c>
      <c r="O1510" s="56" t="b">
        <v>0</v>
      </c>
      <c r="P1510" s="56"/>
      <c r="Q1510" s="56"/>
      <c r="R1510" s="56"/>
      <c r="S1510" s="56"/>
      <c r="T1510" s="56"/>
      <c r="U1510" s="56"/>
      <c r="V1510" s="56"/>
      <c r="W1510" s="56"/>
      <c r="X1510" s="56"/>
      <c r="Y1510" s="56"/>
      <c r="Z1510" s="56"/>
      <c r="AA1510" s="56"/>
      <c r="AB1510" s="56"/>
    </row>
    <row r="1511" ht="15.75" customHeight="1">
      <c r="A1511" s="169"/>
      <c r="B1511" s="63"/>
      <c r="C1511" s="22" t="s">
        <v>66</v>
      </c>
      <c r="D1511" s="227" t="s">
        <v>89</v>
      </c>
      <c r="E1511" s="242" t="s">
        <v>2526</v>
      </c>
      <c r="F1511" s="242" t="s">
        <v>2527</v>
      </c>
      <c r="G1511" s="73" t="s">
        <v>5134</v>
      </c>
      <c r="H1511" s="62" t="s">
        <v>6427</v>
      </c>
      <c r="I1511" s="62" t="s">
        <v>6472</v>
      </c>
      <c r="J1511" s="242" t="s">
        <v>2529</v>
      </c>
      <c r="K1511" s="38"/>
      <c r="L1511" s="38"/>
      <c r="M1511" s="56"/>
      <c r="N1511" s="56" t="b">
        <v>0</v>
      </c>
      <c r="O1511" s="56" t="b">
        <v>0</v>
      </c>
      <c r="P1511" s="56"/>
      <c r="Q1511" s="56"/>
      <c r="R1511" s="56"/>
      <c r="S1511" s="56"/>
      <c r="T1511" s="56"/>
      <c r="U1511" s="56"/>
      <c r="V1511" s="56"/>
      <c r="W1511" s="56"/>
      <c r="X1511" s="56"/>
      <c r="Y1511" s="56"/>
      <c r="Z1511" s="56"/>
      <c r="AA1511" s="56"/>
      <c r="AB1511" s="56"/>
    </row>
    <row r="1512" ht="15.75" customHeight="1">
      <c r="A1512" s="169"/>
      <c r="B1512" s="63"/>
      <c r="C1512" s="22" t="s">
        <v>66</v>
      </c>
      <c r="D1512" s="172" t="s">
        <v>89</v>
      </c>
      <c r="E1512" s="203" t="s">
        <v>4369</v>
      </c>
      <c r="F1512" s="203" t="s">
        <v>4370</v>
      </c>
      <c r="G1512" s="82" t="s">
        <v>4856</v>
      </c>
      <c r="H1512" s="76" t="s">
        <v>6452</v>
      </c>
      <c r="I1512" s="76" t="s">
        <v>6473</v>
      </c>
      <c r="J1512" s="203" t="s">
        <v>4372</v>
      </c>
      <c r="K1512" s="38" t="s">
        <v>6474</v>
      </c>
      <c r="L1512" s="38"/>
      <c r="M1512" s="56"/>
      <c r="N1512" s="56" t="b">
        <v>0</v>
      </c>
      <c r="O1512" s="56" t="b">
        <v>0</v>
      </c>
      <c r="P1512" s="56"/>
      <c r="Q1512" s="56"/>
      <c r="R1512" s="56"/>
      <c r="S1512" s="56"/>
      <c r="T1512" s="56"/>
      <c r="U1512" s="56"/>
      <c r="V1512" s="56"/>
      <c r="W1512" s="56"/>
      <c r="X1512" s="56"/>
      <c r="Y1512" s="56"/>
      <c r="Z1512" s="56"/>
      <c r="AA1512" s="56"/>
      <c r="AB1512" s="56"/>
    </row>
    <row r="1513" ht="15.75" customHeight="1">
      <c r="A1513" s="169"/>
      <c r="B1513" s="63"/>
      <c r="C1513" s="22" t="s">
        <v>66</v>
      </c>
      <c r="D1513" s="227" t="s">
        <v>89</v>
      </c>
      <c r="E1513" s="242" t="s">
        <v>1220</v>
      </c>
      <c r="F1513" s="242" t="s">
        <v>1221</v>
      </c>
      <c r="G1513" s="73" t="s">
        <v>4858</v>
      </c>
      <c r="H1513" s="62" t="s">
        <v>6475</v>
      </c>
      <c r="I1513" s="62" t="s">
        <v>6476</v>
      </c>
      <c r="J1513" s="242" t="s">
        <v>1223</v>
      </c>
      <c r="K1513" s="38"/>
      <c r="L1513" s="38"/>
      <c r="M1513" s="56"/>
      <c r="N1513" s="56" t="b">
        <v>0</v>
      </c>
      <c r="O1513" s="56" t="b">
        <v>0</v>
      </c>
      <c r="P1513" s="56"/>
      <c r="Q1513" s="56"/>
      <c r="R1513" s="56"/>
      <c r="S1513" s="56"/>
      <c r="T1513" s="56"/>
      <c r="U1513" s="56"/>
      <c r="V1513" s="56"/>
      <c r="W1513" s="56"/>
      <c r="X1513" s="56"/>
      <c r="Y1513" s="56"/>
      <c r="Z1513" s="56"/>
      <c r="AA1513" s="56"/>
      <c r="AB1513" s="56"/>
    </row>
    <row r="1514" ht="15.75" customHeight="1">
      <c r="A1514" s="169"/>
      <c r="B1514" s="69"/>
      <c r="C1514" s="22" t="s">
        <v>66</v>
      </c>
      <c r="D1514" s="38"/>
      <c r="E1514" s="38"/>
      <c r="F1514" s="65"/>
      <c r="G1514" s="66"/>
      <c r="H1514" s="38"/>
      <c r="I1514" s="38"/>
      <c r="J1514" s="38"/>
      <c r="K1514" s="38"/>
      <c r="L1514" s="38"/>
      <c r="M1514" s="56"/>
      <c r="N1514" s="56" t="b">
        <v>0</v>
      </c>
      <c r="O1514" s="56" t="b">
        <v>0</v>
      </c>
      <c r="P1514" s="56"/>
      <c r="Q1514" s="56"/>
      <c r="R1514" s="56"/>
      <c r="S1514" s="56"/>
      <c r="T1514" s="56"/>
      <c r="U1514" s="56"/>
      <c r="V1514" s="56"/>
      <c r="W1514" s="56"/>
      <c r="X1514" s="56"/>
      <c r="Y1514" s="56"/>
      <c r="Z1514" s="56"/>
      <c r="AA1514" s="56"/>
      <c r="AB1514" s="56"/>
    </row>
    <row r="1515" ht="15.75" customHeight="1">
      <c r="A1515" s="169"/>
      <c r="B1515" s="219" t="s">
        <v>4836</v>
      </c>
      <c r="C1515" s="220">
        <v>44517.0</v>
      </c>
      <c r="D1515" s="38"/>
      <c r="E1515" s="38"/>
      <c r="F1515" s="65"/>
      <c r="G1515" s="66"/>
      <c r="H1515" s="38"/>
      <c r="I1515" s="38"/>
      <c r="J1515" s="38"/>
      <c r="K1515" s="38"/>
      <c r="L1515" s="38"/>
      <c r="M1515" s="56"/>
      <c r="N1515" s="56" t="b">
        <v>0</v>
      </c>
      <c r="O1515" s="56" t="b">
        <v>0</v>
      </c>
      <c r="P1515" s="56"/>
      <c r="Q1515" s="56"/>
      <c r="R1515" s="56"/>
      <c r="S1515" s="56"/>
      <c r="T1515" s="56"/>
      <c r="U1515" s="56"/>
      <c r="V1515" s="56"/>
      <c r="W1515" s="56"/>
      <c r="X1515" s="56"/>
      <c r="Y1515" s="56"/>
      <c r="Z1515" s="56"/>
      <c r="AA1515" s="56"/>
      <c r="AB1515" s="56"/>
    </row>
    <row r="1516" ht="15.75" customHeight="1">
      <c r="A1516" s="169"/>
      <c r="B1516" s="63"/>
      <c r="C1516" s="22"/>
      <c r="D1516" s="38"/>
      <c r="E1516" s="38"/>
      <c r="F1516" s="65"/>
      <c r="G1516" s="66"/>
      <c r="H1516" s="38"/>
      <c r="I1516" s="38"/>
      <c r="J1516" s="38"/>
      <c r="K1516" s="38"/>
      <c r="L1516" s="38"/>
      <c r="M1516" s="56"/>
      <c r="N1516" s="56" t="b">
        <v>0</v>
      </c>
      <c r="O1516" s="56" t="b">
        <v>0</v>
      </c>
      <c r="P1516" s="56"/>
      <c r="Q1516" s="56"/>
      <c r="R1516" s="56"/>
      <c r="S1516" s="56"/>
      <c r="T1516" s="56"/>
      <c r="U1516" s="56"/>
      <c r="V1516" s="56"/>
      <c r="W1516" s="56"/>
      <c r="X1516" s="56"/>
      <c r="Y1516" s="56"/>
      <c r="Z1516" s="56"/>
      <c r="AA1516" s="56"/>
      <c r="AB1516" s="56"/>
    </row>
    <row r="1517" ht="15.75" customHeight="1">
      <c r="A1517" s="169"/>
      <c r="B1517" s="63"/>
      <c r="C1517" s="22" t="s">
        <v>53</v>
      </c>
      <c r="D1517" s="38"/>
      <c r="E1517" s="38"/>
      <c r="F1517" s="65"/>
      <c r="G1517" s="66"/>
      <c r="H1517" s="38"/>
      <c r="I1517" s="38"/>
      <c r="J1517" s="38"/>
      <c r="K1517" s="38"/>
      <c r="L1517" s="38"/>
      <c r="M1517" s="56"/>
      <c r="N1517" s="56" t="b">
        <v>0</v>
      </c>
      <c r="O1517" s="56" t="b">
        <v>0</v>
      </c>
      <c r="P1517" s="56"/>
      <c r="Q1517" s="56"/>
      <c r="R1517" s="56"/>
      <c r="S1517" s="56"/>
      <c r="T1517" s="56"/>
      <c r="U1517" s="56"/>
      <c r="V1517" s="56"/>
      <c r="W1517" s="56"/>
      <c r="X1517" s="56"/>
      <c r="Y1517" s="56"/>
      <c r="Z1517" s="56"/>
      <c r="AA1517" s="56"/>
      <c r="AB1517" s="56"/>
    </row>
    <row r="1518" ht="15.75" customHeight="1">
      <c r="A1518" s="169"/>
      <c r="B1518" s="63"/>
      <c r="C1518" s="22" t="s">
        <v>53</v>
      </c>
      <c r="D1518" s="227" t="s">
        <v>89</v>
      </c>
      <c r="E1518" s="242" t="s">
        <v>2920</v>
      </c>
      <c r="F1518" s="242" t="s">
        <v>2921</v>
      </c>
      <c r="G1518" s="73" t="s">
        <v>5134</v>
      </c>
      <c r="H1518" s="62" t="s">
        <v>6477</v>
      </c>
      <c r="I1518" s="62" t="s">
        <v>6478</v>
      </c>
      <c r="J1518" s="242" t="s">
        <v>2923</v>
      </c>
      <c r="K1518" s="38"/>
      <c r="L1518" s="38"/>
      <c r="M1518" s="56"/>
      <c r="N1518" s="56" t="b">
        <v>0</v>
      </c>
      <c r="O1518" s="56" t="b">
        <v>0</v>
      </c>
      <c r="P1518" s="56"/>
      <c r="Q1518" s="56"/>
      <c r="R1518" s="56"/>
      <c r="S1518" s="56"/>
      <c r="T1518" s="56"/>
      <c r="U1518" s="56"/>
      <c r="V1518" s="56"/>
      <c r="W1518" s="56"/>
      <c r="X1518" s="56"/>
      <c r="Y1518" s="56"/>
      <c r="Z1518" s="56"/>
      <c r="AA1518" s="56"/>
      <c r="AB1518" s="56"/>
    </row>
    <row r="1519" ht="15.75" customHeight="1">
      <c r="A1519" s="169"/>
      <c r="B1519" s="63"/>
      <c r="C1519" s="22" t="s">
        <v>53</v>
      </c>
      <c r="D1519" s="227" t="s">
        <v>89</v>
      </c>
      <c r="E1519" s="242" t="s">
        <v>3819</v>
      </c>
      <c r="F1519" s="242" t="s">
        <v>3820</v>
      </c>
      <c r="G1519" s="73" t="s">
        <v>4856</v>
      </c>
      <c r="H1519" s="62" t="s">
        <v>5544</v>
      </c>
      <c r="I1519" s="62" t="s">
        <v>6479</v>
      </c>
      <c r="J1519" s="242" t="s">
        <v>3822</v>
      </c>
      <c r="K1519" s="38"/>
      <c r="L1519" s="38"/>
      <c r="M1519" s="56"/>
      <c r="N1519" s="56" t="b">
        <v>0</v>
      </c>
      <c r="O1519" s="56" t="b">
        <v>0</v>
      </c>
      <c r="P1519" s="56"/>
      <c r="Q1519" s="56"/>
      <c r="R1519" s="56"/>
      <c r="S1519" s="56"/>
      <c r="T1519" s="56"/>
      <c r="U1519" s="56"/>
      <c r="V1519" s="56"/>
      <c r="W1519" s="56"/>
      <c r="X1519" s="56"/>
      <c r="Y1519" s="56"/>
      <c r="Z1519" s="56"/>
      <c r="AA1519" s="56"/>
      <c r="AB1519" s="56"/>
    </row>
    <row r="1520" ht="15.75" customHeight="1">
      <c r="A1520" s="169"/>
      <c r="B1520" s="63"/>
      <c r="C1520" s="22" t="s">
        <v>53</v>
      </c>
      <c r="D1520" s="172" t="s">
        <v>89</v>
      </c>
      <c r="E1520" s="203" t="s">
        <v>1102</v>
      </c>
      <c r="F1520" s="203" t="s">
        <v>1103</v>
      </c>
      <c r="G1520" s="82" t="s">
        <v>4858</v>
      </c>
      <c r="H1520" s="76" t="s">
        <v>6480</v>
      </c>
      <c r="I1520" s="76" t="s">
        <v>6481</v>
      </c>
      <c r="J1520" s="203" t="s">
        <v>1106</v>
      </c>
      <c r="K1520" s="38"/>
      <c r="L1520" s="38"/>
      <c r="M1520" s="56"/>
      <c r="N1520" s="56" t="b">
        <v>0</v>
      </c>
      <c r="O1520" s="56" t="b">
        <v>0</v>
      </c>
      <c r="P1520" s="56"/>
      <c r="Q1520" s="56"/>
      <c r="R1520" s="56"/>
      <c r="S1520" s="56"/>
      <c r="T1520" s="56"/>
      <c r="U1520" s="56"/>
      <c r="V1520" s="56"/>
      <c r="W1520" s="56"/>
      <c r="X1520" s="56"/>
      <c r="Y1520" s="56"/>
      <c r="Z1520" s="56"/>
      <c r="AA1520" s="56"/>
      <c r="AB1520" s="56"/>
    </row>
    <row r="1521" ht="15.75" customHeight="1">
      <c r="A1521" s="169"/>
      <c r="B1521" s="69"/>
      <c r="C1521" s="22" t="s">
        <v>53</v>
      </c>
      <c r="D1521" s="172" t="s">
        <v>89</v>
      </c>
      <c r="E1521" s="203" t="s">
        <v>3292</v>
      </c>
      <c r="F1521" s="203" t="s">
        <v>3293</v>
      </c>
      <c r="G1521" s="82" t="s">
        <v>5089</v>
      </c>
      <c r="H1521" s="76" t="s">
        <v>6482</v>
      </c>
      <c r="I1521" s="76" t="s">
        <v>6483</v>
      </c>
      <c r="J1521" s="76" t="s">
        <v>6484</v>
      </c>
      <c r="K1521" s="38" t="s">
        <v>6485</v>
      </c>
      <c r="L1521" s="38"/>
      <c r="M1521" s="56"/>
      <c r="N1521" s="56" t="b">
        <v>0</v>
      </c>
      <c r="O1521" s="56" t="b">
        <v>0</v>
      </c>
      <c r="P1521" s="56"/>
      <c r="Q1521" s="56"/>
      <c r="R1521" s="56"/>
      <c r="S1521" s="56"/>
      <c r="T1521" s="56"/>
      <c r="U1521" s="56"/>
      <c r="V1521" s="56"/>
      <c r="W1521" s="56"/>
      <c r="X1521" s="56"/>
      <c r="Y1521" s="56"/>
      <c r="Z1521" s="56"/>
      <c r="AA1521" s="56"/>
      <c r="AB1521" s="56"/>
    </row>
    <row r="1522" ht="15.75" customHeight="1">
      <c r="A1522" s="169"/>
      <c r="B1522" s="273" t="s">
        <v>6168</v>
      </c>
      <c r="C1522" s="275"/>
      <c r="D1522" s="38"/>
      <c r="E1522" s="38"/>
      <c r="F1522" s="65"/>
      <c r="G1522" s="66"/>
      <c r="H1522" s="38"/>
      <c r="I1522" s="38"/>
      <c r="J1522" s="38"/>
      <c r="K1522" s="38"/>
      <c r="L1522" s="38"/>
      <c r="M1522" s="56"/>
      <c r="N1522" s="56" t="b">
        <v>0</v>
      </c>
      <c r="O1522" s="56" t="b">
        <v>0</v>
      </c>
      <c r="P1522" s="56"/>
      <c r="Q1522" s="56"/>
      <c r="R1522" s="56"/>
      <c r="S1522" s="56"/>
      <c r="T1522" s="56"/>
      <c r="U1522" s="56"/>
      <c r="V1522" s="56"/>
      <c r="W1522" s="56"/>
      <c r="X1522" s="56"/>
      <c r="Y1522" s="56"/>
      <c r="Z1522" s="56"/>
      <c r="AA1522" s="56"/>
      <c r="AB1522" s="56"/>
    </row>
    <row r="1523" ht="15.75" customHeight="1">
      <c r="A1523" s="169"/>
      <c r="B1523" s="63"/>
      <c r="C1523" s="22" t="s">
        <v>66</v>
      </c>
      <c r="D1523" s="38"/>
      <c r="E1523" s="38"/>
      <c r="F1523" s="65"/>
      <c r="G1523" s="66"/>
      <c r="H1523" s="38"/>
      <c r="I1523" s="38"/>
      <c r="J1523" s="38"/>
      <c r="K1523" s="38"/>
      <c r="L1523" s="38"/>
      <c r="M1523" s="56"/>
      <c r="N1523" s="56" t="b">
        <v>0</v>
      </c>
      <c r="O1523" s="56" t="b">
        <v>0</v>
      </c>
      <c r="P1523" s="56"/>
      <c r="Q1523" s="56"/>
      <c r="R1523" s="56"/>
      <c r="S1523" s="56"/>
      <c r="T1523" s="56"/>
      <c r="U1523" s="56"/>
      <c r="V1523" s="56"/>
      <c r="W1523" s="56"/>
      <c r="X1523" s="56"/>
      <c r="Y1523" s="56"/>
      <c r="Z1523" s="56"/>
      <c r="AA1523" s="56"/>
      <c r="AB1523" s="56"/>
    </row>
    <row r="1524" ht="15.75" customHeight="1">
      <c r="A1524" s="169"/>
      <c r="B1524" s="63"/>
      <c r="C1524" s="22" t="s">
        <v>66</v>
      </c>
      <c r="D1524" s="76" t="s">
        <v>108</v>
      </c>
      <c r="E1524" s="203" t="s">
        <v>747</v>
      </c>
      <c r="F1524" s="203" t="s">
        <v>748</v>
      </c>
      <c r="G1524" s="82" t="s">
        <v>4851</v>
      </c>
      <c r="H1524" s="76" t="s">
        <v>4880</v>
      </c>
      <c r="I1524" s="173" t="s">
        <v>6382</v>
      </c>
      <c r="J1524" s="203" t="s">
        <v>750</v>
      </c>
      <c r="K1524" s="38" t="s">
        <v>6486</v>
      </c>
      <c r="L1524" s="38"/>
      <c r="M1524" s="56"/>
      <c r="N1524" s="56" t="b">
        <v>0</v>
      </c>
      <c r="O1524" s="56" t="b">
        <v>0</v>
      </c>
      <c r="P1524" s="56"/>
      <c r="Q1524" s="56"/>
      <c r="R1524" s="56"/>
      <c r="S1524" s="56"/>
      <c r="T1524" s="56"/>
      <c r="U1524" s="56"/>
      <c r="V1524" s="56"/>
      <c r="W1524" s="56"/>
      <c r="X1524" s="56"/>
      <c r="Y1524" s="56"/>
      <c r="Z1524" s="56"/>
      <c r="AA1524" s="56"/>
      <c r="AB1524" s="56"/>
    </row>
    <row r="1525" ht="15.75" customHeight="1">
      <c r="A1525" s="169"/>
      <c r="B1525" s="63"/>
      <c r="C1525" s="22" t="s">
        <v>66</v>
      </c>
      <c r="D1525" s="76" t="s">
        <v>108</v>
      </c>
      <c r="E1525" s="203" t="s">
        <v>354</v>
      </c>
      <c r="F1525" s="203" t="s">
        <v>355</v>
      </c>
      <c r="G1525" s="82" t="s">
        <v>4887</v>
      </c>
      <c r="H1525" s="76" t="s">
        <v>4880</v>
      </c>
      <c r="I1525" s="76" t="s">
        <v>6487</v>
      </c>
      <c r="J1525" s="203" t="s">
        <v>358</v>
      </c>
      <c r="K1525" s="38" t="s">
        <v>6486</v>
      </c>
      <c r="L1525" s="38"/>
      <c r="M1525" s="56"/>
      <c r="N1525" s="56" t="b">
        <v>0</v>
      </c>
      <c r="O1525" s="56" t="b">
        <v>0</v>
      </c>
      <c r="P1525" s="56"/>
      <c r="Q1525" s="56"/>
      <c r="R1525" s="56"/>
      <c r="S1525" s="56"/>
      <c r="T1525" s="56"/>
      <c r="U1525" s="56"/>
      <c r="V1525" s="56"/>
      <c r="W1525" s="56"/>
      <c r="X1525" s="56"/>
      <c r="Y1525" s="56"/>
      <c r="Z1525" s="56"/>
      <c r="AA1525" s="56"/>
      <c r="AB1525" s="56"/>
    </row>
    <row r="1526" ht="15.75" customHeight="1">
      <c r="A1526" s="169"/>
      <c r="B1526" s="63"/>
      <c r="C1526" s="22" t="s">
        <v>66</v>
      </c>
      <c r="D1526" s="62" t="s">
        <v>108</v>
      </c>
      <c r="E1526" s="242" t="s">
        <v>1323</v>
      </c>
      <c r="F1526" s="242" t="s">
        <v>1324</v>
      </c>
      <c r="G1526" s="73" t="s">
        <v>4892</v>
      </c>
      <c r="H1526" s="62" t="s">
        <v>4880</v>
      </c>
      <c r="I1526" s="62" t="s">
        <v>6488</v>
      </c>
      <c r="J1526" s="242" t="s">
        <v>1326</v>
      </c>
      <c r="K1526" s="38"/>
      <c r="L1526" s="38"/>
      <c r="M1526" s="56"/>
      <c r="N1526" s="56" t="b">
        <v>0</v>
      </c>
      <c r="O1526" s="56" t="b">
        <v>0</v>
      </c>
      <c r="P1526" s="56"/>
      <c r="Q1526" s="56"/>
      <c r="R1526" s="56"/>
      <c r="S1526" s="56"/>
      <c r="T1526" s="56"/>
      <c r="U1526" s="56"/>
      <c r="V1526" s="56"/>
      <c r="W1526" s="56"/>
      <c r="X1526" s="56"/>
      <c r="Y1526" s="56"/>
      <c r="Z1526" s="56"/>
      <c r="AA1526" s="56"/>
      <c r="AB1526" s="56"/>
    </row>
    <row r="1527" ht="15.75" customHeight="1">
      <c r="A1527" s="169"/>
      <c r="B1527" s="63"/>
      <c r="C1527" s="22" t="s">
        <v>66</v>
      </c>
      <c r="D1527" s="76" t="s">
        <v>108</v>
      </c>
      <c r="E1527" s="203" t="s">
        <v>383</v>
      </c>
      <c r="F1527" s="203" t="s">
        <v>384</v>
      </c>
      <c r="G1527" s="82" t="s">
        <v>4899</v>
      </c>
      <c r="H1527" s="76" t="s">
        <v>5228</v>
      </c>
      <c r="I1527" s="76" t="s">
        <v>6489</v>
      </c>
      <c r="J1527" s="203" t="s">
        <v>386</v>
      </c>
      <c r="K1527" s="38" t="s">
        <v>6490</v>
      </c>
      <c r="L1527" s="38"/>
      <c r="M1527" s="56"/>
      <c r="N1527" s="56" t="b">
        <v>0</v>
      </c>
      <c r="O1527" s="56" t="b">
        <v>0</v>
      </c>
      <c r="P1527" s="56"/>
      <c r="Q1527" s="56"/>
      <c r="R1527" s="56"/>
      <c r="S1527" s="56"/>
      <c r="T1527" s="56"/>
      <c r="U1527" s="56"/>
      <c r="V1527" s="56"/>
      <c r="W1527" s="56"/>
      <c r="X1527" s="56"/>
      <c r="Y1527" s="56"/>
      <c r="Z1527" s="56"/>
      <c r="AA1527" s="56"/>
      <c r="AB1527" s="56"/>
    </row>
    <row r="1528" ht="15.75" customHeight="1">
      <c r="A1528" s="169"/>
      <c r="B1528" s="69"/>
      <c r="C1528" s="22" t="s">
        <v>66</v>
      </c>
      <c r="D1528" s="38"/>
      <c r="E1528" s="38"/>
      <c r="F1528" s="65"/>
      <c r="G1528" s="66"/>
      <c r="H1528" s="38"/>
      <c r="I1528" s="38"/>
      <c r="J1528" s="38"/>
      <c r="K1528" s="38"/>
      <c r="L1528" s="38"/>
      <c r="M1528" s="56"/>
      <c r="N1528" s="56" t="b">
        <v>0</v>
      </c>
      <c r="O1528" s="56" t="b">
        <v>0</v>
      </c>
      <c r="P1528" s="56"/>
      <c r="Q1528" s="56"/>
      <c r="R1528" s="56"/>
      <c r="S1528" s="56"/>
      <c r="T1528" s="56"/>
      <c r="U1528" s="56"/>
      <c r="V1528" s="56"/>
      <c r="W1528" s="56"/>
      <c r="X1528" s="56"/>
      <c r="Y1528" s="56"/>
      <c r="Z1528" s="56"/>
      <c r="AA1528" s="56"/>
      <c r="AB1528" s="56"/>
    </row>
    <row r="1529" ht="15.75" customHeight="1">
      <c r="A1529" s="169"/>
      <c r="B1529" s="219" t="s">
        <v>4836</v>
      </c>
      <c r="C1529" s="220">
        <v>44518.0</v>
      </c>
      <c r="D1529" s="38"/>
      <c r="E1529" s="38"/>
      <c r="F1529" s="65"/>
      <c r="G1529" s="66"/>
      <c r="H1529" s="249"/>
      <c r="I1529" s="38"/>
      <c r="J1529" s="38"/>
      <c r="K1529" s="38"/>
      <c r="L1529" s="38"/>
      <c r="M1529" s="56"/>
      <c r="N1529" s="56" t="b">
        <v>0</v>
      </c>
      <c r="O1529" s="56" t="b">
        <v>0</v>
      </c>
      <c r="P1529" s="56"/>
      <c r="Q1529" s="56"/>
      <c r="R1529" s="56"/>
      <c r="S1529" s="56"/>
      <c r="T1529" s="56"/>
      <c r="U1529" s="56"/>
      <c r="V1529" s="56"/>
      <c r="W1529" s="56"/>
      <c r="X1529" s="56"/>
      <c r="Y1529" s="56"/>
      <c r="Z1529" s="56"/>
      <c r="AA1529" s="56"/>
      <c r="AB1529" s="56"/>
    </row>
    <row r="1530" ht="15.75" customHeight="1">
      <c r="A1530" s="169"/>
      <c r="B1530" s="63"/>
      <c r="C1530" s="22"/>
      <c r="D1530" s="38"/>
      <c r="E1530" s="38"/>
      <c r="F1530" s="65"/>
      <c r="G1530" s="66"/>
      <c r="H1530" s="38"/>
      <c r="I1530" s="38"/>
      <c r="J1530" s="38"/>
      <c r="K1530" s="38"/>
      <c r="L1530" s="38"/>
      <c r="M1530" s="56"/>
      <c r="N1530" s="56" t="b">
        <v>0</v>
      </c>
      <c r="O1530" s="56" t="b">
        <v>0</v>
      </c>
      <c r="P1530" s="56"/>
      <c r="Q1530" s="56"/>
      <c r="R1530" s="56"/>
      <c r="S1530" s="56"/>
      <c r="T1530" s="56"/>
      <c r="U1530" s="56"/>
      <c r="V1530" s="56"/>
      <c r="W1530" s="56"/>
      <c r="X1530" s="56"/>
      <c r="Y1530" s="56"/>
      <c r="Z1530" s="56"/>
      <c r="AA1530" s="56"/>
      <c r="AB1530" s="56"/>
    </row>
    <row r="1531" ht="15.75" customHeight="1">
      <c r="A1531" s="169"/>
      <c r="B1531" s="63"/>
      <c r="C1531" s="22" t="s">
        <v>53</v>
      </c>
      <c r="D1531" s="38"/>
      <c r="E1531" s="162" t="s">
        <v>5784</v>
      </c>
      <c r="F1531" s="155"/>
      <c r="G1531" s="66"/>
      <c r="H1531" s="38"/>
      <c r="I1531" s="38"/>
      <c r="J1531" s="38"/>
      <c r="K1531" s="38"/>
      <c r="L1531" s="38"/>
      <c r="M1531" s="56"/>
      <c r="N1531" s="56" t="b">
        <v>0</v>
      </c>
      <c r="O1531" s="56" t="b">
        <v>0</v>
      </c>
      <c r="P1531" s="56"/>
      <c r="Q1531" s="56"/>
      <c r="R1531" s="56"/>
      <c r="S1531" s="56"/>
      <c r="T1531" s="56"/>
      <c r="U1531" s="56"/>
      <c r="V1531" s="56"/>
      <c r="W1531" s="56"/>
      <c r="X1531" s="56"/>
      <c r="Y1531" s="56"/>
      <c r="Z1531" s="56"/>
      <c r="AA1531" s="56"/>
      <c r="AB1531" s="56"/>
    </row>
    <row r="1532" ht="15.75" customHeight="1">
      <c r="A1532" s="169"/>
      <c r="B1532" s="63"/>
      <c r="C1532" s="22" t="s">
        <v>53</v>
      </c>
      <c r="D1532" s="38"/>
      <c r="E1532" s="156"/>
      <c r="F1532" s="157"/>
      <c r="G1532" s="66"/>
      <c r="H1532" s="38"/>
      <c r="I1532" s="38"/>
      <c r="J1532" s="38"/>
      <c r="K1532" s="38"/>
      <c r="L1532" s="38"/>
      <c r="M1532" s="56"/>
      <c r="N1532" s="56" t="b">
        <v>0</v>
      </c>
      <c r="O1532" s="56" t="b">
        <v>0</v>
      </c>
      <c r="P1532" s="56"/>
      <c r="Q1532" s="56"/>
      <c r="R1532" s="56"/>
      <c r="S1532" s="56"/>
      <c r="T1532" s="56"/>
      <c r="U1532" s="56"/>
      <c r="V1532" s="56"/>
      <c r="W1532" s="56"/>
      <c r="X1532" s="56"/>
      <c r="Y1532" s="56"/>
      <c r="Z1532" s="56"/>
      <c r="AA1532" s="56"/>
      <c r="AB1532" s="56"/>
    </row>
    <row r="1533" ht="15.75" customHeight="1">
      <c r="A1533" s="169"/>
      <c r="B1533" s="63"/>
      <c r="C1533" s="22" t="s">
        <v>53</v>
      </c>
      <c r="D1533" s="38"/>
      <c r="E1533" s="158"/>
      <c r="F1533" s="159"/>
      <c r="G1533" s="66"/>
      <c r="H1533" s="38"/>
      <c r="I1533" s="38"/>
      <c r="J1533" s="38"/>
      <c r="K1533" s="38"/>
      <c r="L1533" s="38"/>
      <c r="M1533" s="56"/>
      <c r="N1533" s="56" t="b">
        <v>0</v>
      </c>
      <c r="O1533" s="56" t="b">
        <v>0</v>
      </c>
      <c r="P1533" s="56"/>
      <c r="Q1533" s="56"/>
      <c r="R1533" s="56"/>
      <c r="S1533" s="56"/>
      <c r="T1533" s="56"/>
      <c r="U1533" s="56"/>
      <c r="V1533" s="56"/>
      <c r="W1533" s="56"/>
      <c r="X1533" s="56"/>
      <c r="Y1533" s="56"/>
      <c r="Z1533" s="56"/>
      <c r="AA1533" s="56"/>
      <c r="AB1533" s="56"/>
    </row>
    <row r="1534" ht="15.75" customHeight="1">
      <c r="A1534" s="169"/>
      <c r="B1534" s="63"/>
      <c r="C1534" s="22" t="s">
        <v>53</v>
      </c>
      <c r="D1534" s="38"/>
      <c r="E1534" s="38"/>
      <c r="F1534" s="65"/>
      <c r="G1534" s="66"/>
      <c r="H1534" s="38"/>
      <c r="I1534" s="38"/>
      <c r="J1534" s="38"/>
      <c r="K1534" s="38"/>
      <c r="L1534" s="38"/>
      <c r="M1534" s="56"/>
      <c r="N1534" s="56" t="b">
        <v>0</v>
      </c>
      <c r="O1534" s="56" t="b">
        <v>0</v>
      </c>
      <c r="P1534" s="56"/>
      <c r="Q1534" s="56"/>
      <c r="R1534" s="56"/>
      <c r="S1534" s="56"/>
      <c r="T1534" s="56"/>
      <c r="U1534" s="56"/>
      <c r="V1534" s="56"/>
      <c r="W1534" s="56"/>
      <c r="X1534" s="56"/>
      <c r="Y1534" s="56"/>
      <c r="Z1534" s="56"/>
      <c r="AA1534" s="56"/>
      <c r="AB1534" s="56"/>
    </row>
    <row r="1535" ht="15.75" customHeight="1">
      <c r="A1535" s="169"/>
      <c r="B1535" s="69"/>
      <c r="C1535" s="22" t="s">
        <v>53</v>
      </c>
      <c r="D1535" s="38"/>
      <c r="E1535" s="38"/>
      <c r="F1535" s="65"/>
      <c r="G1535" s="66"/>
      <c r="H1535" s="38"/>
      <c r="I1535" s="38"/>
      <c r="J1535" s="38"/>
      <c r="K1535" s="38"/>
      <c r="L1535" s="38"/>
      <c r="M1535" s="56"/>
      <c r="N1535" s="56" t="b">
        <v>0</v>
      </c>
      <c r="O1535" s="56" t="b">
        <v>0</v>
      </c>
      <c r="P1535" s="56"/>
      <c r="Q1535" s="56"/>
      <c r="R1535" s="56"/>
      <c r="S1535" s="56"/>
      <c r="T1535" s="56"/>
      <c r="U1535" s="56"/>
      <c r="V1535" s="56"/>
      <c r="W1535" s="56"/>
      <c r="X1535" s="56"/>
      <c r="Y1535" s="56"/>
      <c r="Z1535" s="56"/>
      <c r="AA1535" s="56"/>
      <c r="AB1535" s="56"/>
    </row>
    <row r="1536" ht="15.75" customHeight="1">
      <c r="A1536" s="169"/>
      <c r="B1536" s="273" t="s">
        <v>6168</v>
      </c>
      <c r="C1536" s="275"/>
      <c r="D1536" s="38"/>
      <c r="E1536" s="38"/>
      <c r="F1536" s="65"/>
      <c r="G1536" s="66"/>
      <c r="H1536" s="38"/>
      <c r="I1536" s="38"/>
      <c r="J1536" s="38"/>
      <c r="K1536" s="38"/>
      <c r="L1536" s="38"/>
      <c r="M1536" s="56"/>
      <c r="N1536" s="56" t="b">
        <v>0</v>
      </c>
      <c r="O1536" s="56" t="b">
        <v>0</v>
      </c>
      <c r="P1536" s="56"/>
      <c r="Q1536" s="56"/>
      <c r="R1536" s="56"/>
      <c r="S1536" s="56"/>
      <c r="T1536" s="56"/>
      <c r="U1536" s="56"/>
      <c r="V1536" s="56"/>
      <c r="W1536" s="56"/>
      <c r="X1536" s="56"/>
      <c r="Y1536" s="56"/>
      <c r="Z1536" s="56"/>
      <c r="AA1536" s="56"/>
      <c r="AB1536" s="56"/>
    </row>
    <row r="1537" ht="15.75" customHeight="1">
      <c r="A1537" s="169"/>
      <c r="B1537" s="63"/>
      <c r="C1537" s="22" t="s">
        <v>66</v>
      </c>
      <c r="D1537" s="76" t="s">
        <v>314</v>
      </c>
      <c r="E1537" s="77" t="s">
        <v>535</v>
      </c>
      <c r="F1537" s="77" t="s">
        <v>536</v>
      </c>
      <c r="G1537" s="82" t="s">
        <v>4851</v>
      </c>
      <c r="H1537" s="76" t="s">
        <v>5807</v>
      </c>
      <c r="I1537" s="76" t="s">
        <v>6491</v>
      </c>
      <c r="J1537" s="76" t="s">
        <v>6492</v>
      </c>
      <c r="K1537" s="38" t="s">
        <v>6493</v>
      </c>
      <c r="L1537" s="38"/>
      <c r="M1537" s="56"/>
      <c r="N1537" s="56" t="b">
        <v>0</v>
      </c>
      <c r="O1537" s="56" t="b">
        <v>0</v>
      </c>
      <c r="P1537" s="56"/>
      <c r="Q1537" s="56"/>
      <c r="R1537" s="56"/>
      <c r="S1537" s="56"/>
      <c r="T1537" s="56"/>
      <c r="U1537" s="56"/>
      <c r="V1537" s="56"/>
      <c r="W1537" s="56"/>
      <c r="X1537" s="56"/>
      <c r="Y1537" s="56"/>
      <c r="Z1537" s="56"/>
      <c r="AA1537" s="56"/>
      <c r="AB1537" s="56"/>
    </row>
    <row r="1538" ht="15.75" customHeight="1">
      <c r="A1538" s="169"/>
      <c r="B1538" s="63"/>
      <c r="C1538" s="22" t="s">
        <v>66</v>
      </c>
      <c r="D1538" s="62" t="s">
        <v>108</v>
      </c>
      <c r="E1538" s="60" t="s">
        <v>6494</v>
      </c>
      <c r="F1538" s="60" t="s">
        <v>6495</v>
      </c>
      <c r="G1538" s="73" t="s">
        <v>4887</v>
      </c>
      <c r="H1538" s="62" t="s">
        <v>5259</v>
      </c>
      <c r="I1538" s="62" t="s">
        <v>6496</v>
      </c>
      <c r="J1538" s="60" t="s">
        <v>6497</v>
      </c>
      <c r="K1538" s="38"/>
      <c r="L1538" s="38"/>
      <c r="M1538" s="56"/>
      <c r="N1538" s="56" t="b">
        <v>0</v>
      </c>
      <c r="O1538" s="56" t="b">
        <v>0</v>
      </c>
      <c r="P1538" s="56"/>
      <c r="Q1538" s="56"/>
      <c r="R1538" s="56"/>
      <c r="S1538" s="56"/>
      <c r="T1538" s="56"/>
      <c r="U1538" s="56"/>
      <c r="V1538" s="56"/>
      <c r="W1538" s="56"/>
      <c r="X1538" s="56"/>
      <c r="Y1538" s="56"/>
      <c r="Z1538" s="56"/>
      <c r="AA1538" s="56"/>
      <c r="AB1538" s="56"/>
    </row>
    <row r="1539" ht="15.75" customHeight="1">
      <c r="A1539" s="169"/>
      <c r="B1539" s="63"/>
      <c r="C1539" s="22" t="s">
        <v>66</v>
      </c>
      <c r="D1539" s="76" t="s">
        <v>314</v>
      </c>
      <c r="E1539" s="77" t="s">
        <v>4721</v>
      </c>
      <c r="F1539" s="77" t="s">
        <v>4722</v>
      </c>
      <c r="G1539" s="82" t="s">
        <v>4892</v>
      </c>
      <c r="H1539" s="76" t="s">
        <v>4880</v>
      </c>
      <c r="I1539" s="76" t="s">
        <v>6498</v>
      </c>
      <c r="J1539" s="77" t="s">
        <v>4724</v>
      </c>
      <c r="K1539" s="38" t="s">
        <v>6499</v>
      </c>
      <c r="L1539" s="38"/>
      <c r="M1539" s="56"/>
      <c r="N1539" s="56" t="b">
        <v>0</v>
      </c>
      <c r="O1539" s="56" t="b">
        <v>0</v>
      </c>
      <c r="P1539" s="56"/>
      <c r="Q1539" s="56"/>
      <c r="R1539" s="56"/>
      <c r="S1539" s="56"/>
      <c r="T1539" s="56"/>
      <c r="U1539" s="56"/>
      <c r="V1539" s="56"/>
      <c r="W1539" s="56"/>
      <c r="X1539" s="56"/>
      <c r="Y1539" s="56"/>
      <c r="Z1539" s="56"/>
      <c r="AA1539" s="56"/>
      <c r="AB1539" s="56"/>
    </row>
    <row r="1540" ht="15.75" customHeight="1">
      <c r="A1540" s="169"/>
      <c r="B1540" s="63"/>
      <c r="C1540" s="22" t="s">
        <v>66</v>
      </c>
      <c r="D1540" s="62" t="s">
        <v>314</v>
      </c>
      <c r="E1540" s="60" t="s">
        <v>383</v>
      </c>
      <c r="F1540" s="60" t="s">
        <v>384</v>
      </c>
      <c r="G1540" s="73" t="s">
        <v>4858</v>
      </c>
      <c r="H1540" s="62" t="s">
        <v>5228</v>
      </c>
      <c r="I1540" s="62" t="s">
        <v>6489</v>
      </c>
      <c r="J1540" s="60" t="s">
        <v>386</v>
      </c>
      <c r="K1540" s="38"/>
      <c r="L1540" s="38"/>
      <c r="M1540" s="56"/>
      <c r="N1540" s="56" t="b">
        <v>0</v>
      </c>
      <c r="O1540" s="56" t="b">
        <v>0</v>
      </c>
      <c r="P1540" s="56"/>
      <c r="Q1540" s="56"/>
      <c r="R1540" s="56"/>
      <c r="S1540" s="56"/>
      <c r="T1540" s="56"/>
      <c r="U1540" s="56"/>
      <c r="V1540" s="56"/>
      <c r="W1540" s="56"/>
      <c r="X1540" s="56"/>
      <c r="Y1540" s="56"/>
      <c r="Z1540" s="56"/>
      <c r="AA1540" s="56"/>
      <c r="AB1540" s="56"/>
    </row>
    <row r="1541" ht="15.75" customHeight="1">
      <c r="A1541" s="169"/>
      <c r="B1541" s="63"/>
      <c r="C1541" s="22" t="s">
        <v>66</v>
      </c>
      <c r="D1541" s="76" t="s">
        <v>314</v>
      </c>
      <c r="E1541" s="77" t="s">
        <v>4576</v>
      </c>
      <c r="F1541" s="77" t="s">
        <v>4577</v>
      </c>
      <c r="G1541" s="82" t="s">
        <v>4847</v>
      </c>
      <c r="H1541" s="76" t="s">
        <v>6500</v>
      </c>
      <c r="I1541" s="76" t="s">
        <v>6501</v>
      </c>
      <c r="J1541" s="77" t="s">
        <v>4579</v>
      </c>
      <c r="K1541" s="38" t="s">
        <v>6502</v>
      </c>
      <c r="L1541" s="38"/>
      <c r="M1541" s="56"/>
      <c r="N1541" s="56" t="b">
        <v>0</v>
      </c>
      <c r="O1541" s="56" t="b">
        <v>0</v>
      </c>
      <c r="P1541" s="56"/>
      <c r="Q1541" s="56"/>
      <c r="R1541" s="56"/>
      <c r="S1541" s="56"/>
      <c r="T1541" s="56"/>
      <c r="U1541" s="56"/>
      <c r="V1541" s="56"/>
      <c r="W1541" s="56"/>
      <c r="X1541" s="56"/>
      <c r="Y1541" s="56"/>
      <c r="Z1541" s="56"/>
      <c r="AA1541" s="56"/>
      <c r="AB1541" s="56"/>
    </row>
    <row r="1542" ht="15.75" customHeight="1">
      <c r="A1542" s="169"/>
      <c r="B1542" s="69"/>
      <c r="C1542" s="22" t="s">
        <v>66</v>
      </c>
      <c r="D1542" s="38"/>
      <c r="E1542" s="38"/>
      <c r="F1542" s="65"/>
      <c r="G1542" s="66"/>
      <c r="H1542" s="38"/>
      <c r="I1542" s="38"/>
      <c r="J1542" s="38"/>
      <c r="K1542" s="38"/>
      <c r="L1542" s="38"/>
      <c r="M1542" s="56"/>
      <c r="N1542" s="56" t="b">
        <v>0</v>
      </c>
      <c r="O1542" s="56" t="b">
        <v>0</v>
      </c>
      <c r="P1542" s="56"/>
      <c r="Q1542" s="56"/>
      <c r="R1542" s="56"/>
      <c r="S1542" s="56"/>
      <c r="T1542" s="56"/>
      <c r="U1542" s="56"/>
      <c r="V1542" s="56"/>
      <c r="W1542" s="56"/>
      <c r="X1542" s="56"/>
      <c r="Y1542" s="56"/>
      <c r="Z1542" s="56"/>
      <c r="AA1542" s="56"/>
      <c r="AB1542" s="56"/>
    </row>
    <row r="1543" ht="15.75" customHeight="1">
      <c r="A1543" s="169"/>
      <c r="B1543" s="219" t="s">
        <v>4836</v>
      </c>
      <c r="C1543" s="220">
        <v>44519.0</v>
      </c>
      <c r="D1543" s="38"/>
      <c r="E1543" s="38"/>
      <c r="F1543" s="65"/>
      <c r="G1543" s="66"/>
      <c r="H1543" s="38"/>
      <c r="I1543" s="38"/>
      <c r="J1543" s="38"/>
      <c r="K1543" s="38"/>
      <c r="L1543" s="38"/>
      <c r="M1543" s="56"/>
      <c r="N1543" s="56" t="b">
        <v>0</v>
      </c>
      <c r="O1543" s="56" t="b">
        <v>0</v>
      </c>
      <c r="P1543" s="56"/>
      <c r="Q1543" s="56"/>
      <c r="R1543" s="56"/>
      <c r="S1543" s="56"/>
      <c r="T1543" s="56"/>
      <c r="U1543" s="56"/>
      <c r="V1543" s="56"/>
      <c r="W1543" s="56"/>
      <c r="X1543" s="56"/>
      <c r="Y1543" s="56"/>
      <c r="Z1543" s="56"/>
      <c r="AA1543" s="56"/>
      <c r="AB1543" s="56"/>
    </row>
    <row r="1544" ht="15.75" customHeight="1">
      <c r="A1544" s="169"/>
      <c r="B1544" s="63"/>
      <c r="C1544" s="22"/>
      <c r="D1544" s="38"/>
      <c r="E1544" s="38"/>
      <c r="F1544" s="65"/>
      <c r="G1544" s="66"/>
      <c r="H1544" s="38"/>
      <c r="I1544" s="38"/>
      <c r="J1544" s="38"/>
      <c r="K1544" s="38"/>
      <c r="L1544" s="38"/>
      <c r="M1544" s="56"/>
      <c r="N1544" s="56" t="b">
        <v>0</v>
      </c>
      <c r="O1544" s="56" t="b">
        <v>0</v>
      </c>
      <c r="P1544" s="56"/>
      <c r="Q1544" s="56"/>
      <c r="R1544" s="56"/>
      <c r="S1544" s="56"/>
      <c r="T1544" s="56"/>
      <c r="U1544" s="56"/>
      <c r="V1544" s="56"/>
      <c r="W1544" s="56"/>
      <c r="X1544" s="56"/>
      <c r="Y1544" s="56"/>
      <c r="Z1544" s="56"/>
      <c r="AA1544" s="56"/>
      <c r="AB1544" s="56"/>
    </row>
    <row r="1545" ht="15.75" customHeight="1">
      <c r="A1545" s="169"/>
      <c r="B1545" s="63"/>
      <c r="C1545" s="22" t="s">
        <v>53</v>
      </c>
      <c r="D1545" s="38"/>
      <c r="E1545" s="38"/>
      <c r="F1545" s="65"/>
      <c r="G1545" s="66"/>
      <c r="H1545" s="38"/>
      <c r="I1545" s="38"/>
      <c r="J1545" s="38"/>
      <c r="K1545" s="38"/>
      <c r="L1545" s="38"/>
      <c r="M1545" s="56"/>
      <c r="N1545" s="56" t="b">
        <v>0</v>
      </c>
      <c r="O1545" s="56" t="b">
        <v>0</v>
      </c>
      <c r="P1545" s="56"/>
      <c r="Q1545" s="56"/>
      <c r="R1545" s="56"/>
      <c r="S1545" s="56"/>
      <c r="T1545" s="56"/>
      <c r="U1545" s="56"/>
      <c r="V1545" s="56"/>
      <c r="W1545" s="56"/>
      <c r="X1545" s="56"/>
      <c r="Y1545" s="56"/>
      <c r="Z1545" s="56"/>
      <c r="AA1545" s="56"/>
      <c r="AB1545" s="56"/>
    </row>
    <row r="1546" ht="15.75" customHeight="1">
      <c r="A1546" s="169"/>
      <c r="B1546" s="63"/>
      <c r="C1546" s="22" t="s">
        <v>53</v>
      </c>
      <c r="D1546" s="38"/>
      <c r="E1546" s="162" t="s">
        <v>5784</v>
      </c>
      <c r="F1546" s="155"/>
      <c r="G1546" s="66"/>
      <c r="H1546" s="38"/>
      <c r="I1546" s="38"/>
      <c r="J1546" s="38"/>
      <c r="K1546" s="38"/>
      <c r="L1546" s="38"/>
      <c r="M1546" s="56"/>
      <c r="N1546" s="56" t="b">
        <v>0</v>
      </c>
      <c r="O1546" s="56" t="b">
        <v>0</v>
      </c>
      <c r="P1546" s="56"/>
      <c r="Q1546" s="56"/>
      <c r="R1546" s="56"/>
      <c r="S1546" s="56"/>
      <c r="T1546" s="56"/>
      <c r="U1546" s="56"/>
      <c r="V1546" s="56"/>
      <c r="W1546" s="56"/>
      <c r="X1546" s="56"/>
      <c r="Y1546" s="56"/>
      <c r="Z1546" s="56"/>
      <c r="AA1546" s="56"/>
      <c r="AB1546" s="56"/>
    </row>
    <row r="1547" ht="15.75" customHeight="1">
      <c r="A1547" s="169"/>
      <c r="B1547" s="63"/>
      <c r="C1547" s="22" t="s">
        <v>53</v>
      </c>
      <c r="D1547" s="38"/>
      <c r="E1547" s="156"/>
      <c r="F1547" s="157"/>
      <c r="G1547" s="66"/>
      <c r="H1547" s="38"/>
      <c r="I1547" s="38"/>
      <c r="J1547" s="38"/>
      <c r="K1547" s="38"/>
      <c r="L1547" s="38"/>
      <c r="M1547" s="56"/>
      <c r="N1547" s="56" t="b">
        <v>0</v>
      </c>
      <c r="O1547" s="56" t="b">
        <v>0</v>
      </c>
      <c r="P1547" s="56"/>
      <c r="Q1547" s="56"/>
      <c r="R1547" s="56"/>
      <c r="S1547" s="56"/>
      <c r="T1547" s="56"/>
      <c r="U1547" s="56"/>
      <c r="V1547" s="56"/>
      <c r="W1547" s="56"/>
      <c r="X1547" s="56"/>
      <c r="Y1547" s="56"/>
      <c r="Z1547" s="56"/>
      <c r="AA1547" s="56"/>
      <c r="AB1547" s="56"/>
    </row>
    <row r="1548" ht="15.75" customHeight="1">
      <c r="A1548" s="169"/>
      <c r="B1548" s="63"/>
      <c r="C1548" s="22" t="s">
        <v>53</v>
      </c>
      <c r="D1548" s="38"/>
      <c r="E1548" s="158"/>
      <c r="F1548" s="159"/>
      <c r="G1548" s="66"/>
      <c r="H1548" s="38"/>
      <c r="I1548" s="38"/>
      <c r="J1548" s="38"/>
      <c r="K1548" s="38"/>
      <c r="L1548" s="38"/>
      <c r="M1548" s="56"/>
      <c r="N1548" s="56" t="b">
        <v>0</v>
      </c>
      <c r="O1548" s="56" t="b">
        <v>0</v>
      </c>
      <c r="P1548" s="56"/>
      <c r="Q1548" s="56"/>
      <c r="R1548" s="56"/>
      <c r="S1548" s="56"/>
      <c r="T1548" s="56"/>
      <c r="U1548" s="56"/>
      <c r="V1548" s="56"/>
      <c r="W1548" s="56"/>
      <c r="X1548" s="56"/>
      <c r="Y1548" s="56"/>
      <c r="Z1548" s="56"/>
      <c r="AA1548" s="56"/>
      <c r="AB1548" s="56"/>
    </row>
    <row r="1549" ht="15.75" customHeight="1">
      <c r="A1549" s="169"/>
      <c r="B1549" s="69"/>
      <c r="C1549" s="22" t="s">
        <v>53</v>
      </c>
      <c r="D1549" s="38"/>
      <c r="E1549" s="38"/>
      <c r="F1549" s="65"/>
      <c r="G1549" s="66"/>
      <c r="H1549" s="38"/>
      <c r="I1549" s="38"/>
      <c r="J1549" s="38"/>
      <c r="K1549" s="38"/>
      <c r="L1549" s="38"/>
      <c r="M1549" s="56"/>
      <c r="N1549" s="56" t="b">
        <v>0</v>
      </c>
      <c r="O1549" s="56" t="b">
        <v>0</v>
      </c>
      <c r="P1549" s="56"/>
      <c r="Q1549" s="56"/>
      <c r="R1549" s="56"/>
      <c r="S1549" s="56"/>
      <c r="T1549" s="56"/>
      <c r="U1549" s="56"/>
      <c r="V1549" s="56"/>
      <c r="W1549" s="56"/>
      <c r="X1549" s="56"/>
      <c r="Y1549" s="56"/>
      <c r="Z1549" s="56"/>
      <c r="AA1549" s="56"/>
      <c r="AB1549" s="56"/>
    </row>
    <row r="1550" ht="15.75" customHeight="1">
      <c r="A1550" s="169"/>
      <c r="B1550" s="273" t="s">
        <v>6168</v>
      </c>
      <c r="C1550" s="275"/>
      <c r="D1550" s="38"/>
      <c r="E1550" s="38"/>
      <c r="F1550" s="65"/>
      <c r="G1550" s="66"/>
      <c r="H1550" s="38"/>
      <c r="I1550" s="38"/>
      <c r="J1550" s="38"/>
      <c r="K1550" s="38"/>
      <c r="L1550" s="38"/>
      <c r="M1550" s="56"/>
      <c r="N1550" s="56" t="b">
        <v>0</v>
      </c>
      <c r="O1550" s="56" t="b">
        <v>0</v>
      </c>
      <c r="P1550" s="56"/>
      <c r="Q1550" s="56"/>
      <c r="R1550" s="56"/>
      <c r="S1550" s="56"/>
      <c r="T1550" s="56"/>
      <c r="U1550" s="56"/>
      <c r="V1550" s="56"/>
      <c r="W1550" s="56"/>
      <c r="X1550" s="56"/>
      <c r="Y1550" s="56"/>
      <c r="Z1550" s="56"/>
      <c r="AA1550" s="56"/>
      <c r="AB1550" s="56"/>
    </row>
    <row r="1551" ht="15.75" customHeight="1">
      <c r="A1551" s="169"/>
      <c r="B1551" s="63"/>
      <c r="C1551" s="22" t="s">
        <v>66</v>
      </c>
      <c r="D1551" s="76" t="s">
        <v>52</v>
      </c>
      <c r="E1551" s="77" t="s">
        <v>1975</v>
      </c>
      <c r="F1551" s="77" t="s">
        <v>1976</v>
      </c>
      <c r="G1551" s="82" t="s">
        <v>4851</v>
      </c>
      <c r="H1551" s="76" t="s">
        <v>6175</v>
      </c>
      <c r="I1551" s="76" t="s">
        <v>6503</v>
      </c>
      <c r="J1551" s="76" t="s">
        <v>1978</v>
      </c>
      <c r="K1551" s="289" t="s">
        <v>6504</v>
      </c>
      <c r="L1551" s="289"/>
      <c r="M1551" s="56"/>
      <c r="N1551" s="56" t="b">
        <v>0</v>
      </c>
      <c r="O1551" s="56" t="b">
        <v>0</v>
      </c>
      <c r="P1551" s="56"/>
      <c r="Q1551" s="56"/>
      <c r="R1551" s="56"/>
      <c r="S1551" s="56"/>
      <c r="T1551" s="56"/>
      <c r="U1551" s="56"/>
      <c r="V1551" s="56"/>
      <c r="W1551" s="56"/>
      <c r="X1551" s="56"/>
      <c r="Y1551" s="56"/>
      <c r="Z1551" s="56"/>
      <c r="AA1551" s="56"/>
      <c r="AB1551" s="56"/>
    </row>
    <row r="1552" ht="15.75" customHeight="1">
      <c r="A1552" s="169"/>
      <c r="B1552" s="63"/>
      <c r="C1552" s="22" t="s">
        <v>66</v>
      </c>
      <c r="D1552" s="281" t="s">
        <v>87</v>
      </c>
      <c r="E1552" s="77" t="s">
        <v>6505</v>
      </c>
      <c r="F1552" s="77" t="s">
        <v>6506</v>
      </c>
      <c r="G1552" s="82" t="s">
        <v>4938</v>
      </c>
      <c r="H1552" s="224" t="s">
        <v>6217</v>
      </c>
      <c r="I1552" s="76" t="s">
        <v>6507</v>
      </c>
      <c r="J1552" s="97" t="s">
        <v>6508</v>
      </c>
      <c r="K1552" s="289" t="s">
        <v>6504</v>
      </c>
      <c r="L1552" s="289"/>
      <c r="M1552" s="56"/>
      <c r="N1552" s="56" t="b">
        <v>0</v>
      </c>
      <c r="O1552" s="56" t="b">
        <v>0</v>
      </c>
      <c r="P1552" s="56"/>
      <c r="Q1552" s="56"/>
      <c r="R1552" s="56"/>
      <c r="S1552" s="56"/>
      <c r="T1552" s="56"/>
      <c r="U1552" s="56"/>
      <c r="V1552" s="56"/>
      <c r="W1552" s="56"/>
      <c r="X1552" s="56"/>
      <c r="Y1552" s="56"/>
      <c r="Z1552" s="56"/>
      <c r="AA1552" s="56"/>
      <c r="AB1552" s="56"/>
    </row>
    <row r="1553" ht="15.75" customHeight="1">
      <c r="A1553" s="169"/>
      <c r="B1553" s="63"/>
      <c r="C1553" s="22" t="s">
        <v>66</v>
      </c>
      <c r="D1553" s="76" t="s">
        <v>52</v>
      </c>
      <c r="E1553" s="77" t="s">
        <v>2323</v>
      </c>
      <c r="F1553" s="77" t="s">
        <v>2324</v>
      </c>
      <c r="G1553" s="82" t="s">
        <v>4940</v>
      </c>
      <c r="H1553" s="76" t="s">
        <v>6103</v>
      </c>
      <c r="I1553" s="76" t="s">
        <v>6509</v>
      </c>
      <c r="J1553" s="77" t="s">
        <v>2326</v>
      </c>
      <c r="K1553" s="295" t="s">
        <v>6510</v>
      </c>
      <c r="L1553" s="38"/>
      <c r="M1553" s="56"/>
      <c r="N1553" s="56" t="b">
        <v>0</v>
      </c>
      <c r="O1553" s="56" t="b">
        <v>0</v>
      </c>
      <c r="P1553" s="56"/>
      <c r="Q1553" s="56"/>
      <c r="R1553" s="56"/>
      <c r="S1553" s="56"/>
      <c r="T1553" s="56"/>
      <c r="U1553" s="56"/>
      <c r="V1553" s="56"/>
      <c r="W1553" s="56"/>
      <c r="X1553" s="56"/>
      <c r="Y1553" s="56"/>
      <c r="Z1553" s="56"/>
      <c r="AA1553" s="56"/>
      <c r="AB1553" s="56"/>
    </row>
    <row r="1554" ht="15.75" customHeight="1">
      <c r="A1554" s="169"/>
      <c r="B1554" s="63"/>
      <c r="C1554" s="22" t="s">
        <v>66</v>
      </c>
      <c r="D1554" s="76" t="s">
        <v>52</v>
      </c>
      <c r="E1554" s="77" t="s">
        <v>3561</v>
      </c>
      <c r="F1554" s="77" t="s">
        <v>3562</v>
      </c>
      <c r="G1554" s="82" t="s">
        <v>4899</v>
      </c>
      <c r="H1554" s="76" t="s">
        <v>5191</v>
      </c>
      <c r="I1554" s="76" t="s">
        <v>6511</v>
      </c>
      <c r="J1554" s="76" t="s">
        <v>3564</v>
      </c>
      <c r="K1554" s="289" t="s">
        <v>6504</v>
      </c>
      <c r="L1554" s="289"/>
      <c r="M1554" s="56"/>
      <c r="N1554" s="56" t="b">
        <v>0</v>
      </c>
      <c r="O1554" s="56" t="b">
        <v>0</v>
      </c>
      <c r="P1554" s="56"/>
      <c r="Q1554" s="56"/>
      <c r="R1554" s="56"/>
      <c r="S1554" s="56"/>
      <c r="T1554" s="56"/>
      <c r="U1554" s="56"/>
      <c r="V1554" s="56"/>
      <c r="W1554" s="56"/>
      <c r="X1554" s="56"/>
      <c r="Y1554" s="56"/>
      <c r="Z1554" s="56"/>
      <c r="AA1554" s="56"/>
      <c r="AB1554" s="56"/>
    </row>
    <row r="1555" ht="15.75" customHeight="1">
      <c r="A1555" s="169"/>
      <c r="B1555" s="69"/>
      <c r="C1555" s="22" t="s">
        <v>66</v>
      </c>
      <c r="D1555" s="38"/>
      <c r="E1555" s="38"/>
      <c r="F1555" s="65"/>
      <c r="G1555" s="66"/>
      <c r="H1555" s="38"/>
      <c r="I1555" s="38"/>
      <c r="J1555" s="38"/>
      <c r="K1555" s="38"/>
      <c r="L1555" s="38"/>
      <c r="M1555" s="56"/>
      <c r="N1555" s="56" t="b">
        <v>0</v>
      </c>
      <c r="O1555" s="56" t="b">
        <v>0</v>
      </c>
      <c r="P1555" s="56"/>
      <c r="Q1555" s="56"/>
      <c r="R1555" s="56"/>
      <c r="S1555" s="56"/>
      <c r="T1555" s="56"/>
      <c r="U1555" s="56"/>
      <c r="V1555" s="56"/>
      <c r="W1555" s="56"/>
      <c r="X1555" s="56"/>
      <c r="Y1555" s="56"/>
      <c r="Z1555" s="56"/>
      <c r="AA1555" s="56"/>
      <c r="AB1555" s="56"/>
    </row>
    <row r="1556" ht="15.75" customHeight="1">
      <c r="A1556" s="169"/>
      <c r="B1556" s="219" t="s">
        <v>4836</v>
      </c>
      <c r="C1556" s="220">
        <v>44522.0</v>
      </c>
      <c r="D1556" s="38"/>
      <c r="E1556" s="38"/>
      <c r="F1556" s="65"/>
      <c r="G1556" s="66"/>
      <c r="H1556" s="38"/>
      <c r="I1556" s="38"/>
      <c r="J1556" s="38"/>
      <c r="K1556" s="38"/>
      <c r="L1556" s="38"/>
      <c r="M1556" s="56"/>
      <c r="N1556" s="56" t="b">
        <v>0</v>
      </c>
      <c r="O1556" s="56" t="b">
        <v>0</v>
      </c>
      <c r="P1556" s="56"/>
      <c r="Q1556" s="56"/>
      <c r="R1556" s="56"/>
      <c r="S1556" s="56"/>
      <c r="T1556" s="56"/>
      <c r="U1556" s="56"/>
      <c r="V1556" s="56"/>
      <c r="W1556" s="56"/>
      <c r="X1556" s="56"/>
      <c r="Y1556" s="56"/>
      <c r="Z1556" s="56"/>
      <c r="AA1556" s="56"/>
      <c r="AB1556" s="56"/>
    </row>
    <row r="1557" ht="15.75" customHeight="1">
      <c r="A1557" s="169"/>
      <c r="B1557" s="63"/>
      <c r="C1557" s="22"/>
      <c r="D1557" s="62" t="s">
        <v>52</v>
      </c>
      <c r="E1557" s="60" t="s">
        <v>3977</v>
      </c>
      <c r="F1557" s="60" t="s">
        <v>3978</v>
      </c>
      <c r="G1557" s="73" t="s">
        <v>5713</v>
      </c>
      <c r="H1557" s="62" t="s">
        <v>6334</v>
      </c>
      <c r="I1557" s="60" t="s">
        <v>6512</v>
      </c>
      <c r="J1557" s="60" t="s">
        <v>3980</v>
      </c>
      <c r="K1557" s="10"/>
      <c r="L1557" s="38"/>
      <c r="M1557" s="56"/>
      <c r="N1557" s="56" t="b">
        <v>0</v>
      </c>
      <c r="O1557" s="56" t="b">
        <v>0</v>
      </c>
      <c r="P1557" s="56"/>
      <c r="Q1557" s="56"/>
      <c r="R1557" s="56"/>
      <c r="S1557" s="56"/>
      <c r="T1557" s="56"/>
      <c r="U1557" s="56"/>
      <c r="V1557" s="56"/>
      <c r="W1557" s="56"/>
      <c r="X1557" s="56"/>
      <c r="Y1557" s="56"/>
      <c r="Z1557" s="56"/>
      <c r="AA1557" s="56"/>
      <c r="AB1557" s="56"/>
    </row>
    <row r="1558" ht="15.75" customHeight="1">
      <c r="A1558" s="169"/>
      <c r="B1558" s="63"/>
      <c r="C1558" s="22" t="s">
        <v>53</v>
      </c>
      <c r="D1558" s="76" t="s">
        <v>52</v>
      </c>
      <c r="E1558" s="77" t="s">
        <v>1102</v>
      </c>
      <c r="F1558" s="77" t="s">
        <v>1103</v>
      </c>
      <c r="G1558" s="82" t="s">
        <v>4854</v>
      </c>
      <c r="H1558" s="76" t="s">
        <v>6480</v>
      </c>
      <c r="I1558" s="76" t="s">
        <v>6481</v>
      </c>
      <c r="J1558" s="77" t="s">
        <v>1106</v>
      </c>
      <c r="K1558" s="38" t="s">
        <v>6513</v>
      </c>
      <c r="L1558" s="38"/>
      <c r="M1558" s="56"/>
      <c r="N1558" s="56" t="b">
        <v>0</v>
      </c>
      <c r="O1558" s="56" t="b">
        <v>0</v>
      </c>
      <c r="P1558" s="56"/>
      <c r="Q1558" s="56"/>
      <c r="R1558" s="56"/>
      <c r="S1558" s="56"/>
      <c r="T1558" s="56"/>
      <c r="U1558" s="56"/>
      <c r="V1558" s="56"/>
      <c r="W1558" s="56"/>
      <c r="X1558" s="56"/>
      <c r="Y1558" s="56"/>
      <c r="Z1558" s="56"/>
      <c r="AA1558" s="56"/>
      <c r="AB1558" s="56"/>
    </row>
    <row r="1559" ht="15.75" customHeight="1">
      <c r="A1559" s="169"/>
      <c r="B1559" s="63"/>
      <c r="C1559" s="22" t="s">
        <v>53</v>
      </c>
      <c r="D1559" s="62" t="s">
        <v>52</v>
      </c>
      <c r="E1559" s="60" t="s">
        <v>2794</v>
      </c>
      <c r="F1559" s="60" t="s">
        <v>2795</v>
      </c>
      <c r="G1559" s="73" t="s">
        <v>5160</v>
      </c>
      <c r="H1559" s="62" t="s">
        <v>5751</v>
      </c>
      <c r="I1559" s="62" t="s">
        <v>6514</v>
      </c>
      <c r="J1559" s="60" t="s">
        <v>2797</v>
      </c>
      <c r="K1559" s="38"/>
      <c r="L1559" s="38"/>
      <c r="M1559" s="56"/>
      <c r="N1559" s="56" t="b">
        <v>0</v>
      </c>
      <c r="O1559" s="56" t="b">
        <v>0</v>
      </c>
      <c r="P1559" s="56"/>
      <c r="Q1559" s="56"/>
      <c r="R1559" s="56"/>
      <c r="S1559" s="56"/>
      <c r="T1559" s="56"/>
      <c r="U1559" s="56"/>
      <c r="V1559" s="56"/>
      <c r="W1559" s="56"/>
      <c r="X1559" s="56"/>
      <c r="Y1559" s="56"/>
      <c r="Z1559" s="56"/>
      <c r="AA1559" s="56"/>
      <c r="AB1559" s="56"/>
    </row>
    <row r="1560" ht="15.75" customHeight="1">
      <c r="A1560" s="169"/>
      <c r="B1560" s="63"/>
      <c r="C1560" s="22" t="s">
        <v>53</v>
      </c>
      <c r="D1560" s="227" t="s">
        <v>89</v>
      </c>
      <c r="E1560" s="60" t="s">
        <v>3292</v>
      </c>
      <c r="F1560" s="60" t="s">
        <v>3293</v>
      </c>
      <c r="G1560" s="73" t="s">
        <v>5036</v>
      </c>
      <c r="H1560" s="62" t="s">
        <v>6482</v>
      </c>
      <c r="I1560" s="62" t="s">
        <v>6483</v>
      </c>
      <c r="J1560" s="62" t="s">
        <v>6484</v>
      </c>
      <c r="K1560" s="38"/>
      <c r="L1560" s="38"/>
      <c r="M1560" s="56"/>
      <c r="N1560" s="56" t="b">
        <v>0</v>
      </c>
      <c r="O1560" s="56" t="b">
        <v>0</v>
      </c>
      <c r="P1560" s="56"/>
      <c r="Q1560" s="56"/>
      <c r="R1560" s="56"/>
      <c r="S1560" s="56"/>
      <c r="T1560" s="56"/>
      <c r="U1560" s="56"/>
      <c r="V1560" s="56"/>
      <c r="W1560" s="56"/>
      <c r="X1560" s="56"/>
      <c r="Y1560" s="56"/>
      <c r="Z1560" s="56"/>
      <c r="AA1560" s="56"/>
      <c r="AB1560" s="56"/>
    </row>
    <row r="1561" ht="15.75" customHeight="1">
      <c r="A1561" s="169"/>
      <c r="B1561" s="63"/>
      <c r="C1561" s="22" t="s">
        <v>53</v>
      </c>
      <c r="D1561" s="23"/>
      <c r="E1561" s="10"/>
      <c r="F1561" s="67"/>
      <c r="G1561" s="66"/>
      <c r="H1561" s="137"/>
      <c r="I1561" s="137"/>
      <c r="J1561" s="137"/>
      <c r="K1561" s="38"/>
      <c r="L1561" s="38"/>
      <c r="M1561" s="56"/>
      <c r="N1561" s="56" t="b">
        <v>0</v>
      </c>
      <c r="O1561" s="56" t="b">
        <v>0</v>
      </c>
      <c r="P1561" s="56"/>
      <c r="Q1561" s="56"/>
      <c r="R1561" s="56"/>
      <c r="S1561" s="56"/>
      <c r="T1561" s="56"/>
      <c r="U1561" s="56"/>
      <c r="V1561" s="56"/>
      <c r="W1561" s="56"/>
      <c r="X1561" s="56"/>
      <c r="Y1561" s="56"/>
      <c r="Z1561" s="56"/>
      <c r="AA1561" s="56"/>
      <c r="AB1561" s="56"/>
    </row>
    <row r="1562" ht="15.75" customHeight="1">
      <c r="A1562" s="169"/>
      <c r="B1562" s="69"/>
      <c r="C1562" s="22" t="s">
        <v>53</v>
      </c>
      <c r="D1562" s="38"/>
      <c r="E1562" s="38"/>
      <c r="F1562" s="65"/>
      <c r="G1562" s="66"/>
      <c r="H1562" s="38"/>
      <c r="I1562" s="38"/>
      <c r="J1562" s="38"/>
      <c r="K1562" s="38"/>
      <c r="L1562" s="38"/>
      <c r="M1562" s="56"/>
      <c r="N1562" s="56" t="b">
        <v>0</v>
      </c>
      <c r="O1562" s="56" t="b">
        <v>0</v>
      </c>
      <c r="P1562" s="56"/>
      <c r="Q1562" s="56"/>
      <c r="R1562" s="56"/>
      <c r="S1562" s="56"/>
      <c r="T1562" s="56"/>
      <c r="U1562" s="56"/>
      <c r="V1562" s="56"/>
      <c r="W1562" s="56"/>
      <c r="X1562" s="56"/>
      <c r="Y1562" s="56"/>
      <c r="Z1562" s="56"/>
      <c r="AA1562" s="56"/>
      <c r="AB1562" s="56"/>
    </row>
    <row r="1563" ht="15.75" customHeight="1">
      <c r="A1563" s="169"/>
      <c r="B1563" s="273" t="s">
        <v>6168</v>
      </c>
      <c r="C1563" s="275"/>
      <c r="D1563" s="38"/>
      <c r="E1563" s="38"/>
      <c r="F1563" s="65"/>
      <c r="G1563" s="66"/>
      <c r="H1563" s="38"/>
      <c r="I1563" s="38"/>
      <c r="J1563" s="38"/>
      <c r="K1563" s="38"/>
      <c r="L1563" s="38"/>
      <c r="M1563" s="56"/>
      <c r="N1563" s="56" t="b">
        <v>0</v>
      </c>
      <c r="O1563" s="56" t="b">
        <v>0</v>
      </c>
      <c r="P1563" s="56"/>
      <c r="Q1563" s="56"/>
      <c r="R1563" s="56"/>
      <c r="S1563" s="56"/>
      <c r="T1563" s="56"/>
      <c r="U1563" s="56"/>
      <c r="V1563" s="56"/>
      <c r="W1563" s="56"/>
      <c r="X1563" s="56"/>
      <c r="Y1563" s="56"/>
      <c r="Z1563" s="56"/>
      <c r="AA1563" s="56"/>
      <c r="AB1563" s="56"/>
    </row>
    <row r="1564" ht="15.75" customHeight="1">
      <c r="A1564" s="169"/>
      <c r="B1564" s="63"/>
      <c r="C1564" s="22" t="s">
        <v>66</v>
      </c>
      <c r="D1564" s="62" t="s">
        <v>314</v>
      </c>
      <c r="E1564" s="60" t="s">
        <v>535</v>
      </c>
      <c r="F1564" s="60" t="s">
        <v>536</v>
      </c>
      <c r="G1564" s="73" t="s">
        <v>6003</v>
      </c>
      <c r="H1564" s="62" t="s">
        <v>5807</v>
      </c>
      <c r="I1564" s="62" t="s">
        <v>6491</v>
      </c>
      <c r="J1564" s="62" t="s">
        <v>6492</v>
      </c>
      <c r="K1564" s="62"/>
      <c r="L1564" s="38"/>
      <c r="M1564" s="56"/>
      <c r="N1564" s="56" t="b">
        <v>0</v>
      </c>
      <c r="O1564" s="56" t="b">
        <v>0</v>
      </c>
      <c r="P1564" s="56"/>
      <c r="Q1564" s="56"/>
      <c r="R1564" s="56"/>
      <c r="S1564" s="56"/>
      <c r="T1564" s="56"/>
      <c r="U1564" s="56"/>
      <c r="V1564" s="56"/>
      <c r="W1564" s="56"/>
      <c r="X1564" s="56"/>
      <c r="Y1564" s="56"/>
      <c r="Z1564" s="56"/>
      <c r="AA1564" s="56"/>
      <c r="AB1564" s="56"/>
    </row>
    <row r="1565" ht="15.75" customHeight="1">
      <c r="A1565" s="169"/>
      <c r="B1565" s="63"/>
      <c r="C1565" s="22" t="s">
        <v>66</v>
      </c>
      <c r="D1565" s="76" t="s">
        <v>52</v>
      </c>
      <c r="E1565" s="77" t="s">
        <v>4414</v>
      </c>
      <c r="F1565" s="77" t="s">
        <v>4415</v>
      </c>
      <c r="G1565" s="82" t="s">
        <v>4887</v>
      </c>
      <c r="H1565" s="88" t="s">
        <v>4880</v>
      </c>
      <c r="I1565" s="77" t="s">
        <v>6515</v>
      </c>
      <c r="J1565" s="77" t="s">
        <v>6516</v>
      </c>
      <c r="K1565" s="38" t="s">
        <v>6517</v>
      </c>
      <c r="L1565" s="38"/>
      <c r="M1565" s="56"/>
      <c r="N1565" s="56" t="b">
        <v>0</v>
      </c>
      <c r="O1565" s="56" t="b">
        <v>0</v>
      </c>
      <c r="P1565" s="56"/>
      <c r="Q1565" s="56"/>
      <c r="R1565" s="56"/>
      <c r="S1565" s="56"/>
      <c r="T1565" s="56"/>
      <c r="U1565" s="56"/>
      <c r="V1565" s="56"/>
      <c r="W1565" s="56"/>
      <c r="X1565" s="56"/>
      <c r="Y1565" s="56"/>
      <c r="Z1565" s="56"/>
      <c r="AA1565" s="56"/>
      <c r="AB1565" s="56"/>
    </row>
    <row r="1566" ht="15.75" customHeight="1">
      <c r="A1566" s="169"/>
      <c r="B1566" s="63"/>
      <c r="C1566" s="22" t="s">
        <v>66</v>
      </c>
      <c r="D1566" s="296" t="s">
        <v>87</v>
      </c>
      <c r="E1566" s="203" t="s">
        <v>4145</v>
      </c>
      <c r="F1566" s="203" t="s">
        <v>4146</v>
      </c>
      <c r="G1566" s="82" t="s">
        <v>4896</v>
      </c>
      <c r="H1566" s="224" t="s">
        <v>4880</v>
      </c>
      <c r="I1566" s="76" t="s">
        <v>6518</v>
      </c>
      <c r="J1566" s="263" t="s">
        <v>4148</v>
      </c>
      <c r="K1566" s="38" t="s">
        <v>2116</v>
      </c>
      <c r="L1566" s="38"/>
      <c r="M1566" s="56"/>
      <c r="N1566" s="56" t="b">
        <v>0</v>
      </c>
      <c r="O1566" s="56" t="b">
        <v>0</v>
      </c>
      <c r="P1566" s="56"/>
      <c r="Q1566" s="56"/>
      <c r="R1566" s="56"/>
      <c r="S1566" s="56"/>
      <c r="T1566" s="56"/>
      <c r="U1566" s="56"/>
      <c r="V1566" s="56"/>
      <c r="W1566" s="56"/>
      <c r="X1566" s="56"/>
      <c r="Y1566" s="56"/>
      <c r="Z1566" s="56"/>
      <c r="AA1566" s="56"/>
      <c r="AB1566" s="56"/>
    </row>
    <row r="1567" ht="15.75" customHeight="1">
      <c r="A1567" s="169"/>
      <c r="B1567" s="63"/>
      <c r="C1567" s="22" t="s">
        <v>66</v>
      </c>
      <c r="D1567" s="296" t="s">
        <v>87</v>
      </c>
      <c r="E1567" s="203" t="s">
        <v>2598</v>
      </c>
      <c r="F1567" s="203" t="s">
        <v>2599</v>
      </c>
      <c r="G1567" s="82" t="s">
        <v>4847</v>
      </c>
      <c r="H1567" s="224" t="s">
        <v>4880</v>
      </c>
      <c r="I1567" s="76" t="s">
        <v>6519</v>
      </c>
      <c r="J1567" s="263" t="s">
        <v>2601</v>
      </c>
      <c r="K1567" s="38" t="s">
        <v>2116</v>
      </c>
      <c r="L1567" s="38"/>
      <c r="M1567" s="56"/>
      <c r="N1567" s="56" t="b">
        <v>0</v>
      </c>
      <c r="O1567" s="56" t="b">
        <v>0</v>
      </c>
      <c r="P1567" s="56"/>
      <c r="Q1567" s="56"/>
      <c r="R1567" s="56"/>
      <c r="S1567" s="56"/>
      <c r="T1567" s="56"/>
      <c r="U1567" s="56"/>
      <c r="V1567" s="56"/>
      <c r="W1567" s="56"/>
      <c r="X1567" s="56"/>
      <c r="Y1567" s="56"/>
      <c r="Z1567" s="56"/>
      <c r="AA1567" s="56"/>
      <c r="AB1567" s="56"/>
    </row>
    <row r="1568" ht="15.75" customHeight="1">
      <c r="A1568" s="169"/>
      <c r="B1568" s="69"/>
      <c r="C1568" s="22" t="s">
        <v>66</v>
      </c>
      <c r="D1568" s="38"/>
      <c r="E1568" s="38"/>
      <c r="F1568" s="65"/>
      <c r="G1568" s="66"/>
      <c r="H1568" s="38"/>
      <c r="I1568" s="38"/>
      <c r="J1568" s="38"/>
      <c r="K1568" s="38"/>
      <c r="L1568" s="38"/>
      <c r="M1568" s="56"/>
      <c r="N1568" s="56" t="b">
        <v>0</v>
      </c>
      <c r="O1568" s="56" t="b">
        <v>0</v>
      </c>
      <c r="P1568" s="56"/>
      <c r="Q1568" s="56"/>
      <c r="R1568" s="56"/>
      <c r="S1568" s="56"/>
      <c r="T1568" s="56"/>
      <c r="U1568" s="56"/>
      <c r="V1568" s="56"/>
      <c r="W1568" s="56"/>
      <c r="X1568" s="56"/>
      <c r="Y1568" s="56"/>
      <c r="Z1568" s="56"/>
      <c r="AA1568" s="56"/>
      <c r="AB1568" s="56"/>
    </row>
    <row r="1569" ht="15.75" customHeight="1">
      <c r="A1569" s="169"/>
      <c r="B1569" s="118"/>
      <c r="C1569" s="220">
        <v>44523.0</v>
      </c>
      <c r="D1569" s="38"/>
      <c r="E1569" s="38"/>
      <c r="F1569" s="65"/>
      <c r="G1569" s="66"/>
      <c r="H1569" s="38"/>
      <c r="I1569" s="38"/>
      <c r="J1569" s="38"/>
      <c r="K1569" s="38"/>
      <c r="L1569" s="38"/>
      <c r="M1569" s="56"/>
      <c r="N1569" s="56" t="b">
        <v>0</v>
      </c>
      <c r="O1569" s="56" t="b">
        <v>0</v>
      </c>
      <c r="P1569" s="56"/>
      <c r="Q1569" s="56"/>
      <c r="R1569" s="56"/>
      <c r="S1569" s="56"/>
      <c r="T1569" s="56"/>
      <c r="U1569" s="56"/>
      <c r="V1569" s="56"/>
      <c r="W1569" s="56"/>
      <c r="X1569" s="56"/>
      <c r="Y1569" s="56"/>
      <c r="Z1569" s="56"/>
      <c r="AA1569" s="56"/>
      <c r="AB1569" s="56"/>
    </row>
    <row r="1570" ht="15.75" customHeight="1">
      <c r="A1570" s="169"/>
      <c r="B1570" s="219" t="s">
        <v>4836</v>
      </c>
      <c r="C1570" s="22"/>
      <c r="D1570" s="38"/>
      <c r="E1570" s="38"/>
      <c r="F1570" s="65"/>
      <c r="G1570" s="66"/>
      <c r="H1570" s="38"/>
      <c r="I1570" s="38"/>
      <c r="J1570" s="38"/>
      <c r="K1570" s="38"/>
      <c r="L1570" s="38"/>
      <c r="M1570" s="56"/>
      <c r="N1570" s="56" t="b">
        <v>0</v>
      </c>
      <c r="O1570" s="56" t="b">
        <v>0</v>
      </c>
      <c r="P1570" s="56"/>
      <c r="Q1570" s="56"/>
      <c r="R1570" s="56"/>
      <c r="S1570" s="56"/>
      <c r="T1570" s="56"/>
      <c r="U1570" s="56"/>
      <c r="V1570" s="56"/>
      <c r="W1570" s="56"/>
      <c r="X1570" s="56"/>
      <c r="Y1570" s="56"/>
      <c r="Z1570" s="56"/>
      <c r="AA1570" s="56"/>
      <c r="AB1570" s="56"/>
    </row>
    <row r="1571" ht="15.75" customHeight="1">
      <c r="A1571" s="169"/>
      <c r="B1571" s="63"/>
      <c r="C1571" s="22" t="s">
        <v>53</v>
      </c>
      <c r="D1571" s="38"/>
      <c r="E1571" s="38"/>
      <c r="F1571" s="65"/>
      <c r="G1571" s="66"/>
      <c r="H1571" s="38"/>
      <c r="I1571" s="38"/>
      <c r="J1571" s="38"/>
      <c r="K1571" s="38"/>
      <c r="L1571" s="38"/>
      <c r="M1571" s="56"/>
      <c r="N1571" s="56" t="b">
        <v>0</v>
      </c>
      <c r="O1571" s="56" t="b">
        <v>0</v>
      </c>
      <c r="P1571" s="56"/>
      <c r="Q1571" s="56"/>
      <c r="R1571" s="56"/>
      <c r="S1571" s="56"/>
      <c r="T1571" s="56"/>
      <c r="U1571" s="56"/>
      <c r="V1571" s="56"/>
      <c r="W1571" s="56"/>
      <c r="X1571" s="56"/>
      <c r="Y1571" s="56"/>
      <c r="Z1571" s="56"/>
      <c r="AA1571" s="56"/>
      <c r="AB1571" s="56"/>
    </row>
    <row r="1572" ht="15.75" customHeight="1">
      <c r="A1572" s="169"/>
      <c r="B1572" s="63"/>
      <c r="C1572" s="22" t="s">
        <v>53</v>
      </c>
      <c r="D1572" s="227" t="s">
        <v>89</v>
      </c>
      <c r="E1572" s="242" t="s">
        <v>1596</v>
      </c>
      <c r="F1572" s="242" t="s">
        <v>1597</v>
      </c>
      <c r="G1572" s="73" t="s">
        <v>5134</v>
      </c>
      <c r="H1572" s="62" t="s">
        <v>6520</v>
      </c>
      <c r="I1572" s="62" t="s">
        <v>6521</v>
      </c>
      <c r="J1572" s="242" t="s">
        <v>6522</v>
      </c>
      <c r="K1572" s="38"/>
      <c r="L1572" s="38"/>
      <c r="M1572" s="56"/>
      <c r="N1572" s="56" t="b">
        <v>0</v>
      </c>
      <c r="O1572" s="56" t="b">
        <v>0</v>
      </c>
      <c r="P1572" s="56"/>
      <c r="Q1572" s="56"/>
      <c r="R1572" s="56"/>
      <c r="S1572" s="56"/>
      <c r="T1572" s="56"/>
      <c r="U1572" s="56"/>
      <c r="V1572" s="56"/>
      <c r="W1572" s="56"/>
      <c r="X1572" s="56"/>
      <c r="Y1572" s="56"/>
      <c r="Z1572" s="56"/>
      <c r="AA1572" s="56"/>
      <c r="AB1572" s="56"/>
    </row>
    <row r="1573" ht="15.75" customHeight="1">
      <c r="A1573" s="169"/>
      <c r="B1573" s="63"/>
      <c r="C1573" s="22" t="s">
        <v>53</v>
      </c>
      <c r="D1573" s="172" t="s">
        <v>89</v>
      </c>
      <c r="E1573" s="203" t="s">
        <v>3028</v>
      </c>
      <c r="F1573" s="203" t="s">
        <v>3029</v>
      </c>
      <c r="G1573" s="82" t="s">
        <v>4856</v>
      </c>
      <c r="H1573" s="76" t="s">
        <v>6300</v>
      </c>
      <c r="I1573" s="76" t="s">
        <v>6523</v>
      </c>
      <c r="J1573" s="203" t="s">
        <v>3031</v>
      </c>
      <c r="K1573" s="38" t="s">
        <v>6524</v>
      </c>
      <c r="L1573" s="38"/>
      <c r="M1573" s="56"/>
      <c r="N1573" s="56" t="b">
        <v>0</v>
      </c>
      <c r="O1573" s="56" t="b">
        <v>0</v>
      </c>
      <c r="P1573" s="56"/>
      <c r="Q1573" s="56"/>
      <c r="R1573" s="56"/>
      <c r="S1573" s="56"/>
      <c r="T1573" s="56"/>
      <c r="U1573" s="56"/>
      <c r="V1573" s="56"/>
      <c r="W1573" s="56"/>
      <c r="X1573" s="56"/>
      <c r="Y1573" s="56"/>
      <c r="Z1573" s="56"/>
      <c r="AA1573" s="56"/>
      <c r="AB1573" s="56"/>
    </row>
    <row r="1574" ht="15.75" customHeight="1">
      <c r="A1574" s="169"/>
      <c r="B1574" s="63"/>
      <c r="C1574" s="22" t="s">
        <v>53</v>
      </c>
      <c r="D1574" s="227" t="s">
        <v>89</v>
      </c>
      <c r="E1574" s="242" t="s">
        <v>4576</v>
      </c>
      <c r="F1574" s="242" t="s">
        <v>4577</v>
      </c>
      <c r="G1574" s="73" t="s">
        <v>4858</v>
      </c>
      <c r="H1574" s="62" t="s">
        <v>5029</v>
      </c>
      <c r="I1574" s="62" t="s">
        <v>6501</v>
      </c>
      <c r="J1574" s="62" t="s">
        <v>3564</v>
      </c>
      <c r="K1574" s="38"/>
      <c r="L1574" s="38"/>
      <c r="M1574" s="56"/>
      <c r="N1574" s="56" t="b">
        <v>0</v>
      </c>
      <c r="O1574" s="56" t="b">
        <v>0</v>
      </c>
      <c r="P1574" s="56"/>
      <c r="Q1574" s="56"/>
      <c r="R1574" s="56"/>
      <c r="S1574" s="56"/>
      <c r="T1574" s="56"/>
      <c r="U1574" s="56"/>
      <c r="V1574" s="56"/>
      <c r="W1574" s="56"/>
      <c r="X1574" s="56"/>
      <c r="Y1574" s="56"/>
      <c r="Z1574" s="56"/>
      <c r="AA1574" s="56"/>
      <c r="AB1574" s="56"/>
    </row>
    <row r="1575" ht="15.75" customHeight="1">
      <c r="A1575" s="169"/>
      <c r="B1575" s="63"/>
      <c r="C1575" s="22" t="s">
        <v>53</v>
      </c>
      <c r="D1575" s="227" t="s">
        <v>89</v>
      </c>
      <c r="E1575" s="242" t="s">
        <v>3122</v>
      </c>
      <c r="F1575" s="242" t="s">
        <v>3123</v>
      </c>
      <c r="G1575" s="73" t="s">
        <v>5089</v>
      </c>
      <c r="H1575" s="62" t="s">
        <v>6525</v>
      </c>
      <c r="I1575" s="62" t="s">
        <v>6526</v>
      </c>
      <c r="J1575" s="242" t="s">
        <v>3125</v>
      </c>
      <c r="K1575" s="38"/>
      <c r="L1575" s="38"/>
      <c r="M1575" s="56"/>
      <c r="N1575" s="56" t="b">
        <v>0</v>
      </c>
      <c r="O1575" s="56" t="b">
        <v>0</v>
      </c>
      <c r="P1575" s="56"/>
      <c r="Q1575" s="56"/>
      <c r="R1575" s="56"/>
      <c r="S1575" s="56"/>
      <c r="T1575" s="56"/>
      <c r="U1575" s="56"/>
      <c r="V1575" s="56"/>
      <c r="W1575" s="56"/>
      <c r="X1575" s="56"/>
      <c r="Y1575" s="56"/>
      <c r="Z1575" s="56"/>
      <c r="AA1575" s="56"/>
      <c r="AB1575" s="56"/>
    </row>
    <row r="1576" ht="15.75" customHeight="1">
      <c r="A1576" s="169"/>
      <c r="B1576" s="69"/>
      <c r="C1576" s="275"/>
      <c r="D1576" s="38"/>
      <c r="E1576" s="38"/>
      <c r="F1576" s="65"/>
      <c r="G1576" s="66"/>
      <c r="H1576" s="38"/>
      <c r="I1576" s="38"/>
      <c r="J1576" s="38"/>
      <c r="K1576" s="38"/>
      <c r="L1576" s="38"/>
      <c r="M1576" s="56"/>
      <c r="N1576" s="56" t="b">
        <v>0</v>
      </c>
      <c r="O1576" s="56" t="b">
        <v>0</v>
      </c>
      <c r="P1576" s="56"/>
      <c r="Q1576" s="56"/>
      <c r="R1576" s="56"/>
      <c r="S1576" s="56"/>
      <c r="T1576" s="56"/>
      <c r="U1576" s="56"/>
      <c r="V1576" s="56"/>
      <c r="W1576" s="56"/>
      <c r="X1576" s="56"/>
      <c r="Y1576" s="56"/>
      <c r="Z1576" s="56"/>
      <c r="AA1576" s="56"/>
      <c r="AB1576" s="56"/>
    </row>
    <row r="1577" ht="15.75" customHeight="1">
      <c r="A1577" s="169"/>
      <c r="B1577" s="273" t="s">
        <v>6168</v>
      </c>
      <c r="C1577" s="22" t="s">
        <v>66</v>
      </c>
      <c r="D1577" s="62" t="s">
        <v>52</v>
      </c>
      <c r="E1577" s="60" t="s">
        <v>1975</v>
      </c>
      <c r="F1577" s="60" t="s">
        <v>1976</v>
      </c>
      <c r="G1577" s="73" t="s">
        <v>4851</v>
      </c>
      <c r="H1577" s="62" t="s">
        <v>6175</v>
      </c>
      <c r="I1577" s="62" t="s">
        <v>6503</v>
      </c>
      <c r="J1577" s="62" t="s">
        <v>1978</v>
      </c>
      <c r="K1577" s="38"/>
      <c r="L1577" s="38"/>
      <c r="M1577" s="56"/>
      <c r="N1577" s="56" t="b">
        <v>0</v>
      </c>
      <c r="O1577" s="56" t="b">
        <v>0</v>
      </c>
      <c r="P1577" s="56"/>
      <c r="Q1577" s="56"/>
      <c r="R1577" s="56"/>
      <c r="S1577" s="56"/>
      <c r="T1577" s="56"/>
      <c r="U1577" s="56"/>
      <c r="V1577" s="56"/>
      <c r="W1577" s="56"/>
      <c r="X1577" s="56"/>
      <c r="Y1577" s="56"/>
      <c r="Z1577" s="56"/>
      <c r="AA1577" s="56"/>
      <c r="AB1577" s="56"/>
    </row>
    <row r="1578" ht="15.75" customHeight="1">
      <c r="A1578" s="169"/>
      <c r="B1578" s="63"/>
      <c r="C1578" s="22" t="s">
        <v>66</v>
      </c>
      <c r="D1578" s="281" t="s">
        <v>87</v>
      </c>
      <c r="E1578" s="77" t="s">
        <v>6505</v>
      </c>
      <c r="F1578" s="77" t="s">
        <v>6506</v>
      </c>
      <c r="G1578" s="82" t="s">
        <v>4938</v>
      </c>
      <c r="H1578" s="224" t="s">
        <v>6217</v>
      </c>
      <c r="I1578" s="76" t="s">
        <v>6507</v>
      </c>
      <c r="J1578" s="97" t="s">
        <v>6508</v>
      </c>
      <c r="K1578" s="38"/>
      <c r="L1578" s="38"/>
      <c r="M1578" s="56"/>
      <c r="N1578" s="56" t="b">
        <v>0</v>
      </c>
      <c r="O1578" s="56" t="b">
        <v>0</v>
      </c>
      <c r="P1578" s="56"/>
      <c r="Q1578" s="56"/>
      <c r="R1578" s="56"/>
      <c r="S1578" s="56"/>
      <c r="T1578" s="56"/>
      <c r="U1578" s="56"/>
      <c r="V1578" s="56"/>
      <c r="W1578" s="56"/>
      <c r="X1578" s="56"/>
      <c r="Y1578" s="56"/>
      <c r="Z1578" s="56"/>
      <c r="AA1578" s="56"/>
      <c r="AB1578" s="56"/>
    </row>
    <row r="1579" ht="15.75" customHeight="1">
      <c r="A1579" s="169"/>
      <c r="B1579" s="63"/>
      <c r="C1579" s="22" t="s">
        <v>66</v>
      </c>
      <c r="D1579" s="76" t="s">
        <v>52</v>
      </c>
      <c r="E1579" s="77" t="s">
        <v>3561</v>
      </c>
      <c r="F1579" s="77" t="s">
        <v>3562</v>
      </c>
      <c r="G1579" s="82" t="s">
        <v>4892</v>
      </c>
      <c r="H1579" s="76" t="s">
        <v>5191</v>
      </c>
      <c r="I1579" s="76" t="s">
        <v>6511</v>
      </c>
      <c r="J1579" s="76" t="s">
        <v>3564</v>
      </c>
      <c r="K1579" s="38"/>
      <c r="L1579" s="38"/>
      <c r="M1579" s="56"/>
      <c r="N1579" s="56" t="b">
        <v>0</v>
      </c>
      <c r="O1579" s="56" t="b">
        <v>0</v>
      </c>
      <c r="P1579" s="56"/>
      <c r="Q1579" s="56"/>
      <c r="R1579" s="56"/>
      <c r="S1579" s="56"/>
      <c r="T1579" s="56"/>
      <c r="U1579" s="56"/>
      <c r="V1579" s="56"/>
      <c r="W1579" s="56"/>
      <c r="X1579" s="56"/>
      <c r="Y1579" s="56"/>
      <c r="Z1579" s="56"/>
      <c r="AA1579" s="56"/>
      <c r="AB1579" s="56"/>
    </row>
    <row r="1580" ht="15.75" customHeight="1">
      <c r="A1580" s="169"/>
      <c r="B1580" s="63"/>
      <c r="C1580" s="22" t="s">
        <v>66</v>
      </c>
      <c r="D1580" s="27" t="s">
        <v>103</v>
      </c>
      <c r="E1580" s="242" t="s">
        <v>2486</v>
      </c>
      <c r="F1580" s="242" t="s">
        <v>2487</v>
      </c>
      <c r="G1580" s="258">
        <v>0.7083333333333334</v>
      </c>
      <c r="H1580" s="269" t="s">
        <v>6217</v>
      </c>
      <c r="I1580" s="170" t="s">
        <v>6527</v>
      </c>
      <c r="J1580" s="242" t="s">
        <v>2489</v>
      </c>
      <c r="K1580" s="38"/>
      <c r="L1580" s="38"/>
      <c r="M1580" s="56"/>
      <c r="N1580" s="56" t="b">
        <v>0</v>
      </c>
      <c r="O1580" s="56" t="b">
        <v>0</v>
      </c>
      <c r="P1580" s="56"/>
      <c r="Q1580" s="56"/>
      <c r="R1580" s="56"/>
      <c r="S1580" s="56"/>
      <c r="T1580" s="56"/>
      <c r="U1580" s="56"/>
      <c r="V1580" s="56"/>
      <c r="W1580" s="56"/>
      <c r="X1580" s="56"/>
      <c r="Y1580" s="56"/>
      <c r="Z1580" s="56"/>
      <c r="AA1580" s="56"/>
      <c r="AB1580" s="56"/>
    </row>
    <row r="1581" ht="15.75" customHeight="1">
      <c r="A1581" s="169"/>
      <c r="B1581" s="63"/>
      <c r="C1581" s="22" t="s">
        <v>66</v>
      </c>
      <c r="D1581" s="38"/>
      <c r="E1581" s="38"/>
      <c r="F1581" s="65"/>
      <c r="G1581" s="66"/>
      <c r="H1581" s="38"/>
      <c r="I1581" s="38"/>
      <c r="J1581" s="38"/>
      <c r="K1581" s="38"/>
      <c r="L1581" s="38"/>
      <c r="M1581" s="56"/>
      <c r="N1581" s="56" t="b">
        <v>0</v>
      </c>
      <c r="O1581" s="56" t="b">
        <v>0</v>
      </c>
      <c r="P1581" s="56"/>
      <c r="Q1581" s="56"/>
      <c r="R1581" s="56"/>
      <c r="S1581" s="56"/>
      <c r="T1581" s="56"/>
      <c r="U1581" s="56"/>
      <c r="V1581" s="56"/>
      <c r="W1581" s="56"/>
      <c r="X1581" s="56"/>
      <c r="Y1581" s="56"/>
      <c r="Z1581" s="56"/>
      <c r="AA1581" s="56"/>
      <c r="AB1581" s="56"/>
    </row>
    <row r="1582" ht="15.75" customHeight="1">
      <c r="A1582" s="169"/>
      <c r="B1582" s="69"/>
      <c r="C1582" s="38"/>
      <c r="D1582" s="38"/>
      <c r="E1582" s="38"/>
      <c r="F1582" s="65"/>
      <c r="G1582" s="66"/>
      <c r="H1582" s="38"/>
      <c r="I1582" s="38"/>
      <c r="J1582" s="38"/>
      <c r="K1582" s="38"/>
      <c r="L1582" s="38"/>
      <c r="M1582" s="56"/>
      <c r="N1582" s="56" t="b">
        <v>0</v>
      </c>
      <c r="O1582" s="56" t="b">
        <v>0</v>
      </c>
      <c r="P1582" s="56"/>
      <c r="Q1582" s="56"/>
      <c r="R1582" s="56"/>
      <c r="S1582" s="56"/>
      <c r="T1582" s="56"/>
      <c r="U1582" s="56"/>
      <c r="V1582" s="56"/>
      <c r="W1582" s="56"/>
      <c r="X1582" s="56"/>
      <c r="Y1582" s="56"/>
      <c r="Z1582" s="56"/>
      <c r="AA1582" s="56"/>
      <c r="AB1582" s="56"/>
    </row>
    <row r="1583" ht="15.75" customHeight="1">
      <c r="A1583" s="169"/>
      <c r="B1583" s="118"/>
      <c r="C1583" s="220">
        <v>44524.0</v>
      </c>
      <c r="D1583" s="38"/>
      <c r="E1583" s="38"/>
      <c r="F1583" s="65"/>
      <c r="G1583" s="66"/>
      <c r="H1583" s="38"/>
      <c r="I1583" s="38"/>
      <c r="J1583" s="38"/>
      <c r="K1583" s="38"/>
      <c r="L1583" s="38"/>
      <c r="M1583" s="56"/>
      <c r="N1583" s="56" t="b">
        <v>0</v>
      </c>
      <c r="O1583" s="56" t="b">
        <v>0</v>
      </c>
      <c r="P1583" s="56"/>
      <c r="Q1583" s="56"/>
      <c r="R1583" s="56"/>
      <c r="S1583" s="56"/>
      <c r="T1583" s="56"/>
      <c r="U1583" s="56"/>
      <c r="V1583" s="56"/>
      <c r="W1583" s="56"/>
      <c r="X1583" s="56"/>
      <c r="Y1583" s="56"/>
      <c r="Z1583" s="56"/>
      <c r="AA1583" s="56"/>
      <c r="AB1583" s="56"/>
    </row>
    <row r="1584" ht="15.75" customHeight="1">
      <c r="A1584" s="169"/>
      <c r="B1584" s="219" t="s">
        <v>4836</v>
      </c>
      <c r="C1584" s="22"/>
      <c r="D1584" s="76" t="s">
        <v>52</v>
      </c>
      <c r="E1584" s="203" t="s">
        <v>3771</v>
      </c>
      <c r="F1584" s="203" t="s">
        <v>3772</v>
      </c>
      <c r="G1584" s="82" t="s">
        <v>5704</v>
      </c>
      <c r="H1584" s="76" t="s">
        <v>6307</v>
      </c>
      <c r="I1584" s="76" t="s">
        <v>6528</v>
      </c>
      <c r="J1584" s="203" t="s">
        <v>3774</v>
      </c>
      <c r="K1584" s="38" t="s">
        <v>6529</v>
      </c>
      <c r="L1584" s="38"/>
      <c r="M1584" s="56"/>
      <c r="N1584" s="56" t="b">
        <v>0</v>
      </c>
      <c r="O1584" s="56" t="b">
        <v>0</v>
      </c>
      <c r="P1584" s="56"/>
      <c r="Q1584" s="56"/>
      <c r="R1584" s="56"/>
      <c r="S1584" s="56"/>
      <c r="T1584" s="56"/>
      <c r="U1584" s="56"/>
      <c r="V1584" s="56"/>
      <c r="W1584" s="56"/>
      <c r="X1584" s="56"/>
      <c r="Y1584" s="56"/>
      <c r="Z1584" s="56"/>
      <c r="AA1584" s="56"/>
      <c r="AB1584" s="56"/>
    </row>
    <row r="1585" ht="15.75" customHeight="1">
      <c r="A1585" s="169"/>
      <c r="B1585" s="63"/>
      <c r="C1585" s="22" t="s">
        <v>53</v>
      </c>
      <c r="D1585" s="227" t="s">
        <v>89</v>
      </c>
      <c r="E1585" s="242" t="s">
        <v>1386</v>
      </c>
      <c r="F1585" s="242" t="s">
        <v>1387</v>
      </c>
      <c r="G1585" s="73" t="s">
        <v>6003</v>
      </c>
      <c r="H1585" s="62" t="s">
        <v>6530</v>
      </c>
      <c r="I1585" s="62" t="s">
        <v>6531</v>
      </c>
      <c r="J1585" s="242" t="s">
        <v>1389</v>
      </c>
      <c r="K1585" s="137"/>
      <c r="L1585" s="137"/>
      <c r="M1585" s="297"/>
      <c r="N1585" s="297" t="b">
        <v>0</v>
      </c>
      <c r="O1585" s="56" t="b">
        <v>0</v>
      </c>
      <c r="P1585" s="56"/>
      <c r="Q1585" s="56"/>
      <c r="R1585" s="56"/>
      <c r="S1585" s="56"/>
      <c r="T1585" s="56"/>
      <c r="U1585" s="56"/>
      <c r="V1585" s="56"/>
      <c r="W1585" s="56"/>
      <c r="X1585" s="56"/>
      <c r="Y1585" s="56"/>
      <c r="Z1585" s="56"/>
      <c r="AA1585" s="56"/>
      <c r="AB1585" s="56"/>
    </row>
    <row r="1586" ht="15.75" customHeight="1">
      <c r="A1586" s="169"/>
      <c r="B1586" s="63"/>
      <c r="C1586" s="22" t="s">
        <v>53</v>
      </c>
      <c r="D1586" s="62" t="s">
        <v>52</v>
      </c>
      <c r="E1586" s="242" t="s">
        <v>1056</v>
      </c>
      <c r="F1586" s="242" t="s">
        <v>1057</v>
      </c>
      <c r="G1586" s="73" t="s">
        <v>4856</v>
      </c>
      <c r="H1586" s="62" t="s">
        <v>4971</v>
      </c>
      <c r="I1586" s="62" t="s">
        <v>6532</v>
      </c>
      <c r="J1586" s="242" t="s">
        <v>1059</v>
      </c>
      <c r="K1586" s="38"/>
      <c r="L1586" s="38"/>
      <c r="M1586" s="56"/>
      <c r="N1586" s="56" t="b">
        <v>0</v>
      </c>
      <c r="O1586" s="56" t="b">
        <v>0</v>
      </c>
      <c r="P1586" s="56"/>
      <c r="Q1586" s="56"/>
      <c r="R1586" s="56"/>
      <c r="S1586" s="56"/>
      <c r="T1586" s="56"/>
      <c r="U1586" s="56"/>
      <c r="V1586" s="56"/>
      <c r="W1586" s="56"/>
      <c r="X1586" s="56"/>
      <c r="Y1586" s="56"/>
      <c r="Z1586" s="56"/>
      <c r="AA1586" s="56"/>
      <c r="AB1586" s="56"/>
    </row>
    <row r="1587" ht="15.75" customHeight="1">
      <c r="A1587" s="169"/>
      <c r="B1587" s="63"/>
      <c r="C1587" s="22" t="s">
        <v>53</v>
      </c>
      <c r="D1587" s="76" t="s">
        <v>52</v>
      </c>
      <c r="E1587" s="203" t="s">
        <v>4666</v>
      </c>
      <c r="F1587" s="203" t="s">
        <v>4667</v>
      </c>
      <c r="G1587" s="82" t="s">
        <v>4858</v>
      </c>
      <c r="H1587" s="76" t="s">
        <v>4927</v>
      </c>
      <c r="I1587" s="76" t="s">
        <v>6533</v>
      </c>
      <c r="J1587" s="203" t="s">
        <v>4669</v>
      </c>
      <c r="K1587" s="38"/>
      <c r="L1587" s="38"/>
      <c r="M1587" s="56"/>
      <c r="N1587" s="56" t="b">
        <v>0</v>
      </c>
      <c r="O1587" s="56" t="b">
        <v>0</v>
      </c>
      <c r="P1587" s="56"/>
      <c r="Q1587" s="56"/>
      <c r="R1587" s="56"/>
      <c r="S1587" s="56"/>
      <c r="T1587" s="56"/>
      <c r="U1587" s="56"/>
      <c r="V1587" s="56"/>
      <c r="W1587" s="56"/>
      <c r="X1587" s="56"/>
      <c r="Y1587" s="56"/>
      <c r="Z1587" s="56"/>
      <c r="AA1587" s="56"/>
      <c r="AB1587" s="56"/>
    </row>
    <row r="1588" ht="15.75" customHeight="1">
      <c r="A1588" s="169"/>
      <c r="B1588" s="63"/>
      <c r="C1588" s="22" t="s">
        <v>53</v>
      </c>
      <c r="D1588" s="38"/>
      <c r="E1588" s="10"/>
      <c r="F1588" s="10"/>
      <c r="G1588" s="66"/>
      <c r="H1588" s="38"/>
      <c r="I1588" s="38"/>
      <c r="J1588" s="38"/>
      <c r="K1588" s="38"/>
      <c r="L1588" s="38"/>
      <c r="M1588" s="56"/>
      <c r="N1588" s="56" t="b">
        <v>0</v>
      </c>
      <c r="O1588" s="56" t="b">
        <v>0</v>
      </c>
      <c r="P1588" s="56"/>
      <c r="Q1588" s="56"/>
      <c r="R1588" s="56"/>
      <c r="S1588" s="56"/>
      <c r="T1588" s="56"/>
      <c r="U1588" s="56"/>
      <c r="V1588" s="56"/>
      <c r="W1588" s="56"/>
      <c r="X1588" s="56"/>
      <c r="Y1588" s="56"/>
      <c r="Z1588" s="56"/>
      <c r="AA1588" s="56"/>
      <c r="AB1588" s="56"/>
    </row>
    <row r="1589" ht="15.75" customHeight="1">
      <c r="A1589" s="169"/>
      <c r="B1589" s="63"/>
      <c r="C1589" s="22" t="s">
        <v>53</v>
      </c>
      <c r="D1589" s="38"/>
      <c r="E1589" s="10"/>
      <c r="F1589" s="10"/>
      <c r="G1589" s="66"/>
      <c r="H1589" s="38"/>
      <c r="I1589" s="38"/>
      <c r="J1589" s="38"/>
      <c r="K1589" s="38"/>
      <c r="L1589" s="38"/>
      <c r="M1589" s="56"/>
      <c r="N1589" s="56" t="b">
        <v>0</v>
      </c>
      <c r="O1589" s="56" t="b">
        <v>0</v>
      </c>
      <c r="P1589" s="56"/>
      <c r="Q1589" s="56"/>
      <c r="R1589" s="56"/>
      <c r="S1589" s="56"/>
      <c r="T1589" s="56"/>
      <c r="U1589" s="56"/>
      <c r="V1589" s="56"/>
      <c r="W1589" s="56"/>
      <c r="X1589" s="56"/>
      <c r="Y1589" s="56"/>
      <c r="Z1589" s="56"/>
      <c r="AA1589" s="56"/>
      <c r="AB1589" s="56"/>
    </row>
    <row r="1590" ht="15.75" customHeight="1">
      <c r="A1590" s="169"/>
      <c r="B1590" s="69"/>
      <c r="C1590" s="275"/>
      <c r="D1590" s="38"/>
      <c r="E1590" s="38"/>
      <c r="F1590" s="65"/>
      <c r="G1590" s="66"/>
      <c r="H1590" s="38"/>
      <c r="I1590" s="38"/>
      <c r="J1590" s="38"/>
      <c r="K1590" s="38"/>
      <c r="L1590" s="38"/>
      <c r="M1590" s="56"/>
      <c r="N1590" s="56" t="b">
        <v>0</v>
      </c>
      <c r="O1590" s="56" t="b">
        <v>0</v>
      </c>
      <c r="P1590" s="56"/>
      <c r="Q1590" s="56"/>
      <c r="R1590" s="56"/>
      <c r="S1590" s="56"/>
      <c r="T1590" s="56"/>
      <c r="U1590" s="56"/>
      <c r="V1590" s="56"/>
      <c r="W1590" s="56"/>
      <c r="X1590" s="56"/>
      <c r="Y1590" s="56"/>
      <c r="Z1590" s="56"/>
      <c r="AA1590" s="56"/>
      <c r="AB1590" s="56"/>
    </row>
    <row r="1591" ht="15.75" customHeight="1">
      <c r="A1591" s="169"/>
      <c r="B1591" s="273" t="s">
        <v>6168</v>
      </c>
      <c r="C1591" s="22" t="s">
        <v>66</v>
      </c>
      <c r="D1591" s="38"/>
      <c r="E1591" s="38"/>
      <c r="F1591" s="65"/>
      <c r="G1591" s="66"/>
      <c r="H1591" s="38"/>
      <c r="I1591" s="38"/>
      <c r="J1591" s="38"/>
      <c r="K1591" s="38"/>
      <c r="L1591" s="38"/>
      <c r="M1591" s="56"/>
      <c r="N1591" s="56" t="b">
        <v>0</v>
      </c>
      <c r="O1591" s="56" t="b">
        <v>0</v>
      </c>
      <c r="P1591" s="56"/>
      <c r="Q1591" s="56"/>
      <c r="R1591" s="56"/>
      <c r="S1591" s="56"/>
      <c r="T1591" s="56"/>
      <c r="U1591" s="56"/>
      <c r="V1591" s="56"/>
      <c r="W1591" s="56"/>
      <c r="X1591" s="56"/>
      <c r="Y1591" s="56"/>
      <c r="Z1591" s="56"/>
      <c r="AA1591" s="56"/>
      <c r="AB1591" s="56"/>
    </row>
    <row r="1592" ht="15.75" customHeight="1">
      <c r="A1592" s="169"/>
      <c r="B1592" s="63"/>
      <c r="C1592" s="22" t="s">
        <v>66</v>
      </c>
      <c r="D1592" s="38"/>
      <c r="E1592" s="162" t="s">
        <v>5784</v>
      </c>
      <c r="F1592" s="155"/>
      <c r="G1592" s="66"/>
      <c r="H1592" s="38"/>
      <c r="I1592" s="38"/>
      <c r="J1592" s="38"/>
      <c r="K1592" s="38"/>
      <c r="L1592" s="38"/>
      <c r="M1592" s="56"/>
      <c r="N1592" s="56" t="b">
        <v>0</v>
      </c>
      <c r="O1592" s="56" t="b">
        <v>0</v>
      </c>
      <c r="P1592" s="56"/>
      <c r="Q1592" s="56"/>
      <c r="R1592" s="56"/>
      <c r="S1592" s="56"/>
      <c r="T1592" s="56"/>
      <c r="U1592" s="56"/>
      <c r="V1592" s="56"/>
      <c r="W1592" s="56"/>
      <c r="X1592" s="56"/>
      <c r="Y1592" s="56"/>
      <c r="Z1592" s="56"/>
      <c r="AA1592" s="56"/>
      <c r="AB1592" s="56"/>
    </row>
    <row r="1593" ht="15.75" customHeight="1">
      <c r="A1593" s="169"/>
      <c r="B1593" s="63"/>
      <c r="C1593" s="22" t="s">
        <v>66</v>
      </c>
      <c r="D1593" s="38"/>
      <c r="E1593" s="156"/>
      <c r="F1593" s="157"/>
      <c r="G1593" s="66"/>
      <c r="H1593" s="38"/>
      <c r="I1593" s="38"/>
      <c r="J1593" s="38"/>
      <c r="K1593" s="38"/>
      <c r="L1593" s="38"/>
      <c r="M1593" s="56"/>
      <c r="N1593" s="56" t="b">
        <v>0</v>
      </c>
      <c r="O1593" s="56" t="b">
        <v>0</v>
      </c>
      <c r="P1593" s="56"/>
      <c r="Q1593" s="56"/>
      <c r="R1593" s="56"/>
      <c r="S1593" s="56"/>
      <c r="T1593" s="56"/>
      <c r="U1593" s="56"/>
      <c r="V1593" s="56"/>
      <c r="W1593" s="56"/>
      <c r="X1593" s="56"/>
      <c r="Y1593" s="56"/>
      <c r="Z1593" s="56"/>
      <c r="AA1593" s="56"/>
      <c r="AB1593" s="56"/>
    </row>
    <row r="1594" ht="15.75" customHeight="1">
      <c r="A1594" s="169"/>
      <c r="B1594" s="63"/>
      <c r="C1594" s="22" t="s">
        <v>66</v>
      </c>
      <c r="D1594" s="38"/>
      <c r="E1594" s="158"/>
      <c r="F1594" s="159"/>
      <c r="G1594" s="66"/>
      <c r="H1594" s="38"/>
      <c r="I1594" s="38"/>
      <c r="J1594" s="38"/>
      <c r="K1594" s="38"/>
      <c r="L1594" s="38"/>
      <c r="M1594" s="56"/>
      <c r="N1594" s="56" t="b">
        <v>0</v>
      </c>
      <c r="O1594" s="56" t="b">
        <v>0</v>
      </c>
      <c r="P1594" s="56"/>
      <c r="Q1594" s="56"/>
      <c r="R1594" s="56"/>
      <c r="S1594" s="56"/>
      <c r="T1594" s="56"/>
      <c r="U1594" s="56"/>
      <c r="V1594" s="56"/>
      <c r="W1594" s="56"/>
      <c r="X1594" s="56"/>
      <c r="Y1594" s="56"/>
      <c r="Z1594" s="56"/>
      <c r="AA1594" s="56"/>
      <c r="AB1594" s="56"/>
    </row>
    <row r="1595" ht="15.75" customHeight="1">
      <c r="A1595" s="169"/>
      <c r="B1595" s="63"/>
      <c r="C1595" s="22" t="s">
        <v>66</v>
      </c>
      <c r="D1595" s="38"/>
      <c r="E1595" s="38"/>
      <c r="F1595" s="65"/>
      <c r="G1595" s="66"/>
      <c r="H1595" s="38"/>
      <c r="I1595" s="38"/>
      <c r="J1595" s="38"/>
      <c r="K1595" s="38"/>
      <c r="L1595" s="38"/>
      <c r="M1595" s="56"/>
      <c r="N1595" s="56" t="b">
        <v>0</v>
      </c>
      <c r="O1595" s="56" t="b">
        <v>0</v>
      </c>
      <c r="P1595" s="56"/>
      <c r="Q1595" s="56"/>
      <c r="R1595" s="56"/>
      <c r="S1595" s="56"/>
      <c r="T1595" s="56"/>
      <c r="U1595" s="56"/>
      <c r="V1595" s="56"/>
      <c r="W1595" s="56"/>
      <c r="X1595" s="56"/>
      <c r="Y1595" s="56"/>
      <c r="Z1595" s="56"/>
      <c r="AA1595" s="56"/>
      <c r="AB1595" s="56"/>
    </row>
    <row r="1596" ht="15.75" customHeight="1">
      <c r="A1596" s="169"/>
      <c r="B1596" s="69"/>
      <c r="C1596" s="38"/>
      <c r="D1596" s="38"/>
      <c r="E1596" s="38"/>
      <c r="F1596" s="65"/>
      <c r="G1596" s="66"/>
      <c r="H1596" s="38"/>
      <c r="I1596" s="38"/>
      <c r="J1596" s="38"/>
      <c r="K1596" s="38"/>
      <c r="L1596" s="38"/>
      <c r="M1596" s="56"/>
      <c r="N1596" s="56" t="b">
        <v>0</v>
      </c>
      <c r="O1596" s="56" t="b">
        <v>0</v>
      </c>
      <c r="P1596" s="56"/>
      <c r="Q1596" s="56"/>
      <c r="R1596" s="56"/>
      <c r="S1596" s="56"/>
      <c r="T1596" s="56"/>
      <c r="U1596" s="56"/>
      <c r="V1596" s="56"/>
      <c r="W1596" s="56"/>
      <c r="X1596" s="56"/>
      <c r="Y1596" s="56"/>
      <c r="Z1596" s="56"/>
      <c r="AA1596" s="56"/>
      <c r="AB1596" s="56"/>
    </row>
    <row r="1597" ht="15.75" customHeight="1">
      <c r="A1597" s="169"/>
      <c r="B1597" s="298"/>
      <c r="C1597" s="220">
        <v>44529.0</v>
      </c>
      <c r="D1597" s="38"/>
      <c r="E1597" s="38"/>
      <c r="F1597" s="65"/>
      <c r="G1597" s="66"/>
      <c r="H1597" s="38"/>
      <c r="I1597" s="38"/>
      <c r="J1597" s="38"/>
      <c r="K1597" s="38"/>
      <c r="L1597" s="38"/>
      <c r="M1597" s="56"/>
      <c r="N1597" s="56" t="b">
        <v>0</v>
      </c>
      <c r="O1597" s="56" t="b">
        <v>0</v>
      </c>
      <c r="P1597" s="56"/>
      <c r="Q1597" s="56"/>
      <c r="R1597" s="56"/>
      <c r="S1597" s="56"/>
      <c r="T1597" s="56"/>
      <c r="U1597" s="56"/>
      <c r="V1597" s="56"/>
      <c r="W1597" s="56"/>
      <c r="X1597" s="56"/>
      <c r="Y1597" s="56"/>
      <c r="Z1597" s="56"/>
      <c r="AA1597" s="56"/>
      <c r="AB1597" s="56"/>
    </row>
    <row r="1598" ht="15.75" customHeight="1">
      <c r="A1598" s="169"/>
      <c r="B1598" s="219" t="s">
        <v>4836</v>
      </c>
      <c r="C1598" s="31"/>
      <c r="D1598" s="38"/>
      <c r="E1598" s="38"/>
      <c r="F1598" s="65"/>
      <c r="G1598" s="66"/>
      <c r="H1598" s="38"/>
      <c r="I1598" s="38"/>
      <c r="J1598" s="38"/>
      <c r="K1598" s="38"/>
      <c r="L1598" s="38"/>
      <c r="M1598" s="56"/>
      <c r="N1598" s="56" t="b">
        <v>0</v>
      </c>
      <c r="O1598" s="56" t="b">
        <v>0</v>
      </c>
      <c r="P1598" s="56"/>
      <c r="Q1598" s="56"/>
      <c r="R1598" s="56"/>
      <c r="S1598" s="56"/>
      <c r="T1598" s="56"/>
      <c r="U1598" s="56"/>
      <c r="V1598" s="56"/>
      <c r="W1598" s="56"/>
      <c r="X1598" s="56"/>
      <c r="Y1598" s="56"/>
      <c r="Z1598" s="56"/>
      <c r="AA1598" s="56"/>
      <c r="AB1598" s="56"/>
    </row>
    <row r="1599" ht="15.75" customHeight="1">
      <c r="A1599" s="169"/>
      <c r="B1599" s="63"/>
      <c r="C1599" s="31" t="s">
        <v>53</v>
      </c>
      <c r="D1599" s="173" t="s">
        <v>133</v>
      </c>
      <c r="E1599" s="217" t="s">
        <v>3351</v>
      </c>
      <c r="F1599" s="217" t="s">
        <v>3352</v>
      </c>
      <c r="G1599" s="218" t="s">
        <v>4960</v>
      </c>
      <c r="H1599" s="173" t="s">
        <v>6534</v>
      </c>
      <c r="I1599" s="173" t="s">
        <v>6535</v>
      </c>
      <c r="J1599" s="173" t="s">
        <v>6536</v>
      </c>
      <c r="K1599" s="228" t="s">
        <v>6537</v>
      </c>
      <c r="L1599" s="38"/>
      <c r="M1599" s="56"/>
      <c r="N1599" s="56" t="b">
        <v>0</v>
      </c>
      <c r="O1599" s="56" t="b">
        <v>0</v>
      </c>
      <c r="P1599" s="56"/>
      <c r="Q1599" s="56"/>
      <c r="R1599" s="56"/>
      <c r="S1599" s="56"/>
      <c r="T1599" s="56"/>
      <c r="U1599" s="56"/>
      <c r="V1599" s="56"/>
      <c r="W1599" s="56"/>
      <c r="X1599" s="56"/>
      <c r="Y1599" s="56"/>
      <c r="Z1599" s="56"/>
      <c r="AA1599" s="56"/>
      <c r="AB1599" s="56"/>
    </row>
    <row r="1600" ht="15.75" customHeight="1">
      <c r="A1600" s="169"/>
      <c r="B1600" s="63"/>
      <c r="C1600" s="31" t="s">
        <v>53</v>
      </c>
      <c r="D1600" s="76" t="s">
        <v>133</v>
      </c>
      <c r="E1600" s="77" t="s">
        <v>2821</v>
      </c>
      <c r="F1600" s="77" t="s">
        <v>2822</v>
      </c>
      <c r="G1600" s="82" t="s">
        <v>4892</v>
      </c>
      <c r="H1600" s="76" t="s">
        <v>6534</v>
      </c>
      <c r="I1600" s="76" t="s">
        <v>6538</v>
      </c>
      <c r="J1600" s="76" t="s">
        <v>2824</v>
      </c>
      <c r="K1600" s="39" t="s">
        <v>6539</v>
      </c>
      <c r="L1600" s="38"/>
      <c r="M1600" s="56"/>
      <c r="N1600" s="56" t="b">
        <v>0</v>
      </c>
      <c r="O1600" s="56" t="b">
        <v>0</v>
      </c>
      <c r="P1600" s="56"/>
      <c r="Q1600" s="56"/>
      <c r="R1600" s="56"/>
      <c r="S1600" s="56"/>
      <c r="T1600" s="56"/>
      <c r="U1600" s="56"/>
      <c r="V1600" s="56"/>
      <c r="W1600" s="56"/>
      <c r="X1600" s="56"/>
      <c r="Y1600" s="56"/>
      <c r="Z1600" s="56"/>
      <c r="AA1600" s="56"/>
      <c r="AB1600" s="56"/>
    </row>
    <row r="1601" ht="15.75" customHeight="1">
      <c r="A1601" s="169"/>
      <c r="B1601" s="63"/>
      <c r="C1601" s="31" t="s">
        <v>53</v>
      </c>
      <c r="D1601" s="76" t="s">
        <v>133</v>
      </c>
      <c r="E1601" s="77" t="s">
        <v>2607</v>
      </c>
      <c r="F1601" s="77" t="s">
        <v>2608</v>
      </c>
      <c r="G1601" s="82" t="s">
        <v>5036</v>
      </c>
      <c r="H1601" s="76" t="s">
        <v>6540</v>
      </c>
      <c r="I1601" s="76" t="s">
        <v>6541</v>
      </c>
      <c r="J1601" s="76" t="s">
        <v>2610</v>
      </c>
      <c r="K1601" s="39" t="s">
        <v>6542</v>
      </c>
      <c r="L1601" s="38"/>
      <c r="M1601" s="56"/>
      <c r="N1601" s="56" t="b">
        <v>0</v>
      </c>
      <c r="O1601" s="56" t="b">
        <v>0</v>
      </c>
      <c r="P1601" s="56"/>
      <c r="Q1601" s="56"/>
      <c r="R1601" s="56"/>
      <c r="S1601" s="56"/>
      <c r="T1601" s="56"/>
      <c r="U1601" s="56"/>
      <c r="V1601" s="56"/>
      <c r="W1601" s="56"/>
      <c r="X1601" s="56"/>
      <c r="Y1601" s="56"/>
      <c r="Z1601" s="56"/>
      <c r="AA1601" s="56"/>
      <c r="AB1601" s="56"/>
    </row>
    <row r="1602" ht="15.75" customHeight="1">
      <c r="A1602" s="169"/>
      <c r="B1602" s="63"/>
      <c r="C1602" s="31" t="s">
        <v>53</v>
      </c>
      <c r="D1602" s="76" t="s">
        <v>133</v>
      </c>
      <c r="E1602" s="203" t="s">
        <v>938</v>
      </c>
      <c r="F1602" s="203" t="s">
        <v>939</v>
      </c>
      <c r="G1602" s="82" t="s">
        <v>4847</v>
      </c>
      <c r="H1602" s="76" t="s">
        <v>6543</v>
      </c>
      <c r="I1602" s="76" t="s">
        <v>6544</v>
      </c>
      <c r="J1602" s="203" t="s">
        <v>941</v>
      </c>
      <c r="K1602" s="38" t="s">
        <v>6545</v>
      </c>
      <c r="L1602" s="38"/>
      <c r="M1602" s="56"/>
      <c r="N1602" s="56" t="b">
        <v>0</v>
      </c>
      <c r="O1602" s="56" t="b">
        <v>0</v>
      </c>
      <c r="P1602" s="56"/>
      <c r="Q1602" s="56"/>
      <c r="R1602" s="56"/>
      <c r="S1602" s="56"/>
      <c r="T1602" s="56"/>
      <c r="U1602" s="56"/>
      <c r="V1602" s="56"/>
      <c r="W1602" s="56"/>
      <c r="X1602" s="56"/>
      <c r="Y1602" s="56"/>
      <c r="Z1602" s="56"/>
      <c r="AA1602" s="56"/>
      <c r="AB1602" s="56"/>
    </row>
    <row r="1603" ht="15.75" customHeight="1">
      <c r="A1603" s="169"/>
      <c r="B1603" s="63"/>
      <c r="C1603" s="31" t="s">
        <v>53</v>
      </c>
      <c r="D1603" s="38"/>
      <c r="E1603" s="38"/>
      <c r="F1603" s="65"/>
      <c r="G1603" s="66"/>
      <c r="H1603" s="38"/>
      <c r="I1603" s="38"/>
      <c r="J1603" s="38"/>
      <c r="K1603" s="38"/>
      <c r="L1603" s="38"/>
      <c r="M1603" s="56"/>
      <c r="N1603" s="56" t="b">
        <v>0</v>
      </c>
      <c r="O1603" s="56" t="b">
        <v>0</v>
      </c>
      <c r="P1603" s="56"/>
      <c r="Q1603" s="56"/>
      <c r="R1603" s="56"/>
      <c r="S1603" s="56"/>
      <c r="T1603" s="56"/>
      <c r="U1603" s="56"/>
      <c r="V1603" s="56"/>
      <c r="W1603" s="56"/>
      <c r="X1603" s="56"/>
      <c r="Y1603" s="56"/>
      <c r="Z1603" s="56"/>
      <c r="AA1603" s="56"/>
      <c r="AB1603" s="56"/>
    </row>
    <row r="1604" ht="15.75" customHeight="1">
      <c r="A1604" s="169"/>
      <c r="B1604" s="69"/>
      <c r="C1604" s="31"/>
      <c r="D1604" s="38"/>
      <c r="E1604" s="129" t="s">
        <v>6546</v>
      </c>
      <c r="F1604" s="127"/>
      <c r="G1604" s="66"/>
      <c r="H1604" s="38"/>
      <c r="I1604" s="38"/>
      <c r="J1604" s="38"/>
      <c r="K1604" s="38"/>
      <c r="L1604" s="38"/>
      <c r="M1604" s="56"/>
      <c r="N1604" s="56" t="b">
        <v>0</v>
      </c>
      <c r="O1604" s="56" t="b">
        <v>0</v>
      </c>
      <c r="P1604" s="56"/>
      <c r="Q1604" s="56"/>
      <c r="R1604" s="56"/>
      <c r="S1604" s="56"/>
      <c r="T1604" s="56"/>
      <c r="U1604" s="56"/>
      <c r="V1604" s="56"/>
      <c r="W1604" s="56"/>
      <c r="X1604" s="56"/>
      <c r="Y1604" s="56"/>
      <c r="Z1604" s="56"/>
      <c r="AA1604" s="56"/>
      <c r="AB1604" s="56"/>
    </row>
    <row r="1605" ht="15.75" customHeight="1">
      <c r="A1605" s="169"/>
      <c r="B1605" s="219" t="s">
        <v>6168</v>
      </c>
      <c r="C1605" s="31"/>
      <c r="D1605" s="38"/>
      <c r="E1605" s="38"/>
      <c r="F1605" s="65"/>
      <c r="G1605" s="66"/>
      <c r="H1605" s="38"/>
      <c r="I1605" s="38"/>
      <c r="J1605" s="38"/>
      <c r="K1605" s="38"/>
      <c r="L1605" s="38"/>
      <c r="M1605" s="56"/>
      <c r="N1605" s="56" t="b">
        <v>0</v>
      </c>
      <c r="O1605" s="56" t="b">
        <v>0</v>
      </c>
      <c r="P1605" s="56"/>
      <c r="Q1605" s="56"/>
      <c r="R1605" s="56"/>
      <c r="S1605" s="56"/>
      <c r="T1605" s="56"/>
      <c r="U1605" s="56"/>
      <c r="V1605" s="56"/>
      <c r="W1605" s="56"/>
      <c r="X1605" s="56"/>
      <c r="Y1605" s="56"/>
      <c r="Z1605" s="56"/>
      <c r="AA1605" s="56"/>
      <c r="AB1605" s="56"/>
    </row>
    <row r="1606" ht="15.75" customHeight="1">
      <c r="A1606" s="169"/>
      <c r="B1606" s="63"/>
      <c r="C1606" s="31" t="s">
        <v>66</v>
      </c>
      <c r="D1606" s="227" t="s">
        <v>89</v>
      </c>
      <c r="E1606" s="242" t="s">
        <v>1920</v>
      </c>
      <c r="F1606" s="242" t="s">
        <v>1921</v>
      </c>
      <c r="G1606" s="73" t="s">
        <v>4851</v>
      </c>
      <c r="H1606" s="62" t="s">
        <v>6547</v>
      </c>
      <c r="I1606" s="62" t="s">
        <v>6548</v>
      </c>
      <c r="J1606" s="242" t="s">
        <v>1923</v>
      </c>
      <c r="K1606" s="38"/>
      <c r="L1606" s="38"/>
      <c r="M1606" s="56"/>
      <c r="N1606" s="56" t="b">
        <v>0</v>
      </c>
      <c r="O1606" s="56" t="b">
        <v>0</v>
      </c>
      <c r="P1606" s="56"/>
      <c r="Q1606" s="56"/>
      <c r="R1606" s="56"/>
      <c r="S1606" s="56"/>
      <c r="T1606" s="56"/>
      <c r="U1606" s="56"/>
      <c r="V1606" s="56"/>
      <c r="W1606" s="56"/>
      <c r="X1606" s="56"/>
      <c r="Y1606" s="56"/>
      <c r="Z1606" s="56"/>
      <c r="AA1606" s="56"/>
      <c r="AB1606" s="56"/>
    </row>
    <row r="1607" ht="15.75" customHeight="1">
      <c r="A1607" s="169"/>
      <c r="B1607" s="63"/>
      <c r="C1607" s="31" t="s">
        <v>66</v>
      </c>
      <c r="D1607" s="227" t="s">
        <v>89</v>
      </c>
      <c r="E1607" s="60" t="s">
        <v>206</v>
      </c>
      <c r="F1607" s="60" t="s">
        <v>207</v>
      </c>
      <c r="G1607" s="73" t="s">
        <v>5134</v>
      </c>
      <c r="H1607" s="62" t="s">
        <v>6547</v>
      </c>
      <c r="I1607" s="62" t="s">
        <v>6549</v>
      </c>
      <c r="J1607" s="242" t="s">
        <v>210</v>
      </c>
      <c r="K1607" s="38"/>
      <c r="L1607" s="38"/>
      <c r="M1607" s="56"/>
      <c r="N1607" s="56" t="b">
        <v>0</v>
      </c>
      <c r="O1607" s="56" t="b">
        <v>0</v>
      </c>
      <c r="P1607" s="56"/>
      <c r="Q1607" s="56"/>
      <c r="R1607" s="56"/>
      <c r="S1607" s="56"/>
      <c r="T1607" s="56"/>
      <c r="U1607" s="56"/>
      <c r="V1607" s="56"/>
      <c r="W1607" s="56"/>
      <c r="X1607" s="56"/>
      <c r="Y1607" s="56"/>
      <c r="Z1607" s="56"/>
      <c r="AA1607" s="56"/>
      <c r="AB1607" s="56"/>
    </row>
    <row r="1608" ht="15.75" customHeight="1">
      <c r="A1608" s="169"/>
      <c r="B1608" s="63"/>
      <c r="C1608" s="31" t="s">
        <v>66</v>
      </c>
      <c r="D1608" s="172" t="s">
        <v>89</v>
      </c>
      <c r="E1608" s="203" t="s">
        <v>1102</v>
      </c>
      <c r="F1608" s="203" t="s">
        <v>1103</v>
      </c>
      <c r="G1608" s="82" t="s">
        <v>4960</v>
      </c>
      <c r="H1608" s="76" t="s">
        <v>6550</v>
      </c>
      <c r="I1608" s="76" t="s">
        <v>6551</v>
      </c>
      <c r="J1608" s="203" t="s">
        <v>1106</v>
      </c>
      <c r="K1608" s="38" t="s">
        <v>6552</v>
      </c>
      <c r="L1608" s="38"/>
      <c r="M1608" s="56"/>
      <c r="N1608" s="56" t="b">
        <v>0</v>
      </c>
      <c r="O1608" s="56" t="b">
        <v>0</v>
      </c>
      <c r="P1608" s="56"/>
      <c r="Q1608" s="56"/>
      <c r="R1608" s="56"/>
      <c r="S1608" s="56"/>
      <c r="T1608" s="56"/>
      <c r="U1608" s="56"/>
      <c r="V1608" s="56"/>
      <c r="W1608" s="56"/>
      <c r="X1608" s="56"/>
      <c r="Y1608" s="56"/>
      <c r="Z1608" s="56"/>
      <c r="AA1608" s="56"/>
      <c r="AB1608" s="56"/>
    </row>
    <row r="1609" ht="15.75" customHeight="1">
      <c r="A1609" s="169"/>
      <c r="B1609" s="63"/>
      <c r="C1609" s="31" t="s">
        <v>66</v>
      </c>
      <c r="D1609" s="227" t="s">
        <v>89</v>
      </c>
      <c r="E1609" s="60" t="s">
        <v>3729</v>
      </c>
      <c r="F1609" s="60" t="s">
        <v>3730</v>
      </c>
      <c r="G1609" s="73" t="s">
        <v>4892</v>
      </c>
      <c r="H1609" s="62" t="s">
        <v>6547</v>
      </c>
      <c r="I1609" s="62" t="s">
        <v>6553</v>
      </c>
      <c r="J1609" s="242" t="s">
        <v>3732</v>
      </c>
      <c r="K1609" s="38"/>
      <c r="L1609" s="38"/>
      <c r="M1609" s="56"/>
      <c r="N1609" s="56" t="b">
        <v>0</v>
      </c>
      <c r="O1609" s="56" t="b">
        <v>0</v>
      </c>
      <c r="P1609" s="56"/>
      <c r="Q1609" s="56"/>
      <c r="R1609" s="56"/>
      <c r="S1609" s="56"/>
      <c r="T1609" s="56"/>
      <c r="U1609" s="56"/>
      <c r="V1609" s="56"/>
      <c r="W1609" s="56"/>
      <c r="X1609" s="56"/>
      <c r="Y1609" s="56"/>
      <c r="Z1609" s="56"/>
      <c r="AA1609" s="56"/>
      <c r="AB1609" s="56"/>
    </row>
    <row r="1610" ht="15.75" customHeight="1">
      <c r="A1610" s="169"/>
      <c r="B1610" s="63"/>
      <c r="C1610" s="31" t="s">
        <v>66</v>
      </c>
      <c r="D1610" s="23"/>
      <c r="E1610" s="67"/>
      <c r="F1610" s="67"/>
      <c r="G1610" s="66"/>
      <c r="H1610" s="38"/>
      <c r="I1610" s="38"/>
      <c r="J1610" s="10"/>
      <c r="K1610" s="38"/>
      <c r="L1610" s="38"/>
      <c r="M1610" s="56"/>
      <c r="N1610" s="56" t="b">
        <v>0</v>
      </c>
      <c r="O1610" s="56" t="b">
        <v>0</v>
      </c>
      <c r="P1610" s="56"/>
      <c r="Q1610" s="56"/>
      <c r="R1610" s="56"/>
      <c r="S1610" s="56"/>
      <c r="T1610" s="56"/>
      <c r="U1610" s="56"/>
      <c r="V1610" s="56"/>
      <c r="W1610" s="56"/>
      <c r="X1610" s="56"/>
      <c r="Y1610" s="56"/>
      <c r="Z1610" s="56"/>
      <c r="AA1610" s="56"/>
      <c r="AB1610" s="56"/>
    </row>
    <row r="1611" ht="15.75" customHeight="1">
      <c r="A1611" s="169"/>
      <c r="B1611" s="63"/>
      <c r="C1611" s="31" t="s">
        <v>66</v>
      </c>
      <c r="D1611" s="38"/>
      <c r="E1611" s="38"/>
      <c r="F1611" s="65"/>
      <c r="G1611" s="66"/>
      <c r="H1611" s="38"/>
      <c r="I1611" s="38"/>
      <c r="J1611" s="38"/>
      <c r="K1611" s="38"/>
      <c r="L1611" s="38"/>
      <c r="M1611" s="56"/>
      <c r="N1611" s="56" t="b">
        <v>0</v>
      </c>
      <c r="O1611" s="56" t="b">
        <v>0</v>
      </c>
      <c r="P1611" s="56"/>
      <c r="Q1611" s="56"/>
      <c r="R1611" s="56"/>
      <c r="S1611" s="56"/>
      <c r="T1611" s="56"/>
      <c r="U1611" s="56"/>
      <c r="V1611" s="56"/>
      <c r="W1611" s="56"/>
      <c r="X1611" s="56"/>
      <c r="Y1611" s="56"/>
      <c r="Z1611" s="56"/>
      <c r="AA1611" s="56"/>
      <c r="AB1611" s="56"/>
    </row>
    <row r="1612" ht="15.75" customHeight="1">
      <c r="A1612" s="169"/>
      <c r="B1612" s="69"/>
      <c r="C1612" s="31"/>
      <c r="D1612" s="38"/>
      <c r="E1612" s="38"/>
      <c r="F1612" s="65"/>
      <c r="G1612" s="66"/>
      <c r="H1612" s="38"/>
      <c r="I1612" s="38"/>
      <c r="J1612" s="38"/>
      <c r="K1612" s="38"/>
      <c r="L1612" s="38"/>
      <c r="M1612" s="56"/>
      <c r="N1612" s="56" t="b">
        <v>0</v>
      </c>
      <c r="O1612" s="56" t="b">
        <v>0</v>
      </c>
      <c r="P1612" s="56"/>
      <c r="Q1612" s="56"/>
      <c r="R1612" s="56"/>
      <c r="S1612" s="56"/>
      <c r="T1612" s="56"/>
      <c r="U1612" s="56"/>
      <c r="V1612" s="56"/>
      <c r="W1612" s="56"/>
      <c r="X1612" s="56"/>
      <c r="Y1612" s="56"/>
      <c r="Z1612" s="56"/>
      <c r="AA1612" s="56"/>
      <c r="AB1612" s="56"/>
    </row>
    <row r="1613" ht="15.75" customHeight="1">
      <c r="A1613" s="169"/>
      <c r="B1613" s="299"/>
      <c r="C1613" s="300">
        <v>44530.0</v>
      </c>
      <c r="D1613" s="38"/>
      <c r="E1613" s="38"/>
      <c r="F1613" s="65"/>
      <c r="G1613" s="66"/>
      <c r="H1613" s="38"/>
      <c r="I1613" s="38"/>
      <c r="J1613" s="38"/>
      <c r="K1613" s="38"/>
      <c r="L1613" s="38"/>
      <c r="M1613" s="56"/>
      <c r="N1613" s="56" t="b">
        <v>0</v>
      </c>
      <c r="O1613" s="56" t="b">
        <v>0</v>
      </c>
      <c r="P1613" s="56"/>
      <c r="Q1613" s="56"/>
      <c r="R1613" s="56"/>
      <c r="S1613" s="56"/>
      <c r="T1613" s="56"/>
      <c r="U1613" s="56"/>
      <c r="V1613" s="56"/>
      <c r="W1613" s="56"/>
      <c r="X1613" s="56"/>
      <c r="Y1613" s="56"/>
      <c r="Z1613" s="56"/>
      <c r="AA1613" s="56"/>
      <c r="AB1613" s="56"/>
    </row>
    <row r="1614" ht="15.75" customHeight="1">
      <c r="A1614" s="169"/>
      <c r="B1614" s="219" t="s">
        <v>4836</v>
      </c>
      <c r="C1614" s="31"/>
      <c r="D1614" s="38"/>
      <c r="E1614" s="38"/>
      <c r="F1614" s="65"/>
      <c r="G1614" s="66"/>
      <c r="H1614" s="38"/>
      <c r="I1614" s="38"/>
      <c r="J1614" s="38"/>
      <c r="K1614" s="38"/>
      <c r="L1614" s="38"/>
      <c r="M1614" s="56"/>
      <c r="N1614" s="56" t="b">
        <v>0</v>
      </c>
      <c r="O1614" s="56" t="b">
        <v>0</v>
      </c>
      <c r="P1614" s="56"/>
      <c r="Q1614" s="56"/>
      <c r="R1614" s="56"/>
      <c r="S1614" s="56"/>
      <c r="T1614" s="56"/>
      <c r="U1614" s="56"/>
      <c r="V1614" s="56"/>
      <c r="W1614" s="56"/>
      <c r="X1614" s="56"/>
      <c r="Y1614" s="56"/>
      <c r="Z1614" s="56"/>
      <c r="AA1614" s="56"/>
      <c r="AB1614" s="56"/>
    </row>
    <row r="1615" ht="15.75" customHeight="1">
      <c r="A1615" s="169"/>
      <c r="B1615" s="63"/>
      <c r="C1615" s="31" t="s">
        <v>53</v>
      </c>
      <c r="D1615" s="172" t="s">
        <v>103</v>
      </c>
      <c r="E1615" s="77" t="s">
        <v>3872</v>
      </c>
      <c r="F1615" s="77" t="s">
        <v>3873</v>
      </c>
      <c r="G1615" s="82" t="s">
        <v>6554</v>
      </c>
      <c r="H1615" s="76" t="s">
        <v>6555</v>
      </c>
      <c r="I1615" s="76" t="s">
        <v>5808</v>
      </c>
      <c r="J1615" s="77" t="s">
        <v>3875</v>
      </c>
      <c r="K1615" s="137" t="s">
        <v>6556</v>
      </c>
      <c r="L1615" s="38"/>
      <c r="M1615" s="56"/>
      <c r="N1615" s="56" t="b">
        <v>0</v>
      </c>
      <c r="O1615" s="56" t="b">
        <v>0</v>
      </c>
      <c r="P1615" s="56"/>
      <c r="Q1615" s="56"/>
      <c r="R1615" s="56"/>
      <c r="S1615" s="56"/>
      <c r="T1615" s="56"/>
      <c r="U1615" s="56"/>
      <c r="V1615" s="56"/>
      <c r="W1615" s="56"/>
      <c r="X1615" s="56"/>
      <c r="Y1615" s="56"/>
      <c r="Z1615" s="56"/>
      <c r="AA1615" s="56"/>
      <c r="AB1615" s="56"/>
    </row>
    <row r="1616" ht="15.75" customHeight="1">
      <c r="A1616" s="169"/>
      <c r="B1616" s="63"/>
      <c r="C1616" s="31" t="s">
        <v>53</v>
      </c>
      <c r="D1616" s="173" t="s">
        <v>52</v>
      </c>
      <c r="E1616" s="217" t="s">
        <v>5150</v>
      </c>
      <c r="F1616" s="217" t="s">
        <v>5151</v>
      </c>
      <c r="G1616" s="218" t="s">
        <v>5713</v>
      </c>
      <c r="H1616" s="173" t="s">
        <v>4884</v>
      </c>
      <c r="I1616" s="173" t="s">
        <v>6557</v>
      </c>
      <c r="J1616" s="217" t="s">
        <v>5153</v>
      </c>
      <c r="K1616" s="38" t="s">
        <v>6558</v>
      </c>
      <c r="L1616" s="38"/>
      <c r="M1616" s="56"/>
      <c r="N1616" s="56" t="b">
        <v>0</v>
      </c>
      <c r="O1616" s="56" t="b">
        <v>0</v>
      </c>
      <c r="P1616" s="56"/>
      <c r="Q1616" s="56"/>
      <c r="R1616" s="56"/>
      <c r="S1616" s="56"/>
      <c r="T1616" s="56"/>
      <c r="U1616" s="56"/>
      <c r="V1616" s="56"/>
      <c r="W1616" s="56"/>
      <c r="X1616" s="56"/>
      <c r="Y1616" s="56"/>
      <c r="Z1616" s="56"/>
      <c r="AA1616" s="56"/>
      <c r="AB1616" s="56"/>
    </row>
    <row r="1617" ht="15.75" customHeight="1">
      <c r="A1617" s="169"/>
      <c r="B1617" s="63"/>
      <c r="C1617" s="31" t="s">
        <v>53</v>
      </c>
      <c r="D1617" s="173" t="s">
        <v>103</v>
      </c>
      <c r="E1617" s="217" t="s">
        <v>506</v>
      </c>
      <c r="F1617" s="217" t="s">
        <v>507</v>
      </c>
      <c r="G1617" s="218" t="s">
        <v>4856</v>
      </c>
      <c r="H1617" s="173" t="s">
        <v>6559</v>
      </c>
      <c r="I1617" s="301" t="s">
        <v>6560</v>
      </c>
      <c r="J1617" s="217" t="s">
        <v>510</v>
      </c>
      <c r="K1617" s="38" t="s">
        <v>6561</v>
      </c>
      <c r="M1617" s="56"/>
      <c r="N1617" s="56" t="b">
        <v>0</v>
      </c>
      <c r="O1617" s="56" t="b">
        <v>0</v>
      </c>
      <c r="P1617" s="56"/>
      <c r="Q1617" s="56"/>
      <c r="R1617" s="56"/>
      <c r="S1617" s="56"/>
      <c r="T1617" s="56"/>
      <c r="U1617" s="56"/>
      <c r="V1617" s="56"/>
      <c r="W1617" s="56"/>
      <c r="X1617" s="56"/>
      <c r="Y1617" s="56"/>
      <c r="Z1617" s="56"/>
      <c r="AA1617" s="56"/>
      <c r="AB1617" s="56"/>
    </row>
    <row r="1618" ht="15.75" customHeight="1">
      <c r="A1618" s="169"/>
      <c r="B1618" s="63"/>
      <c r="C1618" s="31" t="s">
        <v>53</v>
      </c>
      <c r="D1618" s="76" t="s">
        <v>267</v>
      </c>
      <c r="E1618" s="77" t="s">
        <v>2860</v>
      </c>
      <c r="F1618" s="77" t="s">
        <v>2861</v>
      </c>
      <c r="G1618" s="82" t="s">
        <v>4892</v>
      </c>
      <c r="H1618" s="76" t="s">
        <v>6562</v>
      </c>
      <c r="I1618" s="76" t="s">
        <v>6563</v>
      </c>
      <c r="J1618" s="76" t="s">
        <v>2863</v>
      </c>
      <c r="K1618" s="38" t="s">
        <v>6564</v>
      </c>
      <c r="L1618" s="38"/>
      <c r="M1618" s="56"/>
      <c r="N1618" s="56" t="b">
        <v>0</v>
      </c>
      <c r="O1618" s="56" t="b">
        <v>0</v>
      </c>
      <c r="P1618" s="56"/>
      <c r="Q1618" s="56"/>
      <c r="R1618" s="56"/>
      <c r="S1618" s="56"/>
      <c r="T1618" s="56"/>
      <c r="U1618" s="56"/>
      <c r="V1618" s="56"/>
      <c r="W1618" s="56"/>
      <c r="X1618" s="56"/>
      <c r="Y1618" s="56"/>
      <c r="Z1618" s="56"/>
      <c r="AA1618" s="56"/>
      <c r="AB1618" s="56"/>
    </row>
    <row r="1619" ht="15.75" customHeight="1">
      <c r="A1619" s="169"/>
      <c r="B1619" s="63"/>
      <c r="C1619" s="31" t="s">
        <v>53</v>
      </c>
      <c r="D1619" s="172" t="s">
        <v>103</v>
      </c>
      <c r="E1619" s="77" t="s">
        <v>4657</v>
      </c>
      <c r="F1619" s="77" t="s">
        <v>4658</v>
      </c>
      <c r="G1619" s="82" t="s">
        <v>4899</v>
      </c>
      <c r="H1619" s="76" t="s">
        <v>6565</v>
      </c>
      <c r="I1619" s="77" t="s">
        <v>6566</v>
      </c>
      <c r="J1619" s="77" t="s">
        <v>4660</v>
      </c>
      <c r="K1619" s="38" t="s">
        <v>6567</v>
      </c>
      <c r="L1619" s="38"/>
      <c r="M1619" s="56"/>
      <c r="N1619" s="56" t="b">
        <v>0</v>
      </c>
      <c r="O1619" s="56" t="b">
        <v>0</v>
      </c>
      <c r="P1619" s="56"/>
      <c r="Q1619" s="56"/>
      <c r="R1619" s="56"/>
      <c r="S1619" s="56"/>
      <c r="T1619" s="56"/>
      <c r="U1619" s="56"/>
      <c r="V1619" s="56"/>
      <c r="W1619" s="56"/>
      <c r="X1619" s="56"/>
      <c r="Y1619" s="56"/>
      <c r="Z1619" s="56"/>
      <c r="AA1619" s="56"/>
      <c r="AB1619" s="56"/>
    </row>
    <row r="1620" ht="15.75" customHeight="1">
      <c r="A1620" s="169"/>
      <c r="B1620" s="69"/>
      <c r="C1620" s="31"/>
      <c r="D1620" s="38"/>
      <c r="E1620" s="38"/>
      <c r="F1620" s="65"/>
      <c r="G1620" s="66"/>
      <c r="H1620" s="38"/>
      <c r="I1620" s="38"/>
      <c r="J1620" s="38"/>
      <c r="K1620" s="38"/>
      <c r="L1620" s="38"/>
      <c r="M1620" s="56"/>
      <c r="N1620" s="56" t="b">
        <v>0</v>
      </c>
      <c r="O1620" s="56" t="b">
        <v>0</v>
      </c>
      <c r="P1620" s="56"/>
      <c r="Q1620" s="56"/>
      <c r="R1620" s="56"/>
      <c r="S1620" s="56"/>
      <c r="T1620" s="56"/>
      <c r="U1620" s="56"/>
      <c r="V1620" s="56"/>
      <c r="W1620" s="56"/>
      <c r="X1620" s="56"/>
      <c r="Y1620" s="56"/>
      <c r="Z1620" s="56"/>
      <c r="AA1620" s="56"/>
      <c r="AB1620" s="56"/>
    </row>
    <row r="1621" ht="15.75" customHeight="1">
      <c r="A1621" s="169"/>
      <c r="B1621" s="273" t="s">
        <v>6168</v>
      </c>
      <c r="C1621" s="22" t="s">
        <v>66</v>
      </c>
      <c r="D1621" s="38"/>
      <c r="E1621" s="38"/>
      <c r="F1621" s="65"/>
      <c r="G1621" s="66"/>
      <c r="H1621" s="38"/>
      <c r="I1621" s="38"/>
      <c r="J1621" s="38"/>
      <c r="K1621" s="38"/>
      <c r="L1621" s="38"/>
      <c r="M1621" s="56"/>
      <c r="N1621" s="56" t="b">
        <v>0</v>
      </c>
      <c r="O1621" s="56" t="b">
        <v>0</v>
      </c>
      <c r="P1621" s="56"/>
      <c r="Q1621" s="56"/>
      <c r="R1621" s="56"/>
      <c r="S1621" s="56"/>
      <c r="T1621" s="56"/>
      <c r="U1621" s="56"/>
      <c r="V1621" s="56"/>
      <c r="W1621" s="56"/>
      <c r="X1621" s="56"/>
      <c r="Y1621" s="56"/>
      <c r="Z1621" s="56"/>
      <c r="AA1621" s="56"/>
      <c r="AB1621" s="56"/>
    </row>
    <row r="1622" ht="15.75" customHeight="1">
      <c r="A1622" s="169"/>
      <c r="B1622" s="63"/>
      <c r="C1622" s="22" t="s">
        <v>66</v>
      </c>
      <c r="D1622" s="38"/>
      <c r="E1622" s="38"/>
      <c r="F1622" s="65"/>
      <c r="G1622" s="66"/>
      <c r="H1622" s="38"/>
      <c r="I1622" s="38"/>
      <c r="J1622" s="38"/>
      <c r="K1622" s="38"/>
      <c r="L1622" s="38"/>
      <c r="M1622" s="56"/>
      <c r="N1622" s="56" t="b">
        <v>0</v>
      </c>
      <c r="O1622" s="56" t="b">
        <v>0</v>
      </c>
      <c r="P1622" s="56"/>
      <c r="Q1622" s="56"/>
      <c r="R1622" s="56"/>
      <c r="S1622" s="56"/>
      <c r="T1622" s="56"/>
      <c r="U1622" s="56"/>
      <c r="V1622" s="56"/>
      <c r="W1622" s="56"/>
      <c r="X1622" s="56"/>
      <c r="Y1622" s="56"/>
      <c r="Z1622" s="56"/>
      <c r="AA1622" s="56"/>
      <c r="AB1622" s="56"/>
    </row>
    <row r="1623" ht="15.75" customHeight="1">
      <c r="A1623" s="169"/>
      <c r="B1623" s="63"/>
      <c r="C1623" s="22" t="s">
        <v>66</v>
      </c>
      <c r="D1623" s="227" t="s">
        <v>89</v>
      </c>
      <c r="E1623" s="242" t="s">
        <v>1102</v>
      </c>
      <c r="F1623" s="242" t="s">
        <v>1103</v>
      </c>
      <c r="G1623" s="73" t="s">
        <v>4960</v>
      </c>
      <c r="H1623" s="62" t="s">
        <v>6550</v>
      </c>
      <c r="I1623" s="62" t="s">
        <v>6551</v>
      </c>
      <c r="J1623" s="242" t="s">
        <v>1106</v>
      </c>
      <c r="K1623" s="38"/>
      <c r="L1623" s="38"/>
      <c r="M1623" s="56"/>
      <c r="N1623" s="56" t="b">
        <v>0</v>
      </c>
      <c r="O1623" s="56" t="b">
        <v>0</v>
      </c>
      <c r="P1623" s="56"/>
      <c r="Q1623" s="56"/>
      <c r="R1623" s="56"/>
      <c r="S1623" s="56"/>
      <c r="T1623" s="56"/>
      <c r="U1623" s="56"/>
      <c r="V1623" s="56"/>
      <c r="W1623" s="56"/>
      <c r="X1623" s="56"/>
      <c r="Y1623" s="56"/>
      <c r="Z1623" s="56"/>
      <c r="AA1623" s="56"/>
      <c r="AB1623" s="56"/>
    </row>
    <row r="1624" ht="15.75" customHeight="1">
      <c r="A1624" s="169"/>
      <c r="B1624" s="63"/>
      <c r="C1624" s="22" t="s">
        <v>66</v>
      </c>
      <c r="D1624" s="62" t="s">
        <v>108</v>
      </c>
      <c r="E1624" s="242" t="s">
        <v>4293</v>
      </c>
      <c r="F1624" s="242" t="s">
        <v>4294</v>
      </c>
      <c r="G1624" s="73" t="s">
        <v>4892</v>
      </c>
      <c r="H1624" s="62" t="s">
        <v>5182</v>
      </c>
      <c r="I1624" s="62" t="s">
        <v>6568</v>
      </c>
      <c r="J1624" s="242" t="s">
        <v>4296</v>
      </c>
      <c r="K1624" s="38"/>
      <c r="L1624" s="38"/>
      <c r="M1624" s="56"/>
      <c r="N1624" s="56" t="b">
        <v>0</v>
      </c>
      <c r="O1624" s="56" t="b">
        <v>0</v>
      </c>
      <c r="P1624" s="56"/>
      <c r="Q1624" s="56"/>
      <c r="R1624" s="56"/>
      <c r="S1624" s="56"/>
      <c r="T1624" s="56"/>
      <c r="U1624" s="56"/>
      <c r="V1624" s="56"/>
      <c r="W1624" s="56"/>
      <c r="X1624" s="56"/>
      <c r="Y1624" s="56"/>
      <c r="Z1624" s="56"/>
      <c r="AA1624" s="56"/>
      <c r="AB1624" s="56"/>
    </row>
    <row r="1625" ht="15.75" customHeight="1">
      <c r="A1625" s="169"/>
      <c r="B1625" s="63"/>
      <c r="C1625" s="22" t="s">
        <v>66</v>
      </c>
      <c r="D1625" s="62" t="s">
        <v>108</v>
      </c>
      <c r="E1625" s="242" t="s">
        <v>2089</v>
      </c>
      <c r="F1625" s="242" t="s">
        <v>2090</v>
      </c>
      <c r="G1625" s="73" t="s">
        <v>4899</v>
      </c>
      <c r="H1625" s="62" t="s">
        <v>5574</v>
      </c>
      <c r="I1625" s="27" t="s">
        <v>6569</v>
      </c>
      <c r="J1625" s="242" t="s">
        <v>2092</v>
      </c>
      <c r="K1625" s="38"/>
      <c r="L1625" s="38"/>
      <c r="M1625" s="56"/>
      <c r="N1625" s="56" t="b">
        <v>0</v>
      </c>
      <c r="O1625" s="56" t="b">
        <v>0</v>
      </c>
      <c r="P1625" s="56"/>
      <c r="Q1625" s="56"/>
      <c r="R1625" s="56"/>
      <c r="S1625" s="56"/>
      <c r="T1625" s="56"/>
      <c r="U1625" s="56"/>
      <c r="V1625" s="56"/>
      <c r="W1625" s="56"/>
      <c r="X1625" s="56"/>
      <c r="Y1625" s="56"/>
      <c r="Z1625" s="56"/>
      <c r="AA1625" s="56"/>
      <c r="AB1625" s="56"/>
    </row>
    <row r="1626" ht="15.75" customHeight="1">
      <c r="A1626" s="169"/>
      <c r="B1626" s="69"/>
      <c r="C1626" s="22"/>
      <c r="D1626" s="62" t="s">
        <v>108</v>
      </c>
      <c r="E1626" s="242" t="s">
        <v>1746</v>
      </c>
      <c r="F1626" s="242" t="s">
        <v>1747</v>
      </c>
      <c r="G1626" s="73" t="s">
        <v>4997</v>
      </c>
      <c r="H1626" s="62" t="s">
        <v>5305</v>
      </c>
      <c r="I1626" s="62" t="s">
        <v>6570</v>
      </c>
      <c r="J1626" s="242" t="s">
        <v>1749</v>
      </c>
      <c r="K1626" s="38"/>
      <c r="L1626" s="38"/>
      <c r="M1626" s="56"/>
      <c r="N1626" s="56" t="b">
        <v>0</v>
      </c>
      <c r="O1626" s="56" t="b">
        <v>0</v>
      </c>
      <c r="P1626" s="56"/>
      <c r="Q1626" s="56"/>
      <c r="R1626" s="56"/>
      <c r="S1626" s="56"/>
      <c r="T1626" s="56"/>
      <c r="U1626" s="56"/>
      <c r="V1626" s="56"/>
      <c r="W1626" s="56"/>
      <c r="X1626" s="56"/>
      <c r="Y1626" s="56"/>
      <c r="Z1626" s="56"/>
      <c r="AA1626" s="56"/>
      <c r="AB1626" s="56"/>
    </row>
    <row r="1627" ht="15.75" customHeight="1">
      <c r="A1627" s="169"/>
      <c r="B1627" s="299"/>
      <c r="C1627" s="220">
        <v>44532.0</v>
      </c>
      <c r="D1627" s="38"/>
      <c r="E1627" s="38"/>
      <c r="F1627" s="65"/>
      <c r="G1627" s="66"/>
      <c r="H1627" s="38"/>
      <c r="I1627" s="38"/>
      <c r="J1627" s="38"/>
      <c r="K1627" s="38"/>
      <c r="L1627" s="38"/>
      <c r="M1627" s="56"/>
      <c r="N1627" s="56" t="b">
        <v>0</v>
      </c>
      <c r="O1627" s="56" t="b">
        <v>0</v>
      </c>
      <c r="P1627" s="56"/>
      <c r="Q1627" s="56"/>
      <c r="R1627" s="56"/>
      <c r="S1627" s="56"/>
      <c r="T1627" s="56"/>
      <c r="U1627" s="56"/>
      <c r="V1627" s="56"/>
      <c r="W1627" s="56"/>
      <c r="X1627" s="56"/>
      <c r="Y1627" s="56"/>
      <c r="Z1627" s="56"/>
      <c r="AA1627" s="56"/>
      <c r="AB1627" s="56"/>
    </row>
    <row r="1628" ht="15.75" customHeight="1">
      <c r="A1628" s="169"/>
      <c r="B1628" s="273" t="s">
        <v>4836</v>
      </c>
      <c r="C1628" s="22"/>
      <c r="D1628" s="38"/>
      <c r="E1628" s="38"/>
      <c r="F1628" s="65"/>
      <c r="G1628" s="66"/>
      <c r="H1628" s="38"/>
      <c r="I1628" s="38"/>
      <c r="J1628" s="38"/>
      <c r="K1628" s="38"/>
      <c r="L1628" s="38"/>
      <c r="M1628" s="56"/>
      <c r="N1628" s="56" t="b">
        <v>0</v>
      </c>
      <c r="O1628" s="56" t="b">
        <v>0</v>
      </c>
      <c r="P1628" s="56"/>
      <c r="Q1628" s="56"/>
      <c r="R1628" s="56"/>
      <c r="S1628" s="56"/>
      <c r="T1628" s="56"/>
      <c r="U1628" s="56"/>
      <c r="V1628" s="56"/>
      <c r="W1628" s="56"/>
      <c r="X1628" s="56"/>
      <c r="Y1628" s="56"/>
      <c r="Z1628" s="56"/>
      <c r="AA1628" s="56"/>
      <c r="AB1628" s="56"/>
    </row>
    <row r="1629" ht="15.75" customHeight="1">
      <c r="A1629" s="169"/>
      <c r="B1629" s="63"/>
      <c r="C1629" s="22" t="s">
        <v>53</v>
      </c>
      <c r="D1629" s="38"/>
      <c r="E1629" s="162" t="s">
        <v>5784</v>
      </c>
      <c r="F1629" s="155"/>
      <c r="G1629" s="66"/>
      <c r="H1629" s="38"/>
      <c r="I1629" s="38"/>
      <c r="J1629" s="38"/>
      <c r="K1629" s="38"/>
      <c r="L1629" s="38"/>
      <c r="M1629" s="56"/>
      <c r="N1629" s="56" t="b">
        <v>0</v>
      </c>
      <c r="O1629" s="56" t="b">
        <v>0</v>
      </c>
      <c r="P1629" s="56"/>
      <c r="Q1629" s="56"/>
      <c r="R1629" s="56"/>
      <c r="S1629" s="56"/>
      <c r="T1629" s="56"/>
      <c r="U1629" s="56"/>
      <c r="V1629" s="56"/>
      <c r="W1629" s="56"/>
      <c r="X1629" s="56"/>
      <c r="Y1629" s="56"/>
      <c r="Z1629" s="56"/>
      <c r="AA1629" s="56"/>
      <c r="AB1629" s="56"/>
    </row>
    <row r="1630" ht="15.75" customHeight="1">
      <c r="A1630" s="169"/>
      <c r="B1630" s="63"/>
      <c r="C1630" s="22" t="s">
        <v>53</v>
      </c>
      <c r="D1630" s="38"/>
      <c r="E1630" s="156"/>
      <c r="F1630" s="157"/>
      <c r="G1630" s="66"/>
      <c r="H1630" s="38"/>
      <c r="I1630" s="38"/>
      <c r="J1630" s="38"/>
      <c r="K1630" s="38"/>
      <c r="L1630" s="38"/>
      <c r="M1630" s="56"/>
      <c r="N1630" s="56" t="b">
        <v>0</v>
      </c>
      <c r="O1630" s="56" t="b">
        <v>0</v>
      </c>
      <c r="P1630" s="56"/>
      <c r="Q1630" s="56"/>
      <c r="R1630" s="56"/>
      <c r="S1630" s="56"/>
      <c r="T1630" s="56"/>
      <c r="U1630" s="56"/>
      <c r="V1630" s="56"/>
      <c r="W1630" s="56"/>
      <c r="X1630" s="56"/>
      <c r="Y1630" s="56"/>
      <c r="Z1630" s="56"/>
      <c r="AA1630" s="56"/>
      <c r="AB1630" s="56"/>
    </row>
    <row r="1631" ht="15.75" customHeight="1">
      <c r="A1631" s="169"/>
      <c r="B1631" s="63"/>
      <c r="C1631" s="22" t="s">
        <v>53</v>
      </c>
      <c r="D1631" s="38"/>
      <c r="E1631" s="158"/>
      <c r="F1631" s="159"/>
      <c r="G1631" s="66"/>
      <c r="H1631" s="38"/>
      <c r="I1631" s="38"/>
      <c r="J1631" s="38"/>
      <c r="K1631" s="38"/>
      <c r="L1631" s="38"/>
      <c r="M1631" s="56"/>
      <c r="N1631" s="56" t="b">
        <v>0</v>
      </c>
      <c r="O1631" s="56" t="b">
        <v>0</v>
      </c>
      <c r="P1631" s="56"/>
      <c r="Q1631" s="56"/>
      <c r="R1631" s="56"/>
      <c r="S1631" s="56"/>
      <c r="T1631" s="56"/>
      <c r="U1631" s="56"/>
      <c r="V1631" s="56"/>
      <c r="W1631" s="56"/>
      <c r="X1631" s="56"/>
      <c r="Y1631" s="56"/>
      <c r="Z1631" s="56"/>
      <c r="AA1631" s="56"/>
      <c r="AB1631" s="56"/>
    </row>
    <row r="1632" ht="15.75" customHeight="1">
      <c r="A1632" s="169"/>
      <c r="B1632" s="63"/>
      <c r="C1632" s="22" t="s">
        <v>53</v>
      </c>
      <c r="D1632" s="38"/>
      <c r="E1632" s="38"/>
      <c r="F1632" s="65"/>
      <c r="G1632" s="66"/>
      <c r="H1632" s="38"/>
      <c r="I1632" s="38"/>
      <c r="J1632" s="38"/>
      <c r="K1632" s="38"/>
      <c r="L1632" s="38"/>
      <c r="M1632" s="56"/>
      <c r="N1632" s="56" t="b">
        <v>0</v>
      </c>
      <c r="O1632" s="56" t="b">
        <v>0</v>
      </c>
      <c r="P1632" s="56"/>
      <c r="Q1632" s="56"/>
      <c r="R1632" s="56"/>
      <c r="S1632" s="56"/>
      <c r="T1632" s="56"/>
      <c r="U1632" s="56"/>
      <c r="V1632" s="56"/>
      <c r="W1632" s="56"/>
      <c r="X1632" s="56"/>
      <c r="Y1632" s="56"/>
      <c r="Z1632" s="56"/>
      <c r="AA1632" s="56"/>
      <c r="AB1632" s="56"/>
    </row>
    <row r="1633" ht="15.75" customHeight="1">
      <c r="A1633" s="169"/>
      <c r="B1633" s="63"/>
      <c r="C1633" s="22" t="s">
        <v>53</v>
      </c>
      <c r="D1633" s="38"/>
      <c r="E1633" s="38"/>
      <c r="F1633" s="65"/>
      <c r="G1633" s="66"/>
      <c r="H1633" s="38"/>
      <c r="I1633" s="38"/>
      <c r="J1633" s="38"/>
      <c r="K1633" s="38"/>
      <c r="L1633" s="38"/>
      <c r="M1633" s="56"/>
      <c r="N1633" s="56" t="b">
        <v>0</v>
      </c>
      <c r="O1633" s="56" t="b">
        <v>0</v>
      </c>
      <c r="P1633" s="56"/>
      <c r="Q1633" s="56"/>
      <c r="R1633" s="56"/>
      <c r="S1633" s="56"/>
      <c r="T1633" s="56"/>
      <c r="U1633" s="56"/>
      <c r="V1633" s="56"/>
      <c r="W1633" s="56"/>
      <c r="X1633" s="56"/>
      <c r="Y1633" s="56"/>
      <c r="Z1633" s="56"/>
      <c r="AA1633" s="56"/>
      <c r="AB1633" s="56"/>
    </row>
    <row r="1634" ht="15.75" customHeight="1">
      <c r="A1634" s="169"/>
      <c r="B1634" s="69"/>
      <c r="C1634" s="275"/>
      <c r="D1634" s="38"/>
      <c r="E1634" s="38"/>
      <c r="F1634" s="65"/>
      <c r="G1634" s="66"/>
      <c r="H1634" s="38"/>
      <c r="I1634" s="38"/>
      <c r="J1634" s="38"/>
      <c r="K1634" s="38"/>
      <c r="L1634" s="38"/>
      <c r="M1634" s="56"/>
      <c r="N1634" s="56" t="b">
        <v>0</v>
      </c>
      <c r="O1634" s="56" t="b">
        <v>0</v>
      </c>
      <c r="P1634" s="56"/>
      <c r="Q1634" s="56"/>
      <c r="R1634" s="56"/>
      <c r="S1634" s="56"/>
      <c r="T1634" s="56"/>
      <c r="U1634" s="56"/>
      <c r="V1634" s="56"/>
      <c r="W1634" s="56"/>
      <c r="X1634" s="56"/>
      <c r="Y1634" s="56"/>
      <c r="Z1634" s="56"/>
      <c r="AA1634" s="56"/>
      <c r="AB1634" s="56"/>
    </row>
    <row r="1635" ht="15.75" customHeight="1">
      <c r="A1635" s="169"/>
      <c r="B1635" s="273" t="s">
        <v>6168</v>
      </c>
      <c r="C1635" s="22" t="s">
        <v>66</v>
      </c>
      <c r="D1635" s="38"/>
      <c r="E1635" s="80"/>
      <c r="F1635" s="132"/>
      <c r="G1635" s="66"/>
      <c r="H1635" s="38"/>
      <c r="I1635" s="38"/>
      <c r="J1635" s="38"/>
      <c r="K1635" s="38"/>
      <c r="L1635" s="38"/>
      <c r="M1635" s="56"/>
      <c r="N1635" s="56" t="b">
        <v>0</v>
      </c>
      <c r="O1635" s="56" t="b">
        <v>0</v>
      </c>
      <c r="P1635" s="56"/>
      <c r="Q1635" s="56"/>
      <c r="R1635" s="56"/>
      <c r="S1635" s="56"/>
      <c r="T1635" s="56"/>
      <c r="U1635" s="56"/>
      <c r="V1635" s="56"/>
      <c r="W1635" s="56"/>
      <c r="X1635" s="56"/>
      <c r="Y1635" s="56"/>
      <c r="Z1635" s="56"/>
      <c r="AA1635" s="56"/>
      <c r="AB1635" s="56"/>
    </row>
    <row r="1636" ht="15.75" customHeight="1">
      <c r="A1636" s="169"/>
      <c r="B1636" s="63"/>
      <c r="C1636" s="22" t="s">
        <v>66</v>
      </c>
      <c r="D1636" s="38"/>
      <c r="E1636" s="38"/>
      <c r="F1636" s="65"/>
      <c r="G1636" s="66"/>
      <c r="H1636" s="38"/>
      <c r="I1636" s="38"/>
      <c r="J1636" s="38"/>
      <c r="K1636" s="38"/>
      <c r="L1636" s="38"/>
      <c r="M1636" s="56"/>
      <c r="N1636" s="56" t="b">
        <v>0</v>
      </c>
      <c r="O1636" s="56" t="b">
        <v>0</v>
      </c>
      <c r="P1636" s="56"/>
      <c r="Q1636" s="56"/>
      <c r="R1636" s="56"/>
      <c r="S1636" s="56"/>
      <c r="T1636" s="56"/>
      <c r="U1636" s="56"/>
      <c r="V1636" s="56"/>
      <c r="W1636" s="56"/>
      <c r="X1636" s="56"/>
      <c r="Y1636" s="56"/>
      <c r="Z1636" s="56"/>
      <c r="AA1636" s="56"/>
      <c r="AB1636" s="56"/>
    </row>
    <row r="1637" ht="15.75" customHeight="1">
      <c r="A1637" s="169"/>
      <c r="B1637" s="63"/>
      <c r="C1637" s="22" t="s">
        <v>66</v>
      </c>
      <c r="D1637" s="227" t="s">
        <v>89</v>
      </c>
      <c r="E1637" s="242" t="s">
        <v>3852</v>
      </c>
      <c r="F1637" s="242" t="s">
        <v>3853</v>
      </c>
      <c r="G1637" s="73" t="s">
        <v>4887</v>
      </c>
      <c r="H1637" s="62" t="s">
        <v>6571</v>
      </c>
      <c r="I1637" s="62" t="s">
        <v>6572</v>
      </c>
      <c r="J1637" s="242" t="s">
        <v>3855</v>
      </c>
      <c r="K1637" s="38"/>
      <c r="L1637" s="38"/>
      <c r="M1637" s="56"/>
      <c r="N1637" s="56" t="b">
        <v>0</v>
      </c>
      <c r="O1637" s="56" t="b">
        <v>0</v>
      </c>
      <c r="P1637" s="56"/>
      <c r="Q1637" s="56"/>
      <c r="R1637" s="56"/>
      <c r="S1637" s="56"/>
      <c r="T1637" s="56"/>
      <c r="U1637" s="56"/>
      <c r="V1637" s="56"/>
      <c r="W1637" s="56"/>
      <c r="X1637" s="56"/>
      <c r="Y1637" s="56"/>
      <c r="Z1637" s="56"/>
      <c r="AA1637" s="56"/>
      <c r="AB1637" s="56"/>
    </row>
    <row r="1638" ht="15.75" customHeight="1">
      <c r="A1638" s="169"/>
      <c r="B1638" s="63"/>
      <c r="C1638" s="22" t="s">
        <v>66</v>
      </c>
      <c r="D1638" s="172" t="s">
        <v>89</v>
      </c>
      <c r="E1638" s="203" t="s">
        <v>2684</v>
      </c>
      <c r="F1638" s="203" t="s">
        <v>2685</v>
      </c>
      <c r="G1638" s="82" t="s">
        <v>4856</v>
      </c>
      <c r="H1638" s="76" t="s">
        <v>6571</v>
      </c>
      <c r="I1638" s="76" t="s">
        <v>6573</v>
      </c>
      <c r="J1638" s="203" t="s">
        <v>2687</v>
      </c>
      <c r="K1638" s="13" t="s">
        <v>6574</v>
      </c>
      <c r="L1638" s="38"/>
      <c r="M1638" s="56"/>
      <c r="N1638" s="56" t="b">
        <v>0</v>
      </c>
      <c r="O1638" s="56" t="b">
        <v>0</v>
      </c>
      <c r="P1638" s="56"/>
      <c r="Q1638" s="56"/>
      <c r="R1638" s="56"/>
      <c r="S1638" s="56"/>
      <c r="T1638" s="56"/>
      <c r="U1638" s="56"/>
      <c r="V1638" s="56"/>
      <c r="W1638" s="56"/>
      <c r="X1638" s="56"/>
      <c r="Y1638" s="56"/>
      <c r="Z1638" s="56"/>
      <c r="AA1638" s="56"/>
      <c r="AB1638" s="56"/>
    </row>
    <row r="1639" ht="15.75" customHeight="1">
      <c r="A1639" s="169"/>
      <c r="B1639" s="63"/>
      <c r="C1639" s="22" t="s">
        <v>66</v>
      </c>
      <c r="D1639" s="172" t="s">
        <v>89</v>
      </c>
      <c r="E1639" s="203" t="s">
        <v>517</v>
      </c>
      <c r="F1639" s="203" t="s">
        <v>518</v>
      </c>
      <c r="G1639" s="82" t="s">
        <v>4896</v>
      </c>
      <c r="H1639" s="76" t="s">
        <v>6571</v>
      </c>
      <c r="I1639" s="203" t="s">
        <v>6575</v>
      </c>
      <c r="J1639" s="203" t="s">
        <v>520</v>
      </c>
      <c r="K1639" s="38" t="s">
        <v>6576</v>
      </c>
      <c r="L1639" s="38"/>
      <c r="M1639" s="56"/>
      <c r="N1639" s="56" t="b">
        <v>0</v>
      </c>
      <c r="O1639" s="56" t="b">
        <v>0</v>
      </c>
      <c r="P1639" s="56"/>
      <c r="Q1639" s="56"/>
      <c r="R1639" s="56"/>
      <c r="S1639" s="56"/>
      <c r="T1639" s="56"/>
      <c r="U1639" s="56"/>
      <c r="V1639" s="56"/>
      <c r="W1639" s="56"/>
      <c r="X1639" s="56"/>
      <c r="Y1639" s="56"/>
      <c r="Z1639" s="56"/>
      <c r="AA1639" s="56"/>
      <c r="AB1639" s="56"/>
    </row>
    <row r="1640" ht="15.75" customHeight="1">
      <c r="A1640" s="169"/>
      <c r="B1640" s="63"/>
      <c r="C1640" s="22" t="s">
        <v>66</v>
      </c>
      <c r="D1640" s="172" t="s">
        <v>103</v>
      </c>
      <c r="E1640" s="77" t="s">
        <v>4657</v>
      </c>
      <c r="F1640" s="77" t="s">
        <v>4658</v>
      </c>
      <c r="G1640" s="82" t="s">
        <v>4847</v>
      </c>
      <c r="H1640" s="76" t="s">
        <v>6565</v>
      </c>
      <c r="I1640" s="77" t="s">
        <v>6566</v>
      </c>
      <c r="J1640" s="77" t="s">
        <v>4660</v>
      </c>
      <c r="K1640" s="38" t="s">
        <v>6577</v>
      </c>
      <c r="L1640" s="38"/>
      <c r="M1640" s="56"/>
      <c r="N1640" s="56" t="b">
        <v>0</v>
      </c>
      <c r="O1640" s="56" t="b">
        <v>0</v>
      </c>
      <c r="P1640" s="56"/>
      <c r="Q1640" s="56"/>
      <c r="R1640" s="56"/>
      <c r="S1640" s="56"/>
      <c r="T1640" s="56"/>
      <c r="U1640" s="56"/>
      <c r="V1640" s="56"/>
      <c r="W1640" s="56"/>
      <c r="X1640" s="56"/>
      <c r="Y1640" s="56"/>
      <c r="Z1640" s="56"/>
      <c r="AA1640" s="56"/>
      <c r="AB1640" s="56"/>
    </row>
    <row r="1641" ht="15.75" customHeight="1">
      <c r="A1641" s="169"/>
      <c r="B1641" s="69"/>
      <c r="C1641" s="22"/>
      <c r="D1641" s="38"/>
      <c r="E1641" s="38"/>
      <c r="F1641" s="65"/>
      <c r="G1641" s="66"/>
      <c r="H1641" s="38"/>
      <c r="I1641" s="38"/>
      <c r="J1641" s="38"/>
      <c r="K1641" s="38"/>
      <c r="L1641" s="38"/>
      <c r="M1641" s="56"/>
      <c r="N1641" s="56" t="b">
        <v>0</v>
      </c>
      <c r="O1641" s="56" t="b">
        <v>0</v>
      </c>
      <c r="P1641" s="56"/>
      <c r="Q1641" s="56"/>
      <c r="R1641" s="56"/>
      <c r="S1641" s="56"/>
      <c r="T1641" s="56"/>
      <c r="U1641" s="56"/>
      <c r="V1641" s="56"/>
      <c r="W1641" s="56"/>
      <c r="X1641" s="56"/>
      <c r="Y1641" s="56"/>
      <c r="Z1641" s="56"/>
      <c r="AA1641" s="56"/>
      <c r="AB1641" s="56"/>
    </row>
    <row r="1642" ht="15.75" customHeight="1">
      <c r="A1642" s="169"/>
      <c r="B1642" s="299"/>
      <c r="C1642" s="220">
        <v>44533.0</v>
      </c>
      <c r="D1642" s="38"/>
      <c r="E1642" s="38"/>
      <c r="F1642" s="65"/>
      <c r="G1642" s="66"/>
      <c r="H1642" s="38"/>
      <c r="I1642" s="38"/>
      <c r="J1642" s="38"/>
      <c r="K1642" s="38"/>
      <c r="L1642" s="38"/>
      <c r="M1642" s="56"/>
      <c r="N1642" s="56" t="b">
        <v>0</v>
      </c>
      <c r="O1642" s="56" t="b">
        <v>0</v>
      </c>
      <c r="P1642" s="56"/>
      <c r="Q1642" s="56"/>
      <c r="R1642" s="56"/>
      <c r="S1642" s="56"/>
      <c r="T1642" s="56"/>
      <c r="U1642" s="56"/>
      <c r="V1642" s="56"/>
      <c r="W1642" s="56"/>
      <c r="X1642" s="56"/>
      <c r="Y1642" s="56"/>
      <c r="Z1642" s="56"/>
      <c r="AA1642" s="56"/>
      <c r="AB1642" s="56"/>
    </row>
    <row r="1643" ht="15.75" customHeight="1">
      <c r="A1643" s="169"/>
      <c r="B1643" s="273" t="s">
        <v>4836</v>
      </c>
      <c r="C1643" s="22"/>
      <c r="D1643" s="38"/>
      <c r="E1643" s="38"/>
      <c r="F1643" s="65"/>
      <c r="G1643" s="66"/>
      <c r="H1643" s="38"/>
      <c r="I1643" s="38"/>
      <c r="J1643" s="38"/>
      <c r="K1643" s="38"/>
      <c r="L1643" s="38"/>
      <c r="M1643" s="56"/>
      <c r="N1643" s="56" t="b">
        <v>0</v>
      </c>
      <c r="O1643" s="56" t="b">
        <v>0</v>
      </c>
      <c r="P1643" s="56"/>
      <c r="Q1643" s="56"/>
      <c r="R1643" s="56"/>
      <c r="S1643" s="56"/>
      <c r="T1643" s="56"/>
      <c r="U1643" s="56"/>
      <c r="V1643" s="56"/>
      <c r="W1643" s="56"/>
      <c r="X1643" s="56"/>
      <c r="Y1643" s="56"/>
      <c r="Z1643" s="56"/>
      <c r="AA1643" s="56"/>
      <c r="AB1643" s="56"/>
    </row>
    <row r="1644" ht="15.75" customHeight="1">
      <c r="A1644" s="169"/>
      <c r="B1644" s="63"/>
      <c r="C1644" s="22" t="s">
        <v>53</v>
      </c>
      <c r="D1644" s="38"/>
      <c r="E1644" s="162" t="s">
        <v>5784</v>
      </c>
      <c r="F1644" s="155"/>
      <c r="G1644" s="66"/>
      <c r="H1644" s="38"/>
      <c r="I1644" s="38"/>
      <c r="J1644" s="38"/>
      <c r="K1644" s="38"/>
      <c r="L1644" s="38"/>
      <c r="M1644" s="56"/>
      <c r="N1644" s="56" t="b">
        <v>0</v>
      </c>
      <c r="O1644" s="56" t="b">
        <v>0</v>
      </c>
      <c r="P1644" s="56"/>
      <c r="Q1644" s="56"/>
      <c r="R1644" s="56"/>
      <c r="S1644" s="56"/>
      <c r="T1644" s="56"/>
      <c r="U1644" s="56"/>
      <c r="V1644" s="56"/>
      <c r="W1644" s="56"/>
      <c r="X1644" s="56"/>
      <c r="Y1644" s="56"/>
      <c r="Z1644" s="56"/>
      <c r="AA1644" s="56"/>
      <c r="AB1644" s="56"/>
    </row>
    <row r="1645" ht="15.75" customHeight="1">
      <c r="A1645" s="169"/>
      <c r="B1645" s="63"/>
      <c r="C1645" s="22" t="s">
        <v>53</v>
      </c>
      <c r="D1645" s="38"/>
      <c r="E1645" s="156"/>
      <c r="F1645" s="157"/>
      <c r="G1645" s="66"/>
      <c r="H1645" s="38"/>
      <c r="I1645" s="38"/>
      <c r="J1645" s="38"/>
      <c r="K1645" s="38"/>
      <c r="L1645" s="38"/>
      <c r="M1645" s="56"/>
      <c r="N1645" s="56" t="b">
        <v>0</v>
      </c>
      <c r="O1645" s="56" t="b">
        <v>0</v>
      </c>
      <c r="P1645" s="56"/>
      <c r="Q1645" s="56"/>
      <c r="R1645" s="56"/>
      <c r="S1645" s="56"/>
      <c r="T1645" s="56"/>
      <c r="U1645" s="56"/>
      <c r="V1645" s="56"/>
      <c r="W1645" s="56"/>
      <c r="X1645" s="56"/>
      <c r="Y1645" s="56"/>
      <c r="Z1645" s="56"/>
      <c r="AA1645" s="56"/>
      <c r="AB1645" s="56"/>
    </row>
    <row r="1646" ht="15.75" customHeight="1">
      <c r="A1646" s="169"/>
      <c r="B1646" s="63"/>
      <c r="C1646" s="22" t="s">
        <v>53</v>
      </c>
      <c r="D1646" s="38"/>
      <c r="E1646" s="158"/>
      <c r="F1646" s="159"/>
      <c r="G1646" s="66"/>
      <c r="H1646" s="38"/>
      <c r="I1646" s="38"/>
      <c r="J1646" s="38"/>
      <c r="K1646" s="38"/>
      <c r="L1646" s="38"/>
      <c r="M1646" s="56"/>
      <c r="N1646" s="56" t="b">
        <v>0</v>
      </c>
      <c r="O1646" s="56" t="b">
        <v>0</v>
      </c>
      <c r="P1646" s="56"/>
      <c r="Q1646" s="56"/>
      <c r="R1646" s="56"/>
      <c r="S1646" s="56"/>
      <c r="T1646" s="56"/>
      <c r="U1646" s="56"/>
      <c r="V1646" s="56"/>
      <c r="W1646" s="56"/>
      <c r="X1646" s="56"/>
      <c r="Y1646" s="56"/>
      <c r="Z1646" s="56"/>
      <c r="AA1646" s="56"/>
      <c r="AB1646" s="56"/>
    </row>
    <row r="1647" ht="15.75" customHeight="1">
      <c r="A1647" s="169"/>
      <c r="B1647" s="63"/>
      <c r="C1647" s="22" t="s">
        <v>53</v>
      </c>
      <c r="D1647" s="38"/>
      <c r="E1647" s="38"/>
      <c r="F1647" s="65"/>
      <c r="G1647" s="66"/>
      <c r="H1647" s="38"/>
      <c r="I1647" s="38"/>
      <c r="J1647" s="38"/>
      <c r="K1647" s="38"/>
      <c r="L1647" s="38"/>
      <c r="M1647" s="56"/>
      <c r="N1647" s="56" t="b">
        <v>0</v>
      </c>
      <c r="O1647" s="56" t="b">
        <v>0</v>
      </c>
      <c r="P1647" s="56"/>
      <c r="Q1647" s="56"/>
      <c r="R1647" s="56"/>
      <c r="S1647" s="56"/>
      <c r="T1647" s="56"/>
      <c r="U1647" s="56"/>
      <c r="V1647" s="56"/>
      <c r="W1647" s="56"/>
      <c r="X1647" s="56"/>
      <c r="Y1647" s="56"/>
      <c r="Z1647" s="56"/>
      <c r="AA1647" s="56"/>
      <c r="AB1647" s="56"/>
    </row>
    <row r="1648" ht="15.75" customHeight="1">
      <c r="A1648" s="169"/>
      <c r="B1648" s="63"/>
      <c r="C1648" s="22" t="s">
        <v>53</v>
      </c>
      <c r="D1648" s="38"/>
      <c r="E1648" s="38"/>
      <c r="F1648" s="65"/>
      <c r="G1648" s="66"/>
      <c r="H1648" s="38"/>
      <c r="I1648" s="38"/>
      <c r="J1648" s="38"/>
      <c r="K1648" s="38"/>
      <c r="L1648" s="38"/>
      <c r="M1648" s="56"/>
      <c r="N1648" s="56" t="b">
        <v>0</v>
      </c>
      <c r="O1648" s="56" t="b">
        <v>0</v>
      </c>
      <c r="P1648" s="56"/>
      <c r="Q1648" s="56"/>
      <c r="R1648" s="56"/>
      <c r="S1648" s="56"/>
      <c r="T1648" s="56"/>
      <c r="U1648" s="56"/>
      <c r="V1648" s="56"/>
      <c r="W1648" s="56"/>
      <c r="X1648" s="56"/>
      <c r="Y1648" s="56"/>
      <c r="Z1648" s="56"/>
      <c r="AA1648" s="56"/>
      <c r="AB1648" s="56"/>
    </row>
    <row r="1649" ht="15.75" customHeight="1">
      <c r="A1649" s="169"/>
      <c r="B1649" s="69"/>
      <c r="C1649" s="275"/>
      <c r="D1649" s="38"/>
      <c r="E1649" s="38"/>
      <c r="F1649" s="65"/>
      <c r="G1649" s="66"/>
      <c r="H1649" s="38"/>
      <c r="I1649" s="38"/>
      <c r="J1649" s="38"/>
      <c r="K1649" s="38"/>
      <c r="L1649" s="38"/>
      <c r="M1649" s="56"/>
      <c r="N1649" s="56" t="b">
        <v>0</v>
      </c>
      <c r="O1649" s="56" t="b">
        <v>0</v>
      </c>
      <c r="P1649" s="56"/>
      <c r="Q1649" s="56"/>
      <c r="R1649" s="56"/>
      <c r="S1649" s="56"/>
      <c r="T1649" s="56"/>
      <c r="U1649" s="56"/>
      <c r="V1649" s="56"/>
      <c r="W1649" s="56"/>
      <c r="X1649" s="56"/>
      <c r="Y1649" s="56"/>
      <c r="Z1649" s="56"/>
      <c r="AA1649" s="56"/>
      <c r="AB1649" s="56"/>
    </row>
    <row r="1650" ht="15.75" customHeight="1">
      <c r="A1650" s="169"/>
      <c r="B1650" s="273" t="s">
        <v>6168</v>
      </c>
      <c r="C1650" s="22" t="s">
        <v>66</v>
      </c>
      <c r="D1650" s="62" t="s">
        <v>52</v>
      </c>
      <c r="E1650" s="60" t="s">
        <v>3277</v>
      </c>
      <c r="F1650" s="60" t="s">
        <v>3278</v>
      </c>
      <c r="G1650" s="73" t="s">
        <v>6003</v>
      </c>
      <c r="H1650" s="62" t="s">
        <v>6578</v>
      </c>
      <c r="I1650" s="62" t="s">
        <v>6579</v>
      </c>
      <c r="J1650" s="60" t="s">
        <v>3280</v>
      </c>
      <c r="K1650" s="38"/>
      <c r="L1650" s="38"/>
      <c r="M1650" s="56"/>
      <c r="N1650" s="56" t="b">
        <v>0</v>
      </c>
      <c r="O1650" s="56" t="b">
        <v>0</v>
      </c>
      <c r="P1650" s="56"/>
      <c r="Q1650" s="56"/>
      <c r="R1650" s="56"/>
      <c r="S1650" s="56"/>
      <c r="T1650" s="56"/>
      <c r="U1650" s="56"/>
      <c r="V1650" s="56"/>
      <c r="W1650" s="56"/>
      <c r="X1650" s="56"/>
      <c r="Y1650" s="56"/>
      <c r="Z1650" s="56"/>
      <c r="AA1650" s="56"/>
      <c r="AB1650" s="56"/>
    </row>
    <row r="1651" ht="15.75" customHeight="1">
      <c r="A1651" s="169"/>
      <c r="B1651" s="63"/>
      <c r="C1651" s="22" t="s">
        <v>66</v>
      </c>
      <c r="D1651" s="76" t="s">
        <v>52</v>
      </c>
      <c r="E1651" s="77" t="s">
        <v>6580</v>
      </c>
      <c r="F1651" s="77" t="s">
        <v>6581</v>
      </c>
      <c r="G1651" s="82" t="s">
        <v>4887</v>
      </c>
      <c r="H1651" s="76" t="s">
        <v>6582</v>
      </c>
      <c r="I1651" s="76" t="s">
        <v>6583</v>
      </c>
      <c r="J1651" s="77" t="s">
        <v>6584</v>
      </c>
      <c r="K1651" s="38" t="s">
        <v>6585</v>
      </c>
      <c r="L1651" s="38"/>
      <c r="M1651" s="56"/>
      <c r="N1651" s="56" t="b">
        <v>0</v>
      </c>
      <c r="O1651" s="56" t="b">
        <v>0</v>
      </c>
      <c r="P1651" s="56"/>
      <c r="Q1651" s="56"/>
      <c r="R1651" s="56"/>
      <c r="S1651" s="56"/>
      <c r="T1651" s="56"/>
      <c r="U1651" s="56"/>
      <c r="V1651" s="56"/>
      <c r="W1651" s="56"/>
      <c r="X1651" s="56"/>
      <c r="Y1651" s="56"/>
      <c r="Z1651" s="56"/>
      <c r="AA1651" s="56"/>
      <c r="AB1651" s="56"/>
    </row>
    <row r="1652" ht="15.75" customHeight="1">
      <c r="A1652" s="169"/>
      <c r="B1652" s="63"/>
      <c r="C1652" s="22" t="s">
        <v>66</v>
      </c>
      <c r="D1652" s="62" t="s">
        <v>52</v>
      </c>
      <c r="E1652" s="60" t="s">
        <v>476</v>
      </c>
      <c r="F1652" s="60" t="s">
        <v>477</v>
      </c>
      <c r="G1652" s="73" t="s">
        <v>5160</v>
      </c>
      <c r="H1652" s="62" t="s">
        <v>6582</v>
      </c>
      <c r="I1652" s="62" t="s">
        <v>6586</v>
      </c>
      <c r="J1652" s="60" t="s">
        <v>480</v>
      </c>
      <c r="K1652" s="38"/>
      <c r="L1652" s="38"/>
      <c r="M1652" s="56"/>
      <c r="N1652" s="56" t="b">
        <v>0</v>
      </c>
      <c r="O1652" s="56" t="b">
        <v>0</v>
      </c>
      <c r="P1652" s="56"/>
      <c r="Q1652" s="56"/>
      <c r="R1652" s="56"/>
      <c r="S1652" s="56"/>
      <c r="T1652" s="56"/>
      <c r="U1652" s="56"/>
      <c r="V1652" s="56"/>
      <c r="W1652" s="56"/>
      <c r="X1652" s="56"/>
      <c r="Y1652" s="56"/>
      <c r="Z1652" s="56"/>
      <c r="AA1652" s="56"/>
      <c r="AB1652" s="56"/>
    </row>
    <row r="1653" ht="15.75" customHeight="1">
      <c r="A1653" s="169"/>
      <c r="B1653" s="63"/>
      <c r="C1653" s="22" t="s">
        <v>66</v>
      </c>
      <c r="D1653" s="62" t="s">
        <v>52</v>
      </c>
      <c r="E1653" s="60" t="s">
        <v>2437</v>
      </c>
      <c r="F1653" s="60" t="s">
        <v>2438</v>
      </c>
      <c r="G1653" s="73" t="s">
        <v>4858</v>
      </c>
      <c r="H1653" s="62" t="s">
        <v>6578</v>
      </c>
      <c r="I1653" s="62" t="s">
        <v>6587</v>
      </c>
      <c r="J1653" s="60" t="s">
        <v>2440</v>
      </c>
      <c r="K1653" s="38"/>
      <c r="L1653" s="38"/>
      <c r="M1653" s="56"/>
      <c r="N1653" s="56" t="b">
        <v>0</v>
      </c>
      <c r="O1653" s="56" t="b">
        <v>0</v>
      </c>
      <c r="P1653" s="56"/>
      <c r="Q1653" s="56"/>
      <c r="R1653" s="56"/>
      <c r="S1653" s="56"/>
      <c r="T1653" s="56"/>
      <c r="U1653" s="56"/>
      <c r="V1653" s="56"/>
      <c r="W1653" s="56"/>
      <c r="X1653" s="56"/>
      <c r="Y1653" s="56"/>
      <c r="Z1653" s="56"/>
      <c r="AA1653" s="56"/>
      <c r="AB1653" s="56"/>
    </row>
    <row r="1654" ht="15.75" customHeight="1">
      <c r="A1654" s="169"/>
      <c r="B1654" s="63"/>
      <c r="C1654" s="22" t="s">
        <v>66</v>
      </c>
      <c r="D1654" s="62" t="s">
        <v>52</v>
      </c>
      <c r="E1654" s="60" t="s">
        <v>6588</v>
      </c>
      <c r="F1654" s="60" t="s">
        <v>3344</v>
      </c>
      <c r="G1654" s="73" t="s">
        <v>4847</v>
      </c>
      <c r="H1654" s="62" t="s">
        <v>6578</v>
      </c>
      <c r="I1654" s="62" t="s">
        <v>6589</v>
      </c>
      <c r="J1654" s="60" t="s">
        <v>6590</v>
      </c>
      <c r="K1654" s="38"/>
      <c r="L1654" s="38"/>
      <c r="M1654" s="56"/>
      <c r="N1654" s="56" t="b">
        <v>0</v>
      </c>
      <c r="O1654" s="56" t="b">
        <v>0</v>
      </c>
      <c r="P1654" s="56"/>
      <c r="Q1654" s="56"/>
      <c r="R1654" s="56"/>
      <c r="S1654" s="56"/>
      <c r="T1654" s="56"/>
      <c r="U1654" s="56"/>
      <c r="V1654" s="56"/>
      <c r="W1654" s="56"/>
      <c r="X1654" s="56"/>
      <c r="Y1654" s="56"/>
      <c r="Z1654" s="56"/>
      <c r="AA1654" s="56"/>
      <c r="AB1654" s="56"/>
    </row>
    <row r="1655" ht="15.75" customHeight="1">
      <c r="A1655" s="169"/>
      <c r="B1655" s="69"/>
      <c r="C1655" s="22"/>
      <c r="D1655" s="62" t="s">
        <v>52</v>
      </c>
      <c r="E1655" s="60" t="s">
        <v>1061</v>
      </c>
      <c r="F1655" s="60" t="s">
        <v>1062</v>
      </c>
      <c r="G1655" s="258">
        <v>0.7708333333333334</v>
      </c>
      <c r="H1655" s="62" t="s">
        <v>6591</v>
      </c>
      <c r="I1655" s="62" t="s">
        <v>6592</v>
      </c>
      <c r="J1655" s="60" t="s">
        <v>1065</v>
      </c>
      <c r="K1655" s="38"/>
      <c r="L1655" s="38"/>
      <c r="M1655" s="56"/>
      <c r="N1655" s="56" t="b">
        <v>0</v>
      </c>
      <c r="O1655" s="56" t="b">
        <v>0</v>
      </c>
      <c r="P1655" s="56"/>
      <c r="Q1655" s="56"/>
      <c r="R1655" s="56"/>
      <c r="S1655" s="56"/>
      <c r="T1655" s="56"/>
      <c r="U1655" s="56"/>
      <c r="V1655" s="56"/>
      <c r="W1655" s="56"/>
      <c r="X1655" s="56"/>
      <c r="Y1655" s="56"/>
      <c r="Z1655" s="56"/>
      <c r="AA1655" s="56"/>
      <c r="AB1655" s="56"/>
    </row>
    <row r="1656" ht="15.75" customHeight="1">
      <c r="A1656" s="169"/>
      <c r="B1656" s="276"/>
      <c r="C1656" s="22"/>
      <c r="D1656" s="38"/>
      <c r="E1656" s="10"/>
      <c r="F1656" s="10"/>
      <c r="G1656" s="302"/>
      <c r="H1656" s="38"/>
      <c r="I1656" s="38"/>
      <c r="J1656" s="10"/>
      <c r="K1656" s="38"/>
      <c r="L1656" s="38"/>
      <c r="M1656" s="56"/>
      <c r="N1656" s="56" t="b">
        <v>0</v>
      </c>
      <c r="O1656" s="56" t="b">
        <v>0</v>
      </c>
      <c r="P1656" s="56"/>
      <c r="Q1656" s="56"/>
      <c r="R1656" s="56"/>
      <c r="S1656" s="56"/>
      <c r="T1656" s="56"/>
      <c r="U1656" s="56"/>
      <c r="V1656" s="56"/>
      <c r="W1656" s="56"/>
      <c r="X1656" s="56"/>
      <c r="Y1656" s="56"/>
      <c r="Z1656" s="56"/>
      <c r="AA1656" s="56"/>
      <c r="AB1656" s="56"/>
    </row>
    <row r="1657" ht="15.75" customHeight="1">
      <c r="A1657" s="169"/>
      <c r="B1657" s="298"/>
      <c r="C1657" s="220">
        <v>44536.0</v>
      </c>
      <c r="D1657" s="38"/>
      <c r="E1657" s="38"/>
      <c r="F1657" s="65"/>
      <c r="G1657" s="66"/>
      <c r="H1657" s="38"/>
      <c r="I1657" s="38"/>
      <c r="J1657" s="38"/>
      <c r="K1657" s="38"/>
      <c r="L1657" s="38"/>
      <c r="M1657" s="56"/>
      <c r="N1657" s="56" t="b">
        <v>0</v>
      </c>
      <c r="O1657" s="56" t="b">
        <v>0</v>
      </c>
      <c r="P1657" s="56"/>
      <c r="Q1657" s="56"/>
      <c r="R1657" s="56"/>
      <c r="S1657" s="56"/>
      <c r="T1657" s="56"/>
      <c r="U1657" s="56"/>
      <c r="V1657" s="56"/>
      <c r="W1657" s="56"/>
      <c r="X1657" s="56"/>
      <c r="Y1657" s="56"/>
      <c r="Z1657" s="56"/>
      <c r="AA1657" s="56"/>
      <c r="AB1657" s="56"/>
    </row>
    <row r="1658" ht="15.75" customHeight="1">
      <c r="A1658" s="169"/>
      <c r="B1658" s="219" t="s">
        <v>4836</v>
      </c>
      <c r="C1658" s="31"/>
      <c r="D1658" s="38"/>
      <c r="E1658" s="38"/>
      <c r="F1658" s="127" t="s">
        <v>6593</v>
      </c>
      <c r="G1658" s="270"/>
      <c r="H1658" s="38"/>
      <c r="I1658" s="38"/>
      <c r="J1658" s="38"/>
      <c r="K1658" s="38"/>
      <c r="L1658" s="38"/>
      <c r="M1658" s="56"/>
      <c r="N1658" s="56" t="b">
        <v>0</v>
      </c>
      <c r="O1658" s="56" t="b">
        <v>0</v>
      </c>
      <c r="P1658" s="56"/>
      <c r="Q1658" s="56"/>
      <c r="R1658" s="56"/>
      <c r="S1658" s="56"/>
      <c r="T1658" s="56"/>
      <c r="U1658" s="56"/>
      <c r="V1658" s="56"/>
      <c r="W1658" s="56"/>
      <c r="X1658" s="56"/>
      <c r="Y1658" s="56"/>
      <c r="Z1658" s="56"/>
      <c r="AA1658" s="56"/>
      <c r="AB1658" s="56"/>
    </row>
    <row r="1659" ht="15.75" customHeight="1">
      <c r="A1659" s="169"/>
      <c r="B1659" s="63"/>
      <c r="C1659" s="31" t="s">
        <v>53</v>
      </c>
      <c r="D1659" s="227" t="s">
        <v>329</v>
      </c>
      <c r="E1659" s="242" t="s">
        <v>2821</v>
      </c>
      <c r="F1659" s="242" t="s">
        <v>2822</v>
      </c>
      <c r="G1659" s="73" t="s">
        <v>5713</v>
      </c>
      <c r="H1659" s="62" t="s">
        <v>5938</v>
      </c>
      <c r="I1659" s="62" t="s">
        <v>6594</v>
      </c>
      <c r="J1659" s="242" t="s">
        <v>2824</v>
      </c>
      <c r="K1659" s="137"/>
      <c r="L1659" s="137"/>
      <c r="M1659" s="56"/>
      <c r="N1659" s="56" t="b">
        <v>0</v>
      </c>
      <c r="O1659" s="56" t="b">
        <v>0</v>
      </c>
      <c r="P1659" s="56"/>
      <c r="Q1659" s="56"/>
      <c r="R1659" s="56"/>
      <c r="S1659" s="56"/>
      <c r="T1659" s="56"/>
      <c r="U1659" s="56"/>
      <c r="V1659" s="56"/>
      <c r="W1659" s="56"/>
      <c r="X1659" s="56"/>
      <c r="Y1659" s="56"/>
      <c r="Z1659" s="56"/>
      <c r="AA1659" s="56"/>
      <c r="AB1659" s="56"/>
    </row>
    <row r="1660" ht="15.75" customHeight="1">
      <c r="A1660" s="169"/>
      <c r="B1660" s="63"/>
      <c r="C1660" s="31" t="s">
        <v>53</v>
      </c>
      <c r="D1660" s="265" t="s">
        <v>133</v>
      </c>
      <c r="E1660" s="221" t="s">
        <v>3351</v>
      </c>
      <c r="F1660" s="221" t="s">
        <v>3352</v>
      </c>
      <c r="G1660" s="264" t="s">
        <v>4960</v>
      </c>
      <c r="H1660" s="265" t="s">
        <v>6540</v>
      </c>
      <c r="I1660" s="265" t="s">
        <v>6595</v>
      </c>
      <c r="J1660" s="265" t="s">
        <v>6536</v>
      </c>
      <c r="K1660" s="303" t="s">
        <v>273</v>
      </c>
      <c r="L1660" s="137"/>
      <c r="M1660" s="56"/>
      <c r="N1660" s="56" t="b">
        <v>0</v>
      </c>
      <c r="O1660" s="56" t="b">
        <v>0</v>
      </c>
      <c r="P1660" s="56"/>
      <c r="Q1660" s="56"/>
      <c r="R1660" s="56"/>
      <c r="S1660" s="56"/>
      <c r="T1660" s="56"/>
      <c r="U1660" s="56"/>
      <c r="V1660" s="56"/>
      <c r="W1660" s="56"/>
      <c r="X1660" s="56"/>
      <c r="Y1660" s="56"/>
      <c r="Z1660" s="56"/>
      <c r="AA1660" s="56"/>
      <c r="AB1660" s="56"/>
    </row>
    <row r="1661" ht="15.75" customHeight="1">
      <c r="A1661" s="169"/>
      <c r="B1661" s="63"/>
      <c r="C1661" s="31" t="s">
        <v>53</v>
      </c>
      <c r="D1661" s="62" t="s">
        <v>6596</v>
      </c>
      <c r="E1661" s="242" t="s">
        <v>2004</v>
      </c>
      <c r="F1661" s="242" t="s">
        <v>2005</v>
      </c>
      <c r="G1661" s="73" t="s">
        <v>5160</v>
      </c>
      <c r="H1661" s="62" t="s">
        <v>6597</v>
      </c>
      <c r="I1661" s="62" t="s">
        <v>6598</v>
      </c>
      <c r="J1661" s="267" t="s">
        <v>2007</v>
      </c>
      <c r="K1661" s="304"/>
      <c r="L1661" s="137"/>
      <c r="M1661" s="56"/>
      <c r="N1661" s="56" t="b">
        <v>0</v>
      </c>
      <c r="O1661" s="56" t="b">
        <v>0</v>
      </c>
      <c r="P1661" s="56"/>
      <c r="Q1661" s="56"/>
      <c r="R1661" s="56"/>
      <c r="S1661" s="56"/>
      <c r="T1661" s="56"/>
      <c r="U1661" s="56"/>
      <c r="V1661" s="56"/>
      <c r="W1661" s="56"/>
      <c r="X1661" s="56"/>
      <c r="Y1661" s="56"/>
      <c r="Z1661" s="56"/>
      <c r="AA1661" s="56"/>
      <c r="AB1661" s="56"/>
    </row>
    <row r="1662" ht="15.75" customHeight="1">
      <c r="A1662" s="169"/>
      <c r="B1662" s="63"/>
      <c r="C1662" s="31" t="s">
        <v>53</v>
      </c>
      <c r="D1662" s="62" t="s">
        <v>133</v>
      </c>
      <c r="E1662" s="60" t="s">
        <v>938</v>
      </c>
      <c r="F1662" s="60" t="s">
        <v>939</v>
      </c>
      <c r="G1662" s="73" t="s">
        <v>4858</v>
      </c>
      <c r="H1662" s="62" t="s">
        <v>6599</v>
      </c>
      <c r="I1662" s="62" t="s">
        <v>6600</v>
      </c>
      <c r="J1662" s="242" t="s">
        <v>941</v>
      </c>
      <c r="K1662" s="137" t="s">
        <v>6601</v>
      </c>
      <c r="L1662" s="137"/>
      <c r="M1662" s="56"/>
      <c r="N1662" s="56" t="b">
        <v>0</v>
      </c>
      <c r="O1662" s="56" t="b">
        <v>0</v>
      </c>
      <c r="P1662" s="56"/>
      <c r="Q1662" s="56"/>
      <c r="R1662" s="56"/>
      <c r="S1662" s="56"/>
      <c r="T1662" s="56"/>
      <c r="U1662" s="56"/>
      <c r="V1662" s="56"/>
      <c r="W1662" s="56"/>
      <c r="X1662" s="56"/>
      <c r="Y1662" s="56"/>
      <c r="Z1662" s="56"/>
      <c r="AA1662" s="56"/>
      <c r="AB1662" s="56"/>
    </row>
    <row r="1663" ht="15.75" customHeight="1">
      <c r="A1663" s="169"/>
      <c r="B1663" s="63"/>
      <c r="C1663" s="31" t="s">
        <v>53</v>
      </c>
      <c r="D1663" s="76" t="s">
        <v>6596</v>
      </c>
      <c r="E1663" s="77" t="s">
        <v>2976</v>
      </c>
      <c r="F1663" s="77" t="s">
        <v>2977</v>
      </c>
      <c r="G1663" s="82" t="s">
        <v>5089</v>
      </c>
      <c r="H1663" s="76" t="s">
        <v>6602</v>
      </c>
      <c r="I1663" s="76" t="s">
        <v>6603</v>
      </c>
      <c r="J1663" s="76" t="s">
        <v>2979</v>
      </c>
      <c r="K1663" s="38" t="s">
        <v>6604</v>
      </c>
      <c r="L1663" s="38"/>
      <c r="M1663" s="56"/>
      <c r="N1663" s="56" t="b">
        <v>0</v>
      </c>
      <c r="O1663" s="56" t="b">
        <v>0</v>
      </c>
      <c r="P1663" s="56"/>
      <c r="Q1663" s="56"/>
      <c r="R1663" s="56"/>
      <c r="S1663" s="56"/>
      <c r="T1663" s="56"/>
      <c r="U1663" s="56"/>
      <c r="V1663" s="56"/>
      <c r="W1663" s="56"/>
      <c r="X1663" s="56"/>
      <c r="Y1663" s="56"/>
      <c r="Z1663" s="56"/>
      <c r="AA1663" s="56"/>
      <c r="AB1663" s="56"/>
    </row>
    <row r="1664" ht="15.75" customHeight="1">
      <c r="A1664" s="169"/>
      <c r="B1664" s="63"/>
      <c r="C1664" s="31" t="s">
        <v>53</v>
      </c>
      <c r="D1664" s="38"/>
      <c r="E1664" s="38"/>
      <c r="F1664" s="65"/>
      <c r="G1664" s="66"/>
      <c r="H1664" s="39"/>
      <c r="I1664" s="38"/>
      <c r="J1664" s="38"/>
      <c r="K1664" s="38"/>
      <c r="L1664" s="38"/>
      <c r="M1664" s="56"/>
      <c r="N1664" s="56" t="b">
        <v>0</v>
      </c>
      <c r="O1664" s="56" t="b">
        <v>0</v>
      </c>
      <c r="P1664" s="56"/>
      <c r="Q1664" s="56"/>
      <c r="R1664" s="56"/>
      <c r="S1664" s="56"/>
      <c r="T1664" s="56"/>
      <c r="U1664" s="56"/>
      <c r="V1664" s="56"/>
      <c r="W1664" s="56"/>
      <c r="X1664" s="56"/>
      <c r="Y1664" s="56"/>
      <c r="Z1664" s="56"/>
      <c r="AA1664" s="56"/>
      <c r="AB1664" s="56"/>
    </row>
    <row r="1665" ht="15.75" customHeight="1">
      <c r="A1665" s="169"/>
      <c r="B1665" s="69"/>
      <c r="C1665" s="31"/>
      <c r="D1665" s="38"/>
      <c r="E1665" s="38"/>
      <c r="F1665" s="65"/>
      <c r="G1665" s="66"/>
      <c r="H1665" s="38"/>
      <c r="I1665" s="38"/>
      <c r="J1665" s="38"/>
      <c r="K1665" s="38"/>
      <c r="L1665" s="38"/>
      <c r="M1665" s="56"/>
      <c r="N1665" s="56" t="b">
        <v>0</v>
      </c>
      <c r="O1665" s="56" t="b">
        <v>0</v>
      </c>
      <c r="P1665" s="56"/>
      <c r="Q1665" s="56"/>
      <c r="R1665" s="56"/>
      <c r="S1665" s="56"/>
      <c r="T1665" s="56"/>
      <c r="U1665" s="56"/>
      <c r="V1665" s="56"/>
      <c r="W1665" s="56"/>
      <c r="X1665" s="56"/>
      <c r="Y1665" s="56"/>
      <c r="Z1665" s="56"/>
      <c r="AA1665" s="56"/>
      <c r="AB1665" s="56"/>
    </row>
    <row r="1666" ht="15.75" customHeight="1">
      <c r="A1666" s="169"/>
      <c r="B1666" s="299"/>
      <c r="C1666" s="300">
        <v>44537.0</v>
      </c>
      <c r="D1666" s="38"/>
      <c r="E1666" s="38"/>
      <c r="F1666" s="65"/>
      <c r="G1666" s="66"/>
      <c r="H1666" s="38"/>
      <c r="I1666" s="38"/>
      <c r="J1666" s="38"/>
      <c r="K1666" s="38"/>
      <c r="L1666" s="38"/>
      <c r="M1666" s="56"/>
      <c r="N1666" s="56" t="b">
        <v>0</v>
      </c>
      <c r="O1666" s="56" t="b">
        <v>0</v>
      </c>
      <c r="P1666" s="56"/>
      <c r="Q1666" s="56"/>
      <c r="R1666" s="56"/>
      <c r="S1666" s="56"/>
      <c r="T1666" s="56"/>
      <c r="U1666" s="56"/>
      <c r="V1666" s="56"/>
      <c r="W1666" s="56"/>
      <c r="X1666" s="56"/>
      <c r="Y1666" s="56"/>
      <c r="Z1666" s="56"/>
      <c r="AA1666" s="56"/>
      <c r="AB1666" s="56"/>
    </row>
    <row r="1667" ht="15.75" customHeight="1">
      <c r="A1667" s="169"/>
      <c r="B1667" s="219" t="s">
        <v>4836</v>
      </c>
      <c r="C1667" s="31"/>
      <c r="D1667" s="38"/>
      <c r="E1667" s="38"/>
      <c r="F1667" s="65"/>
      <c r="G1667" s="66"/>
      <c r="H1667" s="38"/>
      <c r="I1667" s="38"/>
      <c r="J1667" s="38"/>
      <c r="K1667" s="38"/>
      <c r="L1667" s="38"/>
      <c r="M1667" s="56"/>
      <c r="N1667" s="56" t="b">
        <v>0</v>
      </c>
      <c r="O1667" s="56" t="b">
        <v>0</v>
      </c>
      <c r="P1667" s="56"/>
      <c r="Q1667" s="56"/>
      <c r="R1667" s="56"/>
      <c r="S1667" s="56"/>
      <c r="T1667" s="56"/>
      <c r="U1667" s="56"/>
      <c r="V1667" s="56"/>
      <c r="W1667" s="56"/>
      <c r="X1667" s="56"/>
      <c r="Y1667" s="56"/>
      <c r="Z1667" s="56"/>
      <c r="AA1667" s="56"/>
      <c r="AB1667" s="56"/>
    </row>
    <row r="1668" ht="15.75" customHeight="1">
      <c r="A1668" s="169"/>
      <c r="B1668" s="63"/>
      <c r="C1668" s="31" t="s">
        <v>53</v>
      </c>
      <c r="D1668" s="27" t="s">
        <v>89</v>
      </c>
      <c r="E1668" s="242" t="s">
        <v>703</v>
      </c>
      <c r="F1668" s="242" t="s">
        <v>704</v>
      </c>
      <c r="G1668" s="73" t="s">
        <v>4851</v>
      </c>
      <c r="H1668" s="62" t="s">
        <v>6605</v>
      </c>
      <c r="I1668" s="62" t="s">
        <v>6606</v>
      </c>
      <c r="J1668" s="242" t="s">
        <v>706</v>
      </c>
      <c r="K1668" s="38"/>
      <c r="L1668" s="38"/>
      <c r="M1668" s="56"/>
      <c r="N1668" s="56" t="b">
        <v>0</v>
      </c>
      <c r="O1668" s="56" t="b">
        <v>0</v>
      </c>
      <c r="P1668" s="56"/>
      <c r="Q1668" s="56"/>
      <c r="R1668" s="56"/>
      <c r="S1668" s="56"/>
      <c r="T1668" s="56"/>
      <c r="U1668" s="56"/>
      <c r="V1668" s="56"/>
      <c r="W1668" s="56"/>
      <c r="X1668" s="56"/>
      <c r="Y1668" s="56"/>
      <c r="Z1668" s="56"/>
      <c r="AA1668" s="56"/>
      <c r="AB1668" s="56"/>
    </row>
    <row r="1669" ht="15.75" customHeight="1">
      <c r="A1669" s="169"/>
      <c r="B1669" s="63"/>
      <c r="C1669" s="31" t="s">
        <v>53</v>
      </c>
      <c r="D1669" s="27" t="s">
        <v>89</v>
      </c>
      <c r="E1669" s="242" t="s">
        <v>349</v>
      </c>
      <c r="F1669" s="242" t="s">
        <v>350</v>
      </c>
      <c r="G1669" s="73" t="s">
        <v>4887</v>
      </c>
      <c r="H1669" s="62" t="s">
        <v>6607</v>
      </c>
      <c r="I1669" s="242" t="s">
        <v>6608</v>
      </c>
      <c r="J1669" s="242" t="s">
        <v>353</v>
      </c>
      <c r="K1669" s="38"/>
      <c r="L1669" s="38"/>
      <c r="M1669" s="56"/>
      <c r="N1669" s="56" t="b">
        <v>0</v>
      </c>
      <c r="O1669" s="56" t="b">
        <v>0</v>
      </c>
      <c r="P1669" s="56"/>
      <c r="Q1669" s="56"/>
      <c r="R1669" s="56"/>
      <c r="S1669" s="56"/>
      <c r="T1669" s="56"/>
      <c r="U1669" s="56"/>
      <c r="V1669" s="56"/>
      <c r="W1669" s="56"/>
      <c r="X1669" s="56"/>
      <c r="Y1669" s="56"/>
      <c r="Z1669" s="56"/>
      <c r="AA1669" s="56"/>
      <c r="AB1669" s="56"/>
    </row>
    <row r="1670" ht="15.75" customHeight="1">
      <c r="A1670" s="169"/>
      <c r="B1670" s="63"/>
      <c r="C1670" s="31" t="s">
        <v>53</v>
      </c>
      <c r="D1670" s="27" t="s">
        <v>89</v>
      </c>
      <c r="E1670" s="242" t="s">
        <v>3950</v>
      </c>
      <c r="F1670" s="242" t="s">
        <v>3951</v>
      </c>
      <c r="G1670" s="73" t="s">
        <v>4892</v>
      </c>
      <c r="H1670" s="62" t="s">
        <v>5863</v>
      </c>
      <c r="I1670" s="62" t="s">
        <v>6609</v>
      </c>
      <c r="J1670" s="242" t="s">
        <v>3953</v>
      </c>
      <c r="K1670" s="38"/>
      <c r="L1670" s="38"/>
      <c r="M1670" s="56"/>
      <c r="N1670" s="56" t="b">
        <v>0</v>
      </c>
      <c r="O1670" s="56" t="b">
        <v>0</v>
      </c>
      <c r="P1670" s="56"/>
      <c r="Q1670" s="56"/>
      <c r="R1670" s="56"/>
      <c r="S1670" s="56"/>
      <c r="T1670" s="56"/>
      <c r="U1670" s="56"/>
      <c r="V1670" s="56"/>
      <c r="W1670" s="56"/>
      <c r="X1670" s="56"/>
      <c r="Y1670" s="56"/>
      <c r="Z1670" s="56"/>
      <c r="AA1670" s="56"/>
      <c r="AB1670" s="56"/>
    </row>
    <row r="1671" ht="15.75" customHeight="1">
      <c r="A1671" s="169"/>
      <c r="B1671" s="63"/>
      <c r="C1671" s="31" t="s">
        <v>53</v>
      </c>
      <c r="D1671" s="27" t="s">
        <v>89</v>
      </c>
      <c r="E1671" s="242" t="s">
        <v>2165</v>
      </c>
      <c r="F1671" s="242" t="s">
        <v>2166</v>
      </c>
      <c r="G1671" s="73" t="s">
        <v>4858</v>
      </c>
      <c r="H1671" s="62" t="s">
        <v>5863</v>
      </c>
      <c r="I1671" s="62" t="s">
        <v>6610</v>
      </c>
      <c r="J1671" s="242" t="s">
        <v>2167</v>
      </c>
      <c r="K1671" s="38"/>
      <c r="L1671" s="38"/>
      <c r="M1671" s="56"/>
      <c r="N1671" s="56" t="b">
        <v>0</v>
      </c>
      <c r="O1671" s="56" t="b">
        <v>0</v>
      </c>
      <c r="P1671" s="56"/>
      <c r="Q1671" s="56"/>
      <c r="R1671" s="56"/>
      <c r="S1671" s="56"/>
      <c r="T1671" s="56"/>
      <c r="U1671" s="56"/>
      <c r="V1671" s="56"/>
      <c r="W1671" s="56"/>
      <c r="X1671" s="56"/>
      <c r="Y1671" s="56"/>
      <c r="Z1671" s="56"/>
      <c r="AA1671" s="56"/>
      <c r="AB1671" s="56"/>
    </row>
    <row r="1672" ht="15.75" customHeight="1">
      <c r="A1672" s="169"/>
      <c r="B1672" s="63"/>
      <c r="C1672" s="31" t="s">
        <v>53</v>
      </c>
      <c r="D1672" s="202" t="s">
        <v>89</v>
      </c>
      <c r="E1672" s="203" t="s">
        <v>837</v>
      </c>
      <c r="F1672" s="203" t="s">
        <v>838</v>
      </c>
      <c r="G1672" s="82" t="s">
        <v>4899</v>
      </c>
      <c r="H1672" s="76" t="s">
        <v>6300</v>
      </c>
      <c r="I1672" s="76" t="s">
        <v>6611</v>
      </c>
      <c r="J1672" s="76" t="s">
        <v>840</v>
      </c>
      <c r="K1672" s="38" t="s">
        <v>6612</v>
      </c>
      <c r="L1672" s="38"/>
      <c r="M1672" s="56"/>
      <c r="N1672" s="56" t="b">
        <v>0</v>
      </c>
      <c r="O1672" s="56" t="b">
        <v>0</v>
      </c>
      <c r="P1672" s="56"/>
      <c r="Q1672" s="56"/>
      <c r="R1672" s="56"/>
      <c r="S1672" s="56"/>
      <c r="T1672" s="56"/>
      <c r="U1672" s="56"/>
      <c r="V1672" s="56"/>
      <c r="W1672" s="56"/>
      <c r="X1672" s="56"/>
      <c r="Y1672" s="56"/>
      <c r="Z1672" s="56"/>
      <c r="AA1672" s="56"/>
      <c r="AB1672" s="56"/>
    </row>
    <row r="1673" ht="15.75" customHeight="1">
      <c r="A1673" s="169"/>
      <c r="B1673" s="69"/>
      <c r="C1673" s="31"/>
      <c r="D1673" s="38"/>
      <c r="F1673" s="65"/>
      <c r="G1673" s="66"/>
      <c r="H1673" s="38"/>
      <c r="I1673" s="38"/>
      <c r="J1673" s="38"/>
      <c r="K1673" s="38"/>
      <c r="L1673" s="38"/>
      <c r="M1673" s="56"/>
      <c r="N1673" s="56" t="b">
        <v>0</v>
      </c>
      <c r="O1673" s="56" t="b">
        <v>0</v>
      </c>
      <c r="P1673" s="56"/>
      <c r="Q1673" s="56"/>
      <c r="R1673" s="56"/>
      <c r="S1673" s="56"/>
      <c r="T1673" s="56"/>
      <c r="U1673" s="56"/>
      <c r="V1673" s="56"/>
      <c r="W1673" s="56"/>
      <c r="X1673" s="56"/>
      <c r="Y1673" s="56"/>
      <c r="Z1673" s="56"/>
      <c r="AA1673" s="56"/>
      <c r="AB1673" s="56"/>
    </row>
    <row r="1674" ht="15.75" customHeight="1">
      <c r="A1674" s="169"/>
      <c r="B1674" s="273" t="s">
        <v>6168</v>
      </c>
      <c r="C1674" s="22" t="s">
        <v>66</v>
      </c>
      <c r="D1674" s="76" t="s">
        <v>52</v>
      </c>
      <c r="E1674" s="203" t="s">
        <v>172</v>
      </c>
      <c r="F1674" s="203" t="s">
        <v>173</v>
      </c>
      <c r="G1674" s="82" t="s">
        <v>4851</v>
      </c>
      <c r="H1674" s="76" t="s">
        <v>5749</v>
      </c>
      <c r="I1674" s="76" t="s">
        <v>6613</v>
      </c>
      <c r="J1674" s="203" t="s">
        <v>176</v>
      </c>
      <c r="K1674" s="38" t="s">
        <v>6614</v>
      </c>
      <c r="L1674" s="38"/>
      <c r="M1674" s="56"/>
      <c r="N1674" s="56" t="b">
        <v>0</v>
      </c>
      <c r="O1674" s="56" t="b">
        <v>0</v>
      </c>
      <c r="P1674" s="56"/>
      <c r="Q1674" s="56"/>
      <c r="R1674" s="56"/>
      <c r="S1674" s="56"/>
      <c r="T1674" s="56"/>
      <c r="U1674" s="56"/>
      <c r="V1674" s="56"/>
      <c r="W1674" s="56"/>
      <c r="X1674" s="56"/>
      <c r="Y1674" s="56"/>
      <c r="Z1674" s="56"/>
      <c r="AA1674" s="56"/>
      <c r="AB1674" s="56"/>
    </row>
    <row r="1675" ht="15.75" customHeight="1">
      <c r="A1675" s="169"/>
      <c r="B1675" s="63"/>
      <c r="C1675" s="22" t="s">
        <v>66</v>
      </c>
      <c r="D1675" s="76" t="s">
        <v>103</v>
      </c>
      <c r="E1675" s="203" t="s">
        <v>687</v>
      </c>
      <c r="F1675" s="203" t="s">
        <v>688</v>
      </c>
      <c r="G1675" s="82" t="s">
        <v>4887</v>
      </c>
      <c r="H1675" s="76" t="s">
        <v>5773</v>
      </c>
      <c r="I1675" s="76" t="s">
        <v>6615</v>
      </c>
      <c r="J1675" s="203" t="s">
        <v>690</v>
      </c>
      <c r="K1675" s="38" t="s">
        <v>6616</v>
      </c>
      <c r="L1675" s="38"/>
      <c r="M1675" s="56"/>
      <c r="N1675" s="56" t="b">
        <v>0</v>
      </c>
      <c r="O1675" s="56" t="b">
        <v>0</v>
      </c>
      <c r="P1675" s="56"/>
      <c r="Q1675" s="56"/>
      <c r="R1675" s="56"/>
      <c r="S1675" s="56"/>
      <c r="T1675" s="56"/>
      <c r="U1675" s="56"/>
      <c r="V1675" s="56"/>
      <c r="W1675" s="56"/>
      <c r="X1675" s="56"/>
      <c r="Y1675" s="56"/>
      <c r="Z1675" s="56"/>
      <c r="AA1675" s="56"/>
      <c r="AB1675" s="56"/>
    </row>
    <row r="1676" ht="15.75" customHeight="1">
      <c r="A1676" s="169"/>
      <c r="B1676" s="63"/>
      <c r="C1676" s="22" t="s">
        <v>66</v>
      </c>
      <c r="D1676" s="62" t="s">
        <v>52</v>
      </c>
      <c r="E1676" s="60" t="s">
        <v>1995</v>
      </c>
      <c r="F1676" s="60" t="s">
        <v>1996</v>
      </c>
      <c r="G1676" s="73" t="s">
        <v>4892</v>
      </c>
      <c r="H1676" s="62" t="s">
        <v>6617</v>
      </c>
      <c r="I1676" s="62" t="s">
        <v>6618</v>
      </c>
      <c r="J1676" s="242" t="s">
        <v>1999</v>
      </c>
      <c r="K1676" s="38"/>
      <c r="L1676" s="38"/>
      <c r="M1676" s="56"/>
      <c r="N1676" s="56" t="b">
        <v>0</v>
      </c>
      <c r="O1676" s="56" t="b">
        <v>0</v>
      </c>
      <c r="P1676" s="56"/>
      <c r="Q1676" s="56"/>
      <c r="R1676" s="56"/>
      <c r="S1676" s="56"/>
      <c r="T1676" s="56"/>
      <c r="U1676" s="56"/>
      <c r="V1676" s="56"/>
      <c r="W1676" s="56"/>
      <c r="X1676" s="56"/>
      <c r="Y1676" s="56"/>
      <c r="Z1676" s="56"/>
      <c r="AA1676" s="56"/>
      <c r="AB1676" s="56"/>
    </row>
    <row r="1677" ht="15.75" customHeight="1">
      <c r="A1677" s="169"/>
      <c r="B1677" s="63"/>
      <c r="C1677" s="22" t="s">
        <v>66</v>
      </c>
      <c r="D1677" s="38"/>
      <c r="E1677" s="38"/>
      <c r="F1677" s="65"/>
      <c r="G1677" s="66"/>
      <c r="H1677" s="38"/>
      <c r="I1677" s="38"/>
      <c r="J1677" s="38"/>
      <c r="K1677" s="38"/>
      <c r="L1677" s="38"/>
      <c r="M1677" s="56"/>
      <c r="N1677" s="56" t="b">
        <v>0</v>
      </c>
      <c r="O1677" s="56" t="b">
        <v>0</v>
      </c>
      <c r="P1677" s="56"/>
      <c r="Q1677" s="56"/>
      <c r="R1677" s="56"/>
      <c r="S1677" s="56"/>
      <c r="T1677" s="56"/>
      <c r="U1677" s="56"/>
      <c r="V1677" s="56"/>
      <c r="W1677" s="56"/>
      <c r="X1677" s="56"/>
      <c r="Y1677" s="56"/>
      <c r="Z1677" s="56"/>
      <c r="AA1677" s="56"/>
      <c r="AB1677" s="56"/>
    </row>
    <row r="1678" ht="15.75" customHeight="1">
      <c r="A1678" s="169"/>
      <c r="B1678" s="63"/>
      <c r="C1678" s="22" t="s">
        <v>66</v>
      </c>
      <c r="D1678" s="38"/>
      <c r="E1678" s="38"/>
      <c r="F1678" s="65"/>
      <c r="G1678" s="66"/>
      <c r="H1678" s="38"/>
      <c r="I1678" s="38"/>
      <c r="J1678" s="38"/>
      <c r="K1678" s="38"/>
      <c r="L1678" s="38"/>
      <c r="M1678" s="56"/>
      <c r="N1678" s="56" t="b">
        <v>0</v>
      </c>
      <c r="O1678" s="56" t="b">
        <v>0</v>
      </c>
      <c r="P1678" s="56"/>
      <c r="Q1678" s="56"/>
      <c r="R1678" s="56"/>
      <c r="S1678" s="56"/>
      <c r="T1678" s="56"/>
      <c r="U1678" s="56"/>
      <c r="V1678" s="56"/>
      <c r="W1678" s="56"/>
      <c r="X1678" s="56"/>
      <c r="Y1678" s="56"/>
      <c r="Z1678" s="56"/>
      <c r="AA1678" s="56"/>
      <c r="AB1678" s="56"/>
    </row>
    <row r="1679" ht="15.75" customHeight="1">
      <c r="A1679" s="169"/>
      <c r="B1679" s="69"/>
      <c r="C1679" s="22"/>
      <c r="D1679" s="38"/>
      <c r="E1679" s="38"/>
      <c r="F1679" s="65"/>
      <c r="G1679" s="66"/>
      <c r="H1679" s="38"/>
      <c r="I1679" s="38"/>
      <c r="J1679" s="38"/>
      <c r="K1679" s="38"/>
      <c r="L1679" s="38"/>
      <c r="M1679" s="56"/>
      <c r="N1679" s="56" t="b">
        <v>0</v>
      </c>
      <c r="O1679" s="56" t="b">
        <v>0</v>
      </c>
      <c r="P1679" s="56"/>
      <c r="Q1679" s="56"/>
      <c r="R1679" s="56"/>
      <c r="S1679" s="56"/>
      <c r="T1679" s="56"/>
      <c r="U1679" s="56"/>
      <c r="V1679" s="56"/>
      <c r="W1679" s="56"/>
      <c r="X1679" s="56"/>
      <c r="Y1679" s="56"/>
      <c r="Z1679" s="56"/>
      <c r="AA1679" s="56"/>
      <c r="AB1679" s="56"/>
    </row>
    <row r="1680" ht="15.75" customHeight="1">
      <c r="A1680" s="169"/>
      <c r="B1680" s="299"/>
      <c r="C1680" s="300">
        <v>44538.0</v>
      </c>
      <c r="D1680" s="38"/>
      <c r="E1680" s="38"/>
      <c r="F1680" s="65"/>
      <c r="G1680" s="66"/>
      <c r="H1680" s="38"/>
      <c r="I1680" s="38"/>
      <c r="J1680" s="38"/>
      <c r="K1680" s="38"/>
      <c r="L1680" s="38"/>
      <c r="M1680" s="56"/>
      <c r="N1680" s="56" t="b">
        <v>0</v>
      </c>
      <c r="O1680" s="56" t="b">
        <v>0</v>
      </c>
      <c r="P1680" s="56"/>
      <c r="Q1680" s="56"/>
      <c r="R1680" s="56"/>
      <c r="S1680" s="56"/>
      <c r="T1680" s="56"/>
      <c r="U1680" s="56"/>
      <c r="V1680" s="56"/>
      <c r="W1680" s="56"/>
      <c r="X1680" s="56"/>
      <c r="Y1680" s="56"/>
      <c r="Z1680" s="56"/>
      <c r="AA1680" s="56"/>
      <c r="AB1680" s="56"/>
    </row>
    <row r="1681" ht="15.75" customHeight="1">
      <c r="A1681" s="169"/>
      <c r="B1681" s="219" t="s">
        <v>4836</v>
      </c>
      <c r="C1681" s="31"/>
      <c r="D1681" s="38"/>
      <c r="E1681" s="38"/>
      <c r="F1681" s="65"/>
      <c r="G1681" s="66"/>
      <c r="H1681" s="38"/>
      <c r="I1681" s="38"/>
      <c r="J1681" s="38"/>
      <c r="K1681" s="38"/>
      <c r="L1681" s="38"/>
      <c r="M1681" s="56"/>
      <c r="N1681" s="56" t="b">
        <v>0</v>
      </c>
      <c r="O1681" s="56" t="b">
        <v>0</v>
      </c>
      <c r="P1681" s="56"/>
      <c r="Q1681" s="56"/>
      <c r="R1681" s="56"/>
      <c r="S1681" s="56"/>
      <c r="T1681" s="56"/>
      <c r="U1681" s="56"/>
      <c r="V1681" s="56"/>
      <c r="W1681" s="56"/>
      <c r="X1681" s="56"/>
      <c r="Y1681" s="56"/>
      <c r="Z1681" s="56"/>
      <c r="AA1681" s="56"/>
      <c r="AB1681" s="56"/>
    </row>
    <row r="1682" ht="15.75" customHeight="1">
      <c r="A1682" s="169"/>
      <c r="B1682" s="63"/>
      <c r="C1682" s="31" t="s">
        <v>53</v>
      </c>
      <c r="D1682" s="27" t="s">
        <v>89</v>
      </c>
      <c r="E1682" s="60" t="s">
        <v>4772</v>
      </c>
      <c r="F1682" s="60" t="s">
        <v>4773</v>
      </c>
      <c r="G1682" s="73" t="s">
        <v>4851</v>
      </c>
      <c r="H1682" s="62" t="s">
        <v>6607</v>
      </c>
      <c r="I1682" s="62" t="s">
        <v>6619</v>
      </c>
      <c r="J1682" s="60" t="s">
        <v>4775</v>
      </c>
      <c r="K1682" s="38"/>
      <c r="L1682" s="38"/>
      <c r="M1682" s="56"/>
      <c r="N1682" s="56" t="b">
        <v>0</v>
      </c>
      <c r="O1682" s="56" t="b">
        <v>0</v>
      </c>
      <c r="P1682" s="56"/>
      <c r="Q1682" s="56"/>
      <c r="R1682" s="56"/>
      <c r="S1682" s="56"/>
      <c r="T1682" s="56"/>
      <c r="U1682" s="56"/>
      <c r="V1682" s="56"/>
      <c r="W1682" s="56"/>
      <c r="X1682" s="56"/>
      <c r="Y1682" s="56"/>
      <c r="Z1682" s="56"/>
      <c r="AA1682" s="56"/>
      <c r="AB1682" s="56"/>
    </row>
    <row r="1683" ht="15.75" customHeight="1">
      <c r="A1683" s="169"/>
      <c r="B1683" s="63"/>
      <c r="C1683" s="31" t="s">
        <v>53</v>
      </c>
      <c r="D1683" s="62" t="s">
        <v>314</v>
      </c>
      <c r="E1683" s="60" t="s">
        <v>3771</v>
      </c>
      <c r="F1683" s="60" t="s">
        <v>3772</v>
      </c>
      <c r="G1683" s="73" t="s">
        <v>4854</v>
      </c>
      <c r="H1683" s="62" t="s">
        <v>5807</v>
      </c>
      <c r="I1683" s="62" t="s">
        <v>6620</v>
      </c>
      <c r="J1683" s="60" t="s">
        <v>3774</v>
      </c>
      <c r="K1683" s="38" t="s">
        <v>6621</v>
      </c>
      <c r="L1683" s="38"/>
      <c r="M1683" s="56"/>
      <c r="N1683" s="56" t="b">
        <v>0</v>
      </c>
      <c r="O1683" s="56" t="b">
        <v>0</v>
      </c>
      <c r="P1683" s="56"/>
      <c r="Q1683" s="56"/>
      <c r="R1683" s="56"/>
      <c r="S1683" s="56"/>
      <c r="T1683" s="56"/>
      <c r="U1683" s="56"/>
      <c r="V1683" s="56"/>
      <c r="W1683" s="56"/>
      <c r="X1683" s="56"/>
      <c r="Y1683" s="56"/>
      <c r="Z1683" s="56"/>
      <c r="AA1683" s="56"/>
      <c r="AB1683" s="56"/>
    </row>
    <row r="1684" ht="15.75" customHeight="1">
      <c r="A1684" s="169"/>
      <c r="B1684" s="63"/>
      <c r="C1684" s="31" t="s">
        <v>53</v>
      </c>
      <c r="D1684" s="62" t="s">
        <v>314</v>
      </c>
      <c r="E1684" s="60" t="s">
        <v>4666</v>
      </c>
      <c r="F1684" s="60" t="s">
        <v>4667</v>
      </c>
      <c r="G1684" s="73" t="s">
        <v>4856</v>
      </c>
      <c r="H1684" s="62" t="s">
        <v>6622</v>
      </c>
      <c r="I1684" s="62" t="s">
        <v>6623</v>
      </c>
      <c r="J1684" s="60" t="s">
        <v>4669</v>
      </c>
      <c r="K1684" s="38"/>
      <c r="L1684" s="38"/>
      <c r="M1684" s="56"/>
      <c r="N1684" s="56" t="b">
        <v>0</v>
      </c>
      <c r="O1684" s="56" t="b">
        <v>0</v>
      </c>
      <c r="P1684" s="56"/>
      <c r="Q1684" s="56"/>
      <c r="R1684" s="56"/>
      <c r="S1684" s="56"/>
      <c r="T1684" s="56"/>
      <c r="U1684" s="56"/>
      <c r="V1684" s="56"/>
      <c r="W1684" s="56"/>
      <c r="X1684" s="56"/>
      <c r="Y1684" s="56"/>
      <c r="Z1684" s="56"/>
      <c r="AA1684" s="56"/>
      <c r="AB1684" s="56"/>
    </row>
    <row r="1685" ht="15.75" customHeight="1">
      <c r="A1685" s="169"/>
      <c r="B1685" s="63"/>
      <c r="C1685" s="31" t="s">
        <v>53</v>
      </c>
      <c r="D1685" s="202" t="s">
        <v>103</v>
      </c>
      <c r="E1685" s="77" t="s">
        <v>4662</v>
      </c>
      <c r="F1685" s="77" t="s">
        <v>4663</v>
      </c>
      <c r="G1685" s="82" t="s">
        <v>4896</v>
      </c>
      <c r="H1685" s="76" t="s">
        <v>5344</v>
      </c>
      <c r="I1685" s="76" t="s">
        <v>6624</v>
      </c>
      <c r="J1685" s="77" t="s">
        <v>1788</v>
      </c>
      <c r="K1685" s="38" t="s">
        <v>6625</v>
      </c>
      <c r="L1685" s="38"/>
      <c r="M1685" s="56"/>
      <c r="N1685" s="56" t="b">
        <v>0</v>
      </c>
      <c r="O1685" s="56" t="b">
        <v>0</v>
      </c>
      <c r="P1685" s="56"/>
      <c r="Q1685" s="56"/>
      <c r="R1685" s="56"/>
      <c r="S1685" s="56"/>
      <c r="T1685" s="56"/>
      <c r="U1685" s="56"/>
      <c r="V1685" s="56"/>
      <c r="W1685" s="56"/>
      <c r="X1685" s="56"/>
      <c r="Y1685" s="56"/>
      <c r="Z1685" s="56"/>
      <c r="AA1685" s="56"/>
      <c r="AB1685" s="56"/>
    </row>
    <row r="1686" ht="15.75" customHeight="1">
      <c r="A1686" s="169"/>
      <c r="B1686" s="63"/>
      <c r="C1686" s="31" t="s">
        <v>53</v>
      </c>
      <c r="D1686" s="38"/>
      <c r="E1686" s="38"/>
      <c r="F1686" s="65"/>
      <c r="G1686" s="66"/>
      <c r="H1686" s="38"/>
      <c r="I1686" s="38"/>
      <c r="J1686" s="38"/>
      <c r="K1686" s="38"/>
      <c r="L1686" s="38"/>
      <c r="M1686" s="56"/>
      <c r="N1686" s="56" t="b">
        <v>0</v>
      </c>
      <c r="O1686" s="56" t="b">
        <v>0</v>
      </c>
      <c r="P1686" s="56"/>
      <c r="Q1686" s="56"/>
      <c r="R1686" s="56"/>
      <c r="S1686" s="56"/>
      <c r="T1686" s="56"/>
      <c r="U1686" s="56"/>
      <c r="V1686" s="56"/>
      <c r="W1686" s="56"/>
      <c r="X1686" s="56"/>
      <c r="Y1686" s="56"/>
      <c r="Z1686" s="56"/>
      <c r="AA1686" s="56"/>
      <c r="AB1686" s="56"/>
    </row>
    <row r="1687" ht="15.75" customHeight="1">
      <c r="A1687" s="169"/>
      <c r="B1687" s="69"/>
      <c r="C1687" s="31"/>
      <c r="D1687" s="38"/>
      <c r="E1687" s="38"/>
      <c r="F1687" s="65"/>
      <c r="G1687" s="66"/>
      <c r="H1687" s="38"/>
      <c r="I1687" s="38"/>
      <c r="J1687" s="38"/>
      <c r="K1687" s="38"/>
      <c r="L1687" s="38"/>
      <c r="M1687" s="56"/>
      <c r="N1687" s="56" t="b">
        <v>0</v>
      </c>
      <c r="O1687" s="56" t="b">
        <v>0</v>
      </c>
      <c r="P1687" s="56"/>
      <c r="Q1687" s="56"/>
      <c r="R1687" s="56"/>
      <c r="S1687" s="56"/>
      <c r="T1687" s="56"/>
      <c r="U1687" s="56"/>
      <c r="V1687" s="56"/>
      <c r="W1687" s="56"/>
      <c r="X1687" s="56"/>
      <c r="Y1687" s="56"/>
      <c r="Z1687" s="56"/>
      <c r="AA1687" s="56"/>
      <c r="AB1687" s="56"/>
    </row>
    <row r="1688" ht="15.75" customHeight="1">
      <c r="A1688" s="169"/>
      <c r="B1688" s="273" t="s">
        <v>6168</v>
      </c>
      <c r="C1688" s="22" t="s">
        <v>66</v>
      </c>
      <c r="D1688" s="137"/>
      <c r="E1688" s="253"/>
      <c r="F1688" s="253"/>
      <c r="G1688" s="140"/>
      <c r="H1688" s="137"/>
      <c r="I1688" s="137"/>
      <c r="J1688" s="253"/>
      <c r="K1688" s="137"/>
      <c r="L1688" s="137"/>
      <c r="M1688" s="56"/>
      <c r="N1688" s="56" t="b">
        <v>0</v>
      </c>
      <c r="O1688" s="56" t="b">
        <v>0</v>
      </c>
      <c r="P1688" s="56"/>
      <c r="Q1688" s="56"/>
      <c r="R1688" s="56"/>
      <c r="S1688" s="56"/>
      <c r="T1688" s="56"/>
      <c r="U1688" s="56"/>
      <c r="V1688" s="56"/>
      <c r="W1688" s="56"/>
      <c r="X1688" s="56"/>
      <c r="Y1688" s="56"/>
      <c r="Z1688" s="56"/>
      <c r="AA1688" s="56"/>
      <c r="AB1688" s="56"/>
    </row>
    <row r="1689" ht="15.75" customHeight="1">
      <c r="A1689" s="169"/>
      <c r="B1689" s="63"/>
      <c r="C1689" s="22" t="s">
        <v>66</v>
      </c>
      <c r="D1689" s="38"/>
      <c r="E1689" s="162" t="s">
        <v>5784</v>
      </c>
      <c r="F1689" s="155"/>
      <c r="G1689" s="66"/>
      <c r="H1689" s="38"/>
      <c r="I1689" s="38"/>
      <c r="J1689" s="38"/>
      <c r="K1689" s="38"/>
      <c r="L1689" s="38"/>
      <c r="M1689" s="56"/>
      <c r="N1689" s="56" t="b">
        <v>0</v>
      </c>
      <c r="O1689" s="56" t="b">
        <v>0</v>
      </c>
      <c r="P1689" s="56"/>
      <c r="Q1689" s="56"/>
      <c r="R1689" s="56"/>
      <c r="S1689" s="56"/>
      <c r="T1689" s="56"/>
      <c r="U1689" s="56"/>
      <c r="V1689" s="56"/>
      <c r="W1689" s="56"/>
      <c r="X1689" s="56"/>
      <c r="Y1689" s="56"/>
      <c r="Z1689" s="56"/>
      <c r="AA1689" s="56"/>
      <c r="AB1689" s="56"/>
    </row>
    <row r="1690" ht="15.75" customHeight="1">
      <c r="A1690" s="169"/>
      <c r="B1690" s="63"/>
      <c r="C1690" s="22" t="s">
        <v>66</v>
      </c>
      <c r="D1690" s="38"/>
      <c r="E1690" s="156"/>
      <c r="F1690" s="157"/>
      <c r="G1690" s="66"/>
      <c r="H1690" s="38"/>
      <c r="I1690" s="38"/>
      <c r="J1690" s="38"/>
      <c r="K1690" s="38"/>
      <c r="L1690" s="38"/>
      <c r="M1690" s="56"/>
      <c r="N1690" s="56" t="b">
        <v>0</v>
      </c>
      <c r="O1690" s="56" t="b">
        <v>0</v>
      </c>
      <c r="P1690" s="56"/>
      <c r="Q1690" s="56"/>
      <c r="R1690" s="56"/>
      <c r="S1690" s="56"/>
      <c r="T1690" s="56"/>
      <c r="U1690" s="56"/>
      <c r="V1690" s="56"/>
      <c r="W1690" s="56"/>
      <c r="X1690" s="56"/>
      <c r="Y1690" s="56"/>
      <c r="Z1690" s="56"/>
      <c r="AA1690" s="56"/>
      <c r="AB1690" s="56"/>
    </row>
    <row r="1691" ht="15.75" customHeight="1">
      <c r="A1691" s="169"/>
      <c r="B1691" s="63"/>
      <c r="C1691" s="22" t="s">
        <v>66</v>
      </c>
      <c r="D1691" s="38"/>
      <c r="E1691" s="158"/>
      <c r="F1691" s="159"/>
      <c r="G1691" s="66"/>
      <c r="H1691" s="38"/>
      <c r="I1691" s="38"/>
      <c r="J1691" s="38"/>
      <c r="K1691" s="38"/>
      <c r="L1691" s="38"/>
      <c r="M1691" s="56"/>
      <c r="N1691" s="56" t="b">
        <v>0</v>
      </c>
      <c r="O1691" s="56" t="b">
        <v>0</v>
      </c>
      <c r="P1691" s="56"/>
      <c r="Q1691" s="56"/>
      <c r="R1691" s="56"/>
      <c r="S1691" s="56"/>
      <c r="T1691" s="56"/>
      <c r="U1691" s="56"/>
      <c r="V1691" s="56"/>
      <c r="W1691" s="56"/>
      <c r="X1691" s="56"/>
      <c r="Y1691" s="56"/>
      <c r="Z1691" s="56"/>
      <c r="AA1691" s="56"/>
      <c r="AB1691" s="56"/>
    </row>
    <row r="1692" ht="15.75" customHeight="1">
      <c r="A1692" s="169"/>
      <c r="B1692" s="63"/>
      <c r="C1692" s="22" t="s">
        <v>66</v>
      </c>
      <c r="D1692" s="38"/>
      <c r="E1692" s="38"/>
      <c r="F1692" s="65"/>
      <c r="G1692" s="66"/>
      <c r="H1692" s="38"/>
      <c r="I1692" s="38"/>
      <c r="J1692" s="38"/>
      <c r="K1692" s="38"/>
      <c r="L1692" s="38"/>
      <c r="M1692" s="56"/>
      <c r="N1692" s="56" t="b">
        <v>0</v>
      </c>
      <c r="O1692" s="56" t="b">
        <v>0</v>
      </c>
      <c r="P1692" s="56"/>
      <c r="Q1692" s="56"/>
      <c r="R1692" s="56"/>
      <c r="S1692" s="56"/>
      <c r="T1692" s="56"/>
      <c r="U1692" s="56"/>
      <c r="V1692" s="56"/>
      <c r="W1692" s="56"/>
      <c r="X1692" s="56"/>
      <c r="Y1692" s="56"/>
      <c r="Z1692" s="56"/>
      <c r="AA1692" s="56"/>
      <c r="AB1692" s="56"/>
    </row>
    <row r="1693" ht="15.75" customHeight="1">
      <c r="A1693" s="169"/>
      <c r="B1693" s="69"/>
      <c r="C1693" s="22"/>
      <c r="D1693" s="38"/>
      <c r="E1693" s="38"/>
      <c r="F1693" s="65"/>
      <c r="G1693" s="66"/>
      <c r="H1693" s="38"/>
      <c r="I1693" s="38"/>
      <c r="J1693" s="38"/>
      <c r="K1693" s="38"/>
      <c r="L1693" s="38"/>
      <c r="M1693" s="56"/>
      <c r="N1693" s="56" t="b">
        <v>0</v>
      </c>
      <c r="O1693" s="56" t="b">
        <v>0</v>
      </c>
      <c r="P1693" s="56"/>
      <c r="Q1693" s="56"/>
      <c r="R1693" s="56"/>
      <c r="S1693" s="56"/>
      <c r="T1693" s="56"/>
      <c r="U1693" s="56"/>
      <c r="V1693" s="56"/>
      <c r="W1693" s="56"/>
      <c r="X1693" s="56"/>
      <c r="Y1693" s="56"/>
      <c r="Z1693" s="56"/>
      <c r="AA1693" s="56"/>
      <c r="AB1693" s="56"/>
    </row>
    <row r="1694" ht="15.75" customHeight="1">
      <c r="A1694" s="169"/>
      <c r="B1694" s="299"/>
      <c r="C1694" s="220">
        <v>44539.0</v>
      </c>
      <c r="D1694" s="38"/>
      <c r="E1694" s="38"/>
      <c r="F1694" s="65"/>
      <c r="G1694" s="66"/>
      <c r="H1694" s="38"/>
      <c r="I1694" s="38"/>
      <c r="J1694" s="38"/>
      <c r="K1694" s="38"/>
      <c r="L1694" s="38"/>
      <c r="M1694" s="56"/>
      <c r="N1694" s="56" t="b">
        <v>0</v>
      </c>
      <c r="O1694" s="56" t="b">
        <v>0</v>
      </c>
      <c r="P1694" s="56"/>
      <c r="Q1694" s="56"/>
      <c r="R1694" s="56"/>
      <c r="S1694" s="56"/>
      <c r="T1694" s="56"/>
      <c r="U1694" s="56"/>
      <c r="V1694" s="56"/>
      <c r="W1694" s="56"/>
      <c r="X1694" s="56"/>
      <c r="Y1694" s="56"/>
      <c r="Z1694" s="56"/>
      <c r="AA1694" s="56"/>
      <c r="AB1694" s="56"/>
    </row>
    <row r="1695" ht="15.75" customHeight="1">
      <c r="A1695" s="169"/>
      <c r="B1695" s="273" t="s">
        <v>4836</v>
      </c>
      <c r="C1695" s="22"/>
      <c r="D1695" s="38"/>
      <c r="E1695" s="38"/>
      <c r="F1695" s="65"/>
      <c r="G1695" s="66"/>
      <c r="H1695" s="38"/>
      <c r="I1695" s="38"/>
      <c r="J1695" s="38"/>
      <c r="K1695" s="38"/>
      <c r="L1695" s="38"/>
      <c r="M1695" s="56"/>
      <c r="N1695" s="56" t="b">
        <v>0</v>
      </c>
      <c r="O1695" s="56" t="b">
        <v>0</v>
      </c>
      <c r="P1695" s="56"/>
      <c r="Q1695" s="56"/>
      <c r="R1695" s="56"/>
      <c r="S1695" s="56"/>
      <c r="T1695" s="56"/>
      <c r="U1695" s="56"/>
      <c r="V1695" s="56"/>
      <c r="W1695" s="56"/>
      <c r="X1695" s="56"/>
      <c r="Y1695" s="56"/>
      <c r="Z1695" s="56"/>
      <c r="AA1695" s="56"/>
      <c r="AB1695" s="56"/>
    </row>
    <row r="1696" ht="15.75" customHeight="1">
      <c r="A1696" s="169"/>
      <c r="B1696" s="63"/>
      <c r="C1696" s="22" t="s">
        <v>53</v>
      </c>
      <c r="D1696" s="38"/>
      <c r="E1696" s="38"/>
      <c r="F1696" s="65"/>
      <c r="G1696" s="66"/>
      <c r="H1696" s="38"/>
      <c r="I1696" s="38"/>
      <c r="J1696" s="38"/>
      <c r="K1696" s="38"/>
      <c r="L1696" s="38"/>
      <c r="M1696" s="56"/>
      <c r="N1696" s="56" t="b">
        <v>0</v>
      </c>
      <c r="O1696" s="56" t="b">
        <v>0</v>
      </c>
      <c r="P1696" s="56"/>
      <c r="Q1696" s="56"/>
      <c r="R1696" s="56"/>
      <c r="S1696" s="56"/>
      <c r="T1696" s="56"/>
      <c r="U1696" s="56"/>
      <c r="V1696" s="56"/>
      <c r="W1696" s="56"/>
      <c r="X1696" s="56"/>
      <c r="Y1696" s="56"/>
      <c r="Z1696" s="56"/>
      <c r="AA1696" s="56"/>
      <c r="AB1696" s="56"/>
    </row>
    <row r="1697" ht="15.75" customHeight="1">
      <c r="A1697" s="169"/>
      <c r="B1697" s="63"/>
      <c r="C1697" s="22" t="s">
        <v>53</v>
      </c>
      <c r="D1697" s="38"/>
      <c r="F1697" s="65"/>
      <c r="G1697" s="66"/>
      <c r="H1697" s="38"/>
      <c r="I1697" s="38"/>
      <c r="J1697" s="38"/>
      <c r="K1697" s="38"/>
      <c r="L1697" s="38"/>
      <c r="M1697" s="56"/>
      <c r="N1697" s="56" t="b">
        <v>0</v>
      </c>
      <c r="O1697" s="56" t="b">
        <v>0</v>
      </c>
      <c r="P1697" s="56"/>
      <c r="Q1697" s="56"/>
      <c r="R1697" s="56"/>
      <c r="S1697" s="56"/>
      <c r="T1697" s="56"/>
      <c r="U1697" s="56"/>
      <c r="V1697" s="56"/>
      <c r="W1697" s="56"/>
      <c r="X1697" s="56"/>
      <c r="Y1697" s="56"/>
      <c r="Z1697" s="56"/>
      <c r="AA1697" s="56"/>
      <c r="AB1697" s="56"/>
    </row>
    <row r="1698" ht="15.75" customHeight="1">
      <c r="A1698" s="169"/>
      <c r="B1698" s="63"/>
      <c r="C1698" s="22" t="s">
        <v>53</v>
      </c>
      <c r="D1698" s="38"/>
      <c r="E1698" s="162" t="s">
        <v>5784</v>
      </c>
      <c r="F1698" s="155"/>
      <c r="G1698" s="66"/>
      <c r="H1698" s="38"/>
      <c r="I1698" s="38"/>
      <c r="J1698" s="38"/>
      <c r="K1698" s="38"/>
      <c r="L1698" s="38"/>
      <c r="M1698" s="56"/>
      <c r="N1698" s="56" t="b">
        <v>0</v>
      </c>
      <c r="O1698" s="56" t="b">
        <v>0</v>
      </c>
      <c r="P1698" s="56"/>
      <c r="Q1698" s="56"/>
      <c r="R1698" s="56"/>
      <c r="S1698" s="56"/>
      <c r="T1698" s="56"/>
      <c r="U1698" s="56"/>
      <c r="V1698" s="56"/>
      <c r="W1698" s="56"/>
      <c r="X1698" s="56"/>
      <c r="Y1698" s="56"/>
      <c r="Z1698" s="56"/>
      <c r="AA1698" s="56"/>
      <c r="AB1698" s="56"/>
    </row>
    <row r="1699" ht="15.75" customHeight="1">
      <c r="A1699" s="169"/>
      <c r="B1699" s="63"/>
      <c r="C1699" s="22" t="s">
        <v>53</v>
      </c>
      <c r="D1699" s="38"/>
      <c r="E1699" s="156"/>
      <c r="F1699" s="157"/>
      <c r="G1699" s="66"/>
      <c r="H1699" s="38"/>
      <c r="I1699" s="38"/>
      <c r="J1699" s="38"/>
      <c r="K1699" s="38"/>
      <c r="L1699" s="38"/>
      <c r="M1699" s="56"/>
      <c r="N1699" s="56" t="b">
        <v>0</v>
      </c>
      <c r="O1699" s="56" t="b">
        <v>0</v>
      </c>
      <c r="P1699" s="56"/>
      <c r="Q1699" s="56"/>
      <c r="R1699" s="56"/>
      <c r="S1699" s="56"/>
      <c r="T1699" s="56"/>
      <c r="U1699" s="56"/>
      <c r="V1699" s="56"/>
      <c r="W1699" s="56"/>
      <c r="X1699" s="56"/>
      <c r="Y1699" s="56"/>
      <c r="Z1699" s="56"/>
      <c r="AA1699" s="56"/>
      <c r="AB1699" s="56"/>
    </row>
    <row r="1700" ht="15.75" customHeight="1">
      <c r="A1700" s="169"/>
      <c r="B1700" s="63"/>
      <c r="C1700" s="22" t="s">
        <v>53</v>
      </c>
      <c r="D1700" s="38"/>
      <c r="E1700" s="158"/>
      <c r="F1700" s="159"/>
      <c r="G1700" s="66"/>
      <c r="H1700" s="38"/>
      <c r="I1700" s="38"/>
      <c r="J1700" s="38"/>
      <c r="K1700" s="38"/>
      <c r="L1700" s="38"/>
      <c r="M1700" s="56"/>
      <c r="N1700" s="56" t="b">
        <v>0</v>
      </c>
      <c r="O1700" s="56" t="b">
        <v>0</v>
      </c>
      <c r="P1700" s="56"/>
      <c r="Q1700" s="56"/>
      <c r="R1700" s="56"/>
      <c r="S1700" s="56"/>
      <c r="T1700" s="56"/>
      <c r="U1700" s="56"/>
      <c r="V1700" s="56"/>
      <c r="W1700" s="56"/>
      <c r="X1700" s="56"/>
      <c r="Y1700" s="56"/>
      <c r="Z1700" s="56"/>
      <c r="AA1700" s="56"/>
      <c r="AB1700" s="56"/>
    </row>
    <row r="1701" ht="15.75" customHeight="1">
      <c r="A1701" s="169"/>
      <c r="B1701" s="69"/>
      <c r="C1701" s="22"/>
      <c r="D1701" s="38"/>
      <c r="E1701" s="38"/>
      <c r="F1701" s="65"/>
      <c r="G1701" s="66"/>
      <c r="H1701" s="38"/>
      <c r="I1701" s="38"/>
      <c r="J1701" s="38"/>
      <c r="K1701" s="38"/>
      <c r="L1701" s="38"/>
      <c r="M1701" s="56"/>
      <c r="N1701" s="56" t="b">
        <v>0</v>
      </c>
      <c r="O1701" s="56" t="b">
        <v>0</v>
      </c>
      <c r="P1701" s="56"/>
      <c r="Q1701" s="56"/>
      <c r="R1701" s="56"/>
      <c r="S1701" s="56"/>
      <c r="T1701" s="56"/>
      <c r="U1701" s="56"/>
      <c r="V1701" s="56"/>
      <c r="W1701" s="56"/>
      <c r="X1701" s="56"/>
      <c r="Y1701" s="56"/>
      <c r="Z1701" s="56"/>
      <c r="AA1701" s="56"/>
      <c r="AB1701" s="56"/>
    </row>
    <row r="1702" ht="15.75" customHeight="1">
      <c r="A1702" s="169"/>
      <c r="B1702" s="276"/>
      <c r="C1702" s="22"/>
      <c r="D1702" s="38"/>
      <c r="E1702" s="67"/>
      <c r="F1702" s="67"/>
      <c r="G1702" s="66"/>
      <c r="H1702" s="87"/>
      <c r="I1702" s="38"/>
      <c r="J1702" s="125"/>
      <c r="K1702" s="38"/>
      <c r="L1702" s="38"/>
      <c r="M1702" s="56"/>
      <c r="N1702" s="56" t="b">
        <v>0</v>
      </c>
      <c r="O1702" s="56" t="b">
        <v>0</v>
      </c>
      <c r="P1702" s="56"/>
      <c r="Q1702" s="56"/>
      <c r="R1702" s="56"/>
      <c r="S1702" s="56"/>
      <c r="T1702" s="56"/>
      <c r="U1702" s="56"/>
      <c r="V1702" s="56"/>
      <c r="W1702" s="56"/>
      <c r="X1702" s="56"/>
      <c r="Y1702" s="56"/>
      <c r="Z1702" s="56"/>
      <c r="AA1702" s="56"/>
      <c r="AB1702" s="56"/>
    </row>
    <row r="1703" ht="15.75" customHeight="1">
      <c r="A1703" s="169"/>
      <c r="B1703" s="273" t="s">
        <v>6168</v>
      </c>
      <c r="C1703" s="22" t="s">
        <v>66</v>
      </c>
      <c r="D1703" s="62" t="s">
        <v>52</v>
      </c>
      <c r="E1703" s="60" t="s">
        <v>2860</v>
      </c>
      <c r="F1703" s="60" t="s">
        <v>2861</v>
      </c>
      <c r="G1703" s="73" t="s">
        <v>5134</v>
      </c>
      <c r="H1703" s="75" t="s">
        <v>6626</v>
      </c>
      <c r="I1703" s="62" t="s">
        <v>6627</v>
      </c>
      <c r="J1703" s="83" t="s">
        <v>2863</v>
      </c>
      <c r="K1703" s="38"/>
      <c r="L1703" s="38"/>
      <c r="M1703" s="56"/>
      <c r="N1703" s="56" t="b">
        <v>0</v>
      </c>
      <c r="O1703" s="56" t="b">
        <v>0</v>
      </c>
      <c r="P1703" s="56"/>
      <c r="Q1703" s="56"/>
      <c r="R1703" s="56"/>
      <c r="S1703" s="56"/>
      <c r="T1703" s="56"/>
      <c r="U1703" s="56"/>
      <c r="V1703" s="56"/>
      <c r="W1703" s="56"/>
      <c r="X1703" s="56"/>
      <c r="Y1703" s="56"/>
      <c r="Z1703" s="56"/>
      <c r="AA1703" s="56"/>
      <c r="AB1703" s="56"/>
    </row>
    <row r="1704" ht="15.75" customHeight="1">
      <c r="A1704" s="169"/>
      <c r="B1704" s="63"/>
      <c r="C1704" s="22" t="s">
        <v>66</v>
      </c>
      <c r="D1704" s="62" t="s">
        <v>52</v>
      </c>
      <c r="E1704" s="60" t="s">
        <v>3691</v>
      </c>
      <c r="F1704" s="60" t="s">
        <v>3692</v>
      </c>
      <c r="G1704" s="73" t="s">
        <v>4856</v>
      </c>
      <c r="H1704" s="75" t="s">
        <v>6628</v>
      </c>
      <c r="I1704" s="62" t="s">
        <v>6629</v>
      </c>
      <c r="J1704" s="62" t="s">
        <v>3694</v>
      </c>
      <c r="K1704" s="38"/>
      <c r="L1704" s="38"/>
      <c r="M1704" s="56"/>
      <c r="N1704" s="56" t="b">
        <v>0</v>
      </c>
      <c r="O1704" s="56" t="b">
        <v>0</v>
      </c>
      <c r="P1704" s="56"/>
      <c r="Q1704" s="56"/>
      <c r="R1704" s="56"/>
      <c r="S1704" s="56"/>
      <c r="T1704" s="56"/>
      <c r="U1704" s="56"/>
      <c r="V1704" s="56"/>
      <c r="W1704" s="56"/>
      <c r="X1704" s="56"/>
      <c r="Y1704" s="56"/>
      <c r="Z1704" s="56"/>
      <c r="AA1704" s="56"/>
      <c r="AB1704" s="56"/>
    </row>
    <row r="1705" ht="15.75" customHeight="1">
      <c r="A1705" s="169"/>
      <c r="B1705" s="63"/>
      <c r="C1705" s="22" t="s">
        <v>66</v>
      </c>
      <c r="D1705" s="76" t="s">
        <v>87</v>
      </c>
      <c r="E1705" s="77" t="s">
        <v>2098</v>
      </c>
      <c r="F1705" s="77" t="s">
        <v>2099</v>
      </c>
      <c r="G1705" s="82" t="s">
        <v>5461</v>
      </c>
      <c r="H1705" s="224" t="s">
        <v>4884</v>
      </c>
      <c r="I1705" s="76" t="s">
        <v>6630</v>
      </c>
      <c r="J1705" s="97" t="s">
        <v>2101</v>
      </c>
      <c r="K1705" s="38" t="s">
        <v>6631</v>
      </c>
      <c r="L1705" s="38"/>
      <c r="M1705" s="56"/>
      <c r="N1705" s="56" t="b">
        <v>0</v>
      </c>
      <c r="O1705" s="56" t="b">
        <v>0</v>
      </c>
      <c r="P1705" s="56"/>
      <c r="Q1705" s="56"/>
      <c r="R1705" s="56"/>
      <c r="S1705" s="56"/>
      <c r="T1705" s="56"/>
      <c r="U1705" s="56"/>
      <c r="V1705" s="56"/>
      <c r="W1705" s="56"/>
      <c r="X1705" s="56"/>
      <c r="Y1705" s="56"/>
      <c r="Z1705" s="56"/>
      <c r="AA1705" s="56"/>
      <c r="AB1705" s="56"/>
    </row>
    <row r="1706" ht="15.75" customHeight="1">
      <c r="A1706" s="169"/>
      <c r="B1706" s="63"/>
      <c r="C1706" s="22" t="s">
        <v>66</v>
      </c>
      <c r="D1706" s="76" t="s">
        <v>87</v>
      </c>
      <c r="E1706" s="282" t="s">
        <v>1381</v>
      </c>
      <c r="F1706" s="282" t="s">
        <v>1382</v>
      </c>
      <c r="G1706" s="218" t="s">
        <v>4967</v>
      </c>
      <c r="H1706" s="305" t="s">
        <v>6337</v>
      </c>
      <c r="I1706" s="173" t="s">
        <v>6632</v>
      </c>
      <c r="J1706" s="306" t="s">
        <v>1384</v>
      </c>
      <c r="K1706" s="38" t="s">
        <v>6633</v>
      </c>
      <c r="L1706" s="38"/>
      <c r="M1706" s="56"/>
      <c r="N1706" s="56" t="b">
        <v>0</v>
      </c>
      <c r="O1706" s="56" t="b">
        <v>0</v>
      </c>
      <c r="P1706" s="56"/>
      <c r="Q1706" s="56"/>
      <c r="R1706" s="56"/>
      <c r="S1706" s="56"/>
      <c r="T1706" s="56"/>
      <c r="U1706" s="56"/>
      <c r="V1706" s="56"/>
      <c r="W1706" s="56"/>
      <c r="X1706" s="56"/>
      <c r="Y1706" s="56"/>
      <c r="Z1706" s="56"/>
      <c r="AA1706" s="56"/>
      <c r="AB1706" s="56"/>
    </row>
    <row r="1707" ht="15.75" customHeight="1">
      <c r="A1707" s="169"/>
      <c r="B1707" s="63"/>
      <c r="C1707" s="22" t="s">
        <v>66</v>
      </c>
      <c r="D1707" s="38"/>
      <c r="E1707" s="268"/>
      <c r="F1707" s="268"/>
      <c r="G1707" s="66"/>
      <c r="H1707" s="38"/>
      <c r="I1707" s="38"/>
      <c r="J1707" s="38"/>
      <c r="K1707" s="38"/>
      <c r="L1707" s="38"/>
      <c r="M1707" s="56"/>
      <c r="N1707" s="56" t="b">
        <v>0</v>
      </c>
      <c r="O1707" s="56" t="b">
        <v>0</v>
      </c>
      <c r="P1707" s="56"/>
      <c r="Q1707" s="56"/>
      <c r="R1707" s="56"/>
      <c r="S1707" s="56"/>
      <c r="T1707" s="56"/>
      <c r="U1707" s="56"/>
      <c r="V1707" s="56"/>
      <c r="W1707" s="56"/>
      <c r="X1707" s="56"/>
      <c r="Y1707" s="56"/>
      <c r="Z1707" s="56"/>
      <c r="AA1707" s="56"/>
      <c r="AB1707" s="56"/>
    </row>
    <row r="1708" ht="15.75" customHeight="1">
      <c r="A1708" s="169"/>
      <c r="B1708" s="69"/>
      <c r="C1708" s="22"/>
      <c r="D1708" s="38"/>
      <c r="E1708" s="38"/>
      <c r="F1708" s="65"/>
      <c r="G1708" s="66"/>
      <c r="H1708" s="38"/>
      <c r="I1708" s="38"/>
      <c r="J1708" s="38"/>
      <c r="K1708" s="38"/>
      <c r="L1708" s="38"/>
      <c r="M1708" s="56"/>
      <c r="N1708" s="56" t="b">
        <v>0</v>
      </c>
      <c r="O1708" s="56" t="b">
        <v>0</v>
      </c>
      <c r="P1708" s="56"/>
      <c r="Q1708" s="56"/>
      <c r="R1708" s="56"/>
      <c r="S1708" s="56"/>
      <c r="T1708" s="56"/>
      <c r="U1708" s="56"/>
      <c r="V1708" s="56"/>
      <c r="W1708" s="56"/>
      <c r="X1708" s="56"/>
      <c r="Y1708" s="56"/>
      <c r="Z1708" s="56"/>
      <c r="AA1708" s="56"/>
      <c r="AB1708" s="56"/>
    </row>
    <row r="1709" ht="15.75" customHeight="1">
      <c r="A1709" s="169"/>
      <c r="B1709" s="299"/>
      <c r="C1709" s="220">
        <v>44540.0</v>
      </c>
      <c r="D1709" s="38"/>
      <c r="E1709" s="38"/>
      <c r="F1709" s="65"/>
      <c r="G1709" s="66"/>
      <c r="H1709" s="38"/>
      <c r="I1709" s="38"/>
      <c r="J1709" s="38"/>
      <c r="K1709" s="38"/>
      <c r="L1709" s="38"/>
      <c r="M1709" s="56"/>
      <c r="N1709" s="56" t="b">
        <v>0</v>
      </c>
      <c r="O1709" s="56" t="b">
        <v>0</v>
      </c>
      <c r="P1709" s="56"/>
      <c r="Q1709" s="56"/>
      <c r="R1709" s="56"/>
      <c r="S1709" s="56"/>
      <c r="T1709" s="56"/>
      <c r="U1709" s="56"/>
      <c r="V1709" s="56"/>
      <c r="W1709" s="56"/>
      <c r="X1709" s="56"/>
      <c r="Y1709" s="56"/>
      <c r="Z1709" s="56"/>
      <c r="AA1709" s="56"/>
      <c r="AB1709" s="56"/>
    </row>
    <row r="1710" ht="15.75" customHeight="1">
      <c r="A1710" s="169"/>
      <c r="B1710" s="273" t="s">
        <v>4836</v>
      </c>
      <c r="C1710" s="22"/>
      <c r="D1710" s="38"/>
      <c r="E1710" s="38"/>
      <c r="F1710" s="65"/>
      <c r="G1710" s="66"/>
      <c r="H1710" s="38"/>
      <c r="I1710" s="38"/>
      <c r="J1710" s="38"/>
      <c r="K1710" s="38"/>
      <c r="L1710" s="38"/>
      <c r="M1710" s="56"/>
      <c r="N1710" s="56" t="b">
        <v>0</v>
      </c>
      <c r="O1710" s="56" t="b">
        <v>0</v>
      </c>
      <c r="P1710" s="56"/>
      <c r="Q1710" s="56"/>
      <c r="R1710" s="56"/>
      <c r="S1710" s="56"/>
      <c r="T1710" s="56"/>
      <c r="U1710" s="56"/>
      <c r="V1710" s="56"/>
      <c r="W1710" s="56"/>
      <c r="X1710" s="56"/>
      <c r="Y1710" s="56"/>
      <c r="Z1710" s="56"/>
      <c r="AA1710" s="56"/>
      <c r="AB1710" s="56"/>
    </row>
    <row r="1711" ht="15.75" customHeight="1">
      <c r="A1711" s="169"/>
      <c r="B1711" s="63"/>
      <c r="C1711" s="22" t="s">
        <v>53</v>
      </c>
      <c r="D1711" s="38"/>
      <c r="E1711" s="38"/>
      <c r="F1711" s="65"/>
      <c r="G1711" s="66"/>
      <c r="H1711" s="38"/>
      <c r="I1711" s="38"/>
      <c r="J1711" s="38"/>
      <c r="K1711" s="38"/>
      <c r="L1711" s="38"/>
      <c r="M1711" s="56"/>
      <c r="N1711" s="56" t="b">
        <v>0</v>
      </c>
      <c r="O1711" s="56" t="b">
        <v>0</v>
      </c>
      <c r="P1711" s="56"/>
      <c r="Q1711" s="56"/>
      <c r="R1711" s="56"/>
      <c r="S1711" s="56"/>
      <c r="T1711" s="56"/>
      <c r="U1711" s="56"/>
      <c r="V1711" s="56"/>
      <c r="W1711" s="56"/>
      <c r="X1711" s="56"/>
      <c r="Y1711" s="56"/>
      <c r="Z1711" s="56"/>
      <c r="AA1711" s="56"/>
      <c r="AB1711" s="56"/>
    </row>
    <row r="1712" ht="15.75" customHeight="1">
      <c r="A1712" s="169"/>
      <c r="B1712" s="63"/>
      <c r="C1712" s="22" t="s">
        <v>53</v>
      </c>
      <c r="D1712" s="38"/>
      <c r="E1712" s="38"/>
      <c r="F1712" s="65"/>
      <c r="G1712" s="66"/>
      <c r="H1712" s="38"/>
      <c r="I1712" s="38"/>
      <c r="J1712" s="38"/>
      <c r="K1712" s="38"/>
      <c r="L1712" s="38"/>
      <c r="M1712" s="56"/>
      <c r="N1712" s="56" t="b">
        <v>0</v>
      </c>
      <c r="O1712" s="56" t="b">
        <v>0</v>
      </c>
      <c r="P1712" s="56"/>
      <c r="Q1712" s="56"/>
      <c r="R1712" s="56"/>
      <c r="S1712" s="56"/>
      <c r="T1712" s="56"/>
      <c r="U1712" s="56"/>
      <c r="V1712" s="56"/>
      <c r="W1712" s="56"/>
      <c r="X1712" s="56"/>
      <c r="Y1712" s="56"/>
      <c r="Z1712" s="56"/>
      <c r="AA1712" s="56"/>
      <c r="AB1712" s="56"/>
    </row>
    <row r="1713" ht="15.75" customHeight="1">
      <c r="A1713" s="169"/>
      <c r="B1713" s="63"/>
      <c r="C1713" s="22" t="s">
        <v>53</v>
      </c>
      <c r="D1713" s="38"/>
      <c r="E1713" s="162" t="s">
        <v>5784</v>
      </c>
      <c r="F1713" s="155"/>
      <c r="G1713" s="66"/>
      <c r="H1713" s="38"/>
      <c r="I1713" s="38"/>
      <c r="J1713" s="38"/>
      <c r="K1713" s="38"/>
      <c r="L1713" s="38"/>
      <c r="M1713" s="56"/>
      <c r="N1713" s="56" t="b">
        <v>0</v>
      </c>
      <c r="O1713" s="56" t="b">
        <v>0</v>
      </c>
      <c r="P1713" s="56"/>
      <c r="Q1713" s="56"/>
      <c r="R1713" s="56"/>
      <c r="S1713" s="56"/>
      <c r="T1713" s="56"/>
      <c r="U1713" s="56"/>
      <c r="V1713" s="56"/>
      <c r="W1713" s="56"/>
      <c r="X1713" s="56"/>
      <c r="Y1713" s="56"/>
      <c r="Z1713" s="56"/>
      <c r="AA1713" s="56"/>
      <c r="AB1713" s="56"/>
    </row>
    <row r="1714" ht="15.75" customHeight="1">
      <c r="A1714" s="169"/>
      <c r="B1714" s="63"/>
      <c r="C1714" s="22" t="s">
        <v>53</v>
      </c>
      <c r="D1714" s="38"/>
      <c r="E1714" s="156"/>
      <c r="F1714" s="157"/>
      <c r="G1714" s="66"/>
      <c r="H1714" s="38"/>
      <c r="I1714" s="38"/>
      <c r="J1714" s="38"/>
      <c r="K1714" s="38"/>
      <c r="L1714" s="38"/>
      <c r="M1714" s="56"/>
      <c r="N1714" s="56" t="b">
        <v>0</v>
      </c>
      <c r="O1714" s="56" t="b">
        <v>0</v>
      </c>
      <c r="P1714" s="56"/>
      <c r="Q1714" s="56"/>
      <c r="R1714" s="56"/>
      <c r="S1714" s="56"/>
      <c r="T1714" s="56"/>
      <c r="U1714" s="56"/>
      <c r="V1714" s="56"/>
      <c r="W1714" s="56"/>
      <c r="X1714" s="56"/>
      <c r="Y1714" s="56"/>
      <c r="Z1714" s="56"/>
      <c r="AA1714" s="56"/>
      <c r="AB1714" s="56"/>
    </row>
    <row r="1715" ht="15.75" customHeight="1">
      <c r="A1715" s="169"/>
      <c r="B1715" s="63"/>
      <c r="C1715" s="22" t="s">
        <v>53</v>
      </c>
      <c r="D1715" s="38"/>
      <c r="E1715" s="158"/>
      <c r="F1715" s="159"/>
      <c r="G1715" s="66"/>
      <c r="H1715" s="38"/>
      <c r="I1715" s="38"/>
      <c r="J1715" s="38"/>
      <c r="K1715" s="38"/>
      <c r="L1715" s="38"/>
      <c r="M1715" s="56"/>
      <c r="N1715" s="56" t="b">
        <v>0</v>
      </c>
      <c r="O1715" s="56" t="b">
        <v>0</v>
      </c>
      <c r="P1715" s="56"/>
      <c r="Q1715" s="56"/>
      <c r="R1715" s="56"/>
      <c r="S1715" s="56"/>
      <c r="T1715" s="56"/>
      <c r="U1715" s="56"/>
      <c r="V1715" s="56"/>
      <c r="W1715" s="56"/>
      <c r="X1715" s="56"/>
      <c r="Y1715" s="56"/>
      <c r="Z1715" s="56"/>
      <c r="AA1715" s="56"/>
      <c r="AB1715" s="56"/>
    </row>
    <row r="1716" ht="15.75" customHeight="1">
      <c r="A1716" s="169"/>
      <c r="B1716" s="69"/>
      <c r="C1716" s="22"/>
      <c r="D1716" s="38"/>
      <c r="E1716" s="38"/>
      <c r="F1716" s="65"/>
      <c r="G1716" s="66"/>
      <c r="H1716" s="38"/>
      <c r="I1716" s="38"/>
      <c r="J1716" s="38"/>
      <c r="K1716" s="38"/>
      <c r="L1716" s="38"/>
      <c r="M1716" s="56"/>
      <c r="N1716" s="56" t="b">
        <v>0</v>
      </c>
      <c r="O1716" s="56" t="b">
        <v>0</v>
      </c>
      <c r="P1716" s="56"/>
      <c r="Q1716" s="56"/>
      <c r="R1716" s="56"/>
      <c r="S1716" s="56"/>
      <c r="T1716" s="56"/>
      <c r="U1716" s="56"/>
      <c r="V1716" s="56"/>
      <c r="W1716" s="56"/>
      <c r="X1716" s="56"/>
      <c r="Y1716" s="56"/>
      <c r="Z1716" s="56"/>
      <c r="AA1716" s="56"/>
      <c r="AB1716" s="56"/>
    </row>
    <row r="1717" ht="15.75" customHeight="1">
      <c r="A1717" s="169"/>
      <c r="B1717" s="273" t="s">
        <v>6168</v>
      </c>
      <c r="C1717" s="22" t="s">
        <v>66</v>
      </c>
      <c r="D1717" s="62" t="s">
        <v>52</v>
      </c>
      <c r="E1717" s="242" t="s">
        <v>2874</v>
      </c>
      <c r="F1717" s="242" t="s">
        <v>2875</v>
      </c>
      <c r="G1717" s="73" t="s">
        <v>5134</v>
      </c>
      <c r="H1717" s="62" t="s">
        <v>6634</v>
      </c>
      <c r="I1717" s="27" t="s">
        <v>6635</v>
      </c>
      <c r="J1717" s="242" t="s">
        <v>2877</v>
      </c>
      <c r="K1717" s="38"/>
      <c r="L1717" s="38"/>
      <c r="M1717" s="56"/>
      <c r="N1717" s="56" t="b">
        <v>0</v>
      </c>
      <c r="O1717" s="56" t="b">
        <v>0</v>
      </c>
      <c r="P1717" s="56"/>
      <c r="Q1717" s="56"/>
      <c r="R1717" s="56"/>
      <c r="S1717" s="56"/>
      <c r="T1717" s="56"/>
      <c r="U1717" s="56"/>
      <c r="V1717" s="56"/>
      <c r="W1717" s="56"/>
      <c r="X1717" s="56"/>
      <c r="Y1717" s="56"/>
      <c r="Z1717" s="56"/>
      <c r="AA1717" s="56"/>
      <c r="AB1717" s="56"/>
    </row>
    <row r="1718" ht="15.75" customHeight="1">
      <c r="A1718" s="169"/>
      <c r="B1718" s="63"/>
      <c r="C1718" s="22" t="s">
        <v>66</v>
      </c>
      <c r="D1718" s="62" t="s">
        <v>52</v>
      </c>
      <c r="E1718" s="242" t="s">
        <v>3987</v>
      </c>
      <c r="F1718" s="242" t="s">
        <v>3988</v>
      </c>
      <c r="G1718" s="73" t="s">
        <v>4960</v>
      </c>
      <c r="H1718" s="62" t="s">
        <v>6636</v>
      </c>
      <c r="I1718" s="62" t="s">
        <v>6637</v>
      </c>
      <c r="J1718" s="242" t="s">
        <v>3990</v>
      </c>
      <c r="K1718" s="38"/>
      <c r="L1718" s="38"/>
      <c r="M1718" s="56"/>
      <c r="N1718" s="56" t="b">
        <v>0</v>
      </c>
      <c r="O1718" s="56" t="b">
        <v>0</v>
      </c>
      <c r="P1718" s="56"/>
      <c r="Q1718" s="56"/>
      <c r="R1718" s="56"/>
      <c r="S1718" s="56"/>
      <c r="T1718" s="56"/>
      <c r="U1718" s="56"/>
      <c r="V1718" s="56"/>
      <c r="W1718" s="56"/>
      <c r="X1718" s="56"/>
      <c r="Y1718" s="56"/>
      <c r="Z1718" s="56"/>
      <c r="AA1718" s="56"/>
      <c r="AB1718" s="56"/>
    </row>
    <row r="1719" ht="15.75" customHeight="1">
      <c r="A1719" s="169"/>
      <c r="B1719" s="63"/>
      <c r="C1719" s="22" t="s">
        <v>66</v>
      </c>
      <c r="D1719" s="62" t="s">
        <v>52</v>
      </c>
      <c r="E1719" s="242" t="s">
        <v>1397</v>
      </c>
      <c r="F1719" s="242" t="s">
        <v>1398</v>
      </c>
      <c r="G1719" s="73" t="s">
        <v>4892</v>
      </c>
      <c r="H1719" s="62" t="s">
        <v>6636</v>
      </c>
      <c r="I1719" s="62" t="s">
        <v>6638</v>
      </c>
      <c r="J1719" s="242" t="s">
        <v>1400</v>
      </c>
      <c r="K1719" s="38"/>
      <c r="L1719" s="38"/>
      <c r="M1719" s="56"/>
      <c r="N1719" s="56" t="b">
        <v>0</v>
      </c>
      <c r="O1719" s="56" t="b">
        <v>0</v>
      </c>
      <c r="P1719" s="56"/>
      <c r="Q1719" s="56"/>
      <c r="R1719" s="56"/>
      <c r="S1719" s="56"/>
      <c r="T1719" s="56"/>
      <c r="U1719" s="56"/>
      <c r="V1719" s="56"/>
      <c r="W1719" s="56"/>
      <c r="X1719" s="56"/>
      <c r="Y1719" s="56"/>
      <c r="Z1719" s="56"/>
      <c r="AA1719" s="56"/>
      <c r="AB1719" s="56"/>
    </row>
    <row r="1720" ht="15.75" customHeight="1">
      <c r="A1720" s="169"/>
      <c r="B1720" s="63"/>
      <c r="C1720" s="22" t="s">
        <v>66</v>
      </c>
      <c r="D1720" s="62" t="s">
        <v>52</v>
      </c>
      <c r="E1720" s="242" t="s">
        <v>2754</v>
      </c>
      <c r="F1720" s="242" t="s">
        <v>2755</v>
      </c>
      <c r="G1720" s="73" t="s">
        <v>5036</v>
      </c>
      <c r="H1720" s="62" t="s">
        <v>6639</v>
      </c>
      <c r="I1720" s="62" t="s">
        <v>6640</v>
      </c>
      <c r="J1720" s="242" t="s">
        <v>2757</v>
      </c>
      <c r="K1720" s="38"/>
      <c r="L1720" s="38"/>
      <c r="M1720" s="56"/>
      <c r="N1720" s="56" t="b">
        <v>0</v>
      </c>
      <c r="O1720" s="56" t="b">
        <v>0</v>
      </c>
      <c r="P1720" s="56"/>
      <c r="Q1720" s="56"/>
      <c r="R1720" s="56"/>
      <c r="S1720" s="56"/>
      <c r="T1720" s="56"/>
      <c r="U1720" s="56"/>
      <c r="V1720" s="56"/>
      <c r="W1720" s="56"/>
      <c r="X1720" s="56"/>
      <c r="Y1720" s="56"/>
      <c r="Z1720" s="56"/>
      <c r="AA1720" s="56"/>
      <c r="AB1720" s="56"/>
    </row>
    <row r="1721" ht="15.75" customHeight="1">
      <c r="A1721" s="169"/>
      <c r="B1721" s="63"/>
      <c r="C1721" s="22" t="s">
        <v>66</v>
      </c>
      <c r="D1721" s="38"/>
      <c r="E1721" s="38"/>
      <c r="F1721" s="65"/>
      <c r="G1721" s="66"/>
      <c r="H1721" s="38"/>
      <c r="I1721" s="38"/>
      <c r="J1721" s="38"/>
      <c r="K1721" s="38"/>
      <c r="L1721" s="38"/>
      <c r="M1721" s="56"/>
      <c r="N1721" s="56" t="b">
        <v>0</v>
      </c>
      <c r="O1721" s="56" t="b">
        <v>0</v>
      </c>
      <c r="P1721" s="56"/>
      <c r="Q1721" s="56"/>
      <c r="R1721" s="56"/>
      <c r="S1721" s="56"/>
      <c r="T1721" s="56"/>
      <c r="U1721" s="56"/>
      <c r="V1721" s="56"/>
      <c r="W1721" s="56"/>
      <c r="X1721" s="56"/>
      <c r="Y1721" s="56"/>
      <c r="Z1721" s="56"/>
      <c r="AA1721" s="56"/>
      <c r="AB1721" s="56"/>
    </row>
    <row r="1722" ht="15.75" customHeight="1">
      <c r="A1722" s="169"/>
      <c r="B1722" s="69"/>
      <c r="C1722" s="22"/>
      <c r="D1722" s="38"/>
      <c r="E1722" s="38"/>
      <c r="F1722" s="65"/>
      <c r="G1722" s="66"/>
      <c r="H1722" s="38"/>
      <c r="I1722" s="38"/>
      <c r="J1722" s="38"/>
      <c r="K1722" s="38"/>
      <c r="L1722" s="38"/>
      <c r="M1722" s="56"/>
      <c r="N1722" s="56" t="b">
        <v>0</v>
      </c>
      <c r="O1722" s="56" t="b">
        <v>0</v>
      </c>
      <c r="P1722" s="56"/>
      <c r="Q1722" s="56"/>
      <c r="R1722" s="56"/>
      <c r="S1722" s="56"/>
      <c r="T1722" s="56"/>
      <c r="U1722" s="56"/>
      <c r="V1722" s="56"/>
      <c r="W1722" s="56"/>
      <c r="X1722" s="56"/>
      <c r="Y1722" s="56"/>
      <c r="Z1722" s="56"/>
      <c r="AA1722" s="56"/>
      <c r="AB1722" s="56"/>
    </row>
    <row r="1723" ht="15.75" customHeight="1">
      <c r="A1723" s="169"/>
      <c r="B1723" s="299"/>
      <c r="C1723" s="220">
        <v>44543.0</v>
      </c>
      <c r="D1723" s="38"/>
      <c r="E1723" s="38"/>
      <c r="F1723" s="65"/>
      <c r="G1723" s="66"/>
      <c r="H1723" s="38"/>
      <c r="I1723" s="38"/>
      <c r="J1723" s="38"/>
      <c r="K1723" s="38"/>
      <c r="L1723" s="38"/>
      <c r="M1723" s="56"/>
      <c r="N1723" s="56" t="b">
        <v>0</v>
      </c>
      <c r="O1723" s="56" t="b">
        <v>0</v>
      </c>
      <c r="P1723" s="56"/>
      <c r="Q1723" s="56"/>
      <c r="R1723" s="56"/>
      <c r="S1723" s="56"/>
      <c r="T1723" s="56"/>
      <c r="U1723" s="56"/>
      <c r="V1723" s="56"/>
      <c r="W1723" s="56"/>
      <c r="X1723" s="56"/>
      <c r="Y1723" s="56"/>
      <c r="Z1723" s="56"/>
      <c r="AA1723" s="56"/>
      <c r="AB1723" s="56"/>
    </row>
    <row r="1724" ht="15.75" customHeight="1">
      <c r="A1724" s="169"/>
      <c r="B1724" s="273" t="s">
        <v>4836</v>
      </c>
      <c r="C1724" s="22"/>
      <c r="D1724" s="164"/>
      <c r="E1724" s="164"/>
      <c r="F1724" s="164"/>
      <c r="G1724" s="201"/>
      <c r="H1724" s="164"/>
      <c r="I1724" s="164"/>
      <c r="J1724" s="164"/>
      <c r="K1724" s="38"/>
      <c r="L1724" s="38"/>
      <c r="M1724" s="56"/>
      <c r="N1724" s="56" t="b">
        <v>0</v>
      </c>
      <c r="O1724" s="56" t="b">
        <v>0</v>
      </c>
      <c r="P1724" s="56"/>
      <c r="Q1724" s="56"/>
      <c r="R1724" s="56"/>
      <c r="S1724" s="56"/>
      <c r="T1724" s="56"/>
      <c r="U1724" s="56"/>
      <c r="V1724" s="56"/>
      <c r="W1724" s="56"/>
      <c r="X1724" s="56"/>
      <c r="Y1724" s="56"/>
      <c r="Z1724" s="56"/>
      <c r="AA1724" s="56"/>
      <c r="AB1724" s="56"/>
    </row>
    <row r="1725" ht="15.75" customHeight="1">
      <c r="A1725" s="169"/>
      <c r="B1725" s="63"/>
      <c r="C1725" s="22" t="s">
        <v>53</v>
      </c>
      <c r="D1725" s="164"/>
      <c r="E1725" s="162" t="s">
        <v>5784</v>
      </c>
      <c r="F1725" s="155"/>
      <c r="G1725" s="201"/>
      <c r="H1725" s="164"/>
      <c r="I1725" s="164"/>
      <c r="J1725" s="164"/>
      <c r="K1725" s="38"/>
      <c r="L1725" s="38"/>
      <c r="M1725" s="56"/>
      <c r="N1725" s="56" t="b">
        <v>0</v>
      </c>
      <c r="O1725" s="56" t="b">
        <v>0</v>
      </c>
      <c r="P1725" s="56"/>
      <c r="Q1725" s="56"/>
      <c r="R1725" s="56"/>
      <c r="S1725" s="56"/>
      <c r="T1725" s="56"/>
      <c r="U1725" s="56"/>
      <c r="V1725" s="56"/>
      <c r="W1725" s="56"/>
      <c r="X1725" s="56"/>
      <c r="Y1725" s="56"/>
      <c r="Z1725" s="56"/>
      <c r="AA1725" s="56"/>
      <c r="AB1725" s="56"/>
    </row>
    <row r="1726" ht="15.75" customHeight="1">
      <c r="A1726" s="169"/>
      <c r="B1726" s="63"/>
      <c r="C1726" s="22" t="s">
        <v>53</v>
      </c>
      <c r="D1726" s="164"/>
      <c r="E1726" s="156"/>
      <c r="F1726" s="157"/>
      <c r="G1726" s="201"/>
      <c r="H1726" s="164"/>
      <c r="I1726" s="164"/>
      <c r="J1726" s="164"/>
      <c r="K1726" s="38"/>
      <c r="L1726" s="38"/>
      <c r="M1726" s="56"/>
      <c r="N1726" s="56" t="b">
        <v>0</v>
      </c>
      <c r="O1726" s="56" t="b">
        <v>0</v>
      </c>
      <c r="P1726" s="56"/>
      <c r="Q1726" s="56"/>
      <c r="R1726" s="56"/>
      <c r="S1726" s="56"/>
      <c r="T1726" s="56"/>
      <c r="U1726" s="56"/>
      <c r="V1726" s="56"/>
      <c r="W1726" s="56"/>
      <c r="X1726" s="56"/>
      <c r="Y1726" s="56"/>
      <c r="Z1726" s="56"/>
      <c r="AA1726" s="56"/>
      <c r="AB1726" s="56"/>
    </row>
    <row r="1727" ht="15.75" customHeight="1">
      <c r="A1727" s="169"/>
      <c r="B1727" s="63"/>
      <c r="C1727" s="22" t="s">
        <v>53</v>
      </c>
      <c r="D1727" s="164"/>
      <c r="E1727" s="158"/>
      <c r="F1727" s="159"/>
      <c r="G1727" s="201"/>
      <c r="H1727" s="164"/>
      <c r="I1727" s="164"/>
      <c r="J1727" s="164"/>
      <c r="K1727" s="38"/>
      <c r="L1727" s="38"/>
      <c r="M1727" s="56"/>
      <c r="N1727" s="56" t="b">
        <v>0</v>
      </c>
      <c r="O1727" s="56" t="b">
        <v>0</v>
      </c>
      <c r="P1727" s="56"/>
      <c r="Q1727" s="56"/>
      <c r="R1727" s="56"/>
      <c r="S1727" s="56"/>
      <c r="T1727" s="56"/>
      <c r="U1727" s="56"/>
      <c r="V1727" s="56"/>
      <c r="W1727" s="56"/>
      <c r="X1727" s="56"/>
      <c r="Y1727" s="56"/>
      <c r="Z1727" s="56"/>
      <c r="AA1727" s="56"/>
      <c r="AB1727" s="56"/>
    </row>
    <row r="1728" ht="15.75" customHeight="1">
      <c r="A1728" s="169"/>
      <c r="B1728" s="63"/>
      <c r="C1728" s="22" t="s">
        <v>53</v>
      </c>
      <c r="D1728" s="38"/>
      <c r="E1728" s="38"/>
      <c r="F1728" s="65"/>
      <c r="G1728" s="66"/>
      <c r="H1728" s="38"/>
      <c r="I1728" s="38"/>
      <c r="J1728" s="38"/>
      <c r="K1728" s="38"/>
      <c r="L1728" s="38"/>
      <c r="M1728" s="56"/>
      <c r="N1728" s="56" t="b">
        <v>0</v>
      </c>
      <c r="O1728" s="56" t="b">
        <v>0</v>
      </c>
      <c r="P1728" s="56"/>
      <c r="Q1728" s="56"/>
      <c r="R1728" s="56"/>
      <c r="S1728" s="56"/>
      <c r="T1728" s="56"/>
      <c r="U1728" s="56"/>
      <c r="V1728" s="56"/>
      <c r="W1728" s="56"/>
      <c r="X1728" s="56"/>
      <c r="Y1728" s="56"/>
      <c r="Z1728" s="56"/>
      <c r="AA1728" s="56"/>
      <c r="AB1728" s="56"/>
    </row>
    <row r="1729" ht="15.75" customHeight="1">
      <c r="A1729" s="169"/>
      <c r="B1729" s="69"/>
      <c r="C1729" s="22"/>
      <c r="D1729" s="38"/>
      <c r="E1729" s="38"/>
      <c r="F1729" s="65"/>
      <c r="G1729" s="66"/>
      <c r="H1729" s="38"/>
      <c r="I1729" s="38"/>
      <c r="J1729" s="38"/>
      <c r="K1729" s="38"/>
      <c r="L1729" s="38"/>
      <c r="M1729" s="56"/>
      <c r="N1729" s="56" t="b">
        <v>0</v>
      </c>
      <c r="O1729" s="56" t="b">
        <v>0</v>
      </c>
      <c r="P1729" s="56"/>
      <c r="Q1729" s="56"/>
      <c r="R1729" s="56"/>
      <c r="S1729" s="56"/>
      <c r="T1729" s="56"/>
      <c r="U1729" s="56"/>
      <c r="V1729" s="56"/>
      <c r="W1729" s="56"/>
      <c r="X1729" s="56"/>
      <c r="Y1729" s="56"/>
      <c r="Z1729" s="56"/>
      <c r="AA1729" s="56"/>
      <c r="AB1729" s="56"/>
    </row>
    <row r="1730" ht="15.75" customHeight="1">
      <c r="A1730" s="169"/>
      <c r="B1730" s="273"/>
      <c r="C1730" s="22" t="s">
        <v>66</v>
      </c>
      <c r="D1730" s="227" t="s">
        <v>52</v>
      </c>
      <c r="E1730" s="242" t="s">
        <v>4307</v>
      </c>
      <c r="F1730" s="242" t="s">
        <v>4308</v>
      </c>
      <c r="G1730" s="73" t="s">
        <v>5704</v>
      </c>
      <c r="H1730" s="62" t="s">
        <v>6641</v>
      </c>
      <c r="I1730" s="267" t="s">
        <v>6642</v>
      </c>
      <c r="J1730" s="242" t="s">
        <v>6643</v>
      </c>
      <c r="K1730" s="38"/>
      <c r="L1730" s="38"/>
      <c r="M1730" s="56"/>
      <c r="N1730" s="56" t="b">
        <v>0</v>
      </c>
      <c r="O1730" s="56" t="b">
        <v>0</v>
      </c>
      <c r="P1730" s="56"/>
      <c r="Q1730" s="56"/>
      <c r="R1730" s="56"/>
      <c r="S1730" s="56"/>
      <c r="T1730" s="56"/>
      <c r="U1730" s="56"/>
      <c r="V1730" s="56"/>
      <c r="W1730" s="56"/>
      <c r="X1730" s="56"/>
      <c r="Y1730" s="56"/>
      <c r="Z1730" s="56"/>
      <c r="AA1730" s="56"/>
      <c r="AB1730" s="56"/>
    </row>
    <row r="1731" ht="15.75" customHeight="1">
      <c r="A1731" s="169"/>
      <c r="B1731" s="63"/>
      <c r="C1731" s="22" t="s">
        <v>66</v>
      </c>
      <c r="D1731" s="227" t="s">
        <v>52</v>
      </c>
      <c r="E1731" s="242" t="s">
        <v>1164</v>
      </c>
      <c r="F1731" s="242" t="s">
        <v>1165</v>
      </c>
      <c r="G1731" s="258">
        <v>0.5</v>
      </c>
      <c r="H1731" s="170" t="s">
        <v>6644</v>
      </c>
      <c r="I1731" s="288" t="s">
        <v>6645</v>
      </c>
      <c r="J1731" s="242" t="s">
        <v>1167</v>
      </c>
      <c r="K1731" s="38"/>
      <c r="L1731" s="38"/>
      <c r="M1731" s="56"/>
      <c r="N1731" s="56" t="b">
        <v>0</v>
      </c>
      <c r="O1731" s="56" t="b">
        <v>0</v>
      </c>
      <c r="P1731" s="56"/>
      <c r="Q1731" s="56"/>
      <c r="R1731" s="56"/>
      <c r="S1731" s="56"/>
      <c r="T1731" s="56"/>
      <c r="U1731" s="56"/>
      <c r="V1731" s="56"/>
      <c r="W1731" s="56"/>
      <c r="X1731" s="56"/>
      <c r="Y1731" s="56"/>
      <c r="Z1731" s="56"/>
      <c r="AA1731" s="56"/>
      <c r="AB1731" s="56"/>
    </row>
    <row r="1732" ht="15.75" customHeight="1">
      <c r="A1732" s="169"/>
      <c r="B1732" s="63"/>
      <c r="C1732" s="22" t="s">
        <v>66</v>
      </c>
      <c r="D1732" s="227" t="s">
        <v>52</v>
      </c>
      <c r="E1732" s="242" t="s">
        <v>4387</v>
      </c>
      <c r="F1732" s="242" t="s">
        <v>4388</v>
      </c>
      <c r="G1732" s="73" t="s">
        <v>4856</v>
      </c>
      <c r="H1732" s="62" t="s">
        <v>6646</v>
      </c>
      <c r="I1732" s="307" t="s">
        <v>6647</v>
      </c>
      <c r="J1732" s="242" t="s">
        <v>4390</v>
      </c>
      <c r="K1732" s="38"/>
      <c r="L1732" s="38"/>
      <c r="M1732" s="56"/>
      <c r="N1732" s="56" t="b">
        <v>0</v>
      </c>
      <c r="O1732" s="56" t="b">
        <v>0</v>
      </c>
      <c r="P1732" s="56"/>
      <c r="Q1732" s="56"/>
      <c r="R1732" s="56"/>
      <c r="S1732" s="56"/>
      <c r="T1732" s="56"/>
      <c r="U1732" s="56"/>
      <c r="V1732" s="56"/>
      <c r="W1732" s="56"/>
      <c r="X1732" s="56"/>
      <c r="Y1732" s="56"/>
      <c r="Z1732" s="56"/>
      <c r="AA1732" s="56"/>
      <c r="AB1732" s="56"/>
    </row>
    <row r="1733" ht="15.75" customHeight="1">
      <c r="A1733" s="169"/>
      <c r="B1733" s="63"/>
      <c r="C1733" s="22" t="s">
        <v>66</v>
      </c>
      <c r="D1733" s="172" t="s">
        <v>52</v>
      </c>
      <c r="E1733" s="203" t="s">
        <v>2220</v>
      </c>
      <c r="F1733" s="203" t="s">
        <v>2221</v>
      </c>
      <c r="G1733" s="82" t="s">
        <v>4858</v>
      </c>
      <c r="H1733" s="76" t="s">
        <v>6648</v>
      </c>
      <c r="I1733" s="202" t="s">
        <v>6649</v>
      </c>
      <c r="J1733" s="203" t="s">
        <v>2223</v>
      </c>
      <c r="K1733" s="250" t="s">
        <v>6650</v>
      </c>
      <c r="L1733" s="38"/>
      <c r="M1733" s="56"/>
      <c r="N1733" s="56" t="b">
        <v>0</v>
      </c>
      <c r="O1733" s="56" t="b">
        <v>0</v>
      </c>
      <c r="P1733" s="56"/>
      <c r="Q1733" s="56"/>
      <c r="R1733" s="56"/>
      <c r="S1733" s="56"/>
      <c r="T1733" s="56"/>
      <c r="U1733" s="56"/>
      <c r="V1733" s="56"/>
      <c r="W1733" s="56"/>
      <c r="X1733" s="56"/>
      <c r="Y1733" s="56"/>
      <c r="Z1733" s="56"/>
      <c r="AA1733" s="56"/>
      <c r="AB1733" s="56"/>
    </row>
    <row r="1734" ht="15.75" customHeight="1">
      <c r="A1734" s="169"/>
      <c r="B1734" s="69"/>
      <c r="C1734" s="22" t="s">
        <v>66</v>
      </c>
      <c r="D1734" s="227" t="s">
        <v>52</v>
      </c>
      <c r="E1734" s="242" t="s">
        <v>2490</v>
      </c>
      <c r="F1734" s="242" t="s">
        <v>2491</v>
      </c>
      <c r="G1734" s="73" t="s">
        <v>4847</v>
      </c>
      <c r="H1734" s="62" t="s">
        <v>6648</v>
      </c>
      <c r="I1734" s="27" t="s">
        <v>6651</v>
      </c>
      <c r="J1734" s="242" t="s">
        <v>2493</v>
      </c>
      <c r="K1734" s="38"/>
      <c r="L1734" s="38"/>
      <c r="M1734" s="56"/>
      <c r="N1734" s="56" t="b">
        <v>0</v>
      </c>
      <c r="O1734" s="56" t="b">
        <v>0</v>
      </c>
      <c r="P1734" s="56"/>
      <c r="Q1734" s="56"/>
      <c r="R1734" s="56"/>
      <c r="S1734" s="56"/>
      <c r="T1734" s="56"/>
      <c r="U1734" s="56"/>
      <c r="V1734" s="56"/>
      <c r="W1734" s="56"/>
      <c r="X1734" s="56"/>
      <c r="Y1734" s="56"/>
      <c r="Z1734" s="56"/>
      <c r="AA1734" s="56"/>
      <c r="AB1734" s="56"/>
    </row>
    <row r="1735" ht="15.75" customHeight="1">
      <c r="A1735" s="169"/>
      <c r="B1735" s="276"/>
      <c r="C1735" s="22"/>
      <c r="D1735" s="172" t="s">
        <v>52</v>
      </c>
      <c r="E1735" s="203" t="s">
        <v>231</v>
      </c>
      <c r="F1735" s="203" t="s">
        <v>232</v>
      </c>
      <c r="G1735" s="82" t="s">
        <v>4997</v>
      </c>
      <c r="H1735" s="76" t="s">
        <v>6652</v>
      </c>
      <c r="I1735" s="76" t="s">
        <v>6653</v>
      </c>
      <c r="J1735" s="203" t="s">
        <v>235</v>
      </c>
      <c r="K1735" s="38" t="s">
        <v>6654</v>
      </c>
      <c r="L1735" s="38"/>
      <c r="M1735" s="56"/>
      <c r="N1735" s="56" t="b">
        <v>0</v>
      </c>
      <c r="O1735" s="56" t="b">
        <v>0</v>
      </c>
      <c r="P1735" s="56"/>
      <c r="Q1735" s="56"/>
      <c r="R1735" s="56"/>
      <c r="S1735" s="56"/>
      <c r="T1735" s="56"/>
      <c r="U1735" s="56"/>
      <c r="V1735" s="56"/>
      <c r="W1735" s="56"/>
      <c r="X1735" s="56"/>
      <c r="Y1735" s="56"/>
      <c r="Z1735" s="56"/>
      <c r="AA1735" s="56"/>
      <c r="AB1735" s="56"/>
    </row>
    <row r="1736" ht="15.75" customHeight="1">
      <c r="A1736" s="169"/>
      <c r="B1736" s="299"/>
      <c r="C1736" s="220">
        <v>44545.0</v>
      </c>
      <c r="D1736" s="38"/>
      <c r="E1736" s="38"/>
      <c r="F1736" s="65"/>
      <c r="G1736" s="66"/>
      <c r="H1736" s="38"/>
      <c r="I1736" s="38"/>
      <c r="J1736" s="38"/>
      <c r="K1736" s="38"/>
      <c r="L1736" s="38"/>
      <c r="M1736" s="56"/>
      <c r="N1736" s="56" t="b">
        <v>0</v>
      </c>
      <c r="O1736" s="56" t="b">
        <v>0</v>
      </c>
      <c r="P1736" s="56"/>
      <c r="Q1736" s="56"/>
      <c r="R1736" s="56"/>
      <c r="S1736" s="56"/>
      <c r="T1736" s="56"/>
      <c r="U1736" s="56"/>
      <c r="V1736" s="56"/>
      <c r="W1736" s="56"/>
      <c r="X1736" s="56"/>
      <c r="Y1736" s="56"/>
      <c r="Z1736" s="56"/>
      <c r="AA1736" s="56"/>
      <c r="AB1736" s="56"/>
    </row>
    <row r="1737" ht="15.75" customHeight="1">
      <c r="A1737" s="169"/>
      <c r="B1737" s="273" t="s">
        <v>4836</v>
      </c>
      <c r="C1737" s="22"/>
      <c r="D1737" s="38"/>
      <c r="E1737" s="38"/>
      <c r="F1737" s="65"/>
      <c r="G1737" s="66"/>
      <c r="H1737" s="38"/>
      <c r="I1737" s="38"/>
      <c r="J1737" s="38"/>
      <c r="K1737" s="38"/>
      <c r="L1737" s="38"/>
      <c r="M1737" s="56"/>
      <c r="N1737" s="56" t="b">
        <v>0</v>
      </c>
      <c r="O1737" s="56" t="b">
        <v>0</v>
      </c>
      <c r="P1737" s="56"/>
      <c r="Q1737" s="56"/>
      <c r="R1737" s="56"/>
      <c r="S1737" s="56"/>
      <c r="T1737" s="56"/>
      <c r="U1737" s="56"/>
      <c r="V1737" s="56"/>
      <c r="W1737" s="56"/>
      <c r="X1737" s="56"/>
      <c r="Y1737" s="56"/>
      <c r="Z1737" s="56"/>
      <c r="AA1737" s="56"/>
      <c r="AB1737" s="56"/>
    </row>
    <row r="1738" ht="15.75" customHeight="1">
      <c r="A1738" s="169"/>
      <c r="B1738" s="63"/>
      <c r="C1738" s="22" t="s">
        <v>53</v>
      </c>
      <c r="D1738" s="38"/>
      <c r="E1738" s="162" t="s">
        <v>5784</v>
      </c>
      <c r="F1738" s="155"/>
      <c r="G1738" s="66"/>
      <c r="H1738" s="38"/>
      <c r="I1738" s="38"/>
      <c r="J1738" s="38"/>
      <c r="K1738" s="38"/>
      <c r="L1738" s="38"/>
      <c r="M1738" s="56"/>
      <c r="N1738" s="56" t="b">
        <v>0</v>
      </c>
      <c r="O1738" s="56" t="b">
        <v>0</v>
      </c>
      <c r="P1738" s="56"/>
      <c r="Q1738" s="56"/>
      <c r="R1738" s="56"/>
      <c r="S1738" s="56"/>
      <c r="T1738" s="56"/>
      <c r="U1738" s="56"/>
      <c r="V1738" s="56"/>
      <c r="W1738" s="56"/>
      <c r="X1738" s="56"/>
      <c r="Y1738" s="56"/>
      <c r="Z1738" s="56"/>
      <c r="AA1738" s="56"/>
      <c r="AB1738" s="56"/>
    </row>
    <row r="1739" ht="15.75" customHeight="1">
      <c r="A1739" s="169"/>
      <c r="B1739" s="63"/>
      <c r="C1739" s="22" t="s">
        <v>53</v>
      </c>
      <c r="D1739" s="38"/>
      <c r="E1739" s="156"/>
      <c r="F1739" s="157"/>
      <c r="G1739" s="66"/>
      <c r="H1739" s="38"/>
      <c r="I1739" s="38"/>
      <c r="J1739" s="38"/>
      <c r="K1739" s="38"/>
      <c r="L1739" s="38"/>
      <c r="M1739" s="56"/>
      <c r="N1739" s="56" t="b">
        <v>0</v>
      </c>
      <c r="O1739" s="56" t="b">
        <v>0</v>
      </c>
      <c r="P1739" s="56"/>
      <c r="Q1739" s="56"/>
      <c r="R1739" s="56"/>
      <c r="S1739" s="56"/>
      <c r="T1739" s="56"/>
      <c r="U1739" s="56"/>
      <c r="V1739" s="56"/>
      <c r="W1739" s="56"/>
      <c r="X1739" s="56"/>
      <c r="Y1739" s="56"/>
      <c r="Z1739" s="56"/>
      <c r="AA1739" s="56"/>
      <c r="AB1739" s="56"/>
    </row>
    <row r="1740" ht="15.75" customHeight="1">
      <c r="A1740" s="169"/>
      <c r="B1740" s="63"/>
      <c r="C1740" s="22" t="s">
        <v>53</v>
      </c>
      <c r="D1740" s="38"/>
      <c r="E1740" s="158"/>
      <c r="F1740" s="159"/>
      <c r="G1740" s="66"/>
      <c r="H1740" s="38"/>
      <c r="I1740" s="38"/>
      <c r="J1740" s="38"/>
      <c r="K1740" s="38"/>
      <c r="L1740" s="38"/>
      <c r="M1740" s="56"/>
      <c r="N1740" s="56" t="b">
        <v>0</v>
      </c>
      <c r="O1740" s="56" t="b">
        <v>0</v>
      </c>
      <c r="P1740" s="56"/>
      <c r="Q1740" s="56"/>
      <c r="R1740" s="56"/>
      <c r="S1740" s="56"/>
      <c r="T1740" s="56"/>
      <c r="U1740" s="56"/>
      <c r="V1740" s="56"/>
      <c r="W1740" s="56"/>
      <c r="X1740" s="56"/>
      <c r="Y1740" s="56"/>
      <c r="Z1740" s="56"/>
      <c r="AA1740" s="56"/>
      <c r="AB1740" s="56"/>
    </row>
    <row r="1741" ht="15.75" customHeight="1">
      <c r="A1741" s="169"/>
      <c r="B1741" s="63"/>
      <c r="C1741" s="22" t="s">
        <v>53</v>
      </c>
      <c r="D1741" s="38"/>
      <c r="E1741" s="38"/>
      <c r="F1741" s="65"/>
      <c r="G1741" s="66"/>
      <c r="H1741" s="38"/>
      <c r="I1741" s="38"/>
      <c r="J1741" s="38"/>
      <c r="K1741" s="38"/>
      <c r="L1741" s="38"/>
      <c r="M1741" s="56"/>
      <c r="N1741" s="56" t="b">
        <v>0</v>
      </c>
      <c r="O1741" s="56" t="b">
        <v>0</v>
      </c>
      <c r="P1741" s="56"/>
      <c r="Q1741" s="56"/>
      <c r="R1741" s="56"/>
      <c r="S1741" s="56"/>
      <c r="T1741" s="56"/>
      <c r="U1741" s="56"/>
      <c r="V1741" s="56"/>
      <c r="W1741" s="56"/>
      <c r="X1741" s="56"/>
      <c r="Y1741" s="56"/>
      <c r="Z1741" s="56"/>
      <c r="AA1741" s="56"/>
      <c r="AB1741" s="56"/>
    </row>
    <row r="1742" ht="15.75" customHeight="1">
      <c r="A1742" s="169"/>
      <c r="B1742" s="63"/>
      <c r="C1742" s="22" t="s">
        <v>53</v>
      </c>
      <c r="D1742" s="38"/>
      <c r="E1742" s="129" t="s">
        <v>6655</v>
      </c>
      <c r="F1742" s="127"/>
      <c r="G1742" s="66"/>
      <c r="H1742" s="38"/>
      <c r="I1742" s="38"/>
      <c r="J1742" s="38"/>
      <c r="K1742" s="38"/>
      <c r="L1742" s="38"/>
      <c r="M1742" s="56"/>
      <c r="N1742" s="56" t="b">
        <v>0</v>
      </c>
      <c r="O1742" s="56" t="b">
        <v>0</v>
      </c>
      <c r="P1742" s="56"/>
      <c r="Q1742" s="56"/>
      <c r="R1742" s="56"/>
      <c r="S1742" s="56"/>
      <c r="T1742" s="56"/>
      <c r="U1742" s="56"/>
      <c r="V1742" s="56"/>
      <c r="W1742" s="56"/>
      <c r="X1742" s="56"/>
      <c r="Y1742" s="56"/>
      <c r="Z1742" s="56"/>
      <c r="AA1742" s="56"/>
      <c r="AB1742" s="56"/>
    </row>
    <row r="1743" ht="15.75" customHeight="1">
      <c r="A1743" s="169"/>
      <c r="B1743" s="69"/>
      <c r="C1743" s="22"/>
      <c r="D1743" s="38"/>
      <c r="E1743" s="129" t="s">
        <v>6656</v>
      </c>
      <c r="F1743" s="127"/>
      <c r="G1743" s="270"/>
      <c r="H1743" s="129"/>
      <c r="I1743" s="38"/>
      <c r="J1743" s="38"/>
      <c r="K1743" s="38"/>
      <c r="L1743" s="38"/>
      <c r="M1743" s="56"/>
      <c r="N1743" s="56" t="b">
        <v>0</v>
      </c>
      <c r="O1743" s="56" t="b">
        <v>0</v>
      </c>
      <c r="P1743" s="56"/>
      <c r="Q1743" s="56"/>
      <c r="R1743" s="56"/>
      <c r="S1743" s="56"/>
      <c r="T1743" s="56"/>
      <c r="U1743" s="56"/>
      <c r="V1743" s="56"/>
      <c r="W1743" s="56"/>
      <c r="X1743" s="56"/>
      <c r="Y1743" s="56"/>
      <c r="Z1743" s="56"/>
      <c r="AA1743" s="56"/>
      <c r="AB1743" s="56"/>
    </row>
    <row r="1744" ht="15.75" customHeight="1">
      <c r="A1744" s="169"/>
      <c r="B1744" s="273" t="s">
        <v>6168</v>
      </c>
      <c r="C1744" s="22" t="s">
        <v>66</v>
      </c>
      <c r="D1744" s="202" t="s">
        <v>89</v>
      </c>
      <c r="E1744" s="76" t="s">
        <v>2991</v>
      </c>
      <c r="F1744" s="160" t="s">
        <v>6657</v>
      </c>
      <c r="G1744" s="82" t="s">
        <v>4887</v>
      </c>
      <c r="H1744" s="76" t="s">
        <v>6605</v>
      </c>
      <c r="I1744" s="76" t="s">
        <v>6658</v>
      </c>
      <c r="J1744" s="76" t="s">
        <v>6659</v>
      </c>
      <c r="K1744" s="38" t="s">
        <v>6660</v>
      </c>
      <c r="L1744" s="38"/>
      <c r="M1744" s="56"/>
      <c r="N1744" s="56" t="b">
        <v>0</v>
      </c>
      <c r="O1744" s="56" t="b">
        <v>0</v>
      </c>
      <c r="P1744" s="56"/>
      <c r="Q1744" s="56"/>
      <c r="R1744" s="56"/>
      <c r="S1744" s="56"/>
      <c r="T1744" s="56"/>
      <c r="U1744" s="56"/>
      <c r="V1744" s="56"/>
      <c r="W1744" s="56"/>
      <c r="X1744" s="56"/>
      <c r="Y1744" s="56"/>
      <c r="Z1744" s="56"/>
      <c r="AA1744" s="56"/>
      <c r="AB1744" s="56"/>
    </row>
    <row r="1745" ht="15.75" customHeight="1">
      <c r="A1745" s="169"/>
      <c r="B1745" s="63"/>
      <c r="C1745" s="22" t="s">
        <v>66</v>
      </c>
      <c r="D1745" s="202" t="s">
        <v>314</v>
      </c>
      <c r="E1745" s="203" t="s">
        <v>837</v>
      </c>
      <c r="F1745" s="203" t="s">
        <v>838</v>
      </c>
      <c r="G1745" s="82" t="s">
        <v>5160</v>
      </c>
      <c r="H1745" s="76" t="s">
        <v>5228</v>
      </c>
      <c r="I1745" s="263" t="s">
        <v>6661</v>
      </c>
      <c r="J1745" s="203" t="s">
        <v>840</v>
      </c>
      <c r="K1745" s="38" t="s">
        <v>6662</v>
      </c>
      <c r="L1745" s="38"/>
      <c r="M1745" s="56"/>
      <c r="N1745" s="56" t="b">
        <v>0</v>
      </c>
      <c r="O1745" s="56" t="b">
        <v>0</v>
      </c>
      <c r="P1745" s="56"/>
      <c r="Q1745" s="56"/>
      <c r="R1745" s="56"/>
      <c r="S1745" s="56"/>
      <c r="T1745" s="56"/>
      <c r="U1745" s="56"/>
      <c r="V1745" s="56"/>
      <c r="W1745" s="56"/>
      <c r="X1745" s="56"/>
      <c r="Y1745" s="56"/>
      <c r="Z1745" s="56"/>
      <c r="AA1745" s="56"/>
      <c r="AB1745" s="56"/>
    </row>
    <row r="1746" ht="15.75" customHeight="1">
      <c r="A1746" s="169"/>
      <c r="B1746" s="63"/>
      <c r="C1746" s="22" t="s">
        <v>66</v>
      </c>
      <c r="D1746" s="173" t="s">
        <v>52</v>
      </c>
      <c r="E1746" s="282" t="s">
        <v>1381</v>
      </c>
      <c r="F1746" s="282" t="s">
        <v>1382</v>
      </c>
      <c r="G1746" s="218" t="s">
        <v>4858</v>
      </c>
      <c r="H1746" s="305" t="s">
        <v>6337</v>
      </c>
      <c r="I1746" s="173" t="s">
        <v>6632</v>
      </c>
      <c r="J1746" s="306" t="s">
        <v>1384</v>
      </c>
      <c r="K1746" s="38" t="s">
        <v>6663</v>
      </c>
      <c r="L1746" s="38"/>
      <c r="M1746" s="56"/>
      <c r="N1746" s="56" t="b">
        <v>0</v>
      </c>
      <c r="O1746" s="56" t="b">
        <v>0</v>
      </c>
      <c r="P1746" s="56"/>
      <c r="Q1746" s="56"/>
      <c r="R1746" s="56"/>
      <c r="S1746" s="56"/>
      <c r="T1746" s="56"/>
      <c r="U1746" s="56"/>
      <c r="V1746" s="56"/>
      <c r="W1746" s="56"/>
      <c r="X1746" s="56"/>
      <c r="Y1746" s="56"/>
      <c r="Z1746" s="56"/>
      <c r="AA1746" s="56"/>
      <c r="AB1746" s="56"/>
    </row>
    <row r="1747" ht="15.75" customHeight="1">
      <c r="A1747" s="169"/>
      <c r="B1747" s="63"/>
      <c r="C1747" s="22" t="s">
        <v>66</v>
      </c>
      <c r="D1747" s="202" t="s">
        <v>103</v>
      </c>
      <c r="E1747" s="77" t="s">
        <v>4662</v>
      </c>
      <c r="F1747" s="77" t="s">
        <v>4663</v>
      </c>
      <c r="G1747" s="82" t="s">
        <v>5089</v>
      </c>
      <c r="H1747" s="76" t="s">
        <v>5344</v>
      </c>
      <c r="I1747" s="76" t="s">
        <v>6624</v>
      </c>
      <c r="J1747" s="77" t="s">
        <v>1788</v>
      </c>
      <c r="K1747" s="38" t="s">
        <v>6664</v>
      </c>
      <c r="L1747" s="38"/>
      <c r="M1747" s="56"/>
      <c r="N1747" s="56" t="b">
        <v>0</v>
      </c>
      <c r="O1747" s="56" t="b">
        <v>0</v>
      </c>
      <c r="P1747" s="56"/>
      <c r="Q1747" s="56"/>
      <c r="R1747" s="56"/>
      <c r="S1747" s="56"/>
      <c r="T1747" s="56"/>
      <c r="U1747" s="56"/>
      <c r="V1747" s="56"/>
      <c r="W1747" s="56"/>
      <c r="X1747" s="56"/>
      <c r="Y1747" s="56"/>
      <c r="Z1747" s="56"/>
      <c r="AA1747" s="56"/>
      <c r="AB1747" s="56"/>
    </row>
    <row r="1748" ht="15.75" customHeight="1">
      <c r="A1748" s="169"/>
      <c r="B1748" s="69"/>
      <c r="C1748" s="22"/>
      <c r="D1748" s="38"/>
      <c r="E1748" s="38"/>
      <c r="F1748" s="65"/>
      <c r="G1748" s="66"/>
      <c r="H1748" s="38"/>
      <c r="I1748" s="38"/>
      <c r="J1748" s="38"/>
      <c r="K1748" s="38"/>
      <c r="L1748" s="38"/>
      <c r="M1748" s="56"/>
      <c r="N1748" s="56" t="b">
        <v>0</v>
      </c>
      <c r="O1748" s="56" t="b">
        <v>0</v>
      </c>
      <c r="P1748" s="56"/>
      <c r="Q1748" s="56"/>
      <c r="R1748" s="56"/>
      <c r="S1748" s="56"/>
      <c r="T1748" s="56"/>
      <c r="U1748" s="56"/>
      <c r="V1748" s="56"/>
      <c r="W1748" s="56"/>
      <c r="X1748" s="56"/>
      <c r="Y1748" s="56"/>
      <c r="Z1748" s="56"/>
      <c r="AA1748" s="56"/>
      <c r="AB1748" s="56"/>
    </row>
    <row r="1749" ht="15.75" customHeight="1">
      <c r="A1749" s="169"/>
      <c r="B1749" s="299"/>
      <c r="C1749" s="220">
        <v>44546.0</v>
      </c>
      <c r="D1749" s="38"/>
      <c r="E1749" s="38"/>
      <c r="F1749" s="65"/>
      <c r="G1749" s="66"/>
      <c r="H1749" s="38"/>
      <c r="I1749" s="38"/>
      <c r="J1749" s="38"/>
      <c r="K1749" s="38"/>
      <c r="L1749" s="38"/>
      <c r="M1749" s="56"/>
      <c r="N1749" s="56" t="b">
        <v>0</v>
      </c>
      <c r="O1749" s="56" t="b">
        <v>0</v>
      </c>
      <c r="P1749" s="56"/>
      <c r="Q1749" s="56"/>
      <c r="R1749" s="56"/>
      <c r="S1749" s="56"/>
      <c r="T1749" s="56"/>
      <c r="U1749" s="56"/>
      <c r="V1749" s="56"/>
      <c r="W1749" s="56"/>
      <c r="X1749" s="56"/>
      <c r="Y1749" s="56"/>
      <c r="Z1749" s="56"/>
      <c r="AA1749" s="56"/>
      <c r="AB1749" s="56"/>
    </row>
    <row r="1750" ht="15.75" customHeight="1">
      <c r="A1750" s="169"/>
      <c r="B1750" s="273" t="s">
        <v>4836</v>
      </c>
      <c r="C1750" s="22"/>
      <c r="D1750" s="38"/>
      <c r="E1750" s="38"/>
      <c r="F1750" s="65"/>
      <c r="G1750" s="66"/>
      <c r="H1750" s="38"/>
      <c r="I1750" s="38"/>
      <c r="J1750" s="38"/>
      <c r="K1750" s="38"/>
      <c r="L1750" s="38"/>
      <c r="M1750" s="56"/>
      <c r="N1750" s="56" t="b">
        <v>0</v>
      </c>
      <c r="O1750" s="56" t="b">
        <v>0</v>
      </c>
      <c r="P1750" s="56"/>
      <c r="Q1750" s="56"/>
      <c r="R1750" s="56"/>
      <c r="S1750" s="56"/>
      <c r="T1750" s="56"/>
      <c r="U1750" s="56"/>
      <c r="V1750" s="56"/>
      <c r="W1750" s="56"/>
      <c r="X1750" s="56"/>
      <c r="Y1750" s="56"/>
      <c r="Z1750" s="56"/>
      <c r="AA1750" s="56"/>
      <c r="AB1750" s="56"/>
    </row>
    <row r="1751" ht="15.75" customHeight="1">
      <c r="A1751" s="169"/>
      <c r="B1751" s="63"/>
      <c r="C1751" s="22" t="s">
        <v>53</v>
      </c>
      <c r="D1751" s="38"/>
      <c r="E1751" s="162" t="s">
        <v>5784</v>
      </c>
      <c r="F1751" s="155"/>
      <c r="G1751" s="66"/>
      <c r="H1751" s="38"/>
      <c r="I1751" s="38"/>
      <c r="J1751" s="38"/>
      <c r="K1751" s="38"/>
      <c r="L1751" s="38"/>
      <c r="M1751" s="56"/>
      <c r="N1751" s="56" t="b">
        <v>0</v>
      </c>
      <c r="O1751" s="56" t="b">
        <v>0</v>
      </c>
      <c r="P1751" s="56"/>
      <c r="Q1751" s="56"/>
      <c r="R1751" s="56"/>
      <c r="S1751" s="56"/>
      <c r="T1751" s="56"/>
      <c r="U1751" s="56"/>
      <c r="V1751" s="56"/>
      <c r="W1751" s="56"/>
      <c r="X1751" s="56"/>
      <c r="Y1751" s="56"/>
      <c r="Z1751" s="56"/>
      <c r="AA1751" s="56"/>
      <c r="AB1751" s="56"/>
    </row>
    <row r="1752" ht="15.75" customHeight="1">
      <c r="A1752" s="169"/>
      <c r="B1752" s="63"/>
      <c r="C1752" s="22" t="s">
        <v>53</v>
      </c>
      <c r="D1752" s="38"/>
      <c r="E1752" s="156"/>
      <c r="F1752" s="157"/>
      <c r="G1752" s="66"/>
      <c r="H1752" s="38"/>
      <c r="I1752" s="38"/>
      <c r="J1752" s="38"/>
      <c r="K1752" s="38"/>
      <c r="L1752" s="38"/>
      <c r="M1752" s="56"/>
      <c r="N1752" s="56" t="b">
        <v>0</v>
      </c>
      <c r="O1752" s="56" t="b">
        <v>0</v>
      </c>
      <c r="P1752" s="56"/>
      <c r="Q1752" s="56"/>
      <c r="R1752" s="56"/>
      <c r="S1752" s="56"/>
      <c r="T1752" s="56"/>
      <c r="U1752" s="56"/>
      <c r="V1752" s="56"/>
      <c r="W1752" s="56"/>
      <c r="X1752" s="56"/>
      <c r="Y1752" s="56"/>
      <c r="Z1752" s="56"/>
      <c r="AA1752" s="56"/>
      <c r="AB1752" s="56"/>
    </row>
    <row r="1753" ht="15.75" customHeight="1">
      <c r="A1753" s="169"/>
      <c r="B1753" s="63"/>
      <c r="C1753" s="22" t="s">
        <v>53</v>
      </c>
      <c r="D1753" s="38"/>
      <c r="E1753" s="158"/>
      <c r="F1753" s="159"/>
      <c r="G1753" s="66"/>
      <c r="H1753" s="38"/>
      <c r="I1753" s="38"/>
      <c r="J1753" s="38"/>
      <c r="K1753" s="38"/>
      <c r="L1753" s="38"/>
      <c r="M1753" s="56"/>
      <c r="N1753" s="56" t="b">
        <v>0</v>
      </c>
      <c r="O1753" s="56" t="b">
        <v>0</v>
      </c>
      <c r="P1753" s="56"/>
      <c r="Q1753" s="56"/>
      <c r="R1753" s="56"/>
      <c r="S1753" s="56"/>
      <c r="T1753" s="56"/>
      <c r="U1753" s="56"/>
      <c r="V1753" s="56"/>
      <c r="W1753" s="56"/>
      <c r="X1753" s="56"/>
      <c r="Y1753" s="56"/>
      <c r="Z1753" s="56"/>
      <c r="AA1753" s="56"/>
      <c r="AB1753" s="56"/>
    </row>
    <row r="1754" ht="15.75" customHeight="1">
      <c r="A1754" s="169"/>
      <c r="B1754" s="63"/>
      <c r="C1754" s="22" t="s">
        <v>53</v>
      </c>
      <c r="D1754" s="38"/>
      <c r="E1754" s="38"/>
      <c r="F1754" s="65"/>
      <c r="G1754" s="66"/>
      <c r="H1754" s="38"/>
      <c r="I1754" s="38"/>
      <c r="J1754" s="38"/>
      <c r="K1754" s="38"/>
      <c r="L1754" s="38"/>
      <c r="M1754" s="56"/>
      <c r="N1754" s="56" t="b">
        <v>0</v>
      </c>
      <c r="O1754" s="56" t="b">
        <v>0</v>
      </c>
      <c r="P1754" s="56"/>
      <c r="Q1754" s="56"/>
      <c r="R1754" s="56"/>
      <c r="S1754" s="56"/>
      <c r="T1754" s="56"/>
      <c r="U1754" s="56"/>
      <c r="V1754" s="56"/>
      <c r="W1754" s="56"/>
      <c r="X1754" s="56"/>
      <c r="Y1754" s="56"/>
      <c r="Z1754" s="56"/>
      <c r="AA1754" s="56"/>
      <c r="AB1754" s="56"/>
    </row>
    <row r="1755" ht="15.75" customHeight="1">
      <c r="A1755" s="169"/>
      <c r="B1755" s="63"/>
      <c r="C1755" s="22" t="s">
        <v>53</v>
      </c>
      <c r="D1755" s="38"/>
      <c r="E1755" s="38"/>
      <c r="F1755" s="65"/>
      <c r="G1755" s="66"/>
      <c r="H1755" s="38"/>
      <c r="I1755" s="38"/>
      <c r="J1755" s="38"/>
      <c r="K1755" s="38"/>
      <c r="L1755" s="38"/>
      <c r="M1755" s="56"/>
      <c r="N1755" s="56" t="b">
        <v>0</v>
      </c>
      <c r="O1755" s="56" t="b">
        <v>0</v>
      </c>
      <c r="P1755" s="56"/>
      <c r="Q1755" s="56"/>
      <c r="R1755" s="56"/>
      <c r="S1755" s="56"/>
      <c r="T1755" s="56"/>
      <c r="U1755" s="56"/>
      <c r="V1755" s="56"/>
      <c r="W1755" s="56"/>
      <c r="X1755" s="56"/>
      <c r="Y1755" s="56"/>
      <c r="Z1755" s="56"/>
      <c r="AA1755" s="56"/>
      <c r="AB1755" s="56"/>
    </row>
    <row r="1756" ht="15.75" customHeight="1">
      <c r="A1756" s="169"/>
      <c r="B1756" s="69"/>
      <c r="C1756" s="22"/>
      <c r="D1756" s="38"/>
      <c r="E1756" s="38"/>
      <c r="F1756" s="65"/>
      <c r="G1756" s="66"/>
      <c r="H1756" s="38"/>
      <c r="I1756" s="38"/>
      <c r="J1756" s="38"/>
      <c r="K1756" s="38"/>
      <c r="L1756" s="38"/>
      <c r="M1756" s="56"/>
      <c r="N1756" s="56" t="b">
        <v>0</v>
      </c>
      <c r="O1756" s="56" t="b">
        <v>0</v>
      </c>
      <c r="P1756" s="56"/>
      <c r="Q1756" s="56"/>
      <c r="R1756" s="56"/>
      <c r="S1756" s="56"/>
      <c r="T1756" s="56"/>
      <c r="U1756" s="56"/>
      <c r="V1756" s="56"/>
      <c r="W1756" s="56"/>
      <c r="X1756" s="56"/>
      <c r="Y1756" s="56"/>
      <c r="Z1756" s="56"/>
      <c r="AA1756" s="56"/>
      <c r="AB1756" s="56"/>
    </row>
    <row r="1757" ht="15.75" customHeight="1">
      <c r="A1757" s="169"/>
      <c r="B1757" s="273" t="s">
        <v>6168</v>
      </c>
      <c r="C1757" s="22" t="s">
        <v>66</v>
      </c>
      <c r="D1757" s="38"/>
      <c r="E1757" s="67"/>
      <c r="F1757" s="67"/>
      <c r="G1757" s="66" t="s">
        <v>4851</v>
      </c>
      <c r="H1757" s="38"/>
      <c r="I1757" s="38"/>
      <c r="J1757" s="38"/>
      <c r="K1757" s="38"/>
      <c r="L1757" s="38"/>
      <c r="M1757" s="56"/>
      <c r="N1757" s="56" t="b">
        <v>0</v>
      </c>
      <c r="O1757" s="56" t="b">
        <v>0</v>
      </c>
      <c r="P1757" s="56"/>
      <c r="Q1757" s="56"/>
      <c r="R1757" s="56"/>
      <c r="S1757" s="56"/>
      <c r="T1757" s="56"/>
      <c r="U1757" s="56"/>
      <c r="V1757" s="56"/>
      <c r="W1757" s="56"/>
      <c r="X1757" s="56"/>
      <c r="Y1757" s="56"/>
      <c r="Z1757" s="56"/>
      <c r="AA1757" s="56"/>
      <c r="AB1757" s="56"/>
    </row>
    <row r="1758" ht="15.75" customHeight="1">
      <c r="A1758" s="169"/>
      <c r="B1758" s="63"/>
      <c r="C1758" s="22" t="s">
        <v>66</v>
      </c>
      <c r="D1758" s="62" t="s">
        <v>108</v>
      </c>
      <c r="E1758" s="60" t="s">
        <v>4461</v>
      </c>
      <c r="F1758" s="60" t="s">
        <v>4462</v>
      </c>
      <c r="G1758" s="73" t="s">
        <v>5134</v>
      </c>
      <c r="H1758" s="62" t="s">
        <v>5205</v>
      </c>
      <c r="I1758" s="62" t="s">
        <v>6665</v>
      </c>
      <c r="J1758" s="60" t="s">
        <v>4464</v>
      </c>
      <c r="K1758" s="38"/>
      <c r="L1758" s="38"/>
      <c r="M1758" s="56"/>
      <c r="N1758" s="56" t="b">
        <v>0</v>
      </c>
      <c r="O1758" s="56" t="b">
        <v>0</v>
      </c>
      <c r="P1758" s="56"/>
      <c r="Q1758" s="56"/>
      <c r="R1758" s="56"/>
      <c r="S1758" s="56"/>
      <c r="T1758" s="56"/>
      <c r="U1758" s="56"/>
      <c r="V1758" s="56"/>
      <c r="W1758" s="56"/>
      <c r="X1758" s="56"/>
      <c r="Y1758" s="56"/>
      <c r="Z1758" s="56"/>
      <c r="AA1758" s="56"/>
      <c r="AB1758" s="56"/>
    </row>
    <row r="1759" ht="15.75" customHeight="1">
      <c r="A1759" s="169"/>
      <c r="B1759" s="63"/>
      <c r="C1759" s="22" t="s">
        <v>66</v>
      </c>
      <c r="D1759" s="227" t="s">
        <v>314</v>
      </c>
      <c r="E1759" s="60" t="s">
        <v>3809</v>
      </c>
      <c r="F1759" s="60" t="s">
        <v>3810</v>
      </c>
      <c r="G1759" s="73" t="s">
        <v>4892</v>
      </c>
      <c r="H1759" s="75" t="s">
        <v>4884</v>
      </c>
      <c r="I1759" s="62" t="s">
        <v>6666</v>
      </c>
      <c r="J1759" s="83" t="s">
        <v>3812</v>
      </c>
      <c r="K1759" s="38"/>
      <c r="L1759" s="38"/>
      <c r="M1759" s="56"/>
      <c r="N1759" s="56" t="b">
        <v>0</v>
      </c>
      <c r="O1759" s="56" t="b">
        <v>0</v>
      </c>
      <c r="P1759" s="56"/>
      <c r="Q1759" s="56"/>
      <c r="R1759" s="56"/>
      <c r="S1759" s="56"/>
      <c r="T1759" s="56"/>
      <c r="U1759" s="56"/>
      <c r="V1759" s="56"/>
      <c r="W1759" s="56"/>
      <c r="X1759" s="56"/>
      <c r="Y1759" s="56"/>
      <c r="Z1759" s="56"/>
      <c r="AA1759" s="56"/>
      <c r="AB1759" s="56"/>
    </row>
    <row r="1760" ht="15.75" customHeight="1">
      <c r="A1760" s="169"/>
      <c r="B1760" s="63"/>
      <c r="C1760" s="22" t="s">
        <v>66</v>
      </c>
      <c r="D1760" s="172" t="s">
        <v>314</v>
      </c>
      <c r="E1760" s="77" t="s">
        <v>5150</v>
      </c>
      <c r="F1760" s="77" t="s">
        <v>5151</v>
      </c>
      <c r="G1760" s="82" t="s">
        <v>4899</v>
      </c>
      <c r="H1760" s="76" t="s">
        <v>5085</v>
      </c>
      <c r="I1760" s="76" t="s">
        <v>6667</v>
      </c>
      <c r="J1760" s="77" t="s">
        <v>5153</v>
      </c>
      <c r="K1760" s="38" t="s">
        <v>6668</v>
      </c>
      <c r="L1760" s="38"/>
      <c r="M1760" s="56"/>
      <c r="N1760" s="56" t="b">
        <v>0</v>
      </c>
      <c r="O1760" s="56" t="b">
        <v>0</v>
      </c>
      <c r="P1760" s="56"/>
      <c r="Q1760" s="56"/>
      <c r="R1760" s="56"/>
      <c r="S1760" s="56"/>
      <c r="T1760" s="56"/>
      <c r="U1760" s="56"/>
      <c r="V1760" s="56"/>
      <c r="W1760" s="56"/>
      <c r="X1760" s="56"/>
      <c r="Y1760" s="56"/>
      <c r="Z1760" s="56"/>
      <c r="AA1760" s="56"/>
      <c r="AB1760" s="56"/>
    </row>
    <row r="1761" ht="15.75" customHeight="1">
      <c r="A1761" s="169"/>
      <c r="B1761" s="63"/>
      <c r="C1761" s="22" t="s">
        <v>66</v>
      </c>
      <c r="D1761" s="227" t="s">
        <v>89</v>
      </c>
      <c r="E1761" s="60" t="s">
        <v>992</v>
      </c>
      <c r="F1761" s="60" t="s">
        <v>993</v>
      </c>
      <c r="G1761" s="73" t="s">
        <v>4997</v>
      </c>
      <c r="H1761" s="62" t="s">
        <v>6669</v>
      </c>
      <c r="I1761" s="62" t="s">
        <v>6670</v>
      </c>
      <c r="J1761" s="60" t="s">
        <v>995</v>
      </c>
      <c r="K1761" s="38"/>
      <c r="L1761" s="38"/>
      <c r="M1761" s="56"/>
      <c r="N1761" s="56" t="b">
        <v>0</v>
      </c>
      <c r="O1761" s="56" t="b">
        <v>0</v>
      </c>
      <c r="P1761" s="56"/>
      <c r="Q1761" s="56"/>
      <c r="R1761" s="56"/>
      <c r="S1761" s="56"/>
      <c r="T1761" s="56"/>
      <c r="U1761" s="56"/>
      <c r="V1761" s="56"/>
      <c r="W1761" s="56"/>
      <c r="X1761" s="56"/>
      <c r="Y1761" s="56"/>
      <c r="Z1761" s="56"/>
      <c r="AA1761" s="56"/>
      <c r="AB1761" s="56"/>
    </row>
    <row r="1762" ht="15.75" customHeight="1">
      <c r="A1762" s="169"/>
      <c r="B1762" s="69"/>
      <c r="C1762" s="22"/>
      <c r="D1762" s="38"/>
      <c r="E1762" s="38"/>
      <c r="F1762" s="65"/>
      <c r="G1762" s="66"/>
      <c r="H1762" s="38"/>
      <c r="I1762" s="38"/>
      <c r="J1762" s="38"/>
      <c r="K1762" s="38"/>
      <c r="L1762" s="38"/>
      <c r="M1762" s="56"/>
      <c r="N1762" s="56" t="b">
        <v>0</v>
      </c>
      <c r="O1762" s="56" t="b">
        <v>0</v>
      </c>
      <c r="P1762" s="56"/>
      <c r="Q1762" s="56"/>
      <c r="R1762" s="56"/>
      <c r="S1762" s="56"/>
      <c r="T1762" s="56"/>
      <c r="U1762" s="56"/>
      <c r="V1762" s="56"/>
      <c r="W1762" s="56"/>
      <c r="X1762" s="56"/>
      <c r="Y1762" s="56"/>
      <c r="Z1762" s="56"/>
      <c r="AA1762" s="56"/>
      <c r="AB1762" s="56"/>
    </row>
    <row r="1763" ht="15.75" customHeight="1">
      <c r="A1763" s="169"/>
      <c r="B1763" s="299"/>
      <c r="C1763" s="220">
        <v>44547.0</v>
      </c>
      <c r="D1763" s="38"/>
      <c r="E1763" s="38"/>
      <c r="F1763" s="65"/>
      <c r="G1763" s="66"/>
      <c r="H1763" s="38"/>
      <c r="I1763" s="38"/>
      <c r="J1763" s="38"/>
      <c r="K1763" s="38"/>
      <c r="L1763" s="38"/>
      <c r="M1763" s="56"/>
      <c r="N1763" s="56" t="b">
        <v>0</v>
      </c>
      <c r="O1763" s="56" t="b">
        <v>0</v>
      </c>
      <c r="P1763" s="56"/>
      <c r="Q1763" s="56"/>
      <c r="R1763" s="56"/>
      <c r="S1763" s="56"/>
      <c r="T1763" s="56"/>
      <c r="U1763" s="56"/>
      <c r="V1763" s="56"/>
      <c r="W1763" s="56"/>
      <c r="X1763" s="56"/>
      <c r="Y1763" s="56"/>
      <c r="Z1763" s="56"/>
      <c r="AA1763" s="56"/>
      <c r="AB1763" s="56"/>
    </row>
    <row r="1764" ht="15.75" customHeight="1">
      <c r="A1764" s="169"/>
      <c r="B1764" s="273" t="s">
        <v>4836</v>
      </c>
      <c r="C1764" s="22"/>
      <c r="D1764" s="38"/>
      <c r="E1764" s="38"/>
      <c r="F1764" s="65"/>
      <c r="G1764" s="66"/>
      <c r="H1764" s="38"/>
      <c r="I1764" s="38"/>
      <c r="J1764" s="38"/>
      <c r="K1764" s="38"/>
      <c r="L1764" s="38"/>
      <c r="M1764" s="56"/>
      <c r="N1764" s="56" t="b">
        <v>0</v>
      </c>
      <c r="O1764" s="56" t="b">
        <v>0</v>
      </c>
      <c r="P1764" s="56"/>
      <c r="Q1764" s="56"/>
      <c r="R1764" s="56"/>
      <c r="S1764" s="56"/>
      <c r="T1764" s="56"/>
      <c r="U1764" s="56"/>
      <c r="V1764" s="56"/>
      <c r="W1764" s="56"/>
      <c r="X1764" s="56"/>
      <c r="Y1764" s="56"/>
      <c r="Z1764" s="56"/>
      <c r="AA1764" s="56"/>
      <c r="AB1764" s="56"/>
    </row>
    <row r="1765" ht="15.75" customHeight="1">
      <c r="A1765" s="169"/>
      <c r="B1765" s="63"/>
      <c r="C1765" s="22" t="s">
        <v>53</v>
      </c>
      <c r="D1765" s="38"/>
      <c r="E1765" s="162" t="s">
        <v>5784</v>
      </c>
      <c r="F1765" s="155"/>
      <c r="G1765" s="66"/>
      <c r="H1765" s="38"/>
      <c r="I1765" s="38"/>
      <c r="J1765" s="38"/>
      <c r="K1765" s="38"/>
      <c r="L1765" s="38"/>
      <c r="M1765" s="56"/>
      <c r="N1765" s="56" t="b">
        <v>0</v>
      </c>
      <c r="O1765" s="56" t="b">
        <v>0</v>
      </c>
      <c r="P1765" s="56"/>
      <c r="Q1765" s="56"/>
      <c r="R1765" s="56"/>
      <c r="S1765" s="56"/>
      <c r="T1765" s="56"/>
      <c r="U1765" s="56"/>
      <c r="V1765" s="56"/>
      <c r="W1765" s="56"/>
      <c r="X1765" s="56"/>
      <c r="Y1765" s="56"/>
      <c r="Z1765" s="56"/>
      <c r="AA1765" s="56"/>
      <c r="AB1765" s="56"/>
    </row>
    <row r="1766" ht="15.75" customHeight="1">
      <c r="A1766" s="169"/>
      <c r="B1766" s="63"/>
      <c r="C1766" s="22" t="s">
        <v>53</v>
      </c>
      <c r="D1766" s="38"/>
      <c r="E1766" s="156"/>
      <c r="F1766" s="157"/>
      <c r="G1766" s="66"/>
      <c r="H1766" s="38"/>
      <c r="I1766" s="38"/>
      <c r="J1766" s="38"/>
      <c r="K1766" s="38"/>
      <c r="L1766" s="38"/>
      <c r="M1766" s="56"/>
      <c r="N1766" s="56" t="b">
        <v>0</v>
      </c>
      <c r="O1766" s="56" t="b">
        <v>0</v>
      </c>
      <c r="P1766" s="56"/>
      <c r="Q1766" s="56"/>
      <c r="R1766" s="56"/>
      <c r="S1766" s="56"/>
      <c r="T1766" s="56"/>
      <c r="U1766" s="56"/>
      <c r="V1766" s="56"/>
      <c r="W1766" s="56"/>
      <c r="X1766" s="56"/>
      <c r="Y1766" s="56"/>
      <c r="Z1766" s="56"/>
      <c r="AA1766" s="56"/>
      <c r="AB1766" s="56"/>
    </row>
    <row r="1767" ht="15.75" customHeight="1">
      <c r="A1767" s="169"/>
      <c r="B1767" s="63"/>
      <c r="C1767" s="22" t="s">
        <v>53</v>
      </c>
      <c r="D1767" s="38"/>
      <c r="E1767" s="158"/>
      <c r="F1767" s="159"/>
      <c r="G1767" s="66"/>
      <c r="H1767" s="38"/>
      <c r="I1767" s="38"/>
      <c r="J1767" s="38"/>
      <c r="K1767" s="38"/>
      <c r="L1767" s="38"/>
      <c r="M1767" s="56"/>
      <c r="N1767" s="56" t="b">
        <v>0</v>
      </c>
      <c r="O1767" s="56" t="b">
        <v>0</v>
      </c>
      <c r="P1767" s="56"/>
      <c r="Q1767" s="56"/>
      <c r="R1767" s="56"/>
      <c r="S1767" s="56"/>
      <c r="T1767" s="56"/>
      <c r="U1767" s="56"/>
      <c r="V1767" s="56"/>
      <c r="W1767" s="56"/>
      <c r="X1767" s="56"/>
      <c r="Y1767" s="56"/>
      <c r="Z1767" s="56"/>
      <c r="AA1767" s="56"/>
      <c r="AB1767" s="56"/>
    </row>
    <row r="1768" ht="15.75" customHeight="1">
      <c r="A1768" s="169"/>
      <c r="B1768" s="63"/>
      <c r="C1768" s="22" t="s">
        <v>53</v>
      </c>
      <c r="D1768" s="38"/>
      <c r="E1768" s="38"/>
      <c r="F1768" s="65"/>
      <c r="G1768" s="66"/>
      <c r="H1768" s="38"/>
      <c r="I1768" s="38"/>
      <c r="J1768" s="38"/>
      <c r="K1768" s="38"/>
      <c r="L1768" s="38"/>
      <c r="M1768" s="56"/>
      <c r="N1768" s="56" t="b">
        <v>0</v>
      </c>
      <c r="O1768" s="56" t="b">
        <v>0</v>
      </c>
      <c r="P1768" s="56"/>
      <c r="Q1768" s="56"/>
      <c r="R1768" s="56"/>
      <c r="S1768" s="56"/>
      <c r="T1768" s="56"/>
      <c r="U1768" s="56"/>
      <c r="V1768" s="56"/>
      <c r="W1768" s="56"/>
      <c r="X1768" s="56"/>
      <c r="Y1768" s="56"/>
      <c r="Z1768" s="56"/>
      <c r="AA1768" s="56"/>
      <c r="AB1768" s="56"/>
    </row>
    <row r="1769" ht="15.75" customHeight="1">
      <c r="A1769" s="169"/>
      <c r="B1769" s="63"/>
      <c r="C1769" s="22" t="s">
        <v>53</v>
      </c>
      <c r="D1769" s="38"/>
      <c r="E1769" s="38"/>
      <c r="F1769" s="65"/>
      <c r="G1769" s="66"/>
      <c r="H1769" s="38"/>
      <c r="I1769" s="38"/>
      <c r="J1769" s="38"/>
      <c r="K1769" s="38"/>
      <c r="L1769" s="38"/>
      <c r="M1769" s="56"/>
      <c r="N1769" s="56" t="b">
        <v>0</v>
      </c>
      <c r="O1769" s="56" t="b">
        <v>0</v>
      </c>
      <c r="P1769" s="56"/>
      <c r="Q1769" s="56"/>
      <c r="R1769" s="56"/>
      <c r="S1769" s="56"/>
      <c r="T1769" s="56"/>
      <c r="U1769" s="56"/>
      <c r="V1769" s="56"/>
      <c r="W1769" s="56"/>
      <c r="X1769" s="56"/>
      <c r="Y1769" s="56"/>
      <c r="Z1769" s="56"/>
      <c r="AA1769" s="56"/>
      <c r="AB1769" s="56"/>
    </row>
    <row r="1770" ht="15.75" customHeight="1">
      <c r="A1770" s="169"/>
      <c r="B1770" s="69"/>
      <c r="C1770" s="22"/>
      <c r="D1770" s="38"/>
      <c r="E1770" s="38"/>
      <c r="F1770" s="65"/>
      <c r="G1770" s="66"/>
      <c r="H1770" s="38"/>
      <c r="I1770" s="38"/>
      <c r="J1770" s="38"/>
      <c r="K1770" s="38"/>
      <c r="L1770" s="38"/>
      <c r="M1770" s="56"/>
      <c r="N1770" s="56" t="b">
        <v>0</v>
      </c>
      <c r="O1770" s="56" t="b">
        <v>0</v>
      </c>
      <c r="P1770" s="56"/>
      <c r="Q1770" s="56"/>
      <c r="R1770" s="56"/>
      <c r="S1770" s="56"/>
      <c r="T1770" s="56"/>
      <c r="U1770" s="56"/>
      <c r="V1770" s="56"/>
      <c r="W1770" s="56"/>
      <c r="X1770" s="56"/>
      <c r="Y1770" s="56"/>
      <c r="Z1770" s="56"/>
      <c r="AA1770" s="56"/>
      <c r="AB1770" s="56"/>
    </row>
    <row r="1771" ht="15.75" customHeight="1">
      <c r="A1771" s="169"/>
      <c r="B1771" s="273" t="s">
        <v>6168</v>
      </c>
      <c r="C1771" s="22" t="s">
        <v>66</v>
      </c>
      <c r="D1771" s="38"/>
      <c r="E1771" s="38"/>
      <c r="F1771" s="65"/>
      <c r="G1771" s="66"/>
      <c r="H1771" s="38"/>
      <c r="I1771" s="38"/>
      <c r="J1771" s="38"/>
      <c r="K1771" s="38"/>
      <c r="L1771" s="38"/>
      <c r="M1771" s="56"/>
      <c r="N1771" s="56" t="b">
        <v>0</v>
      </c>
      <c r="O1771" s="56" t="b">
        <v>0</v>
      </c>
      <c r="P1771" s="56"/>
      <c r="Q1771" s="56"/>
      <c r="R1771" s="56"/>
      <c r="S1771" s="56"/>
      <c r="T1771" s="56"/>
      <c r="U1771" s="56"/>
      <c r="V1771" s="56"/>
      <c r="W1771" s="56"/>
      <c r="X1771" s="56"/>
      <c r="Y1771" s="56"/>
      <c r="Z1771" s="56"/>
      <c r="AA1771" s="56"/>
      <c r="AB1771" s="56"/>
    </row>
    <row r="1772" ht="15.75" customHeight="1">
      <c r="A1772" s="169"/>
      <c r="B1772" s="63"/>
      <c r="C1772" s="22" t="s">
        <v>66</v>
      </c>
      <c r="D1772" s="308" t="s">
        <v>89</v>
      </c>
      <c r="E1772" s="60" t="s">
        <v>1140</v>
      </c>
      <c r="F1772" s="60" t="s">
        <v>1141</v>
      </c>
      <c r="G1772" s="73" t="s">
        <v>4887</v>
      </c>
      <c r="H1772" s="62" t="s">
        <v>6671</v>
      </c>
      <c r="I1772" s="62" t="s">
        <v>6672</v>
      </c>
      <c r="J1772" s="60" t="s">
        <v>1143</v>
      </c>
      <c r="K1772" s="38"/>
      <c r="L1772" s="38"/>
      <c r="M1772" s="56"/>
      <c r="N1772" s="56" t="b">
        <v>0</v>
      </c>
      <c r="O1772" s="56" t="b">
        <v>0</v>
      </c>
      <c r="P1772" s="56"/>
      <c r="Q1772" s="56"/>
      <c r="R1772" s="56"/>
      <c r="S1772" s="56"/>
      <c r="T1772" s="56"/>
      <c r="U1772" s="56"/>
      <c r="V1772" s="56"/>
      <c r="W1772" s="56"/>
      <c r="X1772" s="56"/>
      <c r="Y1772" s="56"/>
      <c r="Z1772" s="56"/>
      <c r="AA1772" s="56"/>
      <c r="AB1772" s="56"/>
    </row>
    <row r="1773" ht="15.75" customHeight="1">
      <c r="A1773" s="169"/>
      <c r="B1773" s="63"/>
      <c r="C1773" s="22" t="s">
        <v>66</v>
      </c>
      <c r="D1773" s="308" t="s">
        <v>89</v>
      </c>
      <c r="E1773" s="60" t="s">
        <v>3338</v>
      </c>
      <c r="F1773" s="60" t="s">
        <v>3339</v>
      </c>
      <c r="G1773" s="73" t="s">
        <v>5160</v>
      </c>
      <c r="H1773" s="62" t="s">
        <v>6326</v>
      </c>
      <c r="I1773" s="62" t="s">
        <v>6673</v>
      </c>
      <c r="J1773" s="60" t="s">
        <v>3341</v>
      </c>
      <c r="K1773" s="38"/>
      <c r="L1773" s="38"/>
      <c r="M1773" s="56"/>
      <c r="N1773" s="56" t="b">
        <v>0</v>
      </c>
      <c r="O1773" s="56" t="b">
        <v>0</v>
      </c>
      <c r="P1773" s="56"/>
      <c r="Q1773" s="56"/>
      <c r="R1773" s="56"/>
      <c r="S1773" s="56"/>
      <c r="T1773" s="56"/>
      <c r="U1773" s="56"/>
      <c r="V1773" s="56"/>
      <c r="W1773" s="56"/>
      <c r="X1773" s="56"/>
      <c r="Y1773" s="56"/>
      <c r="Z1773" s="56"/>
      <c r="AA1773" s="56"/>
      <c r="AB1773" s="56"/>
    </row>
    <row r="1774" ht="15.75" customHeight="1">
      <c r="A1774" s="169"/>
      <c r="B1774" s="63"/>
      <c r="C1774" s="22" t="s">
        <v>66</v>
      </c>
      <c r="D1774" s="309" t="s">
        <v>89</v>
      </c>
      <c r="E1774" s="77" t="s">
        <v>3101</v>
      </c>
      <c r="F1774" s="77" t="s">
        <v>3102</v>
      </c>
      <c r="G1774" s="82" t="s">
        <v>4858</v>
      </c>
      <c r="H1774" s="76" t="s">
        <v>6674</v>
      </c>
      <c r="I1774" s="76" t="s">
        <v>6675</v>
      </c>
      <c r="J1774" s="77" t="s">
        <v>3105</v>
      </c>
      <c r="K1774" s="38" t="s">
        <v>6676</v>
      </c>
      <c r="L1774" s="38"/>
      <c r="M1774" s="56"/>
      <c r="N1774" s="56" t="b">
        <v>0</v>
      </c>
      <c r="O1774" s="56" t="b">
        <v>0</v>
      </c>
      <c r="P1774" s="56"/>
      <c r="Q1774" s="56"/>
      <c r="R1774" s="56"/>
      <c r="S1774" s="56"/>
      <c r="T1774" s="56"/>
      <c r="U1774" s="56"/>
      <c r="V1774" s="56"/>
      <c r="W1774" s="56"/>
      <c r="X1774" s="56"/>
      <c r="Y1774" s="56"/>
      <c r="Z1774" s="56"/>
      <c r="AA1774" s="56"/>
      <c r="AB1774" s="56"/>
    </row>
    <row r="1775" ht="15.75" customHeight="1">
      <c r="A1775" s="169"/>
      <c r="B1775" s="63"/>
      <c r="C1775" s="22" t="s">
        <v>66</v>
      </c>
      <c r="D1775" s="310" t="s">
        <v>89</v>
      </c>
      <c r="E1775" s="311" t="s">
        <v>665</v>
      </c>
      <c r="F1775" s="311" t="s">
        <v>666</v>
      </c>
      <c r="G1775" s="73" t="s">
        <v>4847</v>
      </c>
      <c r="H1775" s="62" t="s">
        <v>6671</v>
      </c>
      <c r="I1775" s="62" t="s">
        <v>6677</v>
      </c>
      <c r="J1775" s="60" t="s">
        <v>668</v>
      </c>
      <c r="K1775" s="38"/>
      <c r="L1775" s="38"/>
      <c r="M1775" s="56"/>
      <c r="N1775" s="56" t="b">
        <v>0</v>
      </c>
      <c r="O1775" s="56" t="b">
        <v>0</v>
      </c>
      <c r="P1775" s="56"/>
      <c r="Q1775" s="56"/>
      <c r="R1775" s="56"/>
      <c r="S1775" s="56"/>
      <c r="T1775" s="56"/>
      <c r="U1775" s="56"/>
      <c r="V1775" s="56"/>
      <c r="W1775" s="56"/>
      <c r="X1775" s="56"/>
      <c r="Y1775" s="56"/>
      <c r="Z1775" s="56"/>
      <c r="AA1775" s="56"/>
      <c r="AB1775" s="56"/>
    </row>
    <row r="1776" ht="15.75" customHeight="1">
      <c r="A1776" s="169"/>
      <c r="B1776" s="69"/>
      <c r="C1776" s="22"/>
      <c r="D1776" s="38"/>
      <c r="E1776" s="38"/>
      <c r="F1776" s="65"/>
      <c r="G1776" s="66"/>
      <c r="H1776" s="38"/>
      <c r="I1776" s="38"/>
      <c r="J1776" s="38"/>
      <c r="K1776" s="38"/>
      <c r="L1776" s="38"/>
      <c r="M1776" s="56"/>
      <c r="N1776" s="56" t="b">
        <v>0</v>
      </c>
      <c r="O1776" s="56" t="b">
        <v>0</v>
      </c>
      <c r="P1776" s="56"/>
      <c r="Q1776" s="56"/>
      <c r="R1776" s="56"/>
      <c r="S1776" s="56"/>
      <c r="T1776" s="56"/>
      <c r="U1776" s="56"/>
      <c r="V1776" s="56"/>
      <c r="W1776" s="56"/>
      <c r="X1776" s="56"/>
      <c r="Y1776" s="56"/>
      <c r="Z1776" s="56"/>
      <c r="AA1776" s="56"/>
      <c r="AB1776" s="56"/>
    </row>
    <row r="1777" ht="15.75" customHeight="1">
      <c r="A1777" s="169"/>
      <c r="B1777" s="276"/>
      <c r="C1777" s="220">
        <v>44550.0</v>
      </c>
      <c r="D1777" s="38"/>
      <c r="E1777" s="38"/>
      <c r="F1777" s="65"/>
      <c r="G1777" s="66"/>
      <c r="H1777" s="38"/>
      <c r="I1777" s="38"/>
      <c r="J1777" s="38"/>
      <c r="K1777" s="38"/>
      <c r="L1777" s="38"/>
      <c r="M1777" s="56"/>
      <c r="N1777" s="56" t="b">
        <v>0</v>
      </c>
      <c r="O1777" s="56" t="b">
        <v>0</v>
      </c>
      <c r="P1777" s="56"/>
      <c r="Q1777" s="56"/>
      <c r="R1777" s="56"/>
      <c r="S1777" s="56"/>
      <c r="T1777" s="56"/>
      <c r="U1777" s="56"/>
      <c r="V1777" s="56"/>
      <c r="W1777" s="56"/>
      <c r="X1777" s="56"/>
      <c r="Y1777" s="56"/>
      <c r="Z1777" s="56"/>
      <c r="AA1777" s="56"/>
      <c r="AB1777" s="56"/>
    </row>
    <row r="1778" ht="15.75" customHeight="1">
      <c r="A1778" s="169"/>
      <c r="B1778" s="273" t="s">
        <v>4836</v>
      </c>
      <c r="C1778" s="22"/>
      <c r="D1778" s="38"/>
      <c r="E1778" s="38"/>
      <c r="F1778" s="65"/>
      <c r="G1778" s="66"/>
      <c r="H1778" s="38"/>
      <c r="I1778" s="38"/>
      <c r="J1778" s="38"/>
      <c r="K1778" s="38"/>
      <c r="L1778" s="38"/>
      <c r="M1778" s="56"/>
      <c r="N1778" s="56" t="b">
        <v>0</v>
      </c>
      <c r="O1778" s="56" t="b">
        <v>0</v>
      </c>
      <c r="P1778" s="56"/>
      <c r="Q1778" s="56"/>
      <c r="R1778" s="56"/>
      <c r="S1778" s="56"/>
      <c r="T1778" s="56"/>
      <c r="U1778" s="56"/>
      <c r="V1778" s="56"/>
      <c r="W1778" s="56"/>
      <c r="X1778" s="56"/>
      <c r="Y1778" s="56"/>
      <c r="Z1778" s="56"/>
      <c r="AA1778" s="56"/>
      <c r="AB1778" s="56"/>
    </row>
    <row r="1779" ht="15.75" customHeight="1">
      <c r="A1779" s="169"/>
      <c r="B1779" s="63"/>
      <c r="C1779" s="22" t="s">
        <v>53</v>
      </c>
      <c r="D1779" s="62" t="s">
        <v>87</v>
      </c>
      <c r="E1779" s="60" t="s">
        <v>4567</v>
      </c>
      <c r="F1779" s="60" t="s">
        <v>4568</v>
      </c>
      <c r="G1779" s="73" t="s">
        <v>4926</v>
      </c>
      <c r="H1779" s="269" t="s">
        <v>4994</v>
      </c>
      <c r="I1779" s="62" t="s">
        <v>6678</v>
      </c>
      <c r="J1779" s="267" t="s">
        <v>4570</v>
      </c>
      <c r="K1779" s="38"/>
      <c r="L1779" s="38"/>
      <c r="M1779" s="56"/>
      <c r="N1779" s="56" t="b">
        <v>0</v>
      </c>
      <c r="O1779" s="56" t="b">
        <v>0</v>
      </c>
      <c r="P1779" s="56"/>
      <c r="Q1779" s="56"/>
      <c r="R1779" s="56"/>
      <c r="S1779" s="56"/>
      <c r="T1779" s="56"/>
      <c r="U1779" s="56"/>
      <c r="V1779" s="56"/>
      <c r="W1779" s="56"/>
      <c r="X1779" s="56"/>
      <c r="Y1779" s="56"/>
      <c r="Z1779" s="56"/>
      <c r="AA1779" s="56"/>
      <c r="AB1779" s="56"/>
    </row>
    <row r="1780" ht="15.75" customHeight="1">
      <c r="A1780" s="169"/>
      <c r="B1780" s="63"/>
      <c r="C1780" s="22" t="s">
        <v>53</v>
      </c>
      <c r="D1780" s="202" t="s">
        <v>103</v>
      </c>
      <c r="E1780" s="203" t="s">
        <v>2478</v>
      </c>
      <c r="F1780" s="203" t="s">
        <v>2479</v>
      </c>
      <c r="G1780" s="82" t="s">
        <v>5134</v>
      </c>
      <c r="H1780" s="76" t="s">
        <v>5773</v>
      </c>
      <c r="I1780" s="76" t="s">
        <v>6679</v>
      </c>
      <c r="J1780" s="203" t="s">
        <v>2480</v>
      </c>
      <c r="K1780" s="38" t="s">
        <v>5528</v>
      </c>
      <c r="L1780" s="38"/>
      <c r="M1780" s="56"/>
      <c r="N1780" s="56" t="b">
        <v>0</v>
      </c>
      <c r="O1780" s="56" t="b">
        <v>0</v>
      </c>
      <c r="P1780" s="56"/>
      <c r="Q1780" s="56"/>
      <c r="R1780" s="56"/>
      <c r="S1780" s="56"/>
      <c r="T1780" s="56"/>
      <c r="U1780" s="56"/>
      <c r="V1780" s="56"/>
      <c r="W1780" s="56"/>
      <c r="X1780" s="56"/>
      <c r="Y1780" s="56"/>
      <c r="Z1780" s="56"/>
      <c r="AA1780" s="56"/>
      <c r="AB1780" s="56"/>
    </row>
    <row r="1781" ht="15.75" customHeight="1">
      <c r="A1781" s="169"/>
      <c r="B1781" s="63"/>
      <c r="C1781" s="22" t="s">
        <v>53</v>
      </c>
      <c r="D1781" s="76" t="s">
        <v>87</v>
      </c>
      <c r="E1781" s="77" t="s">
        <v>2794</v>
      </c>
      <c r="F1781" s="77" t="s">
        <v>2795</v>
      </c>
      <c r="G1781" s="82" t="s">
        <v>4940</v>
      </c>
      <c r="H1781" s="224" t="s">
        <v>5751</v>
      </c>
      <c r="I1781" s="76" t="s">
        <v>6680</v>
      </c>
      <c r="J1781" s="263" t="s">
        <v>2797</v>
      </c>
      <c r="K1781" s="38" t="s">
        <v>6681</v>
      </c>
      <c r="L1781" s="38"/>
      <c r="M1781" s="56"/>
      <c r="N1781" s="56" t="b">
        <v>0</v>
      </c>
      <c r="O1781" s="56" t="b">
        <v>0</v>
      </c>
      <c r="P1781" s="56"/>
      <c r="Q1781" s="56"/>
      <c r="R1781" s="56"/>
      <c r="S1781" s="56"/>
      <c r="T1781" s="56"/>
      <c r="U1781" s="56"/>
      <c r="V1781" s="56"/>
      <c r="W1781" s="56"/>
      <c r="X1781" s="56"/>
      <c r="Y1781" s="56"/>
      <c r="Z1781" s="56"/>
      <c r="AA1781" s="56"/>
      <c r="AB1781" s="56"/>
    </row>
    <row r="1782" ht="15.75" customHeight="1">
      <c r="A1782" s="169"/>
      <c r="B1782" s="63"/>
      <c r="C1782" s="22" t="s">
        <v>53</v>
      </c>
      <c r="D1782" s="62" t="s">
        <v>87</v>
      </c>
      <c r="E1782" s="60" t="s">
        <v>1008</v>
      </c>
      <c r="F1782" s="60" t="s">
        <v>1009</v>
      </c>
      <c r="G1782" s="73" t="s">
        <v>4967</v>
      </c>
      <c r="H1782" s="269" t="s">
        <v>6334</v>
      </c>
      <c r="I1782" s="62" t="s">
        <v>6682</v>
      </c>
      <c r="J1782" s="267" t="s">
        <v>1011</v>
      </c>
      <c r="K1782" s="38" t="s">
        <v>4076</v>
      </c>
      <c r="L1782" s="38"/>
      <c r="M1782" s="56"/>
      <c r="N1782" s="56" t="b">
        <v>0</v>
      </c>
      <c r="O1782" s="56" t="b">
        <v>0</v>
      </c>
      <c r="P1782" s="56"/>
      <c r="Q1782" s="56"/>
      <c r="R1782" s="56"/>
      <c r="S1782" s="56"/>
      <c r="T1782" s="56"/>
      <c r="U1782" s="56"/>
      <c r="V1782" s="56"/>
      <c r="W1782" s="56"/>
      <c r="X1782" s="56"/>
      <c r="Y1782" s="56"/>
      <c r="Z1782" s="56"/>
      <c r="AA1782" s="56"/>
      <c r="AB1782" s="56"/>
    </row>
    <row r="1783" ht="15.75" customHeight="1">
      <c r="A1783" s="169"/>
      <c r="B1783" s="63"/>
      <c r="C1783" s="22" t="s">
        <v>53</v>
      </c>
      <c r="D1783" s="38"/>
      <c r="E1783" s="38"/>
      <c r="F1783" s="65"/>
      <c r="G1783" s="66"/>
      <c r="H1783" s="38"/>
      <c r="I1783" s="38"/>
      <c r="J1783" s="38"/>
      <c r="K1783" s="38"/>
      <c r="L1783" s="38"/>
      <c r="M1783" s="56"/>
      <c r="N1783" s="56" t="b">
        <v>0</v>
      </c>
      <c r="O1783" s="56" t="b">
        <v>0</v>
      </c>
      <c r="P1783" s="56"/>
      <c r="Q1783" s="56"/>
      <c r="R1783" s="56"/>
      <c r="S1783" s="56"/>
      <c r="T1783" s="56"/>
      <c r="U1783" s="56"/>
      <c r="V1783" s="56"/>
      <c r="W1783" s="56"/>
      <c r="X1783" s="56"/>
      <c r="Y1783" s="56"/>
      <c r="Z1783" s="56"/>
      <c r="AA1783" s="56"/>
      <c r="AB1783" s="56"/>
    </row>
    <row r="1784" ht="15.75" customHeight="1">
      <c r="A1784" s="169"/>
      <c r="B1784" s="69"/>
      <c r="C1784" s="22"/>
      <c r="D1784" s="38"/>
      <c r="E1784" s="268"/>
      <c r="F1784" s="268"/>
      <c r="G1784" s="66"/>
      <c r="H1784" s="38"/>
      <c r="I1784" s="38"/>
      <c r="J1784" s="38"/>
      <c r="K1784" s="38"/>
      <c r="L1784" s="38"/>
      <c r="M1784" s="56"/>
      <c r="N1784" s="56" t="b">
        <v>0</v>
      </c>
      <c r="O1784" s="56" t="b">
        <v>0</v>
      </c>
      <c r="P1784" s="56"/>
      <c r="Q1784" s="56"/>
      <c r="R1784" s="56"/>
      <c r="S1784" s="56"/>
      <c r="T1784" s="56"/>
      <c r="U1784" s="56"/>
      <c r="V1784" s="56"/>
      <c r="W1784" s="56"/>
      <c r="X1784" s="56"/>
      <c r="Y1784" s="56"/>
      <c r="Z1784" s="56"/>
      <c r="AA1784" s="56"/>
      <c r="AB1784" s="56"/>
    </row>
    <row r="1785" ht="15.75" customHeight="1">
      <c r="A1785" s="169"/>
      <c r="B1785" s="273" t="s">
        <v>6168</v>
      </c>
      <c r="C1785" s="22" t="s">
        <v>66</v>
      </c>
      <c r="D1785" s="38"/>
      <c r="E1785" s="268"/>
      <c r="F1785" s="268"/>
      <c r="G1785" s="66"/>
      <c r="H1785" s="38"/>
      <c r="I1785" s="38"/>
      <c r="J1785" s="38"/>
      <c r="K1785" s="38"/>
      <c r="L1785" s="38"/>
      <c r="M1785" s="56"/>
      <c r="N1785" s="56" t="b">
        <v>0</v>
      </c>
      <c r="O1785" s="56" t="b">
        <v>0</v>
      </c>
      <c r="P1785" s="56"/>
      <c r="Q1785" s="56"/>
      <c r="R1785" s="56"/>
      <c r="S1785" s="56"/>
      <c r="T1785" s="56"/>
      <c r="U1785" s="56"/>
      <c r="V1785" s="56"/>
      <c r="W1785" s="56"/>
      <c r="X1785" s="56"/>
      <c r="Y1785" s="56"/>
      <c r="Z1785" s="56"/>
      <c r="AA1785" s="56"/>
      <c r="AB1785" s="56"/>
    </row>
    <row r="1786" ht="15.75" customHeight="1">
      <c r="A1786" s="169"/>
      <c r="B1786" s="63"/>
      <c r="C1786" s="22" t="s">
        <v>66</v>
      </c>
      <c r="E1786" s="268"/>
      <c r="F1786" s="268"/>
      <c r="G1786" s="245"/>
      <c r="K1786" s="38"/>
      <c r="L1786" s="38"/>
      <c r="M1786" s="56"/>
      <c r="N1786" s="56" t="b">
        <v>0</v>
      </c>
      <c r="O1786" s="56" t="b">
        <v>0</v>
      </c>
      <c r="P1786" s="56"/>
      <c r="Q1786" s="56"/>
      <c r="R1786" s="56"/>
      <c r="S1786" s="56"/>
      <c r="T1786" s="56"/>
      <c r="U1786" s="56"/>
      <c r="V1786" s="56"/>
      <c r="W1786" s="56"/>
      <c r="X1786" s="56"/>
      <c r="Y1786" s="56"/>
      <c r="Z1786" s="56"/>
      <c r="AA1786" s="56"/>
      <c r="AB1786" s="56"/>
    </row>
    <row r="1787" ht="15.75" customHeight="1">
      <c r="A1787" s="169"/>
      <c r="B1787" s="63"/>
      <c r="C1787" s="22" t="s">
        <v>66</v>
      </c>
      <c r="D1787" s="38"/>
      <c r="E1787" s="162" t="s">
        <v>5784</v>
      </c>
      <c r="F1787" s="155"/>
      <c r="G1787" s="66"/>
      <c r="H1787" s="38"/>
      <c r="I1787" s="38"/>
      <c r="J1787" s="38"/>
      <c r="K1787" s="38"/>
      <c r="L1787" s="38"/>
      <c r="M1787" s="56"/>
      <c r="N1787" s="56" t="b">
        <v>0</v>
      </c>
      <c r="O1787" s="56" t="b">
        <v>0</v>
      </c>
      <c r="P1787" s="56"/>
      <c r="Q1787" s="56"/>
      <c r="R1787" s="56"/>
      <c r="S1787" s="56"/>
      <c r="T1787" s="56"/>
      <c r="U1787" s="56"/>
      <c r="V1787" s="56"/>
      <c r="W1787" s="56"/>
      <c r="X1787" s="56"/>
      <c r="Y1787" s="56"/>
      <c r="Z1787" s="56"/>
      <c r="AA1787" s="56"/>
      <c r="AB1787" s="56"/>
    </row>
    <row r="1788" ht="15.75" customHeight="1">
      <c r="A1788" s="169"/>
      <c r="B1788" s="63"/>
      <c r="C1788" s="22" t="s">
        <v>66</v>
      </c>
      <c r="D1788" s="38"/>
      <c r="E1788" s="156"/>
      <c r="F1788" s="157"/>
      <c r="G1788" s="66"/>
      <c r="H1788" s="38"/>
      <c r="I1788" s="38"/>
      <c r="J1788" s="38"/>
      <c r="K1788" s="38"/>
      <c r="L1788" s="38"/>
      <c r="M1788" s="56"/>
      <c r="N1788" s="56" t="b">
        <v>0</v>
      </c>
      <c r="O1788" s="56" t="b">
        <v>0</v>
      </c>
      <c r="P1788" s="56"/>
      <c r="Q1788" s="56"/>
      <c r="R1788" s="56"/>
      <c r="S1788" s="56"/>
      <c r="T1788" s="56"/>
      <c r="U1788" s="56"/>
      <c r="V1788" s="56"/>
      <c r="W1788" s="56"/>
      <c r="X1788" s="56"/>
      <c r="Y1788" s="56"/>
      <c r="Z1788" s="56"/>
      <c r="AA1788" s="56"/>
      <c r="AB1788" s="56"/>
    </row>
    <row r="1789" ht="15.75" customHeight="1">
      <c r="A1789" s="169"/>
      <c r="B1789" s="63"/>
      <c r="C1789" s="22" t="s">
        <v>66</v>
      </c>
      <c r="D1789" s="10"/>
      <c r="E1789" s="158"/>
      <c r="F1789" s="159"/>
      <c r="G1789" s="66"/>
      <c r="H1789" s="38"/>
      <c r="I1789" s="38"/>
      <c r="J1789" s="38"/>
      <c r="K1789" s="38"/>
      <c r="L1789" s="38"/>
      <c r="M1789" s="56"/>
      <c r="N1789" s="56" t="b">
        <v>0</v>
      </c>
      <c r="O1789" s="56" t="b">
        <v>0</v>
      </c>
      <c r="P1789" s="56"/>
      <c r="Q1789" s="56"/>
      <c r="R1789" s="56"/>
      <c r="S1789" s="56"/>
      <c r="T1789" s="56"/>
      <c r="U1789" s="56"/>
      <c r="V1789" s="56"/>
      <c r="W1789" s="56"/>
      <c r="X1789" s="56"/>
      <c r="Y1789" s="56"/>
      <c r="Z1789" s="56"/>
      <c r="AA1789" s="56"/>
      <c r="AB1789" s="56"/>
    </row>
    <row r="1790" ht="15.75" customHeight="1">
      <c r="A1790" s="169"/>
      <c r="B1790" s="69"/>
      <c r="C1790" s="22"/>
      <c r="D1790" s="38"/>
      <c r="E1790" s="38"/>
      <c r="F1790" s="65"/>
      <c r="G1790" s="66"/>
      <c r="H1790" s="38"/>
      <c r="I1790" s="38"/>
      <c r="J1790" s="38"/>
      <c r="K1790" s="38"/>
      <c r="L1790" s="38"/>
      <c r="M1790" s="56"/>
      <c r="N1790" s="56" t="b">
        <v>0</v>
      </c>
      <c r="O1790" s="56" t="b">
        <v>0</v>
      </c>
      <c r="P1790" s="56"/>
      <c r="Q1790" s="56"/>
      <c r="R1790" s="56"/>
      <c r="S1790" s="56"/>
      <c r="T1790" s="56"/>
      <c r="U1790" s="56"/>
      <c r="V1790" s="56"/>
      <c r="W1790" s="56"/>
      <c r="X1790" s="56"/>
      <c r="Y1790" s="56"/>
      <c r="Z1790" s="56"/>
      <c r="AA1790" s="56"/>
      <c r="AB1790" s="56"/>
    </row>
    <row r="1791" ht="15.75" customHeight="1">
      <c r="A1791" s="169"/>
      <c r="B1791" s="276"/>
      <c r="C1791" s="220">
        <v>44551.0</v>
      </c>
      <c r="D1791" s="38"/>
      <c r="E1791" s="38"/>
      <c r="F1791" s="65"/>
      <c r="G1791" s="66"/>
      <c r="H1791" s="38"/>
      <c r="I1791" s="38"/>
      <c r="J1791" s="38"/>
      <c r="K1791" s="38"/>
      <c r="L1791" s="38"/>
      <c r="M1791" s="56"/>
      <c r="N1791" s="56" t="b">
        <v>0</v>
      </c>
      <c r="O1791" s="56" t="b">
        <v>0</v>
      </c>
      <c r="P1791" s="56"/>
      <c r="Q1791" s="56"/>
      <c r="R1791" s="56"/>
      <c r="S1791" s="56"/>
      <c r="T1791" s="56"/>
      <c r="U1791" s="56"/>
      <c r="V1791" s="56"/>
      <c r="W1791" s="56"/>
      <c r="X1791" s="56"/>
      <c r="Y1791" s="56"/>
      <c r="Z1791" s="56"/>
      <c r="AA1791" s="56"/>
      <c r="AB1791" s="56"/>
    </row>
    <row r="1792" ht="15.75" customHeight="1">
      <c r="A1792" s="169"/>
      <c r="B1792" s="273" t="s">
        <v>4836</v>
      </c>
      <c r="C1792" s="22"/>
      <c r="D1792" s="27" t="s">
        <v>103</v>
      </c>
      <c r="E1792" s="242" t="s">
        <v>3406</v>
      </c>
      <c r="F1792" s="242" t="s">
        <v>3407</v>
      </c>
      <c r="G1792" s="73" t="s">
        <v>6554</v>
      </c>
      <c r="H1792" s="62" t="s">
        <v>6683</v>
      </c>
      <c r="I1792" s="62" t="s">
        <v>6684</v>
      </c>
      <c r="J1792" s="242" t="s">
        <v>3409</v>
      </c>
      <c r="K1792" s="38"/>
      <c r="L1792" s="38"/>
      <c r="M1792" s="56"/>
      <c r="N1792" s="56" t="b">
        <v>0</v>
      </c>
      <c r="O1792" s="56" t="b">
        <v>0</v>
      </c>
      <c r="P1792" s="56"/>
      <c r="Q1792" s="56"/>
      <c r="R1792" s="56"/>
      <c r="S1792" s="56"/>
      <c r="T1792" s="56"/>
      <c r="U1792" s="56"/>
      <c r="V1792" s="56"/>
      <c r="W1792" s="56"/>
      <c r="X1792" s="56"/>
      <c r="Y1792" s="56"/>
      <c r="Z1792" s="56"/>
      <c r="AA1792" s="56"/>
      <c r="AB1792" s="56"/>
    </row>
    <row r="1793" ht="15.75" customHeight="1">
      <c r="A1793" s="169"/>
      <c r="B1793" s="63"/>
      <c r="C1793" s="22" t="s">
        <v>53</v>
      </c>
      <c r="D1793" s="310" t="s">
        <v>89</v>
      </c>
      <c r="E1793" s="60" t="s">
        <v>2976</v>
      </c>
      <c r="F1793" s="60" t="s">
        <v>2977</v>
      </c>
      <c r="G1793" s="73" t="s">
        <v>4851</v>
      </c>
      <c r="H1793" s="62" t="s">
        <v>6602</v>
      </c>
      <c r="I1793" s="62" t="s">
        <v>6685</v>
      </c>
      <c r="J1793" s="62" t="s">
        <v>2979</v>
      </c>
      <c r="K1793" s="38"/>
      <c r="L1793" s="38"/>
      <c r="M1793" s="56"/>
      <c r="N1793" s="56" t="b">
        <v>0</v>
      </c>
      <c r="O1793" s="56" t="b">
        <v>0</v>
      </c>
      <c r="P1793" s="56"/>
      <c r="Q1793" s="56"/>
      <c r="R1793" s="56"/>
      <c r="S1793" s="56"/>
      <c r="T1793" s="56"/>
      <c r="U1793" s="56"/>
      <c r="V1793" s="56"/>
      <c r="W1793" s="56"/>
      <c r="X1793" s="56"/>
      <c r="Y1793" s="56"/>
      <c r="Z1793" s="56"/>
      <c r="AA1793" s="56"/>
      <c r="AB1793" s="56"/>
    </row>
    <row r="1794" ht="15.75" customHeight="1">
      <c r="A1794" s="169"/>
      <c r="B1794" s="63"/>
      <c r="C1794" s="22" t="s">
        <v>53</v>
      </c>
      <c r="D1794" s="312" t="s">
        <v>89</v>
      </c>
      <c r="E1794" s="77" t="s">
        <v>3785</v>
      </c>
      <c r="F1794" s="77" t="s">
        <v>3786</v>
      </c>
      <c r="G1794" s="82" t="s">
        <v>4887</v>
      </c>
      <c r="H1794" s="76" t="s">
        <v>5940</v>
      </c>
      <c r="I1794" s="97" t="s">
        <v>5947</v>
      </c>
      <c r="J1794" s="77" t="s">
        <v>3788</v>
      </c>
      <c r="K1794" s="38" t="s">
        <v>6686</v>
      </c>
      <c r="L1794" s="38"/>
      <c r="M1794" s="56"/>
      <c r="N1794" s="56" t="b">
        <v>0</v>
      </c>
      <c r="O1794" s="56" t="b">
        <v>0</v>
      </c>
      <c r="P1794" s="56"/>
      <c r="Q1794" s="56"/>
      <c r="R1794" s="56"/>
      <c r="S1794" s="56"/>
      <c r="T1794" s="56"/>
      <c r="U1794" s="56"/>
      <c r="V1794" s="56"/>
      <c r="W1794" s="56"/>
      <c r="X1794" s="56"/>
      <c r="Y1794" s="56"/>
      <c r="Z1794" s="56"/>
      <c r="AA1794" s="56"/>
      <c r="AB1794" s="56"/>
    </row>
    <row r="1795" ht="15.75" customHeight="1">
      <c r="A1795" s="169"/>
      <c r="B1795" s="63"/>
      <c r="C1795" s="22" t="s">
        <v>53</v>
      </c>
      <c r="D1795" s="310" t="s">
        <v>89</v>
      </c>
      <c r="E1795" s="242" t="s">
        <v>2413</v>
      </c>
      <c r="F1795" s="242" t="s">
        <v>2414</v>
      </c>
      <c r="G1795" s="73" t="s">
        <v>5036</v>
      </c>
      <c r="H1795" s="62" t="s">
        <v>5944</v>
      </c>
      <c r="I1795" s="62" t="s">
        <v>6435</v>
      </c>
      <c r="J1795" s="242" t="s">
        <v>2417</v>
      </c>
      <c r="K1795" s="38"/>
      <c r="L1795" s="38"/>
      <c r="M1795" s="56"/>
      <c r="N1795" s="56" t="b">
        <v>0</v>
      </c>
      <c r="O1795" s="56" t="b">
        <v>0</v>
      </c>
      <c r="P1795" s="56"/>
      <c r="Q1795" s="56"/>
      <c r="R1795" s="56"/>
      <c r="S1795" s="56"/>
      <c r="T1795" s="56"/>
      <c r="U1795" s="56"/>
      <c r="V1795" s="56"/>
      <c r="W1795" s="56"/>
      <c r="X1795" s="56"/>
      <c r="Y1795" s="56"/>
      <c r="Z1795" s="56"/>
      <c r="AA1795" s="56"/>
      <c r="AB1795" s="56"/>
    </row>
    <row r="1796" ht="15.75" customHeight="1">
      <c r="A1796" s="169"/>
      <c r="B1796" s="63"/>
      <c r="C1796" s="22" t="s">
        <v>53</v>
      </c>
      <c r="G1796" s="245"/>
      <c r="K1796" s="38"/>
      <c r="L1796" s="38"/>
      <c r="M1796" s="56"/>
      <c r="N1796" s="56" t="b">
        <v>0</v>
      </c>
      <c r="O1796" s="56" t="b">
        <v>0</v>
      </c>
      <c r="P1796" s="56"/>
      <c r="Q1796" s="56"/>
      <c r="R1796" s="56"/>
      <c r="S1796" s="56"/>
      <c r="T1796" s="56"/>
      <c r="U1796" s="56"/>
      <c r="V1796" s="56"/>
      <c r="W1796" s="56"/>
      <c r="X1796" s="56"/>
      <c r="Y1796" s="56"/>
      <c r="Z1796" s="56"/>
      <c r="AA1796" s="56"/>
      <c r="AB1796" s="56"/>
    </row>
    <row r="1797" ht="15.75" customHeight="1">
      <c r="A1797" s="169"/>
      <c r="B1797" s="69"/>
      <c r="C1797" s="22"/>
      <c r="D1797" s="38"/>
      <c r="E1797" s="38"/>
      <c r="F1797" s="65"/>
      <c r="G1797" s="66"/>
      <c r="H1797" s="38"/>
      <c r="I1797" s="38"/>
      <c r="J1797" s="38"/>
      <c r="K1797" s="38"/>
      <c r="L1797" s="38"/>
      <c r="M1797" s="56"/>
      <c r="N1797" s="56" t="b">
        <v>0</v>
      </c>
      <c r="O1797" s="56" t="b">
        <v>0</v>
      </c>
      <c r="P1797" s="56"/>
      <c r="Q1797" s="56"/>
      <c r="R1797" s="56"/>
      <c r="S1797" s="56"/>
      <c r="T1797" s="56"/>
      <c r="U1797" s="56"/>
      <c r="V1797" s="56"/>
      <c r="W1797" s="56"/>
      <c r="X1797" s="56"/>
      <c r="Y1797" s="56"/>
      <c r="Z1797" s="56"/>
      <c r="AA1797" s="56"/>
      <c r="AB1797" s="56"/>
    </row>
    <row r="1798" ht="15.75" customHeight="1">
      <c r="A1798" s="169"/>
      <c r="B1798" s="273" t="s">
        <v>6168</v>
      </c>
      <c r="C1798" s="22" t="s">
        <v>66</v>
      </c>
      <c r="D1798" s="38"/>
      <c r="E1798" s="38"/>
      <c r="F1798" s="65"/>
      <c r="G1798" s="66"/>
      <c r="H1798" s="38"/>
      <c r="I1798" s="38"/>
      <c r="J1798" s="38"/>
      <c r="K1798" s="38"/>
      <c r="L1798" s="38"/>
      <c r="M1798" s="56"/>
      <c r="N1798" s="56" t="b">
        <v>0</v>
      </c>
      <c r="O1798" s="56" t="b">
        <v>0</v>
      </c>
      <c r="P1798" s="56"/>
      <c r="Q1798" s="56"/>
      <c r="R1798" s="56"/>
      <c r="S1798" s="56"/>
      <c r="T1798" s="56"/>
      <c r="U1798" s="56"/>
      <c r="V1798" s="56"/>
      <c r="W1798" s="56"/>
      <c r="X1798" s="56"/>
      <c r="Y1798" s="56"/>
      <c r="Z1798" s="56"/>
      <c r="AA1798" s="56"/>
      <c r="AB1798" s="56"/>
    </row>
    <row r="1799" ht="15.75" customHeight="1">
      <c r="A1799" s="169"/>
      <c r="B1799" s="63"/>
      <c r="C1799" s="22" t="s">
        <v>66</v>
      </c>
      <c r="D1799" s="202" t="s">
        <v>103</v>
      </c>
      <c r="E1799" s="203" t="s">
        <v>3603</v>
      </c>
      <c r="F1799" s="203" t="s">
        <v>3604</v>
      </c>
      <c r="G1799" s="82" t="s">
        <v>6554</v>
      </c>
      <c r="H1799" s="224" t="s">
        <v>5191</v>
      </c>
      <c r="I1799" s="76" t="s">
        <v>6117</v>
      </c>
      <c r="J1799" s="203" t="s">
        <v>3606</v>
      </c>
      <c r="K1799" s="10" t="s">
        <v>6687</v>
      </c>
      <c r="L1799" s="38"/>
      <c r="M1799" s="56"/>
      <c r="N1799" s="56" t="b">
        <v>0</v>
      </c>
      <c r="O1799" s="56" t="b">
        <v>0</v>
      </c>
      <c r="P1799" s="56"/>
      <c r="Q1799" s="56"/>
      <c r="R1799" s="56"/>
      <c r="S1799" s="56"/>
      <c r="T1799" s="56"/>
      <c r="U1799" s="56"/>
      <c r="V1799" s="56"/>
      <c r="W1799" s="56"/>
      <c r="X1799" s="56"/>
      <c r="Y1799" s="56"/>
      <c r="Z1799" s="56"/>
      <c r="AA1799" s="56"/>
      <c r="AB1799" s="56"/>
    </row>
    <row r="1800" ht="15.75" customHeight="1">
      <c r="A1800" s="169"/>
      <c r="B1800" s="63"/>
      <c r="C1800" s="22" t="s">
        <v>66</v>
      </c>
      <c r="D1800" s="62" t="s">
        <v>87</v>
      </c>
      <c r="E1800" s="242" t="s">
        <v>6177</v>
      </c>
      <c r="F1800" s="242" t="s">
        <v>575</v>
      </c>
      <c r="G1800" s="73" t="s">
        <v>4926</v>
      </c>
      <c r="H1800" s="269" t="s">
        <v>5191</v>
      </c>
      <c r="I1800" s="62" t="s">
        <v>6688</v>
      </c>
      <c r="J1800" s="267" t="s">
        <v>577</v>
      </c>
      <c r="K1800" s="38"/>
      <c r="L1800" s="38"/>
      <c r="M1800" s="56"/>
      <c r="N1800" s="56" t="b">
        <v>0</v>
      </c>
      <c r="O1800" s="56" t="b">
        <v>0</v>
      </c>
      <c r="P1800" s="56"/>
      <c r="Q1800" s="56"/>
      <c r="R1800" s="56"/>
      <c r="S1800" s="56"/>
      <c r="T1800" s="56"/>
      <c r="U1800" s="56"/>
      <c r="V1800" s="56"/>
      <c r="W1800" s="56"/>
      <c r="X1800" s="56"/>
      <c r="Y1800" s="56"/>
      <c r="Z1800" s="56"/>
      <c r="AA1800" s="56"/>
      <c r="AB1800" s="56"/>
    </row>
    <row r="1801" ht="15.75" customHeight="1">
      <c r="A1801" s="169"/>
      <c r="B1801" s="63"/>
      <c r="C1801" s="22" t="s">
        <v>66</v>
      </c>
      <c r="D1801" s="308" t="s">
        <v>89</v>
      </c>
      <c r="E1801" s="60" t="s">
        <v>1140</v>
      </c>
      <c r="F1801" s="60" t="s">
        <v>1141</v>
      </c>
      <c r="G1801" s="73" t="s">
        <v>4887</v>
      </c>
      <c r="H1801" s="62" t="s">
        <v>6671</v>
      </c>
      <c r="I1801" s="62" t="s">
        <v>6672</v>
      </c>
      <c r="J1801" s="60" t="s">
        <v>1143</v>
      </c>
      <c r="K1801" s="38" t="s">
        <v>5528</v>
      </c>
      <c r="L1801" s="38"/>
      <c r="M1801" s="56"/>
      <c r="N1801" s="56" t="b">
        <v>0</v>
      </c>
      <c r="O1801" s="56" t="b">
        <v>0</v>
      </c>
      <c r="P1801" s="56"/>
      <c r="Q1801" s="56"/>
      <c r="R1801" s="56"/>
      <c r="S1801" s="56"/>
      <c r="T1801" s="56"/>
      <c r="U1801" s="56"/>
      <c r="V1801" s="56"/>
      <c r="W1801" s="56"/>
      <c r="X1801" s="56"/>
      <c r="Y1801" s="56"/>
      <c r="Z1801" s="56"/>
      <c r="AA1801" s="56"/>
      <c r="AB1801" s="56"/>
    </row>
    <row r="1802" ht="15.75" customHeight="1">
      <c r="A1802" s="169"/>
      <c r="B1802" s="63"/>
      <c r="C1802" s="22" t="s">
        <v>66</v>
      </c>
      <c r="D1802" s="202" t="s">
        <v>103</v>
      </c>
      <c r="E1802" s="203" t="s">
        <v>4645</v>
      </c>
      <c r="F1802" s="203" t="s">
        <v>4646</v>
      </c>
      <c r="G1802" s="82" t="s">
        <v>4892</v>
      </c>
      <c r="H1802" s="76" t="s">
        <v>6097</v>
      </c>
      <c r="I1802" s="76" t="s">
        <v>6689</v>
      </c>
      <c r="J1802" s="203" t="s">
        <v>4648</v>
      </c>
      <c r="K1802" s="38" t="s">
        <v>6690</v>
      </c>
      <c r="L1802" s="38"/>
      <c r="M1802" s="56"/>
      <c r="N1802" s="56" t="b">
        <v>0</v>
      </c>
      <c r="O1802" s="56" t="b">
        <v>0</v>
      </c>
      <c r="P1802" s="56"/>
      <c r="Q1802" s="56"/>
      <c r="R1802" s="56"/>
      <c r="S1802" s="56"/>
      <c r="T1802" s="56"/>
      <c r="U1802" s="56"/>
      <c r="V1802" s="56"/>
      <c r="W1802" s="56"/>
      <c r="X1802" s="56"/>
      <c r="Y1802" s="56"/>
      <c r="Z1802" s="56"/>
      <c r="AA1802" s="56"/>
      <c r="AB1802" s="56"/>
    </row>
    <row r="1803" ht="15.75" customHeight="1">
      <c r="A1803" s="169"/>
      <c r="B1803" s="69"/>
      <c r="C1803" s="22"/>
      <c r="D1803" s="38"/>
      <c r="E1803" s="38"/>
      <c r="F1803" s="65"/>
      <c r="G1803" s="66"/>
      <c r="H1803" s="38"/>
      <c r="I1803" s="38"/>
      <c r="J1803" s="38"/>
      <c r="K1803" s="38"/>
      <c r="L1803" s="38"/>
      <c r="M1803" s="56"/>
      <c r="N1803" s="56" t="b">
        <v>0</v>
      </c>
      <c r="O1803" s="56" t="b">
        <v>0</v>
      </c>
      <c r="P1803" s="56"/>
      <c r="Q1803" s="56"/>
      <c r="R1803" s="56"/>
      <c r="S1803" s="56"/>
      <c r="T1803" s="56"/>
      <c r="U1803" s="56"/>
      <c r="V1803" s="56"/>
      <c r="W1803" s="56"/>
      <c r="X1803" s="56"/>
      <c r="Y1803" s="56"/>
      <c r="Z1803" s="56"/>
      <c r="AA1803" s="56"/>
      <c r="AB1803" s="56"/>
    </row>
    <row r="1804" ht="15.75" customHeight="1">
      <c r="A1804" s="169"/>
      <c r="B1804" s="276"/>
      <c r="C1804" s="220">
        <v>44552.0</v>
      </c>
      <c r="D1804" s="38"/>
      <c r="E1804" s="38"/>
      <c r="F1804" s="65"/>
      <c r="G1804" s="66"/>
      <c r="H1804" s="38"/>
      <c r="I1804" s="38"/>
      <c r="J1804" s="38"/>
      <c r="K1804" s="38"/>
      <c r="L1804" s="38"/>
      <c r="M1804" s="56"/>
      <c r="N1804" s="56" t="b">
        <v>0</v>
      </c>
      <c r="O1804" s="56" t="b">
        <v>0</v>
      </c>
      <c r="P1804" s="56"/>
      <c r="Q1804" s="56"/>
      <c r="R1804" s="56"/>
      <c r="S1804" s="56"/>
      <c r="T1804" s="56"/>
      <c r="U1804" s="56"/>
      <c r="V1804" s="56"/>
      <c r="W1804" s="56"/>
      <c r="X1804" s="56"/>
      <c r="Y1804" s="56"/>
      <c r="Z1804" s="56"/>
      <c r="AA1804" s="56"/>
      <c r="AB1804" s="56"/>
    </row>
    <row r="1805" ht="15.75" customHeight="1">
      <c r="A1805" s="169"/>
      <c r="B1805" s="273" t="s">
        <v>4836</v>
      </c>
      <c r="C1805" s="22"/>
      <c r="D1805" s="38"/>
      <c r="E1805" s="38"/>
      <c r="F1805" s="65"/>
      <c r="G1805" s="66"/>
      <c r="H1805" s="38"/>
      <c r="I1805" s="38"/>
      <c r="J1805" s="38"/>
      <c r="K1805" s="38"/>
      <c r="L1805" s="38"/>
      <c r="M1805" s="56"/>
      <c r="N1805" s="56" t="b">
        <v>0</v>
      </c>
      <c r="O1805" s="56" t="b">
        <v>0</v>
      </c>
      <c r="P1805" s="56"/>
      <c r="Q1805" s="56"/>
      <c r="R1805" s="56"/>
      <c r="S1805" s="56"/>
      <c r="T1805" s="56"/>
      <c r="U1805" s="56"/>
      <c r="V1805" s="56"/>
      <c r="W1805" s="56"/>
      <c r="X1805" s="56"/>
      <c r="Y1805" s="56"/>
      <c r="Z1805" s="56"/>
      <c r="AA1805" s="56"/>
      <c r="AB1805" s="56"/>
    </row>
    <row r="1806" ht="15.75" customHeight="1">
      <c r="A1806" s="169"/>
      <c r="B1806" s="63"/>
      <c r="C1806" s="22" t="s">
        <v>53</v>
      </c>
      <c r="D1806" s="227" t="s">
        <v>103</v>
      </c>
      <c r="E1806" s="60" t="s">
        <v>2478</v>
      </c>
      <c r="F1806" s="60" t="s">
        <v>2479</v>
      </c>
      <c r="G1806" s="73" t="s">
        <v>5704</v>
      </c>
      <c r="H1806" s="62" t="s">
        <v>5773</v>
      </c>
      <c r="I1806" s="62" t="s">
        <v>6679</v>
      </c>
      <c r="J1806" s="60" t="s">
        <v>2480</v>
      </c>
      <c r="K1806" s="137" t="s">
        <v>5528</v>
      </c>
      <c r="L1806" s="38"/>
      <c r="M1806" s="56"/>
      <c r="N1806" s="56" t="b">
        <v>0</v>
      </c>
      <c r="O1806" s="56" t="b">
        <v>0</v>
      </c>
      <c r="P1806" s="56"/>
      <c r="Q1806" s="56"/>
      <c r="R1806" s="56"/>
      <c r="S1806" s="56"/>
      <c r="T1806" s="56"/>
      <c r="U1806" s="56"/>
      <c r="V1806" s="56"/>
      <c r="W1806" s="56"/>
      <c r="X1806" s="56"/>
      <c r="Y1806" s="56"/>
      <c r="Z1806" s="56"/>
      <c r="AA1806" s="56"/>
      <c r="AB1806" s="56"/>
    </row>
    <row r="1807" ht="15.75" customHeight="1">
      <c r="A1807" s="169"/>
      <c r="B1807" s="63"/>
      <c r="C1807" s="22" t="s">
        <v>53</v>
      </c>
      <c r="D1807" s="227" t="s">
        <v>89</v>
      </c>
      <c r="E1807" s="60" t="s">
        <v>4203</v>
      </c>
      <c r="F1807" s="60" t="s">
        <v>4204</v>
      </c>
      <c r="G1807" s="73" t="s">
        <v>5134</v>
      </c>
      <c r="H1807" s="62" t="s">
        <v>6691</v>
      </c>
      <c r="I1807" s="62" t="s">
        <v>6692</v>
      </c>
      <c r="J1807" s="60" t="s">
        <v>4206</v>
      </c>
      <c r="K1807" s="38"/>
      <c r="L1807" s="38"/>
      <c r="M1807" s="56"/>
      <c r="N1807" s="56" t="b">
        <v>0</v>
      </c>
      <c r="O1807" s="56" t="b">
        <v>0</v>
      </c>
      <c r="P1807" s="56"/>
      <c r="Q1807" s="56"/>
      <c r="R1807" s="56"/>
      <c r="S1807" s="56"/>
      <c r="T1807" s="56"/>
      <c r="U1807" s="56"/>
      <c r="V1807" s="56"/>
      <c r="W1807" s="56"/>
      <c r="X1807" s="56"/>
      <c r="Y1807" s="56"/>
      <c r="Z1807" s="56"/>
      <c r="AA1807" s="56"/>
      <c r="AB1807" s="56"/>
    </row>
    <row r="1808" ht="15.75" customHeight="1">
      <c r="A1808" s="169"/>
      <c r="B1808" s="63"/>
      <c r="C1808" s="22" t="s">
        <v>53</v>
      </c>
      <c r="D1808" s="227" t="s">
        <v>103</v>
      </c>
      <c r="E1808" s="60" t="s">
        <v>1961</v>
      </c>
      <c r="F1808" s="60" t="s">
        <v>1962</v>
      </c>
      <c r="G1808" s="73" t="s">
        <v>5160</v>
      </c>
      <c r="H1808" s="62" t="s">
        <v>5924</v>
      </c>
      <c r="I1808" s="62" t="s">
        <v>6693</v>
      </c>
      <c r="J1808" s="60" t="s">
        <v>1964</v>
      </c>
      <c r="K1808" s="38" t="s">
        <v>2116</v>
      </c>
      <c r="L1808" s="38"/>
      <c r="M1808" s="56"/>
      <c r="N1808" s="56" t="b">
        <v>0</v>
      </c>
      <c r="O1808" s="56" t="b">
        <v>0</v>
      </c>
      <c r="P1808" s="56"/>
      <c r="Q1808" s="56"/>
      <c r="R1808" s="56"/>
      <c r="S1808" s="56"/>
      <c r="T1808" s="56"/>
      <c r="U1808" s="56"/>
      <c r="V1808" s="56"/>
      <c r="W1808" s="56"/>
      <c r="X1808" s="56"/>
      <c r="Y1808" s="56"/>
      <c r="Z1808" s="56"/>
      <c r="AA1808" s="56"/>
      <c r="AB1808" s="56"/>
    </row>
    <row r="1809" ht="15.75" customHeight="1">
      <c r="A1809" s="169"/>
      <c r="B1809" s="63"/>
      <c r="C1809" s="22" t="s">
        <v>53</v>
      </c>
      <c r="D1809" s="76" t="s">
        <v>87</v>
      </c>
      <c r="E1809" s="77" t="s">
        <v>3776</v>
      </c>
      <c r="F1809" s="77" t="s">
        <v>3777</v>
      </c>
      <c r="G1809" s="82" t="s">
        <v>5461</v>
      </c>
      <c r="H1809" s="88" t="s">
        <v>5548</v>
      </c>
      <c r="I1809" s="76" t="s">
        <v>6694</v>
      </c>
      <c r="J1809" s="97" t="s">
        <v>3779</v>
      </c>
      <c r="K1809" s="38" t="s">
        <v>3780</v>
      </c>
      <c r="L1809" s="38"/>
      <c r="M1809" s="56"/>
      <c r="N1809" s="56" t="b">
        <v>0</v>
      </c>
      <c r="O1809" s="56" t="b">
        <v>0</v>
      </c>
      <c r="P1809" s="56"/>
      <c r="Q1809" s="56"/>
      <c r="R1809" s="56"/>
      <c r="S1809" s="56"/>
      <c r="T1809" s="56"/>
      <c r="U1809" s="56"/>
      <c r="V1809" s="56"/>
      <c r="W1809" s="56"/>
      <c r="X1809" s="56"/>
      <c r="Y1809" s="56"/>
      <c r="Z1809" s="56"/>
      <c r="AA1809" s="56"/>
      <c r="AB1809" s="56"/>
    </row>
    <row r="1810" ht="15.75" customHeight="1">
      <c r="A1810" s="169"/>
      <c r="B1810" s="63"/>
      <c r="C1810" s="22" t="s">
        <v>53</v>
      </c>
      <c r="D1810" s="38"/>
      <c r="E1810" s="38"/>
      <c r="F1810" s="65"/>
      <c r="G1810" s="66"/>
      <c r="H1810" s="38"/>
      <c r="I1810" s="38"/>
      <c r="J1810" s="38"/>
      <c r="K1810" s="38"/>
      <c r="L1810" s="38"/>
      <c r="M1810" s="56"/>
      <c r="N1810" s="56" t="b">
        <v>0</v>
      </c>
      <c r="O1810" s="56" t="b">
        <v>0</v>
      </c>
      <c r="P1810" s="56"/>
      <c r="Q1810" s="56"/>
      <c r="R1810" s="56"/>
      <c r="S1810" s="56"/>
      <c r="T1810" s="56"/>
      <c r="U1810" s="56"/>
      <c r="V1810" s="56"/>
      <c r="W1810" s="56"/>
      <c r="X1810" s="56"/>
      <c r="Y1810" s="56"/>
      <c r="Z1810" s="56"/>
      <c r="AA1810" s="56"/>
      <c r="AB1810" s="56"/>
    </row>
    <row r="1811" ht="15.75" customHeight="1">
      <c r="A1811" s="169"/>
      <c r="B1811" s="63"/>
      <c r="C1811" s="22" t="s">
        <v>53</v>
      </c>
      <c r="D1811" s="38"/>
      <c r="E1811" s="38"/>
      <c r="F1811" s="65"/>
      <c r="G1811" s="66"/>
      <c r="H1811" s="38"/>
      <c r="I1811" s="38"/>
      <c r="J1811" s="38"/>
      <c r="K1811" s="38"/>
      <c r="L1811" s="38"/>
      <c r="M1811" s="56"/>
      <c r="N1811" s="56" t="b">
        <v>0</v>
      </c>
      <c r="O1811" s="56" t="b">
        <v>0</v>
      </c>
      <c r="P1811" s="56"/>
      <c r="Q1811" s="56"/>
      <c r="R1811" s="56"/>
      <c r="S1811" s="56"/>
      <c r="T1811" s="56"/>
      <c r="U1811" s="56"/>
      <c r="V1811" s="56"/>
      <c r="W1811" s="56"/>
      <c r="X1811" s="56"/>
      <c r="Y1811" s="56"/>
      <c r="Z1811" s="56"/>
      <c r="AA1811" s="56"/>
      <c r="AB1811" s="56"/>
    </row>
    <row r="1812" ht="15.75" customHeight="1">
      <c r="A1812" s="169"/>
      <c r="B1812" s="69"/>
      <c r="C1812" s="22"/>
      <c r="D1812" s="38"/>
      <c r="E1812" s="53"/>
      <c r="F1812" s="55"/>
      <c r="G1812" s="66"/>
      <c r="H1812" s="38"/>
      <c r="I1812" s="38"/>
      <c r="J1812" s="38"/>
      <c r="K1812" s="38"/>
      <c r="L1812" s="38"/>
      <c r="M1812" s="56"/>
      <c r="N1812" s="56" t="b">
        <v>0</v>
      </c>
      <c r="O1812" s="56" t="b">
        <v>0</v>
      </c>
      <c r="P1812" s="56"/>
      <c r="Q1812" s="56"/>
      <c r="R1812" s="56"/>
      <c r="S1812" s="56"/>
      <c r="T1812" s="56"/>
      <c r="U1812" s="56"/>
      <c r="V1812" s="56"/>
      <c r="W1812" s="56"/>
      <c r="X1812" s="56"/>
      <c r="Y1812" s="56"/>
      <c r="Z1812" s="56"/>
      <c r="AA1812" s="56"/>
      <c r="AB1812" s="56"/>
    </row>
    <row r="1813" ht="15.75" customHeight="1">
      <c r="A1813" s="169"/>
      <c r="B1813" s="273" t="s">
        <v>6168</v>
      </c>
      <c r="C1813" s="22" t="s">
        <v>66</v>
      </c>
      <c r="D1813" s="313"/>
      <c r="E1813" s="109"/>
      <c r="F1813" s="109"/>
      <c r="G1813" s="81"/>
      <c r="H1813" s="80"/>
      <c r="I1813" s="80"/>
      <c r="J1813" s="109"/>
      <c r="K1813" s="80"/>
      <c r="L1813" s="38"/>
      <c r="M1813" s="56"/>
      <c r="N1813" s="56" t="b">
        <v>0</v>
      </c>
      <c r="O1813" s="56" t="b">
        <v>0</v>
      </c>
      <c r="P1813" s="56"/>
      <c r="Q1813" s="56"/>
      <c r="R1813" s="56"/>
      <c r="S1813" s="56"/>
      <c r="T1813" s="56"/>
      <c r="U1813" s="56"/>
      <c r="V1813" s="56"/>
      <c r="W1813" s="56"/>
      <c r="X1813" s="56"/>
      <c r="Y1813" s="56"/>
      <c r="Z1813" s="56"/>
      <c r="AA1813" s="56"/>
      <c r="AB1813" s="56"/>
    </row>
    <row r="1814" ht="15.75" customHeight="1">
      <c r="A1814" s="169"/>
      <c r="B1814" s="63"/>
      <c r="C1814" s="22" t="s">
        <v>66</v>
      </c>
      <c r="D1814" s="313"/>
      <c r="E1814" s="109"/>
      <c r="F1814" s="109"/>
      <c r="G1814" s="81"/>
      <c r="H1814" s="80"/>
      <c r="I1814" s="80"/>
      <c r="J1814" s="109"/>
      <c r="K1814" s="80"/>
      <c r="L1814" s="38"/>
      <c r="M1814" s="56"/>
      <c r="N1814" s="56" t="b">
        <v>0</v>
      </c>
      <c r="O1814" s="56" t="b">
        <v>0</v>
      </c>
      <c r="P1814" s="56"/>
      <c r="Q1814" s="56"/>
      <c r="R1814" s="56"/>
      <c r="S1814" s="56"/>
      <c r="T1814" s="56"/>
      <c r="U1814" s="56"/>
      <c r="V1814" s="56"/>
      <c r="W1814" s="56"/>
      <c r="X1814" s="56"/>
      <c r="Y1814" s="56"/>
      <c r="Z1814" s="56"/>
      <c r="AA1814" s="56"/>
      <c r="AB1814" s="56"/>
    </row>
    <row r="1815" ht="15.75" customHeight="1">
      <c r="A1815" s="169"/>
      <c r="B1815" s="63"/>
      <c r="C1815" s="22" t="s">
        <v>66</v>
      </c>
      <c r="D1815" s="313"/>
      <c r="E1815" s="162" t="s">
        <v>5784</v>
      </c>
      <c r="F1815" s="155"/>
      <c r="G1815" s="81"/>
      <c r="H1815" s="80"/>
      <c r="I1815" s="80"/>
      <c r="J1815" s="109"/>
      <c r="K1815" s="80"/>
      <c r="L1815" s="38"/>
      <c r="M1815" s="56"/>
      <c r="N1815" s="56" t="b">
        <v>0</v>
      </c>
      <c r="O1815" s="56" t="b">
        <v>0</v>
      </c>
      <c r="P1815" s="56"/>
      <c r="Q1815" s="56"/>
      <c r="R1815" s="56"/>
      <c r="S1815" s="56"/>
      <c r="T1815" s="56"/>
      <c r="U1815" s="56"/>
      <c r="V1815" s="56"/>
      <c r="W1815" s="56"/>
      <c r="X1815" s="56"/>
      <c r="Y1815" s="56"/>
      <c r="Z1815" s="56"/>
      <c r="AA1815" s="56"/>
      <c r="AB1815" s="56"/>
    </row>
    <row r="1816" ht="15.75" customHeight="1">
      <c r="A1816" s="169"/>
      <c r="B1816" s="63"/>
      <c r="C1816" s="22" t="s">
        <v>66</v>
      </c>
      <c r="D1816" s="38"/>
      <c r="E1816" s="156"/>
      <c r="F1816" s="157"/>
      <c r="G1816" s="66"/>
      <c r="H1816" s="38"/>
      <c r="I1816" s="38"/>
      <c r="J1816" s="38"/>
      <c r="K1816" s="38"/>
      <c r="L1816" s="38"/>
      <c r="M1816" s="56"/>
      <c r="N1816" s="56" t="b">
        <v>0</v>
      </c>
      <c r="O1816" s="56" t="b">
        <v>0</v>
      </c>
      <c r="P1816" s="56"/>
      <c r="Q1816" s="56"/>
      <c r="R1816" s="56"/>
      <c r="S1816" s="56"/>
      <c r="T1816" s="56"/>
      <c r="U1816" s="56"/>
      <c r="V1816" s="56"/>
      <c r="W1816" s="56"/>
      <c r="X1816" s="56"/>
      <c r="Y1816" s="56"/>
      <c r="Z1816" s="56"/>
      <c r="AA1816" s="56"/>
      <c r="AB1816" s="56"/>
    </row>
    <row r="1817" ht="15.75" customHeight="1">
      <c r="A1817" s="169"/>
      <c r="B1817" s="63"/>
      <c r="C1817" s="22" t="s">
        <v>66</v>
      </c>
      <c r="D1817" s="38"/>
      <c r="E1817" s="158"/>
      <c r="F1817" s="159"/>
      <c r="G1817" s="66"/>
      <c r="H1817" s="38"/>
      <c r="I1817" s="38"/>
      <c r="J1817" s="38"/>
      <c r="K1817" s="38"/>
      <c r="L1817" s="38"/>
      <c r="M1817" s="56"/>
      <c r="N1817" s="56" t="b">
        <v>0</v>
      </c>
      <c r="O1817" s="56" t="b">
        <v>0</v>
      </c>
      <c r="P1817" s="56"/>
      <c r="Q1817" s="56"/>
      <c r="R1817" s="56"/>
      <c r="S1817" s="56"/>
      <c r="T1817" s="56"/>
      <c r="U1817" s="56"/>
      <c r="V1817" s="56"/>
      <c r="W1817" s="56"/>
      <c r="X1817" s="56"/>
      <c r="Y1817" s="56"/>
      <c r="Z1817" s="56"/>
      <c r="AA1817" s="56"/>
      <c r="AB1817" s="56"/>
    </row>
    <row r="1818" ht="15.75" customHeight="1">
      <c r="A1818" s="169"/>
      <c r="B1818" s="69"/>
      <c r="C1818" s="22"/>
      <c r="D1818" s="38"/>
      <c r="E1818" s="38"/>
      <c r="F1818" s="65"/>
      <c r="G1818" s="66"/>
      <c r="H1818" s="38"/>
      <c r="I1818" s="38"/>
      <c r="J1818" s="38"/>
      <c r="K1818" s="38"/>
      <c r="L1818" s="38"/>
      <c r="M1818" s="56"/>
      <c r="N1818" s="56" t="b">
        <v>0</v>
      </c>
      <c r="O1818" s="56" t="b">
        <v>0</v>
      </c>
      <c r="P1818" s="56"/>
      <c r="Q1818" s="56"/>
      <c r="R1818" s="56"/>
      <c r="S1818" s="56"/>
      <c r="T1818" s="56"/>
      <c r="U1818" s="56"/>
      <c r="V1818" s="56"/>
      <c r="W1818" s="56"/>
      <c r="X1818" s="56"/>
      <c r="Y1818" s="56"/>
      <c r="Z1818" s="56"/>
      <c r="AA1818" s="56"/>
      <c r="AB1818" s="56"/>
    </row>
    <row r="1819" ht="15.75" customHeight="1">
      <c r="A1819" s="169"/>
      <c r="B1819" s="276"/>
      <c r="C1819" s="220">
        <v>44553.0</v>
      </c>
      <c r="D1819" s="38"/>
      <c r="E1819" s="38"/>
      <c r="F1819" s="65"/>
      <c r="G1819" s="66"/>
      <c r="H1819" s="38"/>
      <c r="I1819" s="38"/>
      <c r="J1819" s="38"/>
      <c r="K1819" s="38"/>
      <c r="L1819" s="38"/>
      <c r="M1819" s="56"/>
      <c r="N1819" s="56" t="b">
        <v>0</v>
      </c>
      <c r="O1819" s="56" t="b">
        <v>0</v>
      </c>
      <c r="P1819" s="56"/>
      <c r="Q1819" s="56"/>
      <c r="R1819" s="56"/>
      <c r="S1819" s="56"/>
      <c r="T1819" s="56"/>
      <c r="U1819" s="56"/>
      <c r="V1819" s="56"/>
      <c r="W1819" s="56"/>
      <c r="X1819" s="56"/>
      <c r="Y1819" s="56"/>
      <c r="Z1819" s="56"/>
      <c r="AA1819" s="56"/>
      <c r="AB1819" s="56"/>
    </row>
    <row r="1820" ht="15.75" customHeight="1">
      <c r="A1820" s="169"/>
      <c r="B1820" s="273" t="s">
        <v>4836</v>
      </c>
      <c r="C1820" s="22"/>
      <c r="D1820" s="76" t="s">
        <v>133</v>
      </c>
      <c r="E1820" s="77" t="s">
        <v>4265</v>
      </c>
      <c r="F1820" s="77" t="s">
        <v>4266</v>
      </c>
      <c r="G1820" s="82" t="s">
        <v>5713</v>
      </c>
      <c r="H1820" s="76" t="s">
        <v>6695</v>
      </c>
      <c r="I1820" s="76" t="s">
        <v>6696</v>
      </c>
      <c r="J1820" s="76" t="s">
        <v>4268</v>
      </c>
      <c r="K1820" s="137" t="s">
        <v>6697</v>
      </c>
      <c r="L1820" s="38"/>
      <c r="M1820" s="56"/>
      <c r="N1820" s="56" t="b">
        <v>0</v>
      </c>
      <c r="O1820" s="56" t="b">
        <v>0</v>
      </c>
      <c r="P1820" s="56"/>
      <c r="Q1820" s="56"/>
      <c r="R1820" s="56"/>
      <c r="S1820" s="56"/>
      <c r="T1820" s="56"/>
      <c r="U1820" s="56"/>
      <c r="V1820" s="56"/>
      <c r="W1820" s="56"/>
      <c r="X1820" s="56"/>
      <c r="Y1820" s="56"/>
      <c r="Z1820" s="56"/>
      <c r="AA1820" s="56"/>
      <c r="AB1820" s="56"/>
    </row>
    <row r="1821" ht="15.75" customHeight="1">
      <c r="A1821" s="169"/>
      <c r="B1821" s="63"/>
      <c r="C1821" s="22" t="s">
        <v>53</v>
      </c>
      <c r="D1821" s="202" t="s">
        <v>103</v>
      </c>
      <c r="E1821" s="203" t="s">
        <v>3977</v>
      </c>
      <c r="F1821" s="203" t="s">
        <v>3978</v>
      </c>
      <c r="G1821" s="82" t="s">
        <v>5134</v>
      </c>
      <c r="H1821" s="76" t="s">
        <v>5922</v>
      </c>
      <c r="I1821" s="248" t="s">
        <v>6698</v>
      </c>
      <c r="J1821" s="203" t="s">
        <v>3980</v>
      </c>
      <c r="K1821" s="137" t="s">
        <v>6699</v>
      </c>
      <c r="L1821" s="38"/>
      <c r="M1821" s="56"/>
      <c r="N1821" s="56" t="b">
        <v>0</v>
      </c>
      <c r="O1821" s="56" t="b">
        <v>0</v>
      </c>
      <c r="P1821" s="56"/>
      <c r="Q1821" s="56"/>
      <c r="R1821" s="56"/>
      <c r="S1821" s="56"/>
      <c r="T1821" s="56"/>
      <c r="U1821" s="56"/>
      <c r="V1821" s="56"/>
      <c r="W1821" s="56"/>
      <c r="X1821" s="56"/>
      <c r="Y1821" s="56"/>
      <c r="Z1821" s="56"/>
      <c r="AA1821" s="56"/>
      <c r="AB1821" s="56"/>
    </row>
    <row r="1822" ht="15.75" customHeight="1">
      <c r="A1822" s="169"/>
      <c r="B1822" s="63"/>
      <c r="C1822" s="22" t="s">
        <v>53</v>
      </c>
      <c r="D1822" s="76" t="s">
        <v>133</v>
      </c>
      <c r="E1822" s="77" t="s">
        <v>2004</v>
      </c>
      <c r="F1822" s="77" t="s">
        <v>2005</v>
      </c>
      <c r="G1822" s="82" t="s">
        <v>4892</v>
      </c>
      <c r="H1822" s="76" t="s">
        <v>6700</v>
      </c>
      <c r="I1822" s="76" t="s">
        <v>6701</v>
      </c>
      <c r="J1822" s="203" t="s">
        <v>2007</v>
      </c>
      <c r="K1822" s="137" t="s">
        <v>6702</v>
      </c>
      <c r="L1822" s="137"/>
      <c r="M1822" s="56"/>
      <c r="N1822" s="56" t="b">
        <v>0</v>
      </c>
      <c r="O1822" s="56" t="b">
        <v>0</v>
      </c>
      <c r="P1822" s="56"/>
      <c r="Q1822" s="56"/>
      <c r="R1822" s="56"/>
      <c r="S1822" s="56"/>
      <c r="T1822" s="56"/>
      <c r="U1822" s="56"/>
      <c r="V1822" s="56"/>
      <c r="W1822" s="56"/>
      <c r="X1822" s="56"/>
      <c r="Y1822" s="56"/>
      <c r="Z1822" s="56"/>
      <c r="AA1822" s="56"/>
      <c r="AB1822" s="56"/>
    </row>
    <row r="1823" ht="15.75" customHeight="1">
      <c r="A1823" s="169"/>
      <c r="B1823" s="63"/>
      <c r="C1823" s="22" t="s">
        <v>53</v>
      </c>
      <c r="D1823" s="76" t="s">
        <v>133</v>
      </c>
      <c r="E1823" s="77" t="s">
        <v>2140</v>
      </c>
      <c r="F1823" s="77" t="s">
        <v>2141</v>
      </c>
      <c r="G1823" s="82" t="s">
        <v>5036</v>
      </c>
      <c r="H1823" s="76" t="s">
        <v>6703</v>
      </c>
      <c r="I1823" s="76" t="s">
        <v>6704</v>
      </c>
      <c r="J1823" s="76" t="s">
        <v>2143</v>
      </c>
      <c r="K1823" s="137" t="s">
        <v>6702</v>
      </c>
      <c r="L1823" s="137"/>
      <c r="M1823" s="56"/>
      <c r="N1823" s="56" t="b">
        <v>0</v>
      </c>
      <c r="O1823" s="56" t="b">
        <v>0</v>
      </c>
      <c r="P1823" s="56"/>
      <c r="Q1823" s="56"/>
      <c r="R1823" s="56"/>
      <c r="S1823" s="56"/>
      <c r="T1823" s="56"/>
      <c r="U1823" s="56"/>
      <c r="V1823" s="56"/>
      <c r="W1823" s="56"/>
      <c r="X1823" s="56"/>
      <c r="Y1823" s="56"/>
      <c r="Z1823" s="56"/>
      <c r="AA1823" s="56"/>
      <c r="AB1823" s="56"/>
    </row>
    <row r="1824" ht="15.75" customHeight="1">
      <c r="A1824" s="169"/>
      <c r="B1824" s="63"/>
      <c r="C1824" s="22" t="s">
        <v>53</v>
      </c>
      <c r="D1824" s="38"/>
      <c r="E1824" s="38"/>
      <c r="F1824" s="65"/>
      <c r="G1824" s="66"/>
      <c r="H1824" s="38"/>
      <c r="I1824" s="38"/>
      <c r="J1824" s="38"/>
      <c r="K1824" s="38"/>
      <c r="L1824" s="38"/>
      <c r="M1824" s="56"/>
      <c r="N1824" s="56" t="b">
        <v>0</v>
      </c>
      <c r="O1824" s="56" t="b">
        <v>0</v>
      </c>
      <c r="P1824" s="56"/>
      <c r="Q1824" s="56"/>
      <c r="R1824" s="56"/>
      <c r="S1824" s="56"/>
      <c r="T1824" s="56"/>
      <c r="U1824" s="56"/>
      <c r="V1824" s="56"/>
      <c r="W1824" s="56"/>
      <c r="X1824" s="56"/>
      <c r="Y1824" s="56"/>
      <c r="Z1824" s="56"/>
      <c r="AA1824" s="56"/>
      <c r="AB1824" s="56"/>
    </row>
    <row r="1825" ht="15.75" customHeight="1">
      <c r="A1825" s="169"/>
      <c r="B1825" s="63"/>
      <c r="C1825" s="22" t="s">
        <v>53</v>
      </c>
      <c r="D1825" s="38"/>
      <c r="E1825" s="38"/>
      <c r="F1825" s="65"/>
      <c r="G1825" s="66"/>
      <c r="H1825" s="38"/>
      <c r="I1825" s="38"/>
      <c r="J1825" s="38"/>
      <c r="K1825" s="38"/>
      <c r="L1825" s="38"/>
      <c r="M1825" s="56"/>
      <c r="N1825" s="56" t="b">
        <v>0</v>
      </c>
      <c r="O1825" s="56" t="b">
        <v>0</v>
      </c>
      <c r="P1825" s="56"/>
      <c r="Q1825" s="56"/>
      <c r="R1825" s="56"/>
      <c r="S1825" s="56"/>
      <c r="T1825" s="56"/>
      <c r="U1825" s="56"/>
      <c r="V1825" s="56"/>
      <c r="W1825" s="56"/>
      <c r="X1825" s="56"/>
      <c r="Y1825" s="56"/>
      <c r="Z1825" s="56"/>
      <c r="AA1825" s="56"/>
      <c r="AB1825" s="56"/>
    </row>
    <row r="1826" ht="15.75" customHeight="1">
      <c r="A1826" s="169"/>
      <c r="B1826" s="69"/>
      <c r="C1826" s="22"/>
      <c r="D1826" s="38"/>
      <c r="E1826" s="38"/>
      <c r="F1826" s="65" t="s">
        <v>6705</v>
      </c>
      <c r="G1826" s="66"/>
      <c r="H1826" s="38"/>
      <c r="I1826" s="38"/>
      <c r="J1826" s="38"/>
      <c r="K1826" s="38"/>
      <c r="L1826" s="38"/>
      <c r="M1826" s="56"/>
      <c r="N1826" s="56" t="b">
        <v>0</v>
      </c>
      <c r="O1826" s="56" t="b">
        <v>0</v>
      </c>
      <c r="P1826" s="56"/>
      <c r="Q1826" s="56"/>
      <c r="R1826" s="56"/>
      <c r="S1826" s="56"/>
      <c r="T1826" s="56"/>
      <c r="U1826" s="56"/>
      <c r="V1826" s="56"/>
      <c r="W1826" s="56"/>
      <c r="X1826" s="56"/>
      <c r="Y1826" s="56"/>
      <c r="Z1826" s="56"/>
      <c r="AA1826" s="56"/>
      <c r="AB1826" s="56"/>
    </row>
    <row r="1827" ht="15.75" customHeight="1">
      <c r="A1827" s="169"/>
      <c r="B1827" s="273" t="s">
        <v>6168</v>
      </c>
      <c r="C1827" s="22" t="s">
        <v>66</v>
      </c>
      <c r="D1827" s="38"/>
      <c r="E1827" s="38"/>
      <c r="F1827" s="65"/>
      <c r="G1827" s="66"/>
      <c r="H1827" s="38"/>
      <c r="I1827" s="38"/>
      <c r="J1827" s="38"/>
      <c r="K1827" s="38"/>
      <c r="L1827" s="38"/>
      <c r="M1827" s="56"/>
      <c r="N1827" s="56" t="b">
        <v>0</v>
      </c>
      <c r="O1827" s="56" t="b">
        <v>0</v>
      </c>
      <c r="P1827" s="56"/>
      <c r="Q1827" s="56"/>
      <c r="R1827" s="56"/>
      <c r="S1827" s="56"/>
      <c r="T1827" s="56"/>
      <c r="U1827" s="56"/>
      <c r="V1827" s="56"/>
      <c r="W1827" s="56"/>
      <c r="X1827" s="56"/>
      <c r="Y1827" s="56"/>
      <c r="Z1827" s="56"/>
      <c r="AA1827" s="56"/>
      <c r="AB1827" s="56"/>
    </row>
    <row r="1828" ht="15.75" customHeight="1">
      <c r="A1828" s="169"/>
      <c r="B1828" s="63"/>
      <c r="C1828" s="22" t="s">
        <v>66</v>
      </c>
      <c r="D1828" s="202" t="s">
        <v>103</v>
      </c>
      <c r="E1828" s="203" t="s">
        <v>3603</v>
      </c>
      <c r="F1828" s="203" t="s">
        <v>3604</v>
      </c>
      <c r="G1828" s="82" t="s">
        <v>4938</v>
      </c>
      <c r="H1828" s="224" t="s">
        <v>5191</v>
      </c>
      <c r="I1828" s="76" t="s">
        <v>6117</v>
      </c>
      <c r="J1828" s="203" t="s">
        <v>3606</v>
      </c>
      <c r="K1828" s="38" t="s">
        <v>6706</v>
      </c>
      <c r="L1828" s="38"/>
      <c r="M1828" s="56"/>
      <c r="N1828" s="56" t="b">
        <v>0</v>
      </c>
      <c r="O1828" s="56" t="b">
        <v>0</v>
      </c>
      <c r="P1828" s="56"/>
      <c r="Q1828" s="56"/>
      <c r="R1828" s="56"/>
      <c r="S1828" s="56"/>
      <c r="T1828" s="56"/>
      <c r="U1828" s="56"/>
      <c r="V1828" s="56"/>
      <c r="W1828" s="56"/>
      <c r="X1828" s="56"/>
      <c r="Y1828" s="56"/>
      <c r="Z1828" s="56"/>
      <c r="AA1828" s="56"/>
      <c r="AB1828" s="56"/>
    </row>
    <row r="1829" ht="15.75" customHeight="1">
      <c r="A1829" s="169"/>
      <c r="B1829" s="63"/>
      <c r="C1829" s="22" t="s">
        <v>66</v>
      </c>
      <c r="D1829" s="62" t="s">
        <v>6216</v>
      </c>
      <c r="E1829" s="221" t="s">
        <v>4657</v>
      </c>
      <c r="F1829" s="314" t="s">
        <v>4658</v>
      </c>
      <c r="G1829" s="315" t="s">
        <v>4940</v>
      </c>
      <c r="H1829" s="316" t="s">
        <v>4884</v>
      </c>
      <c r="I1829" s="314" t="s">
        <v>6006</v>
      </c>
      <c r="J1829" s="314" t="s">
        <v>4660</v>
      </c>
      <c r="K1829" s="38"/>
      <c r="L1829" s="38"/>
      <c r="M1829" s="56"/>
      <c r="N1829" s="56" t="b">
        <v>0</v>
      </c>
      <c r="O1829" s="56" t="b">
        <v>0</v>
      </c>
      <c r="P1829" s="56"/>
      <c r="Q1829" s="56"/>
      <c r="R1829" s="56"/>
      <c r="S1829" s="56"/>
      <c r="T1829" s="56"/>
      <c r="U1829" s="56"/>
      <c r="V1829" s="56"/>
      <c r="W1829" s="56"/>
      <c r="X1829" s="56"/>
      <c r="Y1829" s="56"/>
      <c r="Z1829" s="56"/>
      <c r="AA1829" s="56"/>
      <c r="AB1829" s="56"/>
    </row>
    <row r="1830" ht="15.75" customHeight="1">
      <c r="A1830" s="169"/>
      <c r="B1830" s="63"/>
      <c r="C1830" s="22" t="s">
        <v>66</v>
      </c>
      <c r="D1830" s="227" t="s">
        <v>314</v>
      </c>
      <c r="E1830" s="60" t="s">
        <v>5150</v>
      </c>
      <c r="F1830" s="60" t="s">
        <v>5151</v>
      </c>
      <c r="G1830" s="73" t="s">
        <v>4858</v>
      </c>
      <c r="H1830" s="62" t="s">
        <v>5085</v>
      </c>
      <c r="I1830" s="62" t="s">
        <v>6667</v>
      </c>
      <c r="J1830" s="60" t="s">
        <v>5153</v>
      </c>
      <c r="K1830" s="38"/>
      <c r="L1830" s="38"/>
      <c r="M1830" s="56"/>
      <c r="N1830" s="56" t="b">
        <v>0</v>
      </c>
      <c r="O1830" s="56" t="b">
        <v>0</v>
      </c>
      <c r="P1830" s="56"/>
      <c r="Q1830" s="56"/>
      <c r="R1830" s="56"/>
      <c r="S1830" s="56"/>
      <c r="T1830" s="56"/>
      <c r="U1830" s="56"/>
      <c r="V1830" s="56"/>
      <c r="W1830" s="56"/>
      <c r="X1830" s="56"/>
      <c r="Y1830" s="56"/>
      <c r="Z1830" s="56"/>
      <c r="AA1830" s="56"/>
      <c r="AB1830" s="56"/>
    </row>
    <row r="1831" ht="15.75" customHeight="1">
      <c r="A1831" s="169"/>
      <c r="B1831" s="63"/>
      <c r="C1831" s="22" t="s">
        <v>66</v>
      </c>
      <c r="D1831" s="227" t="s">
        <v>89</v>
      </c>
      <c r="E1831" s="60" t="s">
        <v>4878</v>
      </c>
      <c r="F1831" s="60" t="s">
        <v>4879</v>
      </c>
      <c r="G1831" s="72">
        <v>0.75</v>
      </c>
      <c r="H1831" s="60" t="s">
        <v>4880</v>
      </c>
      <c r="I1831" s="60" t="s">
        <v>4881</v>
      </c>
      <c r="J1831" s="62" t="s">
        <v>4882</v>
      </c>
      <c r="K1831" s="38" t="s">
        <v>6707</v>
      </c>
      <c r="L1831" s="38" t="s">
        <v>1002</v>
      </c>
      <c r="M1831" s="56"/>
      <c r="N1831" s="56" t="b">
        <v>0</v>
      </c>
      <c r="O1831" s="56" t="b">
        <v>0</v>
      </c>
      <c r="P1831" s="56"/>
      <c r="Q1831" s="56"/>
      <c r="R1831" s="56"/>
      <c r="S1831" s="56"/>
      <c r="T1831" s="56"/>
      <c r="U1831" s="56"/>
      <c r="V1831" s="56"/>
      <c r="W1831" s="56"/>
      <c r="X1831" s="56"/>
      <c r="Y1831" s="56"/>
      <c r="Z1831" s="56"/>
      <c r="AA1831" s="56"/>
      <c r="AB1831" s="56"/>
    </row>
    <row r="1832" ht="15.75" customHeight="1">
      <c r="A1832" s="169"/>
      <c r="B1832" s="69"/>
      <c r="C1832" s="22"/>
      <c r="D1832" s="38"/>
      <c r="E1832" s="38"/>
      <c r="F1832" s="65"/>
      <c r="G1832" s="66"/>
      <c r="H1832" s="38"/>
      <c r="I1832" s="38"/>
      <c r="J1832" s="38"/>
      <c r="K1832" s="38"/>
      <c r="L1832" s="38"/>
      <c r="M1832" s="56"/>
      <c r="N1832" s="56" t="b">
        <v>0</v>
      </c>
      <c r="O1832" s="56" t="b">
        <v>0</v>
      </c>
      <c r="P1832" s="56"/>
      <c r="Q1832" s="56"/>
      <c r="R1832" s="56"/>
      <c r="S1832" s="56"/>
      <c r="T1832" s="56"/>
      <c r="U1832" s="56"/>
      <c r="V1832" s="56"/>
      <c r="W1832" s="56"/>
      <c r="X1832" s="56"/>
      <c r="Y1832" s="56"/>
      <c r="Z1832" s="56"/>
      <c r="AA1832" s="56"/>
      <c r="AB1832" s="56"/>
    </row>
    <row r="1833" ht="15.75" customHeight="1">
      <c r="A1833" s="169"/>
      <c r="B1833" s="276"/>
      <c r="C1833" s="220">
        <v>44554.0</v>
      </c>
      <c r="D1833" s="38"/>
      <c r="E1833" s="38"/>
      <c r="F1833" s="65"/>
      <c r="G1833" s="66"/>
      <c r="H1833" s="38"/>
      <c r="I1833" s="38"/>
      <c r="J1833" s="38"/>
      <c r="K1833" s="38"/>
      <c r="L1833" s="38"/>
      <c r="M1833" s="56"/>
      <c r="N1833" s="56" t="b">
        <v>0</v>
      </c>
      <c r="O1833" s="56" t="b">
        <v>0</v>
      </c>
      <c r="P1833" s="56"/>
      <c r="Q1833" s="56"/>
      <c r="R1833" s="56"/>
      <c r="S1833" s="56"/>
      <c r="T1833" s="56"/>
      <c r="U1833" s="56"/>
      <c r="V1833" s="56"/>
      <c r="W1833" s="56"/>
      <c r="X1833" s="56"/>
      <c r="Y1833" s="56"/>
      <c r="Z1833" s="56"/>
      <c r="AA1833" s="56"/>
      <c r="AB1833" s="56"/>
    </row>
    <row r="1834" ht="15.75" customHeight="1">
      <c r="A1834" s="169"/>
      <c r="B1834" s="273" t="s">
        <v>4836</v>
      </c>
      <c r="C1834" s="22"/>
      <c r="D1834" s="38"/>
      <c r="E1834" s="38"/>
      <c r="F1834" s="65"/>
      <c r="G1834" s="66"/>
      <c r="H1834" s="38"/>
      <c r="I1834" s="38"/>
      <c r="J1834" s="38"/>
      <c r="K1834" s="38"/>
      <c r="L1834" s="38"/>
      <c r="M1834" s="56"/>
      <c r="N1834" s="56" t="b">
        <v>0</v>
      </c>
      <c r="O1834" s="56" t="b">
        <v>0</v>
      </c>
      <c r="P1834" s="56"/>
      <c r="Q1834" s="56"/>
      <c r="R1834" s="56"/>
      <c r="S1834" s="56"/>
      <c r="T1834" s="56"/>
      <c r="U1834" s="56"/>
      <c r="V1834" s="56"/>
      <c r="W1834" s="56"/>
      <c r="X1834" s="56"/>
      <c r="Y1834" s="56"/>
      <c r="Z1834" s="56"/>
      <c r="AA1834" s="56"/>
      <c r="AB1834" s="56"/>
    </row>
    <row r="1835" ht="15.75" customHeight="1">
      <c r="A1835" s="169"/>
      <c r="B1835" s="63"/>
      <c r="C1835" s="22" t="s">
        <v>53</v>
      </c>
      <c r="D1835" s="227" t="s">
        <v>89</v>
      </c>
      <c r="E1835" s="242" t="s">
        <v>4630</v>
      </c>
      <c r="F1835" s="242" t="s">
        <v>4631</v>
      </c>
      <c r="G1835" s="73" t="s">
        <v>5134</v>
      </c>
      <c r="H1835" s="62" t="s">
        <v>6708</v>
      </c>
      <c r="I1835" s="62" t="s">
        <v>6709</v>
      </c>
      <c r="J1835" s="242" t="s">
        <v>4634</v>
      </c>
      <c r="K1835" s="38" t="s">
        <v>5528</v>
      </c>
      <c r="L1835" s="38"/>
      <c r="M1835" s="56"/>
      <c r="N1835" s="56" t="b">
        <v>0</v>
      </c>
      <c r="O1835" s="56" t="b">
        <v>0</v>
      </c>
      <c r="P1835" s="56"/>
      <c r="Q1835" s="56"/>
      <c r="R1835" s="56"/>
      <c r="S1835" s="56"/>
      <c r="T1835" s="56"/>
      <c r="U1835" s="56"/>
      <c r="V1835" s="56"/>
      <c r="W1835" s="56"/>
      <c r="X1835" s="56"/>
      <c r="Y1835" s="56"/>
      <c r="Z1835" s="56"/>
      <c r="AA1835" s="56"/>
      <c r="AB1835" s="56"/>
    </row>
    <row r="1836" ht="15.75" customHeight="1">
      <c r="A1836" s="169"/>
      <c r="B1836" s="63"/>
      <c r="C1836" s="22" t="s">
        <v>53</v>
      </c>
      <c r="D1836" s="202" t="s">
        <v>103</v>
      </c>
      <c r="E1836" s="203" t="s">
        <v>3977</v>
      </c>
      <c r="F1836" s="203" t="s">
        <v>3978</v>
      </c>
      <c r="G1836" s="82" t="s">
        <v>4960</v>
      </c>
      <c r="H1836" s="76" t="s">
        <v>5922</v>
      </c>
      <c r="I1836" s="248" t="s">
        <v>6698</v>
      </c>
      <c r="J1836" s="203" t="s">
        <v>3980</v>
      </c>
      <c r="K1836" s="38" t="s">
        <v>6710</v>
      </c>
      <c r="L1836" s="38"/>
      <c r="M1836" s="56"/>
      <c r="N1836" s="56" t="b">
        <v>0</v>
      </c>
      <c r="O1836" s="56" t="b">
        <v>0</v>
      </c>
      <c r="P1836" s="56"/>
      <c r="Q1836" s="56"/>
      <c r="R1836" s="56"/>
      <c r="S1836" s="56"/>
      <c r="T1836" s="56"/>
      <c r="U1836" s="56"/>
      <c r="V1836" s="56"/>
      <c r="W1836" s="56"/>
      <c r="X1836" s="56"/>
      <c r="Y1836" s="56"/>
      <c r="Z1836" s="56"/>
      <c r="AA1836" s="56"/>
      <c r="AB1836" s="56"/>
    </row>
    <row r="1837" ht="15.75" customHeight="1">
      <c r="A1837" s="169"/>
      <c r="B1837" s="63"/>
      <c r="C1837" s="22" t="s">
        <v>53</v>
      </c>
      <c r="D1837" s="310" t="s">
        <v>329</v>
      </c>
      <c r="E1837" s="60" t="s">
        <v>3785</v>
      </c>
      <c r="F1837" s="60" t="s">
        <v>3786</v>
      </c>
      <c r="G1837" s="73" t="s">
        <v>4892</v>
      </c>
      <c r="H1837" s="62" t="s">
        <v>5940</v>
      </c>
      <c r="I1837" s="83" t="s">
        <v>5947</v>
      </c>
      <c r="J1837" s="60" t="s">
        <v>3788</v>
      </c>
      <c r="K1837" s="38"/>
      <c r="L1837" s="38"/>
      <c r="M1837" s="56"/>
      <c r="N1837" s="56" t="b">
        <v>0</v>
      </c>
      <c r="O1837" s="56" t="b">
        <v>0</v>
      </c>
      <c r="P1837" s="56"/>
      <c r="Q1837" s="56"/>
      <c r="R1837" s="56"/>
      <c r="S1837" s="56"/>
      <c r="T1837" s="56"/>
      <c r="U1837" s="56"/>
      <c r="V1837" s="56"/>
      <c r="W1837" s="56"/>
      <c r="X1837" s="56"/>
      <c r="Y1837" s="56"/>
      <c r="Z1837" s="56"/>
      <c r="AA1837" s="56"/>
      <c r="AB1837" s="56"/>
    </row>
    <row r="1838" ht="15.75" customHeight="1">
      <c r="A1838" s="169"/>
      <c r="B1838" s="63"/>
      <c r="C1838" s="22" t="s">
        <v>53</v>
      </c>
      <c r="D1838" s="62" t="s">
        <v>133</v>
      </c>
      <c r="E1838" s="60" t="s">
        <v>2004</v>
      </c>
      <c r="F1838" s="60" t="s">
        <v>2005</v>
      </c>
      <c r="G1838" s="73" t="s">
        <v>5036</v>
      </c>
      <c r="H1838" s="62" t="s">
        <v>6700</v>
      </c>
      <c r="I1838" s="62" t="s">
        <v>6701</v>
      </c>
      <c r="J1838" s="242" t="s">
        <v>2007</v>
      </c>
      <c r="K1838" s="38" t="s">
        <v>273</v>
      </c>
      <c r="L1838" s="38"/>
      <c r="M1838" s="56"/>
      <c r="N1838" s="56" t="b">
        <v>0</v>
      </c>
      <c r="O1838" s="56" t="b">
        <v>0</v>
      </c>
      <c r="P1838" s="56"/>
      <c r="Q1838" s="56"/>
      <c r="R1838" s="56"/>
      <c r="S1838" s="56"/>
      <c r="T1838" s="56"/>
      <c r="U1838" s="56"/>
      <c r="V1838" s="56"/>
      <c r="W1838" s="56"/>
      <c r="X1838" s="56"/>
      <c r="Y1838" s="56"/>
      <c r="Z1838" s="56"/>
      <c r="AA1838" s="56"/>
      <c r="AB1838" s="56"/>
    </row>
    <row r="1839" ht="15.75" customHeight="1">
      <c r="A1839" s="169"/>
      <c r="B1839" s="63"/>
      <c r="C1839" s="22" t="s">
        <v>53</v>
      </c>
      <c r="D1839" s="76" t="s">
        <v>133</v>
      </c>
      <c r="E1839" s="77" t="s">
        <v>2140</v>
      </c>
      <c r="F1839" s="77" t="s">
        <v>2141</v>
      </c>
      <c r="G1839" s="82" t="s">
        <v>4847</v>
      </c>
      <c r="H1839" s="76" t="s">
        <v>6703</v>
      </c>
      <c r="I1839" s="76" t="s">
        <v>6704</v>
      </c>
      <c r="J1839" s="76" t="s">
        <v>2143</v>
      </c>
      <c r="K1839" s="38" t="s">
        <v>6711</v>
      </c>
      <c r="L1839" s="38"/>
      <c r="M1839" s="56"/>
      <c r="N1839" s="56" t="b">
        <v>0</v>
      </c>
      <c r="O1839" s="56" t="b">
        <v>0</v>
      </c>
      <c r="P1839" s="56"/>
      <c r="Q1839" s="56"/>
      <c r="R1839" s="56"/>
      <c r="S1839" s="56"/>
      <c r="T1839" s="56"/>
      <c r="U1839" s="56"/>
      <c r="V1839" s="56"/>
      <c r="W1839" s="56"/>
      <c r="X1839" s="56"/>
      <c r="Y1839" s="56"/>
      <c r="Z1839" s="56"/>
      <c r="AA1839" s="56"/>
      <c r="AB1839" s="56"/>
    </row>
    <row r="1840" ht="15.75" customHeight="1">
      <c r="A1840" s="169"/>
      <c r="B1840" s="69"/>
      <c r="C1840" s="22"/>
      <c r="D1840" s="38"/>
      <c r="E1840" s="38"/>
      <c r="F1840" s="65"/>
      <c r="G1840" s="66"/>
      <c r="H1840" s="38"/>
      <c r="I1840" s="38"/>
      <c r="J1840" s="38"/>
      <c r="K1840" s="38"/>
      <c r="L1840" s="38"/>
      <c r="M1840" s="56"/>
      <c r="N1840" s="56" t="b">
        <v>0</v>
      </c>
      <c r="O1840" s="56" t="b">
        <v>0</v>
      </c>
      <c r="P1840" s="56"/>
      <c r="Q1840" s="56"/>
      <c r="R1840" s="56"/>
      <c r="S1840" s="56"/>
      <c r="T1840" s="56"/>
      <c r="U1840" s="56"/>
      <c r="V1840" s="56"/>
      <c r="W1840" s="56"/>
      <c r="X1840" s="56"/>
      <c r="Y1840" s="56"/>
      <c r="Z1840" s="56"/>
      <c r="AA1840" s="56"/>
      <c r="AB1840" s="56"/>
    </row>
    <row r="1841" ht="15.75" customHeight="1">
      <c r="A1841" s="169"/>
      <c r="B1841" s="273" t="s">
        <v>6168</v>
      </c>
      <c r="C1841" s="22" t="s">
        <v>66</v>
      </c>
      <c r="D1841" s="202" t="s">
        <v>103</v>
      </c>
      <c r="E1841" s="203" t="s">
        <v>3603</v>
      </c>
      <c r="F1841" s="203" t="s">
        <v>3604</v>
      </c>
      <c r="G1841" s="82" t="s">
        <v>6712</v>
      </c>
      <c r="H1841" s="224" t="s">
        <v>5191</v>
      </c>
      <c r="I1841" s="76" t="s">
        <v>6117</v>
      </c>
      <c r="J1841" s="203" t="s">
        <v>3606</v>
      </c>
      <c r="K1841" s="38" t="s">
        <v>6713</v>
      </c>
      <c r="L1841" s="38"/>
      <c r="M1841" s="56"/>
      <c r="N1841" s="56" t="b">
        <v>0</v>
      </c>
      <c r="O1841" s="56" t="b">
        <v>0</v>
      </c>
      <c r="P1841" s="56"/>
      <c r="Q1841" s="56"/>
      <c r="R1841" s="56"/>
      <c r="S1841" s="56"/>
      <c r="T1841" s="56"/>
      <c r="U1841" s="56"/>
      <c r="V1841" s="56"/>
      <c r="W1841" s="56"/>
      <c r="X1841" s="56"/>
      <c r="Y1841" s="56"/>
      <c r="Z1841" s="56"/>
      <c r="AA1841" s="56"/>
      <c r="AB1841" s="56"/>
    </row>
    <row r="1842" ht="15.75" customHeight="1">
      <c r="A1842" s="169"/>
      <c r="B1842" s="63"/>
      <c r="C1842" s="22" t="s">
        <v>66</v>
      </c>
      <c r="D1842" s="73" t="s">
        <v>6216</v>
      </c>
      <c r="E1842" s="242" t="s">
        <v>4678</v>
      </c>
      <c r="F1842" s="242" t="s">
        <v>4679</v>
      </c>
      <c r="G1842" s="73" t="s">
        <v>5602</v>
      </c>
      <c r="H1842" s="62" t="s">
        <v>5197</v>
      </c>
      <c r="I1842" s="62" t="s">
        <v>6714</v>
      </c>
      <c r="J1842" s="242" t="s">
        <v>4681</v>
      </c>
      <c r="K1842" s="38"/>
      <c r="L1842" s="38"/>
      <c r="M1842" s="56"/>
      <c r="N1842" s="56" t="b">
        <v>0</v>
      </c>
      <c r="O1842" s="56" t="b">
        <v>0</v>
      </c>
      <c r="P1842" s="56"/>
      <c r="Q1842" s="56"/>
      <c r="R1842" s="56"/>
      <c r="S1842" s="56"/>
      <c r="T1842" s="56"/>
      <c r="U1842" s="56"/>
      <c r="V1842" s="56"/>
      <c r="W1842" s="56"/>
      <c r="X1842" s="56"/>
      <c r="Y1842" s="56"/>
      <c r="Z1842" s="56"/>
      <c r="AA1842" s="56"/>
      <c r="AB1842" s="56"/>
    </row>
    <row r="1843" ht="15.75" customHeight="1">
      <c r="A1843" s="169"/>
      <c r="B1843" s="63"/>
      <c r="C1843" s="22" t="s">
        <v>66</v>
      </c>
      <c r="D1843" s="62" t="s">
        <v>267</v>
      </c>
      <c r="E1843" s="62" t="s">
        <v>2714</v>
      </c>
      <c r="F1843" s="71" t="s">
        <v>6715</v>
      </c>
      <c r="G1843" s="73" t="s">
        <v>4892</v>
      </c>
      <c r="H1843" s="62" t="s">
        <v>6103</v>
      </c>
      <c r="I1843" s="62" t="s">
        <v>6716</v>
      </c>
      <c r="J1843" s="62" t="s">
        <v>6717</v>
      </c>
      <c r="K1843" s="38" t="s">
        <v>6718</v>
      </c>
      <c r="L1843" s="38"/>
      <c r="M1843" s="56"/>
      <c r="N1843" s="56" t="b">
        <v>0</v>
      </c>
      <c r="O1843" s="56" t="b">
        <v>0</v>
      </c>
      <c r="P1843" s="56"/>
      <c r="Q1843" s="56"/>
      <c r="R1843" s="56"/>
      <c r="S1843" s="56"/>
      <c r="T1843" s="56"/>
      <c r="U1843" s="56"/>
      <c r="V1843" s="56"/>
      <c r="W1843" s="56"/>
      <c r="X1843" s="56"/>
      <c r="Y1843" s="56"/>
      <c r="Z1843" s="56"/>
      <c r="AA1843" s="56"/>
      <c r="AB1843" s="56"/>
    </row>
    <row r="1844" ht="15.75" customHeight="1">
      <c r="A1844" s="169"/>
      <c r="B1844" s="63"/>
      <c r="C1844" s="22" t="s">
        <v>66</v>
      </c>
      <c r="D1844" s="82" t="s">
        <v>6216</v>
      </c>
      <c r="E1844" s="203" t="s">
        <v>723</v>
      </c>
      <c r="F1844" s="203" t="s">
        <v>724</v>
      </c>
      <c r="G1844" s="82" t="s">
        <v>5461</v>
      </c>
      <c r="H1844" s="76" t="s">
        <v>6044</v>
      </c>
      <c r="I1844" s="76" t="s">
        <v>6719</v>
      </c>
      <c r="J1844" s="76" t="s">
        <v>726</v>
      </c>
      <c r="K1844" s="38" t="s">
        <v>6720</v>
      </c>
      <c r="L1844" s="38"/>
      <c r="M1844" s="56"/>
      <c r="N1844" s="56" t="b">
        <v>0</v>
      </c>
      <c r="O1844" s="56" t="b">
        <v>0</v>
      </c>
      <c r="P1844" s="56"/>
      <c r="Q1844" s="56"/>
      <c r="R1844" s="56"/>
      <c r="S1844" s="56"/>
      <c r="T1844" s="56"/>
      <c r="U1844" s="56"/>
      <c r="V1844" s="56"/>
      <c r="W1844" s="56"/>
      <c r="X1844" s="56"/>
      <c r="Y1844" s="56"/>
      <c r="Z1844" s="56"/>
      <c r="AA1844" s="56"/>
      <c r="AB1844" s="56"/>
    </row>
    <row r="1845" ht="15.75" customHeight="1">
      <c r="A1845" s="169"/>
      <c r="B1845" s="63"/>
      <c r="C1845" s="22" t="s">
        <v>66</v>
      </c>
      <c r="D1845" s="172" t="s">
        <v>89</v>
      </c>
      <c r="E1845" s="77" t="s">
        <v>4115</v>
      </c>
      <c r="F1845" s="77" t="s">
        <v>4116</v>
      </c>
      <c r="G1845" s="82" t="s">
        <v>5089</v>
      </c>
      <c r="H1845" s="76" t="s">
        <v>5911</v>
      </c>
      <c r="I1845" s="76" t="s">
        <v>6328</v>
      </c>
      <c r="J1845" s="203" t="s">
        <v>4118</v>
      </c>
      <c r="K1845" s="38" t="s">
        <v>2008</v>
      </c>
      <c r="L1845" s="38"/>
      <c r="M1845" s="56"/>
      <c r="N1845" s="56" t="b">
        <v>0</v>
      </c>
      <c r="O1845" s="56" t="b">
        <v>0</v>
      </c>
      <c r="P1845" s="56"/>
      <c r="Q1845" s="56"/>
      <c r="R1845" s="56"/>
      <c r="S1845" s="56"/>
      <c r="T1845" s="56"/>
      <c r="U1845" s="56"/>
      <c r="V1845" s="56"/>
      <c r="W1845" s="56"/>
      <c r="X1845" s="56"/>
      <c r="Y1845" s="56"/>
      <c r="Z1845" s="56"/>
      <c r="AA1845" s="56"/>
      <c r="AB1845" s="56"/>
    </row>
    <row r="1846" ht="15.75" customHeight="1">
      <c r="A1846" s="169"/>
      <c r="B1846" s="69"/>
      <c r="C1846" s="22"/>
      <c r="D1846" s="38"/>
      <c r="E1846" s="38"/>
      <c r="F1846" s="65"/>
      <c r="G1846" s="66"/>
      <c r="H1846" s="38"/>
      <c r="I1846" s="38"/>
      <c r="J1846" s="38"/>
      <c r="K1846" s="38"/>
      <c r="L1846" s="38"/>
      <c r="M1846" s="56"/>
      <c r="N1846" s="56" t="b">
        <v>0</v>
      </c>
      <c r="O1846" s="56" t="b">
        <v>0</v>
      </c>
      <c r="P1846" s="56"/>
      <c r="Q1846" s="56"/>
      <c r="R1846" s="56"/>
      <c r="S1846" s="56"/>
      <c r="T1846" s="56"/>
      <c r="U1846" s="56"/>
      <c r="V1846" s="56"/>
      <c r="W1846" s="56"/>
      <c r="X1846" s="56"/>
      <c r="Y1846" s="56"/>
      <c r="Z1846" s="56"/>
      <c r="AA1846" s="56"/>
      <c r="AB1846" s="56"/>
    </row>
    <row r="1847" ht="15.75" customHeight="1">
      <c r="A1847" s="169"/>
      <c r="B1847" s="276"/>
      <c r="C1847" s="220">
        <v>44557.0</v>
      </c>
      <c r="D1847" s="38"/>
      <c r="E1847" s="38"/>
      <c r="F1847" s="65"/>
      <c r="G1847" s="66"/>
      <c r="H1847" s="38"/>
      <c r="I1847" s="38"/>
      <c r="J1847" s="38"/>
      <c r="K1847" s="38"/>
      <c r="L1847" s="38"/>
      <c r="M1847" s="56"/>
      <c r="N1847" s="56" t="b">
        <v>0</v>
      </c>
      <c r="O1847" s="56" t="b">
        <v>0</v>
      </c>
      <c r="P1847" s="56"/>
      <c r="Q1847" s="56"/>
      <c r="R1847" s="56"/>
      <c r="S1847" s="56"/>
      <c r="T1847" s="56"/>
      <c r="U1847" s="56"/>
      <c r="V1847" s="56"/>
      <c r="W1847" s="56"/>
      <c r="X1847" s="56"/>
      <c r="Y1847" s="56"/>
      <c r="Z1847" s="56"/>
      <c r="AA1847" s="56"/>
      <c r="AB1847" s="56"/>
    </row>
    <row r="1848" ht="15.75" customHeight="1">
      <c r="A1848" s="169"/>
      <c r="B1848" s="273" t="s">
        <v>4836</v>
      </c>
      <c r="C1848" s="22"/>
      <c r="D1848" s="227" t="s">
        <v>89</v>
      </c>
      <c r="E1848" s="242" t="s">
        <v>3890</v>
      </c>
      <c r="F1848" s="242" t="s">
        <v>3891</v>
      </c>
      <c r="G1848" s="73" t="s">
        <v>4851</v>
      </c>
      <c r="H1848" s="62" t="s">
        <v>6669</v>
      </c>
      <c r="I1848" s="62" t="s">
        <v>6721</v>
      </c>
      <c r="J1848" s="242" t="s">
        <v>3893</v>
      </c>
      <c r="K1848" s="38"/>
      <c r="L1848" s="38"/>
      <c r="M1848" s="56"/>
      <c r="N1848" s="56" t="b">
        <v>0</v>
      </c>
      <c r="O1848" s="56" t="b">
        <v>0</v>
      </c>
      <c r="P1848" s="56"/>
      <c r="Q1848" s="56"/>
      <c r="R1848" s="56"/>
      <c r="S1848" s="56"/>
      <c r="T1848" s="56"/>
      <c r="U1848" s="56"/>
      <c r="V1848" s="56"/>
      <c r="W1848" s="56"/>
      <c r="X1848" s="56"/>
      <c r="Y1848" s="56"/>
      <c r="Z1848" s="56"/>
      <c r="AA1848" s="56"/>
      <c r="AB1848" s="56"/>
    </row>
    <row r="1849" ht="15.75" customHeight="1">
      <c r="A1849" s="169"/>
      <c r="B1849" s="63"/>
      <c r="C1849" s="22" t="s">
        <v>53</v>
      </c>
      <c r="D1849" s="227" t="s">
        <v>89</v>
      </c>
      <c r="E1849" s="242" t="s">
        <v>4516</v>
      </c>
      <c r="F1849" s="242" t="s">
        <v>4517</v>
      </c>
      <c r="G1849" s="73" t="s">
        <v>5134</v>
      </c>
      <c r="H1849" s="62" t="s">
        <v>5863</v>
      </c>
      <c r="I1849" s="62" t="s">
        <v>6722</v>
      </c>
      <c r="J1849" s="242" t="s">
        <v>4519</v>
      </c>
      <c r="K1849" s="38"/>
      <c r="L1849" s="38"/>
      <c r="M1849" s="56"/>
      <c r="N1849" s="56" t="b">
        <v>0</v>
      </c>
      <c r="O1849" s="56" t="b">
        <v>0</v>
      </c>
      <c r="P1849" s="56"/>
      <c r="Q1849" s="56"/>
      <c r="R1849" s="56"/>
      <c r="S1849" s="56"/>
      <c r="T1849" s="56"/>
      <c r="U1849" s="56"/>
      <c r="V1849" s="56"/>
      <c r="W1849" s="56"/>
      <c r="X1849" s="56"/>
      <c r="Y1849" s="56"/>
      <c r="Z1849" s="56"/>
      <c r="AA1849" s="56"/>
      <c r="AB1849" s="56"/>
    </row>
    <row r="1850" ht="15.75" customHeight="1">
      <c r="A1850" s="169"/>
      <c r="B1850" s="63"/>
      <c r="C1850" s="22" t="s">
        <v>53</v>
      </c>
      <c r="D1850" s="172" t="s">
        <v>89</v>
      </c>
      <c r="E1850" s="77" t="s">
        <v>4325</v>
      </c>
      <c r="F1850" s="77" t="s">
        <v>4326</v>
      </c>
      <c r="G1850" s="92">
        <v>0.5833333333333334</v>
      </c>
      <c r="H1850" s="76" t="s">
        <v>5619</v>
      </c>
      <c r="I1850" s="77" t="s">
        <v>5620</v>
      </c>
      <c r="J1850" s="77" t="s">
        <v>4328</v>
      </c>
      <c r="K1850" s="38" t="s">
        <v>6723</v>
      </c>
      <c r="L1850" s="38"/>
      <c r="M1850" s="56"/>
      <c r="N1850" s="56" t="b">
        <v>0</v>
      </c>
      <c r="O1850" s="56" t="b">
        <v>0</v>
      </c>
      <c r="P1850" s="56"/>
      <c r="Q1850" s="56"/>
      <c r="R1850" s="56"/>
      <c r="S1850" s="56"/>
      <c r="T1850" s="56"/>
      <c r="U1850" s="56"/>
      <c r="V1850" s="56"/>
      <c r="W1850" s="56"/>
      <c r="X1850" s="56"/>
      <c r="Y1850" s="56"/>
      <c r="Z1850" s="56"/>
      <c r="AA1850" s="56"/>
      <c r="AB1850" s="56"/>
    </row>
    <row r="1851" ht="15.75" customHeight="1">
      <c r="A1851" s="169"/>
      <c r="B1851" s="63"/>
      <c r="C1851" s="22" t="s">
        <v>53</v>
      </c>
      <c r="D1851" s="172" t="s">
        <v>89</v>
      </c>
      <c r="E1851" s="203" t="s">
        <v>4072</v>
      </c>
      <c r="F1851" s="203" t="s">
        <v>4073</v>
      </c>
      <c r="G1851" s="82" t="s">
        <v>4892</v>
      </c>
      <c r="H1851" s="76" t="s">
        <v>6605</v>
      </c>
      <c r="I1851" s="76" t="s">
        <v>6724</v>
      </c>
      <c r="J1851" s="203" t="s">
        <v>4075</v>
      </c>
      <c r="K1851" s="38" t="s">
        <v>6725</v>
      </c>
      <c r="L1851" s="38"/>
      <c r="M1851" s="56"/>
      <c r="N1851" s="56" t="b">
        <v>0</v>
      </c>
      <c r="O1851" s="56" t="b">
        <v>0</v>
      </c>
      <c r="P1851" s="56"/>
      <c r="Q1851" s="56"/>
      <c r="R1851" s="56"/>
      <c r="S1851" s="56"/>
      <c r="T1851" s="56"/>
      <c r="U1851" s="56"/>
      <c r="V1851" s="56"/>
      <c r="W1851" s="56"/>
      <c r="X1851" s="56"/>
      <c r="Y1851" s="56"/>
      <c r="Z1851" s="56"/>
      <c r="AA1851" s="56"/>
      <c r="AB1851" s="56"/>
    </row>
    <row r="1852" ht="15.75" customHeight="1">
      <c r="A1852" s="169"/>
      <c r="B1852" s="63"/>
      <c r="C1852" s="22" t="s">
        <v>53</v>
      </c>
      <c r="D1852" s="38"/>
      <c r="E1852" s="38"/>
      <c r="F1852" s="65"/>
      <c r="G1852" s="66"/>
      <c r="H1852" s="38"/>
      <c r="I1852" s="38"/>
      <c r="J1852" s="38"/>
      <c r="K1852" s="38"/>
      <c r="L1852" s="38"/>
      <c r="M1852" s="56"/>
      <c r="N1852" s="56" t="b">
        <v>0</v>
      </c>
      <c r="O1852" s="56" t="b">
        <v>0</v>
      </c>
      <c r="P1852" s="56"/>
      <c r="Q1852" s="56"/>
      <c r="R1852" s="56"/>
      <c r="S1852" s="56"/>
      <c r="T1852" s="56"/>
      <c r="U1852" s="56"/>
      <c r="V1852" s="56"/>
      <c r="W1852" s="56"/>
      <c r="X1852" s="56"/>
      <c r="Y1852" s="56"/>
      <c r="Z1852" s="56"/>
      <c r="AA1852" s="56"/>
      <c r="AB1852" s="56"/>
    </row>
    <row r="1853" ht="15.75" customHeight="1">
      <c r="A1853" s="169"/>
      <c r="B1853" s="63"/>
      <c r="C1853" s="22" t="s">
        <v>53</v>
      </c>
      <c r="D1853" s="38"/>
      <c r="E1853" s="38"/>
      <c r="F1853" s="65"/>
      <c r="G1853" s="66"/>
      <c r="H1853" s="38"/>
      <c r="I1853" s="38"/>
      <c r="J1853" s="38"/>
      <c r="K1853" s="38"/>
      <c r="L1853" s="38"/>
      <c r="M1853" s="56"/>
      <c r="N1853" s="56" t="b">
        <v>0</v>
      </c>
      <c r="O1853" s="56" t="b">
        <v>0</v>
      </c>
      <c r="P1853" s="56"/>
      <c r="Q1853" s="56"/>
      <c r="R1853" s="56"/>
      <c r="S1853" s="56"/>
      <c r="T1853" s="56"/>
      <c r="U1853" s="56"/>
      <c r="V1853" s="56"/>
      <c r="W1853" s="56"/>
      <c r="X1853" s="56"/>
      <c r="Y1853" s="56"/>
      <c r="Z1853" s="56"/>
      <c r="AA1853" s="56"/>
      <c r="AB1853" s="56"/>
    </row>
    <row r="1854" ht="15.75" customHeight="1">
      <c r="A1854" s="169"/>
      <c r="B1854" s="69"/>
      <c r="C1854" s="22"/>
      <c r="D1854" s="38"/>
      <c r="E1854" s="38"/>
      <c r="F1854" s="65"/>
      <c r="G1854" s="66"/>
      <c r="H1854" s="38"/>
      <c r="I1854" s="38"/>
      <c r="J1854" s="38"/>
      <c r="K1854" s="38"/>
      <c r="L1854" s="38"/>
      <c r="M1854" s="56"/>
      <c r="N1854" s="56" t="b">
        <v>0</v>
      </c>
      <c r="O1854" s="56" t="b">
        <v>0</v>
      </c>
      <c r="P1854" s="56"/>
      <c r="Q1854" s="56"/>
      <c r="R1854" s="56"/>
      <c r="S1854" s="56"/>
      <c r="T1854" s="56"/>
      <c r="U1854" s="56"/>
      <c r="V1854" s="56"/>
      <c r="W1854" s="56"/>
      <c r="X1854" s="56"/>
      <c r="Y1854" s="56"/>
      <c r="Z1854" s="56"/>
      <c r="AA1854" s="56"/>
      <c r="AB1854" s="56"/>
    </row>
    <row r="1855" ht="15.75" customHeight="1">
      <c r="A1855" s="169"/>
      <c r="B1855" s="273" t="s">
        <v>6168</v>
      </c>
      <c r="C1855" s="22" t="s">
        <v>66</v>
      </c>
      <c r="D1855" s="38"/>
      <c r="E1855" s="38"/>
      <c r="F1855" s="65"/>
      <c r="G1855" s="66"/>
      <c r="H1855" s="38"/>
      <c r="I1855" s="38"/>
      <c r="J1855" s="38"/>
      <c r="K1855" s="38"/>
      <c r="L1855" s="38"/>
      <c r="M1855" s="56"/>
      <c r="N1855" s="56" t="b">
        <v>0</v>
      </c>
      <c r="O1855" s="56" t="b">
        <v>0</v>
      </c>
      <c r="P1855" s="56"/>
      <c r="Q1855" s="56"/>
      <c r="R1855" s="56"/>
      <c r="S1855" s="56"/>
      <c r="T1855" s="56"/>
      <c r="U1855" s="56"/>
      <c r="V1855" s="56"/>
      <c r="W1855" s="56"/>
      <c r="X1855" s="56"/>
      <c r="Y1855" s="56"/>
      <c r="Z1855" s="56"/>
      <c r="AA1855" s="56"/>
      <c r="AB1855" s="56"/>
    </row>
    <row r="1856" ht="15.75" customHeight="1">
      <c r="A1856" s="169"/>
      <c r="B1856" s="63"/>
      <c r="C1856" s="22" t="s">
        <v>66</v>
      </c>
      <c r="D1856" s="227" t="s">
        <v>314</v>
      </c>
      <c r="E1856" s="60" t="s">
        <v>1330</v>
      </c>
      <c r="F1856" s="60" t="s">
        <v>1331</v>
      </c>
      <c r="G1856" s="73" t="s">
        <v>5134</v>
      </c>
      <c r="H1856" s="62" t="s">
        <v>5619</v>
      </c>
      <c r="I1856" s="62" t="s">
        <v>6726</v>
      </c>
      <c r="J1856" s="242" t="s">
        <v>6727</v>
      </c>
      <c r="K1856" s="38"/>
      <c r="L1856" s="38"/>
      <c r="M1856" s="56"/>
      <c r="N1856" s="56" t="b">
        <v>0</v>
      </c>
      <c r="O1856" s="56" t="b">
        <v>0</v>
      </c>
      <c r="P1856" s="56"/>
      <c r="Q1856" s="56"/>
      <c r="R1856" s="56"/>
      <c r="S1856" s="56"/>
      <c r="T1856" s="56"/>
      <c r="U1856" s="56"/>
      <c r="V1856" s="56"/>
      <c r="W1856" s="56"/>
      <c r="X1856" s="56"/>
      <c r="Y1856" s="56"/>
      <c r="Z1856" s="56"/>
      <c r="AA1856" s="56"/>
      <c r="AB1856" s="56"/>
    </row>
    <row r="1857" ht="15.75" customHeight="1">
      <c r="A1857" s="169"/>
      <c r="B1857" s="63"/>
      <c r="C1857" s="22" t="s">
        <v>66</v>
      </c>
      <c r="D1857" s="227" t="s">
        <v>89</v>
      </c>
      <c r="E1857" s="60" t="s">
        <v>4000</v>
      </c>
      <c r="F1857" s="60" t="s">
        <v>4001</v>
      </c>
      <c r="G1857" s="73" t="s">
        <v>4856</v>
      </c>
      <c r="H1857" s="62" t="s">
        <v>4968</v>
      </c>
      <c r="I1857" s="62" t="s">
        <v>5303</v>
      </c>
      <c r="J1857" s="60" t="s">
        <v>4003</v>
      </c>
      <c r="K1857" s="38" t="s">
        <v>2008</v>
      </c>
      <c r="L1857" s="38" t="s">
        <v>1002</v>
      </c>
      <c r="M1857" s="56"/>
      <c r="N1857" s="56" t="b">
        <v>0</v>
      </c>
      <c r="O1857" s="56" t="b">
        <v>0</v>
      </c>
      <c r="P1857" s="56"/>
      <c r="Q1857" s="56"/>
      <c r="R1857" s="56"/>
      <c r="S1857" s="56"/>
      <c r="T1857" s="56"/>
      <c r="U1857" s="56"/>
      <c r="V1857" s="56"/>
      <c r="W1857" s="56"/>
      <c r="X1857" s="56"/>
      <c r="Y1857" s="56"/>
      <c r="Z1857" s="56"/>
      <c r="AA1857" s="56"/>
      <c r="AB1857" s="56"/>
    </row>
    <row r="1858" ht="15.75" customHeight="1">
      <c r="A1858" s="169"/>
      <c r="B1858" s="63"/>
      <c r="C1858" s="22" t="s">
        <v>66</v>
      </c>
      <c r="D1858" s="227" t="s">
        <v>314</v>
      </c>
      <c r="E1858" s="242" t="s">
        <v>2897</v>
      </c>
      <c r="F1858" s="242" t="s">
        <v>2898</v>
      </c>
      <c r="G1858" s="317" t="s">
        <v>6728</v>
      </c>
      <c r="H1858" s="62" t="s">
        <v>5259</v>
      </c>
      <c r="I1858" s="62" t="s">
        <v>6729</v>
      </c>
      <c r="J1858" s="242" t="s">
        <v>2900</v>
      </c>
      <c r="K1858" s="38"/>
      <c r="L1858" s="38"/>
      <c r="M1858" s="56"/>
      <c r="N1858" s="56" t="b">
        <v>0</v>
      </c>
      <c r="O1858" s="56" t="b">
        <v>0</v>
      </c>
      <c r="P1858" s="56"/>
      <c r="Q1858" s="56"/>
      <c r="R1858" s="56"/>
      <c r="S1858" s="56"/>
      <c r="T1858" s="56"/>
      <c r="U1858" s="56"/>
      <c r="V1858" s="56"/>
      <c r="W1858" s="56"/>
      <c r="X1858" s="56"/>
      <c r="Y1858" s="56"/>
      <c r="Z1858" s="56"/>
      <c r="AA1858" s="56"/>
      <c r="AB1858" s="56"/>
    </row>
    <row r="1859" ht="15.75" customHeight="1">
      <c r="A1859" s="169"/>
      <c r="B1859" s="63"/>
      <c r="C1859" s="22" t="s">
        <v>66</v>
      </c>
      <c r="D1859" s="172" t="s">
        <v>314</v>
      </c>
      <c r="E1859" s="77" t="s">
        <v>2482</v>
      </c>
      <c r="F1859" s="77" t="s">
        <v>2483</v>
      </c>
      <c r="G1859" s="254">
        <v>0.6458333333333334</v>
      </c>
      <c r="H1859" s="76" t="s">
        <v>5342</v>
      </c>
      <c r="I1859" s="76" t="s">
        <v>6730</v>
      </c>
      <c r="J1859" s="203" t="s">
        <v>908</v>
      </c>
      <c r="K1859" s="250" t="s">
        <v>6731</v>
      </c>
      <c r="L1859" s="38"/>
      <c r="M1859" s="56"/>
      <c r="N1859" s="56" t="b">
        <v>0</v>
      </c>
      <c r="O1859" s="56" t="b">
        <v>0</v>
      </c>
      <c r="P1859" s="56"/>
      <c r="Q1859" s="56"/>
      <c r="R1859" s="56"/>
      <c r="S1859" s="56"/>
      <c r="T1859" s="56"/>
      <c r="U1859" s="56"/>
      <c r="V1859" s="56"/>
      <c r="W1859" s="56"/>
      <c r="X1859" s="56"/>
      <c r="Y1859" s="56"/>
      <c r="Z1859" s="56"/>
      <c r="AA1859" s="56"/>
      <c r="AB1859" s="56"/>
    </row>
    <row r="1860" ht="15.75" customHeight="1">
      <c r="A1860" s="169"/>
      <c r="B1860" s="63"/>
      <c r="C1860" s="22" t="s">
        <v>66</v>
      </c>
      <c r="D1860" s="227" t="s">
        <v>89</v>
      </c>
      <c r="E1860" s="242" t="s">
        <v>3117</v>
      </c>
      <c r="F1860" s="242" t="s">
        <v>3118</v>
      </c>
      <c r="G1860" s="73" t="s">
        <v>4847</v>
      </c>
      <c r="H1860" s="62" t="s">
        <v>6571</v>
      </c>
      <c r="I1860" s="62" t="s">
        <v>5975</v>
      </c>
      <c r="J1860" s="242" t="s">
        <v>3120</v>
      </c>
      <c r="K1860" s="38"/>
      <c r="L1860" s="38"/>
      <c r="M1860" s="56"/>
      <c r="N1860" s="56" t="b">
        <v>0</v>
      </c>
      <c r="O1860" s="56" t="b">
        <v>0</v>
      </c>
      <c r="P1860" s="56"/>
      <c r="Q1860" s="56"/>
      <c r="R1860" s="56"/>
      <c r="S1860" s="56"/>
      <c r="T1860" s="56"/>
      <c r="U1860" s="56"/>
      <c r="V1860" s="56"/>
      <c r="W1860" s="56"/>
      <c r="X1860" s="56"/>
      <c r="Y1860" s="56"/>
      <c r="Z1860" s="56"/>
      <c r="AA1860" s="56"/>
      <c r="AB1860" s="56"/>
    </row>
    <row r="1861" ht="15.75" customHeight="1">
      <c r="A1861" s="169"/>
      <c r="B1861" s="69"/>
      <c r="C1861" s="22"/>
      <c r="D1861" s="38"/>
      <c r="E1861" s="38"/>
      <c r="F1861" s="65"/>
      <c r="G1861" s="66"/>
      <c r="H1861" s="38"/>
      <c r="I1861" s="38"/>
      <c r="J1861" s="38"/>
      <c r="K1861" s="38"/>
      <c r="L1861" s="38"/>
      <c r="M1861" s="56"/>
      <c r="N1861" s="56" t="b">
        <v>0</v>
      </c>
      <c r="O1861" s="56" t="b">
        <v>0</v>
      </c>
      <c r="P1861" s="56"/>
      <c r="Q1861" s="56"/>
      <c r="R1861" s="56"/>
      <c r="S1861" s="56"/>
      <c r="T1861" s="56"/>
      <c r="U1861" s="56"/>
      <c r="V1861" s="56"/>
      <c r="W1861" s="56"/>
      <c r="X1861" s="56"/>
      <c r="Y1861" s="56"/>
      <c r="Z1861" s="56"/>
      <c r="AA1861" s="56"/>
      <c r="AB1861" s="56"/>
    </row>
    <row r="1862" ht="15.75" customHeight="1">
      <c r="A1862" s="169"/>
      <c r="B1862" s="276"/>
      <c r="C1862" s="220">
        <v>44558.0</v>
      </c>
      <c r="D1862" s="38"/>
      <c r="E1862" s="38"/>
      <c r="F1862" s="65"/>
      <c r="G1862" s="66"/>
      <c r="H1862" s="38"/>
      <c r="I1862" s="38"/>
      <c r="J1862" s="38"/>
      <c r="K1862" s="38"/>
      <c r="L1862" s="38"/>
      <c r="M1862" s="56"/>
      <c r="N1862" s="56" t="b">
        <v>0</v>
      </c>
      <c r="O1862" s="56" t="b">
        <v>0</v>
      </c>
      <c r="P1862" s="56"/>
      <c r="Q1862" s="56"/>
      <c r="R1862" s="56"/>
      <c r="S1862" s="56"/>
      <c r="T1862" s="56"/>
      <c r="U1862" s="56"/>
      <c r="V1862" s="56"/>
      <c r="W1862" s="56"/>
      <c r="X1862" s="56"/>
      <c r="Y1862" s="56"/>
      <c r="Z1862" s="56"/>
      <c r="AA1862" s="56"/>
      <c r="AB1862" s="56"/>
    </row>
    <row r="1863" ht="15.75" customHeight="1">
      <c r="A1863" s="169"/>
      <c r="B1863" s="273" t="s">
        <v>4836</v>
      </c>
      <c r="C1863" s="22"/>
      <c r="D1863" s="38"/>
      <c r="E1863" s="38"/>
      <c r="F1863" s="65"/>
      <c r="G1863" s="66"/>
      <c r="H1863" s="38"/>
      <c r="I1863" s="38"/>
      <c r="J1863" s="38"/>
      <c r="K1863" s="38"/>
      <c r="L1863" s="38"/>
      <c r="M1863" s="56"/>
      <c r="N1863" s="56" t="b">
        <v>0</v>
      </c>
      <c r="O1863" s="56" t="b">
        <v>0</v>
      </c>
      <c r="P1863" s="56"/>
      <c r="Q1863" s="56"/>
      <c r="R1863" s="56"/>
      <c r="S1863" s="56"/>
      <c r="T1863" s="56"/>
      <c r="U1863" s="56"/>
      <c r="V1863" s="56"/>
      <c r="W1863" s="56"/>
      <c r="X1863" s="56"/>
      <c r="Y1863" s="56"/>
      <c r="Z1863" s="56"/>
      <c r="AA1863" s="56"/>
      <c r="AB1863" s="56"/>
    </row>
    <row r="1864" ht="15.75" customHeight="1">
      <c r="A1864" s="169"/>
      <c r="B1864" s="63"/>
      <c r="C1864" s="22" t="s">
        <v>53</v>
      </c>
      <c r="D1864" s="76" t="s">
        <v>133</v>
      </c>
      <c r="E1864" s="77" t="s">
        <v>4265</v>
      </c>
      <c r="F1864" s="77" t="s">
        <v>4266</v>
      </c>
      <c r="G1864" s="82" t="s">
        <v>6554</v>
      </c>
      <c r="H1864" s="76" t="s">
        <v>6695</v>
      </c>
      <c r="I1864" s="76" t="s">
        <v>6696</v>
      </c>
      <c r="J1864" s="76" t="s">
        <v>4268</v>
      </c>
      <c r="K1864" s="38" t="s">
        <v>6732</v>
      </c>
      <c r="L1864" s="38"/>
      <c r="M1864" s="56"/>
      <c r="N1864" s="56" t="b">
        <v>0</v>
      </c>
      <c r="O1864" s="56" t="b">
        <v>0</v>
      </c>
      <c r="P1864" s="56"/>
      <c r="Q1864" s="56"/>
      <c r="R1864" s="56"/>
      <c r="S1864" s="56"/>
      <c r="T1864" s="56"/>
      <c r="U1864" s="56"/>
      <c r="V1864" s="56"/>
      <c r="W1864" s="56"/>
      <c r="X1864" s="56"/>
      <c r="Y1864" s="56"/>
      <c r="Z1864" s="56"/>
      <c r="AA1864" s="56"/>
      <c r="AB1864" s="56"/>
    </row>
    <row r="1865" ht="15.75" customHeight="1">
      <c r="A1865" s="169"/>
      <c r="B1865" s="63"/>
      <c r="C1865" s="22" t="s">
        <v>53</v>
      </c>
      <c r="D1865" s="62" t="s">
        <v>321</v>
      </c>
      <c r="E1865" s="60" t="s">
        <v>4172</v>
      </c>
      <c r="F1865" s="60" t="s">
        <v>4173</v>
      </c>
      <c r="G1865" s="73" t="s">
        <v>4851</v>
      </c>
      <c r="H1865" s="62" t="s">
        <v>6733</v>
      </c>
      <c r="I1865" s="62" t="s">
        <v>6734</v>
      </c>
      <c r="J1865" s="242" t="s">
        <v>4175</v>
      </c>
      <c r="K1865" s="38" t="s">
        <v>6735</v>
      </c>
      <c r="L1865" s="38"/>
      <c r="M1865" s="56"/>
      <c r="N1865" s="56" t="b">
        <v>0</v>
      </c>
      <c r="O1865" s="56" t="b">
        <v>0</v>
      </c>
      <c r="P1865" s="56"/>
      <c r="Q1865" s="56"/>
      <c r="R1865" s="56"/>
      <c r="S1865" s="56"/>
      <c r="T1865" s="56"/>
      <c r="U1865" s="56"/>
      <c r="V1865" s="56"/>
      <c r="W1865" s="56"/>
      <c r="X1865" s="56"/>
      <c r="Y1865" s="56"/>
      <c r="Z1865" s="56"/>
      <c r="AA1865" s="56"/>
      <c r="AB1865" s="56"/>
    </row>
    <row r="1866" ht="15.75" customHeight="1">
      <c r="A1866" s="169"/>
      <c r="B1866" s="63"/>
      <c r="C1866" s="22" t="s">
        <v>53</v>
      </c>
      <c r="D1866" s="76" t="s">
        <v>321</v>
      </c>
      <c r="E1866" s="77" t="s">
        <v>1102</v>
      </c>
      <c r="F1866" s="77" t="s">
        <v>1103</v>
      </c>
      <c r="G1866" s="82" t="s">
        <v>4887</v>
      </c>
      <c r="H1866" s="76" t="s">
        <v>6736</v>
      </c>
      <c r="I1866" s="76" t="s">
        <v>6737</v>
      </c>
      <c r="J1866" s="203" t="s">
        <v>1106</v>
      </c>
      <c r="K1866" s="38" t="s">
        <v>6738</v>
      </c>
      <c r="L1866" s="38"/>
      <c r="M1866" s="56"/>
      <c r="N1866" s="56" t="b">
        <v>0</v>
      </c>
      <c r="O1866" s="56" t="b">
        <v>0</v>
      </c>
      <c r="P1866" s="56"/>
      <c r="Q1866" s="56"/>
      <c r="R1866" s="56"/>
      <c r="S1866" s="56"/>
      <c r="T1866" s="56"/>
      <c r="U1866" s="56"/>
      <c r="V1866" s="56"/>
      <c r="W1866" s="56"/>
      <c r="X1866" s="56"/>
      <c r="Y1866" s="56"/>
      <c r="Z1866" s="56"/>
      <c r="AA1866" s="56"/>
      <c r="AB1866" s="56"/>
    </row>
    <row r="1867" ht="15.75" customHeight="1">
      <c r="A1867" s="169"/>
      <c r="B1867" s="63"/>
      <c r="C1867" s="22" t="s">
        <v>53</v>
      </c>
      <c r="D1867" s="76" t="s">
        <v>321</v>
      </c>
      <c r="E1867" s="77" t="s">
        <v>2920</v>
      </c>
      <c r="F1867" s="77" t="s">
        <v>2921</v>
      </c>
      <c r="G1867" s="82" t="s">
        <v>4892</v>
      </c>
      <c r="H1867" s="76" t="s">
        <v>5773</v>
      </c>
      <c r="I1867" s="76" t="s">
        <v>6739</v>
      </c>
      <c r="J1867" s="203" t="s">
        <v>2923</v>
      </c>
      <c r="K1867" s="38" t="s">
        <v>6740</v>
      </c>
      <c r="L1867" s="38"/>
      <c r="M1867" s="56"/>
      <c r="N1867" s="56" t="b">
        <v>0</v>
      </c>
      <c r="O1867" s="56" t="b">
        <v>0</v>
      </c>
      <c r="P1867" s="56"/>
      <c r="Q1867" s="56"/>
      <c r="R1867" s="56"/>
      <c r="S1867" s="56"/>
      <c r="T1867" s="56"/>
      <c r="U1867" s="56"/>
      <c r="V1867" s="56"/>
      <c r="W1867" s="56"/>
      <c r="X1867" s="56"/>
      <c r="Y1867" s="56"/>
      <c r="Z1867" s="56"/>
      <c r="AA1867" s="56"/>
      <c r="AB1867" s="56"/>
    </row>
    <row r="1868" ht="15.75" customHeight="1">
      <c r="A1868" s="169"/>
      <c r="B1868" s="63"/>
      <c r="C1868" s="22" t="s">
        <v>53</v>
      </c>
      <c r="D1868" s="38"/>
      <c r="E1868" s="137"/>
      <c r="F1868" s="318"/>
      <c r="G1868" s="66"/>
      <c r="H1868" s="38"/>
      <c r="I1868" s="38"/>
      <c r="J1868" s="38"/>
      <c r="K1868" s="38"/>
      <c r="L1868" s="38"/>
      <c r="M1868" s="56"/>
      <c r="N1868" s="56" t="b">
        <v>0</v>
      </c>
      <c r="O1868" s="56" t="b">
        <v>0</v>
      </c>
      <c r="P1868" s="56"/>
      <c r="Q1868" s="56"/>
      <c r="R1868" s="56"/>
      <c r="S1868" s="56"/>
      <c r="T1868" s="56"/>
      <c r="U1868" s="56"/>
      <c r="V1868" s="56"/>
      <c r="W1868" s="56"/>
      <c r="X1868" s="56"/>
      <c r="Y1868" s="56"/>
      <c r="Z1868" s="56"/>
      <c r="AA1868" s="56"/>
      <c r="AB1868" s="56"/>
    </row>
    <row r="1869" ht="15.75" customHeight="1">
      <c r="A1869" s="169"/>
      <c r="B1869" s="69"/>
      <c r="C1869" s="22"/>
      <c r="D1869" s="38"/>
      <c r="E1869" s="38"/>
      <c r="F1869" s="65"/>
      <c r="G1869" s="66"/>
      <c r="H1869" s="38"/>
      <c r="I1869" s="38"/>
      <c r="J1869" s="38"/>
      <c r="K1869" s="38"/>
      <c r="L1869" s="38"/>
      <c r="M1869" s="56"/>
      <c r="N1869" s="56" t="b">
        <v>0</v>
      </c>
      <c r="O1869" s="56" t="b">
        <v>0</v>
      </c>
      <c r="P1869" s="56"/>
      <c r="Q1869" s="56"/>
      <c r="R1869" s="56"/>
      <c r="S1869" s="56"/>
      <c r="T1869" s="56"/>
      <c r="U1869" s="56"/>
      <c r="V1869" s="56"/>
      <c r="W1869" s="56"/>
      <c r="X1869" s="56"/>
      <c r="Y1869" s="56"/>
      <c r="Z1869" s="56"/>
      <c r="AA1869" s="56"/>
      <c r="AB1869" s="56"/>
    </row>
    <row r="1870" ht="15.75" customHeight="1">
      <c r="A1870" s="169"/>
      <c r="B1870" s="273" t="s">
        <v>6168</v>
      </c>
      <c r="C1870" s="22" t="s">
        <v>66</v>
      </c>
      <c r="D1870" s="38"/>
      <c r="E1870" s="38"/>
      <c r="F1870" s="65"/>
      <c r="G1870" s="66"/>
      <c r="H1870" s="38"/>
      <c r="I1870" s="38"/>
      <c r="J1870" s="38"/>
      <c r="K1870" s="38"/>
      <c r="L1870" s="38"/>
      <c r="M1870" s="56"/>
      <c r="N1870" s="56" t="b">
        <v>0</v>
      </c>
      <c r="O1870" s="56" t="b">
        <v>0</v>
      </c>
      <c r="P1870" s="56"/>
      <c r="Q1870" s="56"/>
      <c r="R1870" s="56"/>
      <c r="S1870" s="56"/>
      <c r="T1870" s="56"/>
      <c r="U1870" s="56"/>
      <c r="V1870" s="56"/>
      <c r="W1870" s="56"/>
      <c r="X1870" s="56"/>
      <c r="Y1870" s="56"/>
      <c r="Z1870" s="56"/>
      <c r="AA1870" s="56"/>
      <c r="AB1870" s="56"/>
    </row>
    <row r="1871" ht="15.75" customHeight="1">
      <c r="A1871" s="169"/>
      <c r="B1871" s="63"/>
      <c r="C1871" s="22" t="s">
        <v>66</v>
      </c>
      <c r="D1871" s="251"/>
      <c r="E1871" s="145"/>
      <c r="F1871" s="145"/>
      <c r="G1871" s="140"/>
      <c r="H1871" s="137"/>
      <c r="I1871" s="137"/>
      <c r="J1871" s="253"/>
      <c r="K1871" s="38"/>
      <c r="L1871" s="38"/>
      <c r="M1871" s="56"/>
      <c r="N1871" s="56" t="b">
        <v>0</v>
      </c>
      <c r="O1871" s="56" t="b">
        <v>0</v>
      </c>
      <c r="P1871" s="56"/>
      <c r="Q1871" s="56"/>
      <c r="R1871" s="56"/>
      <c r="S1871" s="56"/>
      <c r="T1871" s="56"/>
      <c r="U1871" s="56"/>
      <c r="V1871" s="56"/>
      <c r="W1871" s="56"/>
      <c r="X1871" s="56"/>
      <c r="Y1871" s="56"/>
      <c r="Z1871" s="56"/>
      <c r="AA1871" s="56"/>
      <c r="AB1871" s="56"/>
    </row>
    <row r="1872" ht="15.75" customHeight="1">
      <c r="A1872" s="169"/>
      <c r="B1872" s="63"/>
      <c r="C1872" s="22" t="s">
        <v>66</v>
      </c>
      <c r="D1872" s="38"/>
      <c r="E1872" s="162" t="s">
        <v>5784</v>
      </c>
      <c r="F1872" s="155"/>
      <c r="G1872" s="66"/>
      <c r="H1872" s="38"/>
      <c r="I1872" s="38"/>
      <c r="J1872" s="38"/>
      <c r="K1872" s="38"/>
      <c r="L1872" s="38"/>
      <c r="M1872" s="56"/>
      <c r="N1872" s="56" t="b">
        <v>0</v>
      </c>
      <c r="O1872" s="56" t="b">
        <v>0</v>
      </c>
      <c r="P1872" s="56"/>
      <c r="Q1872" s="56"/>
      <c r="R1872" s="56"/>
      <c r="S1872" s="56"/>
      <c r="T1872" s="56"/>
      <c r="U1872" s="56"/>
      <c r="V1872" s="56"/>
      <c r="W1872" s="56"/>
      <c r="X1872" s="56"/>
      <c r="Y1872" s="56"/>
      <c r="Z1872" s="56"/>
      <c r="AA1872" s="56"/>
      <c r="AB1872" s="56"/>
    </row>
    <row r="1873" ht="15.75" customHeight="1">
      <c r="A1873" s="169"/>
      <c r="B1873" s="63"/>
      <c r="C1873" s="22" t="s">
        <v>66</v>
      </c>
      <c r="D1873" s="38"/>
      <c r="E1873" s="156"/>
      <c r="F1873" s="157"/>
      <c r="G1873" s="66"/>
      <c r="H1873" s="38"/>
      <c r="I1873" s="38"/>
      <c r="J1873" s="38"/>
      <c r="K1873" s="38"/>
      <c r="L1873" s="38"/>
      <c r="M1873" s="56"/>
      <c r="N1873" s="56" t="b">
        <v>0</v>
      </c>
      <c r="O1873" s="56" t="b">
        <v>0</v>
      </c>
      <c r="P1873" s="56"/>
      <c r="Q1873" s="56"/>
      <c r="R1873" s="56"/>
      <c r="S1873" s="56"/>
      <c r="T1873" s="56"/>
      <c r="U1873" s="56"/>
      <c r="V1873" s="56"/>
      <c r="W1873" s="56"/>
      <c r="X1873" s="56"/>
      <c r="Y1873" s="56"/>
      <c r="Z1873" s="56"/>
      <c r="AA1873" s="56"/>
      <c r="AB1873" s="56"/>
    </row>
    <row r="1874" ht="15.75" customHeight="1">
      <c r="A1874" s="169"/>
      <c r="B1874" s="63"/>
      <c r="C1874" s="22" t="s">
        <v>66</v>
      </c>
      <c r="D1874" s="38"/>
      <c r="E1874" s="158"/>
      <c r="F1874" s="159"/>
      <c r="G1874" s="66"/>
      <c r="H1874" s="38"/>
      <c r="I1874" s="38"/>
      <c r="J1874" s="38"/>
      <c r="K1874" s="38"/>
      <c r="L1874" s="38"/>
      <c r="M1874" s="56"/>
      <c r="N1874" s="56" t="b">
        <v>0</v>
      </c>
      <c r="O1874" s="56" t="b">
        <v>0</v>
      </c>
      <c r="P1874" s="56"/>
      <c r="Q1874" s="56"/>
      <c r="R1874" s="56"/>
      <c r="S1874" s="56"/>
      <c r="T1874" s="56"/>
      <c r="U1874" s="56"/>
      <c r="V1874" s="56"/>
      <c r="W1874" s="56"/>
      <c r="X1874" s="56"/>
      <c r="Y1874" s="56"/>
      <c r="Z1874" s="56"/>
      <c r="AA1874" s="56"/>
      <c r="AB1874" s="56"/>
    </row>
    <row r="1875" ht="15.75" customHeight="1">
      <c r="A1875" s="169"/>
      <c r="B1875" s="69"/>
      <c r="C1875" s="22"/>
      <c r="D1875" s="38"/>
      <c r="E1875" s="38"/>
      <c r="F1875" s="65"/>
      <c r="G1875" s="66"/>
      <c r="H1875" s="38"/>
      <c r="I1875" s="38"/>
      <c r="J1875" s="38"/>
      <c r="K1875" s="38"/>
      <c r="L1875" s="38"/>
      <c r="M1875" s="56"/>
      <c r="N1875" s="56" t="b">
        <v>0</v>
      </c>
      <c r="O1875" s="56" t="b">
        <v>0</v>
      </c>
      <c r="P1875" s="56"/>
      <c r="Q1875" s="56"/>
      <c r="R1875" s="56"/>
      <c r="S1875" s="56"/>
      <c r="T1875" s="56"/>
      <c r="U1875" s="56"/>
      <c r="V1875" s="56"/>
      <c r="W1875" s="56"/>
      <c r="X1875" s="56"/>
      <c r="Y1875" s="56"/>
      <c r="Z1875" s="56"/>
      <c r="AA1875" s="56"/>
      <c r="AB1875" s="56"/>
    </row>
    <row r="1876" ht="15.75" customHeight="1">
      <c r="A1876" s="169"/>
      <c r="B1876" s="276"/>
      <c r="C1876" s="220">
        <v>44559.0</v>
      </c>
      <c r="D1876" s="38"/>
      <c r="E1876" s="38"/>
      <c r="F1876" s="65"/>
      <c r="G1876" s="66"/>
      <c r="H1876" s="38"/>
      <c r="I1876" s="38"/>
      <c r="J1876" s="38"/>
      <c r="K1876" s="38"/>
      <c r="L1876" s="38"/>
      <c r="M1876" s="56"/>
      <c r="N1876" s="56" t="b">
        <v>0</v>
      </c>
      <c r="O1876" s="56" t="b">
        <v>0</v>
      </c>
      <c r="P1876" s="56"/>
      <c r="Q1876" s="56"/>
      <c r="R1876" s="56"/>
      <c r="S1876" s="56"/>
      <c r="T1876" s="56"/>
      <c r="U1876" s="56"/>
      <c r="V1876" s="56"/>
      <c r="W1876" s="56"/>
      <c r="X1876" s="56"/>
      <c r="Y1876" s="56"/>
      <c r="Z1876" s="56"/>
      <c r="AA1876" s="56"/>
      <c r="AB1876" s="56"/>
    </row>
    <row r="1877" ht="15.75" customHeight="1">
      <c r="A1877" s="169"/>
      <c r="B1877" s="273" t="s">
        <v>4836</v>
      </c>
      <c r="C1877" s="22"/>
      <c r="D1877" s="38"/>
      <c r="E1877" s="62" t="s">
        <v>6741</v>
      </c>
      <c r="F1877" s="65"/>
      <c r="G1877" s="66"/>
      <c r="H1877" s="38"/>
      <c r="I1877" s="38"/>
      <c r="J1877" s="38"/>
      <c r="K1877" s="38"/>
      <c r="L1877" s="38"/>
      <c r="M1877" s="56"/>
      <c r="N1877" s="56" t="b">
        <v>0</v>
      </c>
      <c r="O1877" s="56" t="b">
        <v>0</v>
      </c>
      <c r="P1877" s="56"/>
      <c r="Q1877" s="56"/>
      <c r="R1877" s="56"/>
      <c r="S1877" s="56"/>
      <c r="T1877" s="56"/>
      <c r="U1877" s="56"/>
      <c r="V1877" s="56"/>
      <c r="W1877" s="56"/>
      <c r="X1877" s="56"/>
      <c r="Y1877" s="56"/>
      <c r="Z1877" s="56"/>
      <c r="AA1877" s="56"/>
      <c r="AB1877" s="56"/>
    </row>
    <row r="1878" ht="15.75" customHeight="1">
      <c r="A1878" s="169"/>
      <c r="B1878" s="63"/>
      <c r="C1878" s="22" t="s">
        <v>53</v>
      </c>
      <c r="D1878" s="62" t="s">
        <v>52</v>
      </c>
      <c r="E1878" s="60" t="s">
        <v>728</v>
      </c>
      <c r="F1878" s="60" t="s">
        <v>729</v>
      </c>
      <c r="G1878" s="73" t="s">
        <v>5134</v>
      </c>
      <c r="H1878" s="62" t="s">
        <v>6742</v>
      </c>
      <c r="I1878" s="62" t="s">
        <v>6743</v>
      </c>
      <c r="J1878" s="60" t="s">
        <v>731</v>
      </c>
      <c r="K1878" s="62"/>
      <c r="L1878" s="62"/>
      <c r="M1878" s="56"/>
      <c r="N1878" s="56" t="b">
        <v>0</v>
      </c>
      <c r="O1878" s="56" t="b">
        <v>0</v>
      </c>
      <c r="P1878" s="56"/>
      <c r="Q1878" s="56"/>
      <c r="R1878" s="56"/>
      <c r="S1878" s="56"/>
      <c r="T1878" s="56"/>
      <c r="U1878" s="56"/>
      <c r="V1878" s="56"/>
      <c r="W1878" s="56"/>
      <c r="X1878" s="56"/>
      <c r="Y1878" s="56"/>
      <c r="Z1878" s="56"/>
      <c r="AA1878" s="56"/>
      <c r="AB1878" s="56"/>
    </row>
    <row r="1879" ht="15.75" customHeight="1">
      <c r="A1879" s="169"/>
      <c r="B1879" s="63"/>
      <c r="C1879" s="22" t="s">
        <v>53</v>
      </c>
      <c r="D1879" s="227" t="s">
        <v>314</v>
      </c>
      <c r="E1879" s="60" t="s">
        <v>3737</v>
      </c>
      <c r="F1879" s="60" t="s">
        <v>3738</v>
      </c>
      <c r="G1879" s="73" t="s">
        <v>4856</v>
      </c>
      <c r="H1879" s="62" t="s">
        <v>6744</v>
      </c>
      <c r="I1879" s="62" t="s">
        <v>6745</v>
      </c>
      <c r="J1879" s="60" t="s">
        <v>3740</v>
      </c>
      <c r="K1879" s="62"/>
      <c r="L1879" s="62"/>
      <c r="M1879" s="56"/>
      <c r="N1879" s="56" t="b">
        <v>0</v>
      </c>
      <c r="O1879" s="56" t="b">
        <v>0</v>
      </c>
      <c r="P1879" s="56"/>
      <c r="Q1879" s="56"/>
      <c r="R1879" s="56"/>
      <c r="S1879" s="56"/>
      <c r="T1879" s="56"/>
      <c r="U1879" s="56"/>
      <c r="V1879" s="56"/>
      <c r="W1879" s="56"/>
      <c r="X1879" s="56"/>
      <c r="Y1879" s="56"/>
      <c r="Z1879" s="56"/>
      <c r="AA1879" s="56"/>
      <c r="AB1879" s="56"/>
    </row>
    <row r="1880" ht="15.75" customHeight="1">
      <c r="A1880" s="169"/>
      <c r="B1880" s="63"/>
      <c r="C1880" s="22" t="s">
        <v>53</v>
      </c>
      <c r="D1880" s="76" t="s">
        <v>52</v>
      </c>
      <c r="E1880" s="77" t="s">
        <v>3162</v>
      </c>
      <c r="F1880" s="77" t="s">
        <v>3163</v>
      </c>
      <c r="G1880" s="254">
        <v>0.6458333333333334</v>
      </c>
      <c r="H1880" s="255" t="s">
        <v>5974</v>
      </c>
      <c r="I1880" s="255" t="s">
        <v>6746</v>
      </c>
      <c r="J1880" s="77" t="s">
        <v>3165</v>
      </c>
      <c r="K1880" s="38" t="s">
        <v>6747</v>
      </c>
      <c r="L1880" s="38"/>
      <c r="M1880" s="56"/>
      <c r="N1880" s="56" t="b">
        <v>0</v>
      </c>
      <c r="O1880" s="56" t="b">
        <v>0</v>
      </c>
      <c r="P1880" s="56"/>
      <c r="Q1880" s="56"/>
      <c r="R1880" s="56"/>
      <c r="S1880" s="56"/>
      <c r="T1880" s="56"/>
      <c r="U1880" s="56"/>
      <c r="V1880" s="56"/>
      <c r="W1880" s="56"/>
      <c r="X1880" s="56"/>
      <c r="Y1880" s="56"/>
      <c r="Z1880" s="56"/>
      <c r="AA1880" s="56"/>
      <c r="AB1880" s="56"/>
    </row>
    <row r="1881" ht="15.75" customHeight="1">
      <c r="A1881" s="169"/>
      <c r="B1881" s="63"/>
      <c r="C1881" s="22" t="s">
        <v>53</v>
      </c>
      <c r="D1881" s="62" t="s">
        <v>52</v>
      </c>
      <c r="E1881" s="60" t="s">
        <v>4543</v>
      </c>
      <c r="F1881" s="60" t="s">
        <v>4544</v>
      </c>
      <c r="G1881" s="258">
        <v>0.75</v>
      </c>
      <c r="H1881" s="170" t="s">
        <v>4900</v>
      </c>
      <c r="I1881" s="170" t="s">
        <v>6748</v>
      </c>
      <c r="J1881" s="60" t="s">
        <v>4546</v>
      </c>
      <c r="K1881" s="13" t="s">
        <v>6749</v>
      </c>
      <c r="L1881" s="38"/>
      <c r="M1881" s="56"/>
      <c r="N1881" s="56" t="b">
        <v>0</v>
      </c>
      <c r="O1881" s="56" t="b">
        <v>0</v>
      </c>
      <c r="P1881" s="56"/>
      <c r="Q1881" s="56"/>
      <c r="R1881" s="56"/>
      <c r="S1881" s="56"/>
      <c r="T1881" s="56"/>
      <c r="U1881" s="56"/>
      <c r="V1881" s="56"/>
      <c r="W1881" s="56"/>
      <c r="X1881" s="56"/>
      <c r="Y1881" s="56"/>
      <c r="Z1881" s="56"/>
      <c r="AA1881" s="56"/>
      <c r="AB1881" s="56"/>
    </row>
    <row r="1882" ht="15.75" customHeight="1">
      <c r="A1882" s="169"/>
      <c r="B1882" s="63"/>
      <c r="C1882" s="22" t="s">
        <v>53</v>
      </c>
      <c r="D1882" s="38"/>
      <c r="E1882" s="38"/>
      <c r="F1882" s="65"/>
      <c r="G1882" s="66"/>
      <c r="H1882" s="38"/>
      <c r="I1882" s="56"/>
      <c r="J1882" s="38"/>
      <c r="K1882" s="38"/>
      <c r="L1882" s="38"/>
      <c r="M1882" s="56"/>
      <c r="N1882" s="56" t="b">
        <v>0</v>
      </c>
      <c r="O1882" s="56" t="b">
        <v>0</v>
      </c>
      <c r="P1882" s="56"/>
      <c r="Q1882" s="56"/>
      <c r="R1882" s="56"/>
      <c r="S1882" s="56"/>
      <c r="T1882" s="56"/>
      <c r="U1882" s="56"/>
      <c r="V1882" s="56"/>
      <c r="W1882" s="56"/>
      <c r="X1882" s="56"/>
      <c r="Y1882" s="56"/>
      <c r="Z1882" s="56"/>
      <c r="AA1882" s="56"/>
      <c r="AB1882" s="56"/>
    </row>
    <row r="1883" ht="15.75" customHeight="1">
      <c r="A1883" s="169"/>
      <c r="B1883" s="69"/>
      <c r="C1883" s="22"/>
      <c r="D1883" s="38"/>
      <c r="E1883" s="38"/>
      <c r="F1883" s="65"/>
      <c r="G1883" s="66"/>
      <c r="H1883" s="38"/>
      <c r="I1883" s="56"/>
      <c r="J1883" s="38"/>
      <c r="K1883" s="38"/>
      <c r="L1883" s="38"/>
      <c r="M1883" s="56"/>
      <c r="N1883" s="56" t="b">
        <v>0</v>
      </c>
      <c r="O1883" s="56" t="b">
        <v>0</v>
      </c>
      <c r="P1883" s="56"/>
      <c r="Q1883" s="56"/>
      <c r="R1883" s="56"/>
      <c r="S1883" s="56"/>
      <c r="T1883" s="56"/>
      <c r="U1883" s="56"/>
      <c r="V1883" s="56"/>
      <c r="W1883" s="56"/>
      <c r="X1883" s="56"/>
      <c r="Y1883" s="56"/>
      <c r="Z1883" s="56"/>
      <c r="AA1883" s="56"/>
      <c r="AB1883" s="56"/>
    </row>
    <row r="1884" ht="15.75" customHeight="1">
      <c r="A1884" s="169"/>
      <c r="B1884" s="273" t="s">
        <v>6168</v>
      </c>
      <c r="C1884" s="22" t="s">
        <v>66</v>
      </c>
      <c r="D1884" s="38"/>
      <c r="E1884" s="38"/>
      <c r="F1884" s="65"/>
      <c r="G1884" s="66"/>
      <c r="H1884" s="38"/>
      <c r="I1884" s="38"/>
      <c r="J1884" s="38"/>
      <c r="K1884" s="38"/>
      <c r="L1884" s="38"/>
      <c r="M1884" s="56"/>
      <c r="N1884" s="56" t="b">
        <v>0</v>
      </c>
      <c r="O1884" s="56" t="b">
        <v>0</v>
      </c>
      <c r="P1884" s="56"/>
      <c r="Q1884" s="56"/>
      <c r="R1884" s="56"/>
      <c r="S1884" s="56"/>
      <c r="T1884" s="56"/>
      <c r="U1884" s="56"/>
      <c r="V1884" s="56"/>
      <c r="W1884" s="56"/>
      <c r="X1884" s="56"/>
      <c r="Y1884" s="56"/>
      <c r="Z1884" s="56"/>
      <c r="AA1884" s="56"/>
      <c r="AB1884" s="56"/>
    </row>
    <row r="1885" ht="15.75" customHeight="1">
      <c r="A1885" s="169"/>
      <c r="B1885" s="63"/>
      <c r="C1885" s="22" t="s">
        <v>66</v>
      </c>
      <c r="D1885" s="172" t="s">
        <v>87</v>
      </c>
      <c r="E1885" s="203" t="s">
        <v>6750</v>
      </c>
      <c r="F1885" s="203" t="s">
        <v>6751</v>
      </c>
      <c r="G1885" s="82" t="s">
        <v>5134</v>
      </c>
      <c r="H1885" s="224" t="s">
        <v>6217</v>
      </c>
      <c r="I1885" s="76" t="s">
        <v>6752</v>
      </c>
      <c r="J1885" s="263" t="s">
        <v>6753</v>
      </c>
      <c r="K1885" s="38" t="s">
        <v>6754</v>
      </c>
      <c r="L1885" s="38"/>
      <c r="M1885" s="56"/>
      <c r="N1885" s="56" t="b">
        <v>0</v>
      </c>
      <c r="O1885" s="56" t="b">
        <v>0</v>
      </c>
      <c r="P1885" s="56"/>
      <c r="Q1885" s="56"/>
      <c r="R1885" s="56"/>
      <c r="S1885" s="56"/>
      <c r="T1885" s="56"/>
      <c r="U1885" s="56"/>
      <c r="V1885" s="56"/>
      <c r="W1885" s="56"/>
      <c r="X1885" s="56"/>
      <c r="Y1885" s="56"/>
      <c r="Z1885" s="56"/>
      <c r="AA1885" s="56"/>
      <c r="AB1885" s="56"/>
    </row>
    <row r="1886" ht="15.75" customHeight="1">
      <c r="A1886" s="169"/>
      <c r="B1886" s="63"/>
      <c r="C1886" s="22" t="s">
        <v>66</v>
      </c>
      <c r="D1886" s="227" t="s">
        <v>89</v>
      </c>
      <c r="E1886" s="60" t="s">
        <v>2934</v>
      </c>
      <c r="F1886" s="60" t="s">
        <v>2935</v>
      </c>
      <c r="G1886" s="73" t="s">
        <v>4856</v>
      </c>
      <c r="H1886" s="62" t="s">
        <v>6755</v>
      </c>
      <c r="I1886" s="62" t="s">
        <v>6756</v>
      </c>
      <c r="J1886" s="60" t="s">
        <v>2937</v>
      </c>
      <c r="K1886" s="38"/>
      <c r="L1886" s="38"/>
      <c r="M1886" s="56"/>
      <c r="N1886" s="56" t="b">
        <v>0</v>
      </c>
      <c r="O1886" s="56" t="b">
        <v>0</v>
      </c>
      <c r="P1886" s="56"/>
      <c r="Q1886" s="56"/>
      <c r="R1886" s="56"/>
      <c r="S1886" s="56"/>
      <c r="T1886" s="56"/>
      <c r="U1886" s="56"/>
      <c r="V1886" s="56"/>
      <c r="W1886" s="56"/>
      <c r="X1886" s="56"/>
      <c r="Y1886" s="56"/>
      <c r="Z1886" s="56"/>
      <c r="AA1886" s="56"/>
      <c r="AB1886" s="56"/>
    </row>
    <row r="1887" ht="15.75" customHeight="1">
      <c r="A1887" s="169"/>
      <c r="B1887" s="63"/>
      <c r="C1887" s="22" t="s">
        <v>66</v>
      </c>
      <c r="D1887" s="172" t="s">
        <v>89</v>
      </c>
      <c r="E1887" s="77" t="s">
        <v>3249</v>
      </c>
      <c r="F1887" s="77" t="s">
        <v>3250</v>
      </c>
      <c r="G1887" s="82" t="s">
        <v>4896</v>
      </c>
      <c r="H1887" s="76" t="s">
        <v>6755</v>
      </c>
      <c r="I1887" s="76" t="s">
        <v>6757</v>
      </c>
      <c r="J1887" s="77" t="s">
        <v>3252</v>
      </c>
      <c r="K1887" s="38" t="s">
        <v>6758</v>
      </c>
      <c r="L1887" s="38"/>
      <c r="M1887" s="56"/>
      <c r="N1887" s="56" t="b">
        <v>0</v>
      </c>
      <c r="O1887" s="56" t="b">
        <v>0</v>
      </c>
      <c r="P1887" s="56"/>
      <c r="Q1887" s="56"/>
      <c r="R1887" s="56"/>
      <c r="S1887" s="56"/>
      <c r="T1887" s="56"/>
      <c r="U1887" s="56"/>
      <c r="V1887" s="56"/>
      <c r="W1887" s="56"/>
      <c r="X1887" s="56"/>
      <c r="Y1887" s="56"/>
      <c r="Z1887" s="56"/>
      <c r="AA1887" s="56"/>
      <c r="AB1887" s="56"/>
    </row>
    <row r="1888" ht="15.75" customHeight="1">
      <c r="A1888" s="169"/>
      <c r="B1888" s="63"/>
      <c r="C1888" s="22" t="s">
        <v>66</v>
      </c>
      <c r="D1888" s="62" t="s">
        <v>52</v>
      </c>
      <c r="E1888" s="60" t="s">
        <v>4808</v>
      </c>
      <c r="F1888" s="60" t="s">
        <v>4809</v>
      </c>
      <c r="G1888" s="73" t="s">
        <v>4899</v>
      </c>
      <c r="H1888" s="62" t="s">
        <v>6759</v>
      </c>
      <c r="I1888" s="62" t="s">
        <v>6760</v>
      </c>
      <c r="J1888" s="60" t="s">
        <v>4811</v>
      </c>
      <c r="K1888" s="38"/>
      <c r="L1888" s="38"/>
      <c r="M1888" s="56"/>
      <c r="N1888" s="56" t="b">
        <v>0</v>
      </c>
      <c r="O1888" s="56" t="b">
        <v>0</v>
      </c>
      <c r="P1888" s="56"/>
      <c r="Q1888" s="56"/>
      <c r="R1888" s="56"/>
      <c r="S1888" s="56"/>
      <c r="T1888" s="56"/>
      <c r="U1888" s="56"/>
      <c r="V1888" s="56"/>
      <c r="W1888" s="56"/>
      <c r="X1888" s="56"/>
      <c r="Y1888" s="56"/>
      <c r="Z1888" s="56"/>
      <c r="AA1888" s="56"/>
      <c r="AB1888" s="56"/>
    </row>
    <row r="1889" ht="15.75" customHeight="1">
      <c r="A1889" s="169"/>
      <c r="B1889" s="69"/>
      <c r="C1889" s="22"/>
      <c r="D1889" s="38"/>
      <c r="E1889" s="38"/>
      <c r="F1889" s="65"/>
      <c r="G1889" s="66"/>
      <c r="H1889" s="38"/>
      <c r="I1889" s="38"/>
      <c r="J1889" s="38"/>
      <c r="K1889" s="38"/>
      <c r="L1889" s="38"/>
      <c r="M1889" s="56"/>
      <c r="N1889" s="56" t="b">
        <v>0</v>
      </c>
      <c r="O1889" s="56" t="b">
        <v>0</v>
      </c>
      <c r="P1889" s="56"/>
      <c r="Q1889" s="56"/>
      <c r="R1889" s="56"/>
      <c r="S1889" s="56"/>
      <c r="T1889" s="56"/>
      <c r="U1889" s="56"/>
      <c r="V1889" s="56"/>
      <c r="W1889" s="56"/>
      <c r="X1889" s="56"/>
      <c r="Y1889" s="56"/>
      <c r="Z1889" s="56"/>
      <c r="AA1889" s="56"/>
      <c r="AB1889" s="56"/>
    </row>
    <row r="1890" ht="15.75" customHeight="1">
      <c r="A1890" s="169"/>
      <c r="B1890" s="276"/>
      <c r="C1890" s="220">
        <v>44560.0</v>
      </c>
      <c r="D1890" s="38"/>
      <c r="E1890" s="38"/>
      <c r="F1890" s="65"/>
      <c r="G1890" s="66"/>
      <c r="H1890" s="38"/>
      <c r="I1890" s="38"/>
      <c r="J1890" s="38"/>
      <c r="K1890" s="38"/>
      <c r="L1890" s="38"/>
      <c r="M1890" s="56"/>
      <c r="N1890" s="56" t="b">
        <v>0</v>
      </c>
      <c r="O1890" s="56" t="b">
        <v>0</v>
      </c>
      <c r="P1890" s="56"/>
      <c r="Q1890" s="56"/>
      <c r="R1890" s="56"/>
      <c r="S1890" s="56"/>
      <c r="T1890" s="56"/>
      <c r="U1890" s="56"/>
      <c r="V1890" s="56"/>
      <c r="W1890" s="56"/>
      <c r="X1890" s="56"/>
      <c r="Y1890" s="56"/>
      <c r="Z1890" s="56"/>
      <c r="AA1890" s="56"/>
      <c r="AB1890" s="56"/>
    </row>
    <row r="1891" ht="15.75" customHeight="1">
      <c r="A1891" s="169"/>
      <c r="B1891" s="273" t="s">
        <v>4836</v>
      </c>
      <c r="C1891" s="22"/>
      <c r="D1891" s="38"/>
      <c r="E1891" s="319" t="s">
        <v>6741</v>
      </c>
      <c r="F1891" s="55"/>
      <c r="G1891" s="66"/>
      <c r="H1891" s="38"/>
      <c r="I1891" s="38"/>
      <c r="J1891" s="38"/>
      <c r="K1891" s="38"/>
      <c r="L1891" s="38"/>
      <c r="M1891" s="56"/>
      <c r="N1891" s="56" t="b">
        <v>0</v>
      </c>
      <c r="O1891" s="56" t="b">
        <v>0</v>
      </c>
      <c r="P1891" s="56"/>
      <c r="Q1891" s="56"/>
      <c r="R1891" s="56"/>
      <c r="S1891" s="56"/>
      <c r="T1891" s="56"/>
      <c r="U1891" s="56"/>
      <c r="V1891" s="56"/>
      <c r="W1891" s="56"/>
      <c r="X1891" s="56"/>
      <c r="Y1891" s="56"/>
      <c r="Z1891" s="56"/>
      <c r="AA1891" s="56"/>
      <c r="AB1891" s="56"/>
    </row>
    <row r="1892" ht="15.75" customHeight="1">
      <c r="A1892" s="169">
        <v>0.0</v>
      </c>
      <c r="B1892" s="63"/>
      <c r="C1892" s="22" t="s">
        <v>53</v>
      </c>
      <c r="D1892" s="172" t="s">
        <v>314</v>
      </c>
      <c r="E1892" s="77" t="s">
        <v>3287</v>
      </c>
      <c r="F1892" s="77" t="s">
        <v>3288</v>
      </c>
      <c r="G1892" s="82" t="s">
        <v>5599</v>
      </c>
      <c r="H1892" s="76" t="s">
        <v>6761</v>
      </c>
      <c r="I1892" s="76" t="s">
        <v>6762</v>
      </c>
      <c r="J1892" s="77" t="s">
        <v>3290</v>
      </c>
      <c r="K1892" s="38" t="s">
        <v>6758</v>
      </c>
      <c r="L1892" s="38"/>
      <c r="M1892" s="56"/>
      <c r="N1892" s="56" t="b">
        <v>0</v>
      </c>
      <c r="O1892" s="56" t="b">
        <v>0</v>
      </c>
      <c r="P1892" s="56"/>
      <c r="Q1892" s="56"/>
      <c r="R1892" s="56"/>
      <c r="S1892" s="56"/>
      <c r="T1892" s="56"/>
      <c r="U1892" s="56"/>
      <c r="V1892" s="56"/>
      <c r="W1892" s="56"/>
      <c r="X1892" s="56"/>
      <c r="Y1892" s="56"/>
      <c r="Z1892" s="56"/>
      <c r="AA1892" s="56"/>
      <c r="AB1892" s="56"/>
    </row>
    <row r="1893" ht="15.75" customHeight="1">
      <c r="A1893" s="169"/>
      <c r="B1893" s="63"/>
      <c r="C1893" s="22" t="s">
        <v>53</v>
      </c>
      <c r="D1893" s="62" t="s">
        <v>52</v>
      </c>
      <c r="E1893" s="60" t="s">
        <v>4325</v>
      </c>
      <c r="F1893" s="60" t="s">
        <v>4326</v>
      </c>
      <c r="G1893" s="61">
        <v>0.5833333333333334</v>
      </c>
      <c r="H1893" s="62" t="s">
        <v>5619</v>
      </c>
      <c r="I1893" s="60" t="s">
        <v>5620</v>
      </c>
      <c r="J1893" s="60" t="s">
        <v>4328</v>
      </c>
      <c r="K1893" s="38"/>
      <c r="L1893" s="38"/>
      <c r="M1893" s="56"/>
      <c r="N1893" s="56" t="b">
        <v>0</v>
      </c>
      <c r="O1893" s="56" t="b">
        <v>0</v>
      </c>
      <c r="P1893" s="56"/>
      <c r="Q1893" s="56"/>
      <c r="R1893" s="56"/>
      <c r="S1893" s="56"/>
      <c r="T1893" s="56"/>
      <c r="U1893" s="56"/>
      <c r="V1893" s="56"/>
      <c r="W1893" s="56"/>
      <c r="X1893" s="56"/>
      <c r="Y1893" s="56"/>
      <c r="Z1893" s="56"/>
      <c r="AA1893" s="56"/>
      <c r="AB1893" s="56"/>
    </row>
    <row r="1894" ht="15.75" customHeight="1">
      <c r="A1894" s="169"/>
      <c r="B1894" s="63"/>
      <c r="C1894" s="22" t="s">
        <v>53</v>
      </c>
      <c r="D1894" s="227" t="s">
        <v>87</v>
      </c>
      <c r="E1894" s="60" t="s">
        <v>4419</v>
      </c>
      <c r="F1894" s="60" t="s">
        <v>4420</v>
      </c>
      <c r="G1894" s="73" t="s">
        <v>5461</v>
      </c>
      <c r="H1894" s="75" t="s">
        <v>5342</v>
      </c>
      <c r="I1894" s="62" t="s">
        <v>6763</v>
      </c>
      <c r="J1894" s="83" t="s">
        <v>4422</v>
      </c>
      <c r="K1894" s="38"/>
      <c r="L1894" s="38"/>
      <c r="M1894" s="56"/>
      <c r="N1894" s="56" t="b">
        <v>0</v>
      </c>
      <c r="O1894" s="56" t="b">
        <v>0</v>
      </c>
      <c r="P1894" s="56"/>
      <c r="Q1894" s="56"/>
      <c r="R1894" s="56"/>
      <c r="S1894" s="56"/>
      <c r="T1894" s="56"/>
      <c r="U1894" s="56"/>
      <c r="V1894" s="56"/>
      <c r="W1894" s="56"/>
      <c r="X1894" s="56"/>
      <c r="Y1894" s="56"/>
      <c r="Z1894" s="56"/>
      <c r="AA1894" s="56"/>
      <c r="AB1894" s="56"/>
    </row>
    <row r="1895" ht="15.75" customHeight="1">
      <c r="A1895" s="169"/>
      <c r="B1895" s="63"/>
      <c r="C1895" s="22" t="s">
        <v>53</v>
      </c>
      <c r="D1895" s="227" t="s">
        <v>133</v>
      </c>
      <c r="E1895" s="60" t="s">
        <v>1508</v>
      </c>
      <c r="F1895" s="60" t="s">
        <v>1509</v>
      </c>
      <c r="G1895" s="73" t="s">
        <v>4847</v>
      </c>
      <c r="H1895" s="75" t="s">
        <v>5133</v>
      </c>
      <c r="I1895" s="62" t="s">
        <v>6764</v>
      </c>
      <c r="J1895" s="83" t="s">
        <v>1511</v>
      </c>
      <c r="K1895" s="38" t="s">
        <v>5528</v>
      </c>
      <c r="L1895" s="38"/>
      <c r="M1895" s="56"/>
      <c r="N1895" s="56" t="b">
        <v>0</v>
      </c>
      <c r="O1895" s="56" t="b">
        <v>0</v>
      </c>
      <c r="P1895" s="56"/>
      <c r="Q1895" s="56"/>
      <c r="R1895" s="56"/>
      <c r="S1895" s="56"/>
      <c r="T1895" s="56"/>
      <c r="U1895" s="56"/>
      <c r="V1895" s="56"/>
      <c r="W1895" s="56"/>
      <c r="X1895" s="56"/>
      <c r="Y1895" s="56"/>
      <c r="Z1895" s="56"/>
      <c r="AA1895" s="56"/>
      <c r="AB1895" s="56"/>
    </row>
    <row r="1896" ht="15.75" customHeight="1">
      <c r="A1896" s="169"/>
      <c r="B1896" s="63"/>
      <c r="C1896" s="22" t="s">
        <v>53</v>
      </c>
      <c r="D1896" s="172" t="s">
        <v>87</v>
      </c>
      <c r="E1896" s="77" t="s">
        <v>2939</v>
      </c>
      <c r="F1896" s="77" t="s">
        <v>2940</v>
      </c>
      <c r="G1896" s="82"/>
      <c r="H1896" s="88" t="s">
        <v>5342</v>
      </c>
      <c r="I1896" s="263" t="s">
        <v>6765</v>
      </c>
      <c r="J1896" s="97" t="s">
        <v>2941</v>
      </c>
      <c r="K1896" s="38" t="s">
        <v>6766</v>
      </c>
      <c r="L1896" s="38"/>
      <c r="M1896" s="56"/>
      <c r="N1896" s="56" t="b">
        <v>0</v>
      </c>
      <c r="O1896" s="56" t="b">
        <v>0</v>
      </c>
      <c r="P1896" s="56"/>
      <c r="Q1896" s="56"/>
      <c r="R1896" s="56"/>
      <c r="S1896" s="56"/>
      <c r="T1896" s="56"/>
      <c r="U1896" s="56"/>
      <c r="V1896" s="56"/>
      <c r="W1896" s="56"/>
      <c r="X1896" s="56"/>
      <c r="Y1896" s="56"/>
      <c r="Z1896" s="56"/>
      <c r="AA1896" s="56"/>
      <c r="AB1896" s="56"/>
    </row>
    <row r="1897" ht="15.75" customHeight="1">
      <c r="A1897" s="169"/>
      <c r="B1897" s="63"/>
      <c r="D1897" s="38"/>
      <c r="E1897" s="38"/>
      <c r="F1897" s="65"/>
      <c r="G1897" s="66"/>
      <c r="H1897" s="38"/>
      <c r="I1897" s="38"/>
      <c r="J1897" s="38"/>
      <c r="K1897" s="38"/>
      <c r="L1897" s="38"/>
      <c r="M1897" s="56"/>
      <c r="N1897" s="56" t="b">
        <v>0</v>
      </c>
      <c r="O1897" s="56" t="b">
        <v>0</v>
      </c>
      <c r="P1897" s="56"/>
      <c r="Q1897" s="56"/>
      <c r="R1897" s="56"/>
      <c r="S1897" s="56"/>
      <c r="T1897" s="56"/>
      <c r="U1897" s="56"/>
      <c r="V1897" s="56"/>
      <c r="W1897" s="56"/>
      <c r="X1897" s="56"/>
      <c r="Y1897" s="56"/>
      <c r="Z1897" s="56"/>
      <c r="AA1897" s="56"/>
      <c r="AB1897" s="56"/>
    </row>
    <row r="1898" ht="15.75" customHeight="1">
      <c r="A1898" s="169"/>
      <c r="B1898" s="69"/>
      <c r="C1898" s="22"/>
      <c r="D1898" s="38"/>
      <c r="E1898" s="38"/>
      <c r="F1898" s="65"/>
      <c r="G1898" s="66"/>
      <c r="H1898" s="38"/>
      <c r="I1898" s="38"/>
      <c r="J1898" s="38"/>
      <c r="K1898" s="38"/>
      <c r="L1898" s="38"/>
      <c r="M1898" s="56"/>
      <c r="N1898" s="56" t="b">
        <v>0</v>
      </c>
      <c r="O1898" s="56" t="b">
        <v>0</v>
      </c>
      <c r="P1898" s="56"/>
      <c r="Q1898" s="56"/>
      <c r="R1898" s="56"/>
      <c r="S1898" s="56"/>
      <c r="T1898" s="56"/>
      <c r="U1898" s="56"/>
      <c r="V1898" s="56"/>
      <c r="W1898" s="56"/>
      <c r="X1898" s="56"/>
      <c r="Y1898" s="56"/>
      <c r="Z1898" s="56"/>
      <c r="AA1898" s="56"/>
      <c r="AB1898" s="56"/>
    </row>
    <row r="1899" ht="15.75" customHeight="1">
      <c r="A1899" s="169"/>
      <c r="B1899" s="273" t="s">
        <v>6168</v>
      </c>
      <c r="C1899" s="22" t="s">
        <v>66</v>
      </c>
      <c r="D1899" s="38"/>
      <c r="E1899" s="162" t="s">
        <v>5784</v>
      </c>
      <c r="F1899" s="155"/>
      <c r="G1899" s="66"/>
      <c r="H1899" s="38"/>
      <c r="I1899" s="38"/>
      <c r="J1899" s="38"/>
      <c r="K1899" s="38"/>
      <c r="L1899" s="38"/>
      <c r="M1899" s="56"/>
      <c r="N1899" s="56" t="b">
        <v>0</v>
      </c>
      <c r="O1899" s="56" t="b">
        <v>0</v>
      </c>
      <c r="P1899" s="56"/>
      <c r="Q1899" s="56"/>
      <c r="R1899" s="56"/>
      <c r="S1899" s="56"/>
      <c r="T1899" s="56"/>
      <c r="U1899" s="56"/>
      <c r="V1899" s="56"/>
      <c r="W1899" s="56"/>
      <c r="X1899" s="56"/>
      <c r="Y1899" s="56"/>
      <c r="Z1899" s="56"/>
      <c r="AA1899" s="56"/>
      <c r="AB1899" s="56"/>
    </row>
    <row r="1900" ht="15.75" customHeight="1">
      <c r="A1900" s="169"/>
      <c r="B1900" s="63"/>
      <c r="C1900" s="22" t="s">
        <v>66</v>
      </c>
      <c r="D1900" s="38"/>
      <c r="E1900" s="156"/>
      <c r="F1900" s="157"/>
      <c r="G1900" s="66"/>
      <c r="H1900" s="38"/>
      <c r="I1900" s="38"/>
      <c r="J1900" s="38"/>
      <c r="K1900" s="38"/>
      <c r="L1900" s="38"/>
      <c r="M1900" s="56"/>
      <c r="N1900" s="56" t="b">
        <v>0</v>
      </c>
      <c r="O1900" s="56" t="b">
        <v>0</v>
      </c>
      <c r="P1900" s="56"/>
      <c r="Q1900" s="56"/>
      <c r="R1900" s="56"/>
      <c r="S1900" s="56"/>
      <c r="T1900" s="56"/>
      <c r="U1900" s="56"/>
      <c r="V1900" s="56"/>
      <c r="W1900" s="56"/>
      <c r="X1900" s="56"/>
      <c r="Y1900" s="56"/>
      <c r="Z1900" s="56"/>
      <c r="AA1900" s="56"/>
      <c r="AB1900" s="56"/>
    </row>
    <row r="1901" ht="15.75" customHeight="1">
      <c r="A1901" s="169"/>
      <c r="B1901" s="63"/>
      <c r="C1901" s="22" t="s">
        <v>66</v>
      </c>
      <c r="D1901" s="38"/>
      <c r="E1901" s="158"/>
      <c r="F1901" s="159"/>
      <c r="G1901" s="66"/>
      <c r="H1901" s="38"/>
      <c r="I1901" s="38"/>
      <c r="J1901" s="38"/>
      <c r="K1901" s="38"/>
      <c r="L1901" s="38"/>
      <c r="M1901" s="56"/>
      <c r="N1901" s="56" t="b">
        <v>0</v>
      </c>
      <c r="O1901" s="56" t="b">
        <v>0</v>
      </c>
      <c r="P1901" s="56"/>
      <c r="Q1901" s="56"/>
      <c r="R1901" s="56"/>
      <c r="S1901" s="56"/>
      <c r="T1901" s="56"/>
      <c r="U1901" s="56"/>
      <c r="V1901" s="56"/>
      <c r="W1901" s="56"/>
      <c r="X1901" s="56"/>
      <c r="Y1901" s="56"/>
      <c r="Z1901" s="56"/>
      <c r="AA1901" s="56"/>
      <c r="AB1901" s="56"/>
    </row>
    <row r="1902" ht="15.75" customHeight="1">
      <c r="A1902" s="169"/>
      <c r="B1902" s="63"/>
      <c r="C1902" s="22" t="s">
        <v>66</v>
      </c>
      <c r="D1902" s="38"/>
      <c r="E1902" s="38"/>
      <c r="F1902" s="65"/>
      <c r="G1902" s="66"/>
      <c r="H1902" s="38"/>
      <c r="I1902" s="38"/>
      <c r="J1902" s="38"/>
      <c r="K1902" s="38"/>
      <c r="L1902" s="38"/>
      <c r="M1902" s="56"/>
      <c r="N1902" s="56" t="b">
        <v>0</v>
      </c>
      <c r="O1902" s="56" t="b">
        <v>0</v>
      </c>
      <c r="P1902" s="56"/>
      <c r="Q1902" s="56"/>
      <c r="R1902" s="56"/>
      <c r="S1902" s="56"/>
      <c r="T1902" s="56"/>
      <c r="U1902" s="56"/>
      <c r="V1902" s="56"/>
      <c r="W1902" s="56"/>
      <c r="X1902" s="56"/>
      <c r="Y1902" s="56"/>
      <c r="Z1902" s="56"/>
      <c r="AA1902" s="56"/>
      <c r="AB1902" s="56"/>
    </row>
    <row r="1903" ht="15.75" customHeight="1">
      <c r="A1903" s="169"/>
      <c r="B1903" s="63"/>
      <c r="C1903" s="22" t="s">
        <v>66</v>
      </c>
      <c r="D1903" s="38"/>
      <c r="E1903" s="38"/>
      <c r="F1903" s="65"/>
      <c r="G1903" s="66"/>
      <c r="H1903" s="38"/>
      <c r="I1903" s="38"/>
      <c r="J1903" s="38"/>
      <c r="K1903" s="38"/>
      <c r="L1903" s="38"/>
      <c r="M1903" s="56"/>
      <c r="N1903" s="56" t="b">
        <v>0</v>
      </c>
      <c r="O1903" s="56" t="b">
        <v>0</v>
      </c>
      <c r="P1903" s="56"/>
      <c r="Q1903" s="56"/>
      <c r="R1903" s="56"/>
      <c r="S1903" s="56"/>
      <c r="T1903" s="56"/>
      <c r="U1903" s="56"/>
      <c r="V1903" s="56"/>
      <c r="W1903" s="56"/>
      <c r="X1903" s="56"/>
      <c r="Y1903" s="56"/>
      <c r="Z1903" s="56"/>
      <c r="AA1903" s="56"/>
      <c r="AB1903" s="56"/>
    </row>
    <row r="1904" ht="15.75" customHeight="1">
      <c r="A1904" s="169"/>
      <c r="B1904" s="69"/>
      <c r="C1904" s="22"/>
      <c r="D1904" s="38"/>
      <c r="E1904" s="38"/>
      <c r="F1904" s="65"/>
      <c r="G1904" s="66"/>
      <c r="H1904" s="38"/>
      <c r="I1904" s="38"/>
      <c r="J1904" s="38"/>
      <c r="K1904" s="38"/>
      <c r="L1904" s="38"/>
      <c r="M1904" s="56"/>
      <c r="N1904" s="56" t="b">
        <v>0</v>
      </c>
      <c r="O1904" s="56" t="b">
        <v>0</v>
      </c>
      <c r="P1904" s="56"/>
      <c r="Q1904" s="56"/>
      <c r="R1904" s="56"/>
      <c r="S1904" s="56"/>
      <c r="T1904" s="56"/>
      <c r="U1904" s="56"/>
      <c r="V1904" s="56"/>
      <c r="W1904" s="56"/>
      <c r="X1904" s="56"/>
      <c r="Y1904" s="56"/>
      <c r="Z1904" s="56"/>
      <c r="AA1904" s="56"/>
      <c r="AB1904" s="56"/>
    </row>
    <row r="1905" ht="15.75" customHeight="1">
      <c r="A1905" s="169"/>
      <c r="B1905" s="276"/>
      <c r="C1905" s="220">
        <v>44561.0</v>
      </c>
      <c r="D1905" s="38"/>
      <c r="E1905" s="38"/>
      <c r="F1905" s="65"/>
      <c r="G1905" s="66"/>
      <c r="H1905" s="38"/>
      <c r="I1905" s="38"/>
      <c r="J1905" s="38"/>
      <c r="K1905" s="38"/>
      <c r="L1905" s="38"/>
      <c r="M1905" s="56"/>
      <c r="N1905" s="56" t="b">
        <v>0</v>
      </c>
      <c r="O1905" s="56" t="b">
        <v>0</v>
      </c>
      <c r="P1905" s="56"/>
      <c r="Q1905" s="56"/>
      <c r="R1905" s="56"/>
      <c r="S1905" s="56"/>
      <c r="T1905" s="56"/>
      <c r="U1905" s="56"/>
      <c r="V1905" s="56"/>
      <c r="W1905" s="56"/>
      <c r="X1905" s="56"/>
      <c r="Y1905" s="56"/>
      <c r="Z1905" s="56"/>
      <c r="AA1905" s="56"/>
      <c r="AB1905" s="56"/>
    </row>
    <row r="1906" ht="15.75" customHeight="1">
      <c r="A1906" s="169"/>
      <c r="B1906" s="273" t="s">
        <v>4836</v>
      </c>
      <c r="C1906" s="22"/>
      <c r="D1906" s="76" t="s">
        <v>133</v>
      </c>
      <c r="E1906" s="77" t="s">
        <v>4265</v>
      </c>
      <c r="F1906" s="77" t="s">
        <v>4266</v>
      </c>
      <c r="G1906" s="82" t="s">
        <v>6554</v>
      </c>
      <c r="H1906" s="76" t="s">
        <v>6695</v>
      </c>
      <c r="I1906" s="76" t="s">
        <v>6696</v>
      </c>
      <c r="J1906" s="76" t="s">
        <v>4268</v>
      </c>
      <c r="K1906" s="38" t="s">
        <v>6767</v>
      </c>
      <c r="L1906" s="38"/>
      <c r="M1906" s="56"/>
      <c r="N1906" s="56" t="b">
        <v>0</v>
      </c>
      <c r="O1906" s="56" t="b">
        <v>0</v>
      </c>
      <c r="P1906" s="56"/>
      <c r="Q1906" s="56"/>
      <c r="R1906" s="56"/>
      <c r="S1906" s="56"/>
      <c r="T1906" s="56"/>
      <c r="U1906" s="56"/>
      <c r="V1906" s="56"/>
      <c r="W1906" s="56"/>
      <c r="X1906" s="56"/>
      <c r="Y1906" s="56"/>
      <c r="Z1906" s="56"/>
      <c r="AA1906" s="56"/>
      <c r="AB1906" s="56"/>
    </row>
    <row r="1907" ht="15.75" customHeight="1">
      <c r="A1907" s="169"/>
      <c r="B1907" s="63"/>
      <c r="C1907" s="22" t="s">
        <v>53</v>
      </c>
      <c r="D1907" s="227" t="s">
        <v>89</v>
      </c>
      <c r="E1907" s="60" t="s">
        <v>172</v>
      </c>
      <c r="F1907" s="60" t="s">
        <v>173</v>
      </c>
      <c r="G1907" s="73" t="s">
        <v>5134</v>
      </c>
      <c r="H1907" s="62" t="s">
        <v>5749</v>
      </c>
      <c r="I1907" s="62" t="s">
        <v>6768</v>
      </c>
      <c r="J1907" s="242" t="s">
        <v>176</v>
      </c>
      <c r="M1907" s="56"/>
      <c r="N1907" s="56" t="b">
        <v>0</v>
      </c>
      <c r="O1907" s="56" t="b">
        <v>0</v>
      </c>
      <c r="P1907" s="56"/>
      <c r="Q1907" s="56"/>
      <c r="R1907" s="56"/>
      <c r="S1907" s="56"/>
      <c r="T1907" s="56"/>
      <c r="U1907" s="56"/>
      <c r="V1907" s="56"/>
      <c r="W1907" s="56"/>
      <c r="X1907" s="56"/>
      <c r="Y1907" s="56"/>
      <c r="Z1907" s="56"/>
      <c r="AA1907" s="56"/>
      <c r="AB1907" s="56"/>
    </row>
    <row r="1908" ht="15.75" customHeight="1">
      <c r="A1908" s="169"/>
      <c r="B1908" s="63"/>
      <c r="C1908" s="22" t="s">
        <v>53</v>
      </c>
      <c r="D1908" s="62" t="s">
        <v>321</v>
      </c>
      <c r="E1908" s="60" t="s">
        <v>2920</v>
      </c>
      <c r="F1908" s="60" t="s">
        <v>2921</v>
      </c>
      <c r="G1908" s="73" t="s">
        <v>4892</v>
      </c>
      <c r="H1908" s="62" t="s">
        <v>5773</v>
      </c>
      <c r="I1908" s="62" t="s">
        <v>6739</v>
      </c>
      <c r="J1908" s="242" t="s">
        <v>2923</v>
      </c>
      <c r="K1908" s="137" t="s">
        <v>5528</v>
      </c>
      <c r="L1908" s="38"/>
      <c r="M1908" s="56"/>
      <c r="N1908" s="56" t="b">
        <v>0</v>
      </c>
      <c r="O1908" s="56" t="b">
        <v>0</v>
      </c>
      <c r="P1908" s="56"/>
      <c r="Q1908" s="56"/>
      <c r="R1908" s="56"/>
      <c r="S1908" s="56"/>
      <c r="T1908" s="56"/>
      <c r="U1908" s="56"/>
      <c r="V1908" s="56"/>
      <c r="W1908" s="56"/>
      <c r="X1908" s="56"/>
      <c r="Y1908" s="56"/>
      <c r="Z1908" s="56"/>
      <c r="AA1908" s="56"/>
      <c r="AB1908" s="56"/>
    </row>
    <row r="1909" ht="15.75" customHeight="1">
      <c r="A1909" s="169"/>
      <c r="B1909" s="63"/>
      <c r="C1909" s="22" t="s">
        <v>53</v>
      </c>
      <c r="D1909" s="76" t="s">
        <v>133</v>
      </c>
      <c r="E1909" s="77" t="s">
        <v>1187</v>
      </c>
      <c r="F1909" s="77" t="s">
        <v>1188</v>
      </c>
      <c r="G1909" s="82" t="s">
        <v>5036</v>
      </c>
      <c r="H1909" s="76" t="s">
        <v>6351</v>
      </c>
      <c r="I1909" s="76" t="s">
        <v>6769</v>
      </c>
      <c r="J1909" s="76" t="s">
        <v>1191</v>
      </c>
      <c r="K1909" s="38" t="s">
        <v>6767</v>
      </c>
      <c r="L1909" s="38"/>
      <c r="M1909" s="56"/>
      <c r="N1909" s="56" t="b">
        <v>0</v>
      </c>
      <c r="O1909" s="56" t="b">
        <v>0</v>
      </c>
      <c r="P1909" s="56"/>
      <c r="Q1909" s="56"/>
      <c r="R1909" s="56"/>
      <c r="S1909" s="56"/>
      <c r="T1909" s="56"/>
      <c r="U1909" s="56"/>
      <c r="V1909" s="56"/>
      <c r="W1909" s="56"/>
      <c r="X1909" s="56"/>
      <c r="Y1909" s="56"/>
      <c r="Z1909" s="56"/>
      <c r="AA1909" s="56"/>
      <c r="AB1909" s="56"/>
    </row>
    <row r="1910" ht="15.75" customHeight="1">
      <c r="A1910" s="169"/>
      <c r="B1910" s="63"/>
      <c r="C1910" s="22" t="s">
        <v>53</v>
      </c>
      <c r="D1910" s="62" t="s">
        <v>133</v>
      </c>
      <c r="E1910" s="60" t="s">
        <v>1702</v>
      </c>
      <c r="F1910" s="60" t="s">
        <v>1703</v>
      </c>
      <c r="G1910" s="73" t="s">
        <v>4847</v>
      </c>
      <c r="H1910" s="62" t="s">
        <v>5221</v>
      </c>
      <c r="I1910" s="62" t="s">
        <v>6770</v>
      </c>
      <c r="J1910" s="62" t="s">
        <v>1705</v>
      </c>
      <c r="K1910" s="38"/>
      <c r="L1910" s="38"/>
      <c r="M1910" s="56"/>
      <c r="N1910" s="56" t="b">
        <v>0</v>
      </c>
      <c r="O1910" s="56" t="b">
        <v>0</v>
      </c>
      <c r="P1910" s="56"/>
      <c r="Q1910" s="56"/>
      <c r="R1910" s="56"/>
      <c r="S1910" s="56"/>
      <c r="T1910" s="56"/>
      <c r="U1910" s="56"/>
      <c r="V1910" s="56"/>
      <c r="W1910" s="56"/>
      <c r="X1910" s="56"/>
      <c r="Y1910" s="56"/>
      <c r="Z1910" s="56"/>
      <c r="AA1910" s="56"/>
      <c r="AB1910" s="56"/>
    </row>
    <row r="1911" ht="15.75" customHeight="1">
      <c r="A1911" s="169"/>
      <c r="B1911" s="63"/>
      <c r="C1911" s="22" t="s">
        <v>53</v>
      </c>
      <c r="D1911" s="38"/>
      <c r="E1911" s="38"/>
      <c r="F1911" s="65"/>
      <c r="G1911" s="66"/>
      <c r="H1911" s="38"/>
      <c r="I1911" s="38"/>
      <c r="J1911" s="38"/>
      <c r="K1911" s="38"/>
      <c r="L1911" s="38"/>
      <c r="M1911" s="56"/>
      <c r="N1911" s="56" t="b">
        <v>0</v>
      </c>
      <c r="O1911" s="56" t="b">
        <v>0</v>
      </c>
      <c r="P1911" s="56"/>
      <c r="Q1911" s="56"/>
      <c r="R1911" s="56"/>
      <c r="S1911" s="56"/>
      <c r="T1911" s="56"/>
      <c r="U1911" s="56"/>
      <c r="V1911" s="56"/>
      <c r="W1911" s="56"/>
      <c r="X1911" s="56"/>
      <c r="Y1911" s="56"/>
      <c r="Z1911" s="56"/>
      <c r="AA1911" s="56"/>
      <c r="AB1911" s="56"/>
    </row>
    <row r="1912" ht="15.75" customHeight="1">
      <c r="A1912" s="169"/>
      <c r="B1912" s="69"/>
      <c r="C1912" s="22"/>
      <c r="D1912" s="38"/>
      <c r="E1912" s="38"/>
      <c r="F1912" s="65"/>
      <c r="G1912" s="66"/>
      <c r="H1912" s="38"/>
      <c r="I1912" s="38"/>
      <c r="J1912" s="38"/>
      <c r="K1912" s="38"/>
      <c r="L1912" s="38"/>
      <c r="M1912" s="56"/>
      <c r="N1912" s="56" t="b">
        <v>0</v>
      </c>
      <c r="O1912" s="56" t="b">
        <v>0</v>
      </c>
      <c r="P1912" s="56"/>
      <c r="Q1912" s="56"/>
      <c r="R1912" s="56"/>
      <c r="S1912" s="56"/>
      <c r="T1912" s="56"/>
      <c r="U1912" s="56"/>
      <c r="V1912" s="56"/>
      <c r="W1912" s="56"/>
      <c r="X1912" s="56"/>
      <c r="Y1912" s="56"/>
      <c r="Z1912" s="56"/>
      <c r="AA1912" s="56"/>
      <c r="AB1912" s="56"/>
    </row>
    <row r="1913" ht="15.75" customHeight="1">
      <c r="A1913" s="169"/>
      <c r="B1913" s="273" t="s">
        <v>6168</v>
      </c>
      <c r="C1913" s="22" t="s">
        <v>66</v>
      </c>
      <c r="D1913" s="38"/>
      <c r="E1913" s="162" t="s">
        <v>5784</v>
      </c>
      <c r="F1913" s="155"/>
      <c r="G1913" s="66"/>
      <c r="H1913" s="38"/>
      <c r="I1913" s="38"/>
      <c r="J1913" s="38"/>
      <c r="K1913" s="38"/>
      <c r="L1913" s="38"/>
      <c r="M1913" s="56"/>
      <c r="N1913" s="56" t="b">
        <v>0</v>
      </c>
      <c r="O1913" s="56" t="b">
        <v>0</v>
      </c>
      <c r="P1913" s="56"/>
      <c r="Q1913" s="56"/>
      <c r="R1913" s="56"/>
      <c r="S1913" s="56"/>
      <c r="T1913" s="56"/>
      <c r="U1913" s="56"/>
      <c r="V1913" s="56"/>
      <c r="W1913" s="56"/>
      <c r="X1913" s="56"/>
      <c r="Y1913" s="56"/>
      <c r="Z1913" s="56"/>
      <c r="AA1913" s="56"/>
      <c r="AB1913" s="56"/>
    </row>
    <row r="1914" ht="15.75" customHeight="1">
      <c r="A1914" s="169"/>
      <c r="B1914" s="63"/>
      <c r="C1914" s="22" t="s">
        <v>66</v>
      </c>
      <c r="D1914" s="38"/>
      <c r="E1914" s="156"/>
      <c r="F1914" s="157"/>
      <c r="G1914" s="66"/>
      <c r="H1914" s="38"/>
      <c r="I1914" s="38"/>
      <c r="J1914" s="38"/>
      <c r="K1914" s="38"/>
      <c r="L1914" s="38"/>
      <c r="M1914" s="56"/>
      <c r="N1914" s="56" t="b">
        <v>0</v>
      </c>
      <c r="O1914" s="56" t="b">
        <v>0</v>
      </c>
      <c r="P1914" s="56"/>
      <c r="Q1914" s="56"/>
      <c r="R1914" s="56"/>
      <c r="S1914" s="56"/>
      <c r="T1914" s="56"/>
      <c r="U1914" s="56"/>
      <c r="V1914" s="56"/>
      <c r="W1914" s="56"/>
      <c r="X1914" s="56"/>
      <c r="Y1914" s="56"/>
      <c r="Z1914" s="56"/>
      <c r="AA1914" s="56"/>
      <c r="AB1914" s="56"/>
    </row>
    <row r="1915" ht="15.75" customHeight="1">
      <c r="A1915" s="169"/>
      <c r="B1915" s="63"/>
      <c r="C1915" s="22" t="s">
        <v>66</v>
      </c>
      <c r="D1915" s="38"/>
      <c r="E1915" s="158"/>
      <c r="F1915" s="159"/>
      <c r="G1915" s="66"/>
      <c r="H1915" s="38"/>
      <c r="I1915" s="38"/>
      <c r="J1915" s="38"/>
      <c r="K1915" s="38"/>
      <c r="L1915" s="38"/>
      <c r="M1915" s="56"/>
      <c r="N1915" s="56" t="b">
        <v>0</v>
      </c>
      <c r="O1915" s="56" t="b">
        <v>0</v>
      </c>
      <c r="P1915" s="56"/>
      <c r="Q1915" s="56"/>
      <c r="R1915" s="56"/>
      <c r="S1915" s="56"/>
      <c r="T1915" s="56"/>
      <c r="U1915" s="56"/>
      <c r="V1915" s="56"/>
      <c r="W1915" s="56"/>
      <c r="X1915" s="56"/>
      <c r="Y1915" s="56"/>
      <c r="Z1915" s="56"/>
      <c r="AA1915" s="56"/>
      <c r="AB1915" s="56"/>
    </row>
    <row r="1916" ht="15.75" customHeight="1">
      <c r="A1916" s="169"/>
      <c r="B1916" s="63"/>
      <c r="C1916" s="22" t="s">
        <v>66</v>
      </c>
      <c r="D1916" s="38"/>
      <c r="E1916" s="38"/>
      <c r="F1916" s="65"/>
      <c r="G1916" s="66"/>
      <c r="H1916" s="38"/>
      <c r="I1916" s="38"/>
      <c r="J1916" s="38"/>
      <c r="K1916" s="38"/>
      <c r="L1916" s="38"/>
      <c r="M1916" s="56"/>
      <c r="N1916" s="56" t="b">
        <v>0</v>
      </c>
      <c r="O1916" s="56" t="b">
        <v>0</v>
      </c>
      <c r="P1916" s="56"/>
      <c r="Q1916" s="56"/>
      <c r="R1916" s="56"/>
      <c r="S1916" s="56"/>
      <c r="T1916" s="56"/>
      <c r="U1916" s="56"/>
      <c r="V1916" s="56"/>
      <c r="W1916" s="56"/>
      <c r="X1916" s="56"/>
      <c r="Y1916" s="56"/>
      <c r="Z1916" s="56"/>
      <c r="AA1916" s="56"/>
      <c r="AB1916" s="56"/>
    </row>
    <row r="1917" ht="15.75" customHeight="1">
      <c r="A1917" s="169"/>
      <c r="B1917" s="63"/>
      <c r="C1917" s="22" t="s">
        <v>66</v>
      </c>
      <c r="D1917" s="38"/>
      <c r="E1917" s="38"/>
      <c r="F1917" s="65"/>
      <c r="G1917" s="66"/>
      <c r="H1917" s="38"/>
      <c r="I1917" s="38"/>
      <c r="J1917" s="38"/>
      <c r="K1917" s="38"/>
      <c r="L1917" s="38"/>
      <c r="M1917" s="56"/>
      <c r="N1917" s="56" t="b">
        <v>0</v>
      </c>
      <c r="O1917" s="56" t="b">
        <v>0</v>
      </c>
      <c r="P1917" s="56"/>
      <c r="Q1917" s="56"/>
      <c r="R1917" s="56"/>
      <c r="S1917" s="56"/>
      <c r="T1917" s="56"/>
      <c r="U1917" s="56"/>
      <c r="V1917" s="56"/>
      <c r="W1917" s="56"/>
      <c r="X1917" s="56"/>
      <c r="Y1917" s="56"/>
      <c r="Z1917" s="56"/>
      <c r="AA1917" s="56"/>
      <c r="AB1917" s="56"/>
    </row>
    <row r="1918" ht="15.75" customHeight="1">
      <c r="A1918" s="169"/>
      <c r="B1918" s="69"/>
      <c r="C1918" s="22"/>
      <c r="D1918" s="38"/>
      <c r="E1918" s="38"/>
      <c r="F1918" s="65"/>
      <c r="G1918" s="66"/>
      <c r="H1918" s="38"/>
      <c r="I1918" s="38"/>
      <c r="J1918" s="38"/>
      <c r="K1918" s="38"/>
      <c r="L1918" s="38"/>
      <c r="M1918" s="56"/>
      <c r="N1918" s="56" t="b">
        <v>0</v>
      </c>
      <c r="O1918" s="56" t="b">
        <v>0</v>
      </c>
      <c r="P1918" s="56"/>
      <c r="Q1918" s="56"/>
      <c r="R1918" s="56"/>
      <c r="S1918" s="56"/>
      <c r="T1918" s="56"/>
      <c r="U1918" s="56"/>
      <c r="V1918" s="56"/>
      <c r="W1918" s="56"/>
      <c r="X1918" s="56"/>
      <c r="Y1918" s="56"/>
      <c r="Z1918" s="56"/>
      <c r="AA1918" s="56"/>
      <c r="AB1918" s="56"/>
    </row>
    <row r="1919" ht="15.75" customHeight="1">
      <c r="A1919" s="169"/>
      <c r="B1919" s="276"/>
      <c r="C1919" s="220">
        <v>44565.0</v>
      </c>
      <c r="D1919" s="38"/>
      <c r="E1919" s="38"/>
      <c r="F1919" s="65"/>
      <c r="G1919" s="66"/>
      <c r="H1919" s="38"/>
      <c r="I1919" s="38"/>
      <c r="J1919" s="38"/>
      <c r="K1919" s="38"/>
      <c r="L1919" s="38"/>
      <c r="M1919" s="56"/>
      <c r="N1919" s="56" t="b">
        <v>0</v>
      </c>
      <c r="O1919" s="56" t="b">
        <v>0</v>
      </c>
      <c r="P1919" s="56"/>
      <c r="Q1919" s="56"/>
      <c r="R1919" s="56"/>
      <c r="S1919" s="56"/>
      <c r="T1919" s="56"/>
      <c r="U1919" s="56"/>
      <c r="V1919" s="56"/>
      <c r="W1919" s="56"/>
      <c r="X1919" s="56"/>
      <c r="Y1919" s="56"/>
      <c r="Z1919" s="56"/>
      <c r="AA1919" s="56"/>
      <c r="AB1919" s="56"/>
    </row>
    <row r="1920" ht="15.75" customHeight="1">
      <c r="A1920" s="169"/>
      <c r="B1920" s="273" t="s">
        <v>4836</v>
      </c>
      <c r="C1920" s="22"/>
      <c r="D1920" s="38"/>
      <c r="E1920" s="38"/>
      <c r="F1920" s="65"/>
      <c r="G1920" s="66"/>
      <c r="H1920" s="38"/>
      <c r="I1920" s="38"/>
      <c r="J1920" s="38"/>
      <c r="K1920" s="38"/>
      <c r="L1920" s="38"/>
      <c r="M1920" s="56"/>
      <c r="N1920" s="56" t="b">
        <v>0</v>
      </c>
      <c r="O1920" s="56" t="b">
        <v>0</v>
      </c>
      <c r="P1920" s="56"/>
      <c r="Q1920" s="56"/>
      <c r="R1920" s="56"/>
      <c r="S1920" s="56"/>
      <c r="T1920" s="56"/>
      <c r="U1920" s="56"/>
      <c r="V1920" s="56"/>
      <c r="W1920" s="56"/>
      <c r="X1920" s="56"/>
      <c r="Y1920" s="56"/>
      <c r="Z1920" s="56"/>
      <c r="AA1920" s="56"/>
      <c r="AB1920" s="56"/>
    </row>
    <row r="1921" ht="15.75" customHeight="1">
      <c r="A1921" s="169"/>
      <c r="B1921" s="63"/>
      <c r="C1921" s="22" t="s">
        <v>53</v>
      </c>
      <c r="D1921" s="38"/>
      <c r="E1921" s="162" t="s">
        <v>5784</v>
      </c>
      <c r="F1921" s="155"/>
      <c r="G1921" s="66"/>
      <c r="H1921" s="38"/>
      <c r="I1921" s="38"/>
      <c r="J1921" s="38"/>
      <c r="K1921" s="38"/>
      <c r="L1921" s="38"/>
      <c r="M1921" s="56"/>
      <c r="N1921" s="56" t="b">
        <v>0</v>
      </c>
      <c r="O1921" s="56" t="b">
        <v>0</v>
      </c>
      <c r="P1921" s="56"/>
      <c r="Q1921" s="56"/>
      <c r="R1921" s="56"/>
      <c r="S1921" s="56"/>
      <c r="T1921" s="56"/>
      <c r="U1921" s="56"/>
      <c r="V1921" s="56"/>
      <c r="W1921" s="56"/>
      <c r="X1921" s="56"/>
      <c r="Y1921" s="56"/>
      <c r="Z1921" s="56"/>
      <c r="AA1921" s="56"/>
      <c r="AB1921" s="56"/>
    </row>
    <row r="1922" ht="15.75" customHeight="1">
      <c r="A1922" s="169"/>
      <c r="B1922" s="63"/>
      <c r="C1922" s="22" t="s">
        <v>53</v>
      </c>
      <c r="D1922" s="38"/>
      <c r="E1922" s="156"/>
      <c r="F1922" s="157"/>
      <c r="G1922" s="66"/>
      <c r="H1922" s="38"/>
      <c r="I1922" s="38"/>
      <c r="J1922" s="38"/>
      <c r="K1922" s="38"/>
      <c r="L1922" s="38"/>
      <c r="M1922" s="56"/>
      <c r="N1922" s="56" t="b">
        <v>0</v>
      </c>
      <c r="O1922" s="56" t="b">
        <v>0</v>
      </c>
      <c r="P1922" s="56"/>
      <c r="Q1922" s="56"/>
      <c r="R1922" s="56"/>
      <c r="S1922" s="56"/>
      <c r="T1922" s="56"/>
      <c r="U1922" s="56"/>
      <c r="V1922" s="56"/>
      <c r="W1922" s="56"/>
      <c r="X1922" s="56"/>
      <c r="Y1922" s="56"/>
      <c r="Z1922" s="56"/>
      <c r="AA1922" s="56"/>
      <c r="AB1922" s="56"/>
    </row>
    <row r="1923" ht="15.75" customHeight="1">
      <c r="A1923" s="169"/>
      <c r="B1923" s="63"/>
      <c r="C1923" s="22" t="s">
        <v>53</v>
      </c>
      <c r="D1923" s="38"/>
      <c r="E1923" s="158"/>
      <c r="F1923" s="159"/>
      <c r="G1923" s="66"/>
      <c r="H1923" s="38"/>
      <c r="I1923" s="38"/>
      <c r="J1923" s="38"/>
      <c r="K1923" s="38"/>
      <c r="L1923" s="38"/>
      <c r="M1923" s="56"/>
      <c r="N1923" s="56" t="b">
        <v>0</v>
      </c>
      <c r="O1923" s="56" t="b">
        <v>0</v>
      </c>
      <c r="P1923" s="56"/>
      <c r="Q1923" s="56"/>
      <c r="R1923" s="56"/>
      <c r="S1923" s="56"/>
      <c r="T1923" s="56"/>
      <c r="U1923" s="56"/>
      <c r="V1923" s="56"/>
      <c r="W1923" s="56"/>
      <c r="X1923" s="56"/>
      <c r="Y1923" s="56"/>
      <c r="Z1923" s="56"/>
      <c r="AA1923" s="56"/>
      <c r="AB1923" s="56"/>
    </row>
    <row r="1924" ht="15.75" customHeight="1">
      <c r="A1924" s="169"/>
      <c r="B1924" s="63"/>
      <c r="C1924" s="22" t="s">
        <v>53</v>
      </c>
      <c r="D1924" s="38"/>
      <c r="E1924" s="38"/>
      <c r="F1924" s="65"/>
      <c r="G1924" s="66"/>
      <c r="H1924" s="38"/>
      <c r="I1924" s="38"/>
      <c r="J1924" s="38"/>
      <c r="K1924" s="38"/>
      <c r="L1924" s="38"/>
      <c r="M1924" s="56"/>
      <c r="N1924" s="56" t="b">
        <v>0</v>
      </c>
      <c r="O1924" s="56" t="b">
        <v>0</v>
      </c>
      <c r="P1924" s="56"/>
      <c r="Q1924" s="56"/>
      <c r="R1924" s="56"/>
      <c r="S1924" s="56"/>
      <c r="T1924" s="56"/>
      <c r="U1924" s="56"/>
      <c r="V1924" s="56"/>
      <c r="W1924" s="56"/>
      <c r="X1924" s="56"/>
      <c r="Y1924" s="56"/>
      <c r="Z1924" s="56"/>
      <c r="AA1924" s="56"/>
      <c r="AB1924" s="56"/>
    </row>
    <row r="1925" ht="15.75" customHeight="1">
      <c r="A1925" s="169"/>
      <c r="B1925" s="63"/>
      <c r="C1925" s="22" t="s">
        <v>53</v>
      </c>
      <c r="D1925" s="38"/>
      <c r="E1925" s="38"/>
      <c r="F1925" s="65"/>
      <c r="G1925" s="66"/>
      <c r="H1925" s="38"/>
      <c r="I1925" s="38"/>
      <c r="J1925" s="38"/>
      <c r="K1925" s="38"/>
      <c r="L1925" s="38"/>
      <c r="M1925" s="56"/>
      <c r="N1925" s="56" t="b">
        <v>0</v>
      </c>
      <c r="O1925" s="56" t="b">
        <v>0</v>
      </c>
      <c r="P1925" s="56"/>
      <c r="Q1925" s="56"/>
      <c r="R1925" s="56"/>
      <c r="S1925" s="56"/>
      <c r="T1925" s="56"/>
      <c r="U1925" s="56"/>
      <c r="V1925" s="56"/>
      <c r="W1925" s="56"/>
      <c r="X1925" s="56"/>
      <c r="Y1925" s="56"/>
      <c r="Z1925" s="56"/>
      <c r="AA1925" s="56"/>
      <c r="AB1925" s="56"/>
    </row>
    <row r="1926" ht="15.75" customHeight="1">
      <c r="A1926" s="169"/>
      <c r="B1926" s="69"/>
      <c r="C1926" s="22"/>
      <c r="D1926" s="38"/>
      <c r="E1926" s="38"/>
      <c r="F1926" s="65"/>
      <c r="G1926" s="66"/>
      <c r="H1926" s="38"/>
      <c r="I1926" s="38"/>
      <c r="J1926" s="38"/>
      <c r="K1926" s="38"/>
      <c r="L1926" s="38"/>
      <c r="M1926" s="56"/>
      <c r="N1926" s="56" t="b">
        <v>0</v>
      </c>
      <c r="O1926" s="56" t="b">
        <v>0</v>
      </c>
      <c r="P1926" s="56"/>
      <c r="Q1926" s="56"/>
      <c r="R1926" s="56"/>
      <c r="S1926" s="56"/>
      <c r="T1926" s="56"/>
      <c r="U1926" s="56"/>
      <c r="V1926" s="56"/>
      <c r="W1926" s="56"/>
      <c r="X1926" s="56"/>
      <c r="Y1926" s="56"/>
      <c r="Z1926" s="56"/>
      <c r="AA1926" s="56"/>
      <c r="AB1926" s="56"/>
    </row>
    <row r="1927" ht="15.75" customHeight="1">
      <c r="A1927" s="169"/>
      <c r="B1927" s="273" t="s">
        <v>6168</v>
      </c>
      <c r="C1927" s="22" t="s">
        <v>66</v>
      </c>
      <c r="D1927" s="27" t="s">
        <v>87</v>
      </c>
      <c r="E1927" s="60" t="s">
        <v>1717</v>
      </c>
      <c r="F1927" s="60" t="s">
        <v>1718</v>
      </c>
      <c r="G1927" s="73" t="s">
        <v>4926</v>
      </c>
      <c r="H1927" s="75" t="s">
        <v>6771</v>
      </c>
      <c r="I1927" s="62" t="s">
        <v>6772</v>
      </c>
      <c r="J1927" s="83" t="s">
        <v>1720</v>
      </c>
      <c r="K1927" s="38" t="s">
        <v>2008</v>
      </c>
      <c r="L1927" s="38"/>
      <c r="M1927" s="56"/>
      <c r="N1927" s="56" t="b">
        <v>0</v>
      </c>
      <c r="O1927" s="56" t="b">
        <v>0</v>
      </c>
      <c r="P1927" s="56"/>
      <c r="Q1927" s="56"/>
      <c r="R1927" s="56"/>
      <c r="S1927" s="56"/>
      <c r="T1927" s="56"/>
      <c r="U1927" s="56"/>
      <c r="V1927" s="56"/>
      <c r="W1927" s="56"/>
      <c r="X1927" s="56"/>
      <c r="Y1927" s="56"/>
      <c r="Z1927" s="56"/>
      <c r="AA1927" s="56"/>
      <c r="AB1927" s="56"/>
    </row>
    <row r="1928" ht="15.75" customHeight="1">
      <c r="A1928" s="169"/>
      <c r="B1928" s="63"/>
      <c r="C1928" s="22" t="s">
        <v>66</v>
      </c>
      <c r="D1928" s="227" t="s">
        <v>89</v>
      </c>
      <c r="E1928" s="60" t="s">
        <v>4419</v>
      </c>
      <c r="F1928" s="60" t="s">
        <v>4420</v>
      </c>
      <c r="G1928" s="73" t="s">
        <v>4887</v>
      </c>
      <c r="H1928" s="75" t="s">
        <v>5342</v>
      </c>
      <c r="I1928" s="62" t="s">
        <v>6763</v>
      </c>
      <c r="J1928" s="83" t="s">
        <v>4422</v>
      </c>
      <c r="K1928" s="38" t="s">
        <v>2008</v>
      </c>
      <c r="L1928" s="38"/>
      <c r="M1928" s="56"/>
      <c r="N1928" s="56" t="b">
        <v>0</v>
      </c>
      <c r="O1928" s="56" t="b">
        <v>0</v>
      </c>
      <c r="P1928" s="56"/>
      <c r="Q1928" s="56"/>
      <c r="R1928" s="56"/>
      <c r="S1928" s="56"/>
      <c r="T1928" s="56"/>
      <c r="U1928" s="56"/>
      <c r="V1928" s="56"/>
      <c r="W1928" s="56"/>
      <c r="X1928" s="56"/>
      <c r="Y1928" s="56"/>
      <c r="Z1928" s="56"/>
      <c r="AA1928" s="56"/>
      <c r="AB1928" s="56"/>
    </row>
    <row r="1929" ht="15.75" customHeight="1">
      <c r="A1929" s="169"/>
      <c r="B1929" s="63"/>
      <c r="C1929" s="22" t="s">
        <v>66</v>
      </c>
      <c r="D1929" s="227" t="s">
        <v>89</v>
      </c>
      <c r="E1929" s="60" t="s">
        <v>2991</v>
      </c>
      <c r="F1929" s="60" t="s">
        <v>2992</v>
      </c>
      <c r="G1929" s="73" t="s">
        <v>4892</v>
      </c>
      <c r="H1929" s="62" t="s">
        <v>6605</v>
      </c>
      <c r="I1929" s="62" t="s">
        <v>6773</v>
      </c>
      <c r="J1929" s="60" t="s">
        <v>2994</v>
      </c>
      <c r="K1929" s="38"/>
      <c r="L1929" s="38"/>
      <c r="M1929" s="56"/>
      <c r="N1929" s="56" t="b">
        <v>0</v>
      </c>
      <c r="O1929" s="56" t="b">
        <v>0</v>
      </c>
      <c r="P1929" s="56"/>
      <c r="Q1929" s="56"/>
      <c r="R1929" s="56"/>
      <c r="S1929" s="56"/>
      <c r="T1929" s="56"/>
      <c r="U1929" s="56"/>
      <c r="V1929" s="56"/>
      <c r="W1929" s="56"/>
      <c r="X1929" s="56"/>
      <c r="Y1929" s="56"/>
      <c r="Z1929" s="56"/>
      <c r="AA1929" s="56"/>
      <c r="AB1929" s="56"/>
    </row>
    <row r="1930" ht="15.75" customHeight="1">
      <c r="A1930" s="169"/>
      <c r="B1930" s="63"/>
      <c r="C1930" s="22" t="s">
        <v>66</v>
      </c>
      <c r="D1930" s="227" t="s">
        <v>89</v>
      </c>
      <c r="E1930" s="60" t="s">
        <v>116</v>
      </c>
      <c r="F1930" s="60" t="s">
        <v>117</v>
      </c>
      <c r="G1930" s="73" t="s">
        <v>4899</v>
      </c>
      <c r="H1930" s="62" t="s">
        <v>6669</v>
      </c>
      <c r="I1930" s="62" t="s">
        <v>6774</v>
      </c>
      <c r="J1930" s="60" t="s">
        <v>121</v>
      </c>
      <c r="K1930" s="38"/>
      <c r="L1930" s="38"/>
      <c r="M1930" s="56"/>
      <c r="N1930" s="56" t="b">
        <v>0</v>
      </c>
      <c r="O1930" s="56" t="b">
        <v>0</v>
      </c>
      <c r="P1930" s="56"/>
      <c r="Q1930" s="56"/>
      <c r="R1930" s="56"/>
      <c r="S1930" s="56"/>
      <c r="T1930" s="56"/>
      <c r="U1930" s="56"/>
      <c r="V1930" s="56"/>
      <c r="W1930" s="56"/>
      <c r="X1930" s="56"/>
      <c r="Y1930" s="56"/>
      <c r="Z1930" s="56"/>
      <c r="AA1930" s="56"/>
      <c r="AB1930" s="56"/>
    </row>
    <row r="1931" ht="15.75" customHeight="1">
      <c r="A1931" s="169"/>
      <c r="B1931" s="63"/>
      <c r="C1931" s="22" t="s">
        <v>66</v>
      </c>
      <c r="G1931" s="245"/>
      <c r="K1931" s="38"/>
      <c r="L1931" s="38"/>
      <c r="M1931" s="56"/>
      <c r="N1931" s="56" t="b">
        <v>0</v>
      </c>
      <c r="O1931" s="56" t="b">
        <v>0</v>
      </c>
      <c r="P1931" s="56"/>
      <c r="Q1931" s="56"/>
      <c r="R1931" s="56"/>
      <c r="S1931" s="56"/>
      <c r="T1931" s="56"/>
      <c r="U1931" s="56"/>
      <c r="V1931" s="56"/>
      <c r="W1931" s="56"/>
      <c r="X1931" s="56"/>
      <c r="Y1931" s="56"/>
      <c r="Z1931" s="56"/>
      <c r="AA1931" s="56"/>
      <c r="AB1931" s="56"/>
    </row>
    <row r="1932" ht="15.75" customHeight="1">
      <c r="A1932" s="169"/>
      <c r="B1932" s="69"/>
      <c r="C1932" s="22"/>
      <c r="D1932" s="38"/>
      <c r="E1932" s="38"/>
      <c r="F1932" s="65"/>
      <c r="G1932" s="66"/>
      <c r="H1932" s="38"/>
      <c r="I1932" s="38"/>
      <c r="J1932" s="38"/>
      <c r="K1932" s="38"/>
      <c r="L1932" s="38"/>
      <c r="M1932" s="56"/>
      <c r="N1932" s="56" t="b">
        <v>0</v>
      </c>
      <c r="O1932" s="56" t="b">
        <v>0</v>
      </c>
      <c r="P1932" s="56"/>
      <c r="Q1932" s="56"/>
      <c r="R1932" s="56"/>
      <c r="S1932" s="56"/>
      <c r="T1932" s="56"/>
      <c r="U1932" s="56"/>
      <c r="V1932" s="56"/>
      <c r="W1932" s="56"/>
      <c r="X1932" s="56"/>
      <c r="Y1932" s="56"/>
      <c r="Z1932" s="56"/>
      <c r="AA1932" s="56"/>
      <c r="AB1932" s="56"/>
    </row>
    <row r="1933" ht="15.75" customHeight="1">
      <c r="A1933" s="169"/>
      <c r="B1933" s="276"/>
      <c r="C1933" s="220">
        <v>44567.0</v>
      </c>
      <c r="D1933" s="38"/>
      <c r="E1933" s="38"/>
      <c r="F1933" s="65"/>
      <c r="G1933" s="66"/>
      <c r="H1933" s="38"/>
      <c r="I1933" s="38"/>
      <c r="J1933" s="38"/>
      <c r="K1933" s="38"/>
      <c r="L1933" s="38"/>
      <c r="M1933" s="56"/>
      <c r="N1933" s="56" t="b">
        <v>0</v>
      </c>
      <c r="O1933" s="56" t="b">
        <v>0</v>
      </c>
      <c r="P1933" s="56"/>
      <c r="Q1933" s="56"/>
      <c r="R1933" s="56"/>
      <c r="S1933" s="56"/>
      <c r="T1933" s="56"/>
      <c r="U1933" s="56"/>
      <c r="V1933" s="56"/>
      <c r="W1933" s="56"/>
      <c r="X1933" s="56"/>
      <c r="Y1933" s="56"/>
      <c r="Z1933" s="56"/>
      <c r="AA1933" s="56"/>
      <c r="AB1933" s="56"/>
    </row>
    <row r="1934" ht="15.75" customHeight="1">
      <c r="A1934" s="169"/>
      <c r="B1934" s="273" t="s">
        <v>4836</v>
      </c>
      <c r="C1934" s="22"/>
      <c r="D1934" s="38"/>
      <c r="E1934" s="38"/>
      <c r="F1934" s="65"/>
      <c r="G1934" s="66"/>
      <c r="H1934" s="38"/>
      <c r="I1934" s="38"/>
      <c r="J1934" s="38"/>
      <c r="K1934" s="38"/>
      <c r="L1934" s="38"/>
      <c r="M1934" s="56"/>
      <c r="N1934" s="56" t="b">
        <v>0</v>
      </c>
      <c r="O1934" s="56" t="b">
        <v>0</v>
      </c>
      <c r="P1934" s="56"/>
      <c r="Q1934" s="56"/>
      <c r="R1934" s="56"/>
      <c r="S1934" s="56"/>
      <c r="T1934" s="56"/>
      <c r="U1934" s="56"/>
      <c r="V1934" s="56"/>
      <c r="W1934" s="56"/>
      <c r="X1934" s="56"/>
      <c r="Y1934" s="56"/>
      <c r="Z1934" s="56"/>
      <c r="AA1934" s="56"/>
      <c r="AB1934" s="56"/>
    </row>
    <row r="1935" ht="15.75" customHeight="1">
      <c r="A1935" s="169"/>
      <c r="B1935" s="63"/>
      <c r="C1935" s="22" t="s">
        <v>53</v>
      </c>
      <c r="D1935" s="38"/>
      <c r="E1935" s="162" t="s">
        <v>5784</v>
      </c>
      <c r="F1935" s="155"/>
      <c r="G1935" s="66"/>
      <c r="H1935" s="38"/>
      <c r="I1935" s="38"/>
      <c r="J1935" s="38"/>
      <c r="K1935" s="38"/>
      <c r="L1935" s="38"/>
      <c r="M1935" s="56"/>
      <c r="N1935" s="56" t="b">
        <v>0</v>
      </c>
      <c r="O1935" s="56" t="b">
        <v>0</v>
      </c>
      <c r="P1935" s="56"/>
      <c r="Q1935" s="56"/>
      <c r="R1935" s="56"/>
      <c r="S1935" s="56"/>
      <c r="T1935" s="56"/>
      <c r="U1935" s="56"/>
      <c r="V1935" s="56"/>
      <c r="W1935" s="56"/>
      <c r="X1935" s="56"/>
      <c r="Y1935" s="56"/>
      <c r="Z1935" s="56"/>
      <c r="AA1935" s="56"/>
      <c r="AB1935" s="56"/>
    </row>
    <row r="1936" ht="15.75" customHeight="1">
      <c r="A1936" s="169"/>
      <c r="B1936" s="63"/>
      <c r="C1936" s="22" t="s">
        <v>53</v>
      </c>
      <c r="D1936" s="38"/>
      <c r="E1936" s="156"/>
      <c r="F1936" s="157"/>
      <c r="G1936" s="66"/>
      <c r="H1936" s="38"/>
      <c r="I1936" s="38"/>
      <c r="J1936" s="38"/>
      <c r="K1936" s="38"/>
      <c r="L1936" s="38"/>
      <c r="M1936" s="56"/>
      <c r="N1936" s="56" t="b">
        <v>0</v>
      </c>
      <c r="O1936" s="56" t="b">
        <v>0</v>
      </c>
      <c r="P1936" s="56"/>
      <c r="Q1936" s="56"/>
      <c r="R1936" s="56"/>
      <c r="S1936" s="56"/>
      <c r="T1936" s="56"/>
      <c r="U1936" s="56"/>
      <c r="V1936" s="56"/>
      <c r="W1936" s="56"/>
      <c r="X1936" s="56"/>
      <c r="Y1936" s="56"/>
      <c r="Z1936" s="56"/>
      <c r="AA1936" s="56"/>
      <c r="AB1936" s="56"/>
    </row>
    <row r="1937" ht="15.75" customHeight="1">
      <c r="A1937" s="169"/>
      <c r="B1937" s="63"/>
      <c r="C1937" s="22" t="s">
        <v>53</v>
      </c>
      <c r="D1937" s="38"/>
      <c r="E1937" s="158"/>
      <c r="F1937" s="159"/>
      <c r="G1937" s="66"/>
      <c r="H1937" s="38"/>
      <c r="I1937" s="38"/>
      <c r="J1937" s="38"/>
      <c r="K1937" s="38"/>
      <c r="L1937" s="38"/>
      <c r="M1937" s="56"/>
      <c r="N1937" s="56" t="b">
        <v>0</v>
      </c>
      <c r="O1937" s="56" t="b">
        <v>0</v>
      </c>
      <c r="P1937" s="56"/>
      <c r="Q1937" s="56"/>
      <c r="R1937" s="56"/>
      <c r="S1937" s="56"/>
      <c r="T1937" s="56"/>
      <c r="U1937" s="56"/>
      <c r="V1937" s="56"/>
      <c r="W1937" s="56"/>
      <c r="X1937" s="56"/>
      <c r="Y1937" s="56"/>
      <c r="Z1937" s="56"/>
      <c r="AA1937" s="56"/>
      <c r="AB1937" s="56"/>
    </row>
    <row r="1938" ht="15.75" customHeight="1">
      <c r="A1938" s="169"/>
      <c r="B1938" s="63"/>
      <c r="C1938" s="22" t="s">
        <v>53</v>
      </c>
      <c r="D1938" s="38"/>
      <c r="E1938" s="38"/>
      <c r="F1938" s="65"/>
      <c r="G1938" s="66"/>
      <c r="H1938" s="38"/>
      <c r="I1938" s="38"/>
      <c r="J1938" s="38"/>
      <c r="K1938" s="38"/>
      <c r="L1938" s="38"/>
      <c r="M1938" s="56"/>
      <c r="N1938" s="56" t="b">
        <v>0</v>
      </c>
      <c r="O1938" s="56" t="b">
        <v>0</v>
      </c>
      <c r="P1938" s="56"/>
      <c r="Q1938" s="56"/>
      <c r="R1938" s="56"/>
      <c r="S1938" s="56"/>
      <c r="T1938" s="56"/>
      <c r="U1938" s="56"/>
      <c r="V1938" s="56"/>
      <c r="W1938" s="56"/>
      <c r="X1938" s="56"/>
      <c r="Y1938" s="56"/>
      <c r="Z1938" s="56"/>
      <c r="AA1938" s="56"/>
      <c r="AB1938" s="56"/>
    </row>
    <row r="1939" ht="15.75" customHeight="1">
      <c r="A1939" s="169"/>
      <c r="B1939" s="63"/>
      <c r="C1939" s="22" t="s">
        <v>53</v>
      </c>
      <c r="D1939" s="38"/>
      <c r="E1939" s="38"/>
      <c r="F1939" s="65"/>
      <c r="G1939" s="66"/>
      <c r="H1939" s="38"/>
      <c r="I1939" s="38"/>
      <c r="J1939" s="38"/>
      <c r="K1939" s="38"/>
      <c r="L1939" s="38"/>
      <c r="M1939" s="56"/>
      <c r="N1939" s="56" t="b">
        <v>0</v>
      </c>
      <c r="O1939" s="56" t="b">
        <v>0</v>
      </c>
      <c r="P1939" s="56"/>
      <c r="Q1939" s="56"/>
      <c r="R1939" s="56"/>
      <c r="S1939" s="56"/>
      <c r="T1939" s="56"/>
      <c r="U1939" s="56"/>
      <c r="V1939" s="56"/>
      <c r="W1939" s="56"/>
      <c r="X1939" s="56"/>
      <c r="Y1939" s="56"/>
      <c r="Z1939" s="56"/>
      <c r="AA1939" s="56"/>
      <c r="AB1939" s="56"/>
    </row>
    <row r="1940" ht="15.75" customHeight="1">
      <c r="A1940" s="169"/>
      <c r="B1940" s="69"/>
      <c r="C1940" s="22"/>
      <c r="D1940" s="38"/>
      <c r="E1940" s="38"/>
      <c r="F1940" s="65"/>
      <c r="G1940" s="66"/>
      <c r="H1940" s="38"/>
      <c r="I1940" s="38"/>
      <c r="J1940" s="38"/>
      <c r="K1940" s="38"/>
      <c r="L1940" s="38"/>
      <c r="M1940" s="56"/>
      <c r="N1940" s="56" t="b">
        <v>0</v>
      </c>
      <c r="O1940" s="56" t="b">
        <v>0</v>
      </c>
      <c r="P1940" s="56"/>
      <c r="Q1940" s="56"/>
      <c r="R1940" s="56"/>
      <c r="S1940" s="56"/>
      <c r="T1940" s="56"/>
      <c r="U1940" s="56"/>
      <c r="V1940" s="56"/>
      <c r="W1940" s="56"/>
      <c r="X1940" s="56"/>
      <c r="Y1940" s="56"/>
      <c r="Z1940" s="56"/>
      <c r="AA1940" s="56"/>
      <c r="AB1940" s="56"/>
    </row>
    <row r="1941" ht="15.75" customHeight="1">
      <c r="A1941" s="169"/>
      <c r="B1941" s="273" t="s">
        <v>6168</v>
      </c>
      <c r="C1941" s="22" t="s">
        <v>66</v>
      </c>
      <c r="D1941" s="227" t="s">
        <v>89</v>
      </c>
      <c r="E1941" s="60" t="s">
        <v>3162</v>
      </c>
      <c r="F1941" s="60" t="s">
        <v>3163</v>
      </c>
      <c r="G1941" s="73" t="s">
        <v>5004</v>
      </c>
      <c r="H1941" s="62" t="s">
        <v>6571</v>
      </c>
      <c r="I1941" s="62" t="s">
        <v>6775</v>
      </c>
      <c r="J1941" s="60" t="s">
        <v>3165</v>
      </c>
      <c r="K1941" s="38"/>
      <c r="L1941" s="38"/>
      <c r="M1941" s="56"/>
      <c r="N1941" s="56" t="b">
        <v>0</v>
      </c>
      <c r="O1941" s="56" t="b">
        <v>0</v>
      </c>
      <c r="P1941" s="56"/>
      <c r="Q1941" s="56"/>
      <c r="R1941" s="56"/>
      <c r="S1941" s="56"/>
      <c r="T1941" s="56"/>
      <c r="U1941" s="56"/>
      <c r="V1941" s="56"/>
      <c r="W1941" s="56"/>
      <c r="X1941" s="56"/>
      <c r="Y1941" s="56"/>
      <c r="Z1941" s="56"/>
      <c r="AA1941" s="56"/>
      <c r="AB1941" s="56"/>
    </row>
    <row r="1942" ht="15.75" customHeight="1">
      <c r="A1942" s="169"/>
      <c r="B1942" s="63"/>
      <c r="C1942" s="22" t="s">
        <v>66</v>
      </c>
      <c r="D1942" s="227" t="s">
        <v>89</v>
      </c>
      <c r="E1942" s="60" t="s">
        <v>165</v>
      </c>
      <c r="F1942" s="60" t="s">
        <v>166</v>
      </c>
      <c r="G1942" s="73" t="s">
        <v>5134</v>
      </c>
      <c r="H1942" s="62" t="s">
        <v>6571</v>
      </c>
      <c r="I1942" s="62" t="s">
        <v>6776</v>
      </c>
      <c r="J1942" s="60" t="s">
        <v>169</v>
      </c>
      <c r="K1942" s="38"/>
      <c r="L1942" s="38"/>
      <c r="M1942" s="56"/>
      <c r="N1942" s="56" t="b">
        <v>0</v>
      </c>
      <c r="O1942" s="56" t="b">
        <v>0</v>
      </c>
      <c r="P1942" s="56"/>
      <c r="Q1942" s="56"/>
      <c r="R1942" s="56"/>
      <c r="S1942" s="56"/>
      <c r="T1942" s="56"/>
      <c r="U1942" s="56"/>
      <c r="V1942" s="56"/>
      <c r="W1942" s="56"/>
      <c r="X1942" s="56"/>
      <c r="Y1942" s="56"/>
      <c r="Z1942" s="56"/>
      <c r="AA1942" s="56"/>
      <c r="AB1942" s="56"/>
    </row>
    <row r="1943" ht="15.75" customHeight="1">
      <c r="A1943" s="169"/>
      <c r="B1943" s="63"/>
      <c r="C1943" s="22" t="s">
        <v>66</v>
      </c>
      <c r="D1943" s="227" t="s">
        <v>89</v>
      </c>
      <c r="E1943" s="60" t="s">
        <v>1990</v>
      </c>
      <c r="F1943" s="60" t="s">
        <v>1991</v>
      </c>
      <c r="G1943" s="73" t="s">
        <v>4856</v>
      </c>
      <c r="H1943" s="62" t="s">
        <v>6669</v>
      </c>
      <c r="I1943" s="62" t="s">
        <v>6777</v>
      </c>
      <c r="J1943" s="60" t="s">
        <v>1994</v>
      </c>
      <c r="K1943" s="38"/>
      <c r="L1943" s="38"/>
      <c r="M1943" s="56"/>
      <c r="N1943" s="56" t="b">
        <v>0</v>
      </c>
      <c r="O1943" s="56" t="b">
        <v>0</v>
      </c>
      <c r="P1943" s="56"/>
      <c r="Q1943" s="56"/>
      <c r="R1943" s="56"/>
      <c r="S1943" s="56"/>
      <c r="T1943" s="56"/>
      <c r="U1943" s="56"/>
      <c r="V1943" s="56"/>
      <c r="W1943" s="56"/>
      <c r="X1943" s="56"/>
      <c r="Y1943" s="56"/>
      <c r="Z1943" s="56"/>
      <c r="AA1943" s="56"/>
      <c r="AB1943" s="56"/>
    </row>
    <row r="1944" ht="15.75" customHeight="1">
      <c r="A1944" s="169"/>
      <c r="B1944" s="63"/>
      <c r="C1944" s="22" t="s">
        <v>66</v>
      </c>
      <c r="D1944" s="172" t="s">
        <v>89</v>
      </c>
      <c r="E1944" s="77" t="s">
        <v>3207</v>
      </c>
      <c r="F1944" s="77" t="s">
        <v>3208</v>
      </c>
      <c r="G1944" s="82" t="s">
        <v>4858</v>
      </c>
      <c r="H1944" s="76" t="s">
        <v>6778</v>
      </c>
      <c r="I1944" s="76" t="s">
        <v>6779</v>
      </c>
      <c r="J1944" s="77" t="s">
        <v>3210</v>
      </c>
      <c r="K1944" s="38" t="s">
        <v>6780</v>
      </c>
      <c r="L1944" s="38"/>
      <c r="M1944" s="56"/>
      <c r="N1944" s="56" t="b">
        <v>0</v>
      </c>
      <c r="O1944" s="56" t="b">
        <v>0</v>
      </c>
      <c r="P1944" s="56"/>
      <c r="Q1944" s="56"/>
      <c r="R1944" s="56"/>
      <c r="S1944" s="56"/>
      <c r="T1944" s="56"/>
      <c r="U1944" s="56"/>
      <c r="V1944" s="56"/>
      <c r="W1944" s="56"/>
      <c r="X1944" s="56"/>
      <c r="Y1944" s="56"/>
      <c r="Z1944" s="56"/>
      <c r="AA1944" s="56"/>
      <c r="AB1944" s="56"/>
    </row>
    <row r="1945" ht="15.75" customHeight="1">
      <c r="A1945" s="169"/>
      <c r="B1945" s="63"/>
      <c r="C1945" s="22" t="s">
        <v>66</v>
      </c>
      <c r="D1945" s="38"/>
      <c r="E1945" s="38"/>
      <c r="F1945" s="65"/>
      <c r="G1945" s="66"/>
      <c r="H1945" s="38"/>
      <c r="I1945" s="38"/>
      <c r="J1945" s="38"/>
      <c r="K1945" s="38"/>
      <c r="L1945" s="38"/>
      <c r="M1945" s="56"/>
      <c r="N1945" s="56" t="b">
        <v>0</v>
      </c>
      <c r="O1945" s="56" t="b">
        <v>0</v>
      </c>
      <c r="P1945" s="56"/>
      <c r="Q1945" s="56"/>
      <c r="R1945" s="56"/>
      <c r="S1945" s="56"/>
      <c r="T1945" s="56"/>
      <c r="U1945" s="56"/>
      <c r="V1945" s="56"/>
      <c r="W1945" s="56"/>
      <c r="X1945" s="56"/>
      <c r="Y1945" s="56"/>
      <c r="Z1945" s="56"/>
      <c r="AA1945" s="56"/>
      <c r="AB1945" s="56"/>
    </row>
    <row r="1946" ht="15.75" customHeight="1">
      <c r="A1946" s="169"/>
      <c r="B1946" s="69"/>
      <c r="C1946" s="22"/>
      <c r="D1946" s="38"/>
      <c r="E1946" s="38"/>
      <c r="F1946" s="65"/>
      <c r="G1946" s="66"/>
      <c r="H1946" s="38"/>
      <c r="I1946" s="38"/>
      <c r="J1946" s="38"/>
      <c r="K1946" s="38"/>
      <c r="L1946" s="38"/>
      <c r="M1946" s="56"/>
      <c r="N1946" s="56" t="b">
        <v>0</v>
      </c>
      <c r="O1946" s="56" t="b">
        <v>0</v>
      </c>
      <c r="P1946" s="56"/>
      <c r="Q1946" s="56"/>
      <c r="R1946" s="56"/>
      <c r="S1946" s="56"/>
      <c r="T1946" s="56"/>
      <c r="U1946" s="56"/>
      <c r="V1946" s="56"/>
      <c r="W1946" s="56"/>
      <c r="X1946" s="56"/>
      <c r="Y1946" s="56"/>
      <c r="Z1946" s="56"/>
      <c r="AA1946" s="56"/>
      <c r="AB1946" s="56"/>
    </row>
    <row r="1947" ht="15.75" customHeight="1">
      <c r="A1947" s="169"/>
      <c r="B1947" s="276"/>
      <c r="C1947" s="220">
        <v>44568.0</v>
      </c>
      <c r="D1947" s="38"/>
      <c r="E1947" s="38"/>
      <c r="F1947" s="65"/>
      <c r="G1947" s="66"/>
      <c r="H1947" s="38"/>
      <c r="I1947" s="38"/>
      <c r="J1947" s="38"/>
      <c r="K1947" s="38"/>
      <c r="L1947" s="38"/>
      <c r="M1947" s="56"/>
      <c r="N1947" s="56" t="b">
        <v>0</v>
      </c>
      <c r="O1947" s="56" t="b">
        <v>0</v>
      </c>
      <c r="P1947" s="56"/>
      <c r="Q1947" s="56"/>
      <c r="R1947" s="56"/>
      <c r="S1947" s="56"/>
      <c r="T1947" s="56"/>
      <c r="U1947" s="56"/>
      <c r="V1947" s="56"/>
      <c r="W1947" s="56"/>
      <c r="X1947" s="56"/>
      <c r="Y1947" s="56"/>
      <c r="Z1947" s="56"/>
      <c r="AA1947" s="56"/>
      <c r="AB1947" s="56"/>
    </row>
    <row r="1948" ht="15.75" customHeight="1">
      <c r="A1948" s="169"/>
      <c r="B1948" s="273" t="s">
        <v>4836</v>
      </c>
      <c r="C1948" s="22"/>
      <c r="D1948" s="38"/>
      <c r="E1948" s="38"/>
      <c r="F1948" s="65"/>
      <c r="G1948" s="66"/>
      <c r="H1948" s="38"/>
      <c r="I1948" s="38"/>
      <c r="J1948" s="38"/>
      <c r="K1948" s="38"/>
      <c r="L1948" s="38"/>
      <c r="M1948" s="56"/>
      <c r="N1948" s="56" t="b">
        <v>0</v>
      </c>
      <c r="O1948" s="56" t="b">
        <v>0</v>
      </c>
      <c r="P1948" s="56"/>
      <c r="Q1948" s="56"/>
      <c r="R1948" s="56"/>
      <c r="S1948" s="56"/>
      <c r="T1948" s="56"/>
      <c r="U1948" s="56"/>
      <c r="V1948" s="56"/>
      <c r="W1948" s="56"/>
      <c r="X1948" s="56"/>
      <c r="Y1948" s="56"/>
      <c r="Z1948" s="56"/>
      <c r="AA1948" s="56"/>
      <c r="AB1948" s="56"/>
    </row>
    <row r="1949" ht="15.75" customHeight="1">
      <c r="A1949" s="169"/>
      <c r="B1949" s="63"/>
      <c r="C1949" s="22" t="s">
        <v>53</v>
      </c>
      <c r="D1949" s="38"/>
      <c r="E1949" s="162" t="s">
        <v>5784</v>
      </c>
      <c r="F1949" s="155"/>
      <c r="G1949" s="66"/>
      <c r="H1949" s="38"/>
      <c r="I1949" s="38"/>
      <c r="J1949" s="38"/>
      <c r="K1949" s="38"/>
      <c r="L1949" s="38"/>
      <c r="M1949" s="56"/>
      <c r="N1949" s="56" t="b">
        <v>0</v>
      </c>
      <c r="O1949" s="56" t="b">
        <v>0</v>
      </c>
      <c r="P1949" s="56"/>
      <c r="Q1949" s="56"/>
      <c r="R1949" s="56"/>
      <c r="S1949" s="56"/>
      <c r="T1949" s="56"/>
      <c r="U1949" s="56"/>
      <c r="V1949" s="56"/>
      <c r="W1949" s="56"/>
      <c r="X1949" s="56"/>
      <c r="Y1949" s="56"/>
      <c r="Z1949" s="56"/>
      <c r="AA1949" s="56"/>
      <c r="AB1949" s="56"/>
    </row>
    <row r="1950" ht="15.75" customHeight="1">
      <c r="A1950" s="169"/>
      <c r="B1950" s="63"/>
      <c r="C1950" s="22" t="s">
        <v>53</v>
      </c>
      <c r="D1950" s="38"/>
      <c r="E1950" s="156"/>
      <c r="F1950" s="157"/>
      <c r="G1950" s="66"/>
      <c r="H1950" s="38"/>
      <c r="I1950" s="38"/>
      <c r="J1950" s="38"/>
      <c r="K1950" s="38"/>
      <c r="L1950" s="38"/>
      <c r="M1950" s="56"/>
      <c r="N1950" s="56" t="b">
        <v>0</v>
      </c>
      <c r="O1950" s="56" t="b">
        <v>0</v>
      </c>
      <c r="P1950" s="56"/>
      <c r="Q1950" s="56"/>
      <c r="R1950" s="56"/>
      <c r="S1950" s="56"/>
      <c r="T1950" s="56"/>
      <c r="U1950" s="56"/>
      <c r="V1950" s="56"/>
      <c r="W1950" s="56"/>
      <c r="X1950" s="56"/>
      <c r="Y1950" s="56"/>
      <c r="Z1950" s="56"/>
      <c r="AA1950" s="56"/>
      <c r="AB1950" s="56"/>
    </row>
    <row r="1951" ht="15.75" customHeight="1">
      <c r="A1951" s="169"/>
      <c r="B1951" s="63"/>
      <c r="C1951" s="22" t="s">
        <v>53</v>
      </c>
      <c r="D1951" s="38"/>
      <c r="E1951" s="158"/>
      <c r="F1951" s="159"/>
      <c r="G1951" s="66"/>
      <c r="H1951" s="38"/>
      <c r="I1951" s="38"/>
      <c r="J1951" s="38"/>
      <c r="K1951" s="38"/>
      <c r="L1951" s="38"/>
      <c r="M1951" s="56"/>
      <c r="N1951" s="56" t="b">
        <v>0</v>
      </c>
      <c r="O1951" s="56" t="b">
        <v>0</v>
      </c>
      <c r="P1951" s="56"/>
      <c r="Q1951" s="56"/>
      <c r="R1951" s="56"/>
      <c r="S1951" s="56"/>
      <c r="T1951" s="56"/>
      <c r="U1951" s="56"/>
      <c r="V1951" s="56"/>
      <c r="W1951" s="56"/>
      <c r="X1951" s="56"/>
      <c r="Y1951" s="56"/>
      <c r="Z1951" s="56"/>
      <c r="AA1951" s="56"/>
      <c r="AB1951" s="56"/>
    </row>
    <row r="1952" ht="15.75" customHeight="1">
      <c r="A1952" s="169"/>
      <c r="B1952" s="63"/>
      <c r="C1952" s="22" t="s">
        <v>53</v>
      </c>
      <c r="D1952" s="38"/>
      <c r="E1952" s="38"/>
      <c r="F1952" s="65"/>
      <c r="G1952" s="66"/>
      <c r="H1952" s="38"/>
      <c r="I1952" s="38"/>
      <c r="J1952" s="38"/>
      <c r="K1952" s="38"/>
      <c r="L1952" s="38"/>
      <c r="M1952" s="56"/>
      <c r="N1952" s="56" t="b">
        <v>0</v>
      </c>
      <c r="O1952" s="56" t="b">
        <v>0</v>
      </c>
      <c r="P1952" s="56"/>
      <c r="Q1952" s="56"/>
      <c r="R1952" s="56"/>
      <c r="S1952" s="56"/>
      <c r="T1952" s="56"/>
      <c r="U1952" s="56"/>
      <c r="V1952" s="56"/>
      <c r="W1952" s="56"/>
      <c r="X1952" s="56"/>
      <c r="Y1952" s="56"/>
      <c r="Z1952" s="56"/>
      <c r="AA1952" s="56"/>
      <c r="AB1952" s="56"/>
    </row>
    <row r="1953" ht="15.75" customHeight="1">
      <c r="A1953" s="169"/>
      <c r="B1953" s="63"/>
      <c r="C1953" s="22" t="s">
        <v>53</v>
      </c>
      <c r="D1953" s="38"/>
      <c r="E1953" s="38"/>
      <c r="F1953" s="65"/>
      <c r="G1953" s="66"/>
      <c r="H1953" s="38"/>
      <c r="I1953" s="38"/>
      <c r="J1953" s="38"/>
      <c r="K1953" s="38"/>
      <c r="L1953" s="38"/>
      <c r="M1953" s="56"/>
      <c r="N1953" s="56" t="b">
        <v>0</v>
      </c>
      <c r="O1953" s="56" t="b">
        <v>0</v>
      </c>
      <c r="P1953" s="56"/>
      <c r="Q1953" s="56"/>
      <c r="R1953" s="56"/>
      <c r="S1953" s="56"/>
      <c r="T1953" s="56"/>
      <c r="U1953" s="56"/>
      <c r="V1953" s="56"/>
      <c r="W1953" s="56"/>
      <c r="X1953" s="56"/>
      <c r="Y1953" s="56"/>
      <c r="Z1953" s="56"/>
      <c r="AA1953" s="56"/>
      <c r="AB1953" s="56"/>
    </row>
    <row r="1954" ht="15.75" customHeight="1">
      <c r="A1954" s="169"/>
      <c r="B1954" s="69"/>
      <c r="C1954" s="22"/>
      <c r="D1954" s="38"/>
      <c r="E1954" s="38"/>
      <c r="F1954" s="65"/>
      <c r="G1954" s="66"/>
      <c r="H1954" s="38"/>
      <c r="I1954" s="38"/>
      <c r="J1954" s="38"/>
      <c r="K1954" s="38"/>
      <c r="L1954" s="38"/>
      <c r="M1954" s="56"/>
      <c r="N1954" s="56" t="b">
        <v>0</v>
      </c>
      <c r="O1954" s="56" t="b">
        <v>0</v>
      </c>
      <c r="P1954" s="56"/>
      <c r="Q1954" s="56"/>
      <c r="R1954" s="56"/>
      <c r="S1954" s="56"/>
      <c r="T1954" s="56"/>
      <c r="U1954" s="56"/>
      <c r="V1954" s="56"/>
      <c r="W1954" s="56"/>
      <c r="X1954" s="56"/>
      <c r="Y1954" s="56"/>
      <c r="Z1954" s="56"/>
      <c r="AA1954" s="56"/>
      <c r="AB1954" s="56"/>
    </row>
    <row r="1955" ht="15.75" customHeight="1">
      <c r="A1955" s="169"/>
      <c r="B1955" s="273" t="s">
        <v>6168</v>
      </c>
      <c r="C1955" s="22" t="s">
        <v>66</v>
      </c>
      <c r="D1955" s="172" t="s">
        <v>89</v>
      </c>
      <c r="E1955" s="77" t="s">
        <v>4265</v>
      </c>
      <c r="F1955" s="77" t="s">
        <v>4266</v>
      </c>
      <c r="G1955" s="82" t="s">
        <v>6554</v>
      </c>
      <c r="H1955" s="76" t="s">
        <v>6695</v>
      </c>
      <c r="I1955" s="76" t="s">
        <v>6696</v>
      </c>
      <c r="J1955" s="76" t="s">
        <v>4268</v>
      </c>
      <c r="K1955" s="38" t="s">
        <v>6781</v>
      </c>
      <c r="L1955" s="38"/>
      <c r="M1955" s="56"/>
      <c r="N1955" s="56" t="b">
        <v>0</v>
      </c>
      <c r="O1955" s="56" t="b">
        <v>0</v>
      </c>
      <c r="P1955" s="56"/>
      <c r="Q1955" s="56"/>
      <c r="R1955" s="56"/>
      <c r="S1955" s="56"/>
      <c r="T1955" s="56"/>
      <c r="U1955" s="56"/>
      <c r="V1955" s="56"/>
      <c r="W1955" s="56"/>
      <c r="X1955" s="56"/>
      <c r="Y1955" s="56"/>
      <c r="Z1955" s="56"/>
      <c r="AA1955" s="56"/>
      <c r="AB1955" s="56"/>
    </row>
    <row r="1956" ht="15.75" customHeight="1">
      <c r="A1956" s="169"/>
      <c r="B1956" s="63"/>
      <c r="C1956" s="22" t="s">
        <v>66</v>
      </c>
      <c r="D1956" s="62" t="s">
        <v>133</v>
      </c>
      <c r="E1956" s="242" t="s">
        <v>1521</v>
      </c>
      <c r="F1956" s="242" t="s">
        <v>1522</v>
      </c>
      <c r="G1956" s="73" t="s">
        <v>4887</v>
      </c>
      <c r="H1956" s="62" t="s">
        <v>6782</v>
      </c>
      <c r="I1956" s="62" t="s">
        <v>6783</v>
      </c>
      <c r="J1956" s="62" t="s">
        <v>1525</v>
      </c>
      <c r="K1956" s="38"/>
      <c r="L1956" s="38"/>
      <c r="M1956" s="56"/>
      <c r="N1956" s="56" t="b">
        <v>0</v>
      </c>
      <c r="O1956" s="56" t="b">
        <v>0</v>
      </c>
      <c r="P1956" s="56"/>
      <c r="Q1956" s="56"/>
      <c r="R1956" s="56"/>
      <c r="S1956" s="56"/>
      <c r="T1956" s="56"/>
      <c r="U1956" s="56"/>
      <c r="V1956" s="56"/>
      <c r="W1956" s="56"/>
      <c r="X1956" s="56"/>
      <c r="Y1956" s="56"/>
      <c r="Z1956" s="56"/>
      <c r="AA1956" s="56"/>
      <c r="AB1956" s="56"/>
    </row>
    <row r="1957" ht="15.75" customHeight="1">
      <c r="A1957" s="169"/>
      <c r="B1957" s="63"/>
      <c r="C1957" s="22" t="s">
        <v>66</v>
      </c>
      <c r="D1957" s="62" t="s">
        <v>267</v>
      </c>
      <c r="E1957" s="60" t="s">
        <v>3885</v>
      </c>
      <c r="F1957" s="60" t="s">
        <v>3886</v>
      </c>
      <c r="G1957" s="73" t="s">
        <v>4892</v>
      </c>
      <c r="H1957" s="242" t="s">
        <v>5924</v>
      </c>
      <c r="I1957" s="60" t="s">
        <v>6784</v>
      </c>
      <c r="J1957" s="242" t="s">
        <v>3888</v>
      </c>
      <c r="K1957" s="38"/>
      <c r="L1957" s="38"/>
      <c r="M1957" s="56"/>
      <c r="N1957" s="56" t="b">
        <v>0</v>
      </c>
      <c r="O1957" s="56" t="b">
        <v>0</v>
      </c>
      <c r="P1957" s="56"/>
      <c r="Q1957" s="56"/>
      <c r="R1957" s="56"/>
      <c r="S1957" s="56"/>
      <c r="T1957" s="56"/>
      <c r="U1957" s="56"/>
      <c r="V1957" s="56"/>
      <c r="W1957" s="56"/>
      <c r="X1957" s="56"/>
      <c r="Y1957" s="56"/>
      <c r="Z1957" s="56"/>
      <c r="AA1957" s="56"/>
      <c r="AB1957" s="56"/>
    </row>
    <row r="1958" ht="15.75" customHeight="1">
      <c r="A1958" s="169"/>
      <c r="B1958" s="63"/>
      <c r="C1958" s="22" t="s">
        <v>66</v>
      </c>
      <c r="D1958" s="62" t="s">
        <v>267</v>
      </c>
      <c r="E1958" s="60" t="s">
        <v>3973</v>
      </c>
      <c r="F1958" s="242" t="s">
        <v>3974</v>
      </c>
      <c r="G1958" s="73" t="s">
        <v>4899</v>
      </c>
      <c r="H1958" s="60" t="s">
        <v>5773</v>
      </c>
      <c r="I1958" s="60" t="s">
        <v>6785</v>
      </c>
      <c r="J1958" s="60" t="s">
        <v>3976</v>
      </c>
      <c r="K1958" s="38"/>
      <c r="L1958" s="38"/>
      <c r="M1958" s="56"/>
      <c r="N1958" s="56" t="b">
        <v>0</v>
      </c>
      <c r="O1958" s="56" t="b">
        <v>0</v>
      </c>
      <c r="P1958" s="56"/>
      <c r="Q1958" s="56"/>
      <c r="R1958" s="56"/>
      <c r="S1958" s="56"/>
      <c r="T1958" s="56"/>
      <c r="U1958" s="56"/>
      <c r="V1958" s="56"/>
      <c r="W1958" s="56"/>
      <c r="X1958" s="56"/>
      <c r="Y1958" s="56"/>
      <c r="Z1958" s="56"/>
      <c r="AA1958" s="56"/>
      <c r="AB1958" s="56"/>
    </row>
    <row r="1959" ht="15.75" customHeight="1">
      <c r="A1959" s="169"/>
      <c r="B1959" s="63"/>
      <c r="C1959" s="22" t="s">
        <v>66</v>
      </c>
      <c r="D1959" s="38"/>
      <c r="E1959" s="38"/>
      <c r="F1959" s="65"/>
      <c r="G1959" s="66"/>
      <c r="H1959" s="38"/>
      <c r="I1959" s="38"/>
      <c r="J1959" s="38"/>
      <c r="K1959" s="38"/>
      <c r="L1959" s="38"/>
      <c r="M1959" s="56"/>
      <c r="N1959" s="56" t="b">
        <v>0</v>
      </c>
      <c r="O1959" s="56" t="b">
        <v>0</v>
      </c>
      <c r="P1959" s="56"/>
      <c r="Q1959" s="56"/>
      <c r="R1959" s="56"/>
      <c r="S1959" s="56"/>
      <c r="T1959" s="56"/>
      <c r="U1959" s="56"/>
      <c r="V1959" s="56"/>
      <c r="W1959" s="56"/>
      <c r="X1959" s="56"/>
      <c r="Y1959" s="56"/>
      <c r="Z1959" s="56"/>
      <c r="AA1959" s="56"/>
      <c r="AB1959" s="56"/>
    </row>
    <row r="1960" ht="15.75" customHeight="1">
      <c r="A1960" s="169"/>
      <c r="B1960" s="69"/>
      <c r="C1960" s="22"/>
      <c r="D1960" s="38"/>
      <c r="E1960" s="38"/>
      <c r="F1960" s="65"/>
      <c r="G1960" s="66"/>
      <c r="H1960" s="38"/>
      <c r="I1960" s="38"/>
      <c r="J1960" s="38"/>
      <c r="K1960" s="38"/>
      <c r="L1960" s="38"/>
      <c r="M1960" s="56"/>
      <c r="N1960" s="56" t="b">
        <v>0</v>
      </c>
      <c r="O1960" s="56" t="b">
        <v>0</v>
      </c>
      <c r="P1960" s="56"/>
      <c r="Q1960" s="56"/>
      <c r="R1960" s="56"/>
      <c r="S1960" s="56"/>
      <c r="T1960" s="56"/>
      <c r="U1960" s="56"/>
      <c r="V1960" s="56"/>
      <c r="W1960" s="56"/>
      <c r="X1960" s="56"/>
      <c r="Y1960" s="56"/>
      <c r="Z1960" s="56"/>
      <c r="AA1960" s="56"/>
      <c r="AB1960" s="56"/>
    </row>
    <row r="1961" ht="15.75" customHeight="1">
      <c r="A1961" s="169"/>
      <c r="B1961" s="299"/>
      <c r="C1961" s="220">
        <v>44573.0</v>
      </c>
      <c r="D1961" s="38"/>
      <c r="E1961" s="38"/>
      <c r="F1961" s="65"/>
      <c r="G1961" s="66"/>
      <c r="H1961" s="38"/>
      <c r="I1961" s="38"/>
      <c r="J1961" s="38"/>
      <c r="K1961" s="38"/>
      <c r="L1961" s="38"/>
      <c r="M1961" s="56"/>
      <c r="N1961" s="56" t="b">
        <v>0</v>
      </c>
      <c r="O1961" s="56" t="b">
        <v>0</v>
      </c>
      <c r="P1961" s="56"/>
      <c r="Q1961" s="56"/>
      <c r="R1961" s="56"/>
      <c r="S1961" s="56"/>
      <c r="T1961" s="56"/>
      <c r="U1961" s="56"/>
      <c r="V1961" s="56"/>
      <c r="W1961" s="56"/>
      <c r="X1961" s="56"/>
      <c r="Y1961" s="56"/>
      <c r="Z1961" s="56"/>
      <c r="AA1961" s="56"/>
      <c r="AB1961" s="56"/>
    </row>
    <row r="1962" ht="15.75" customHeight="1">
      <c r="A1962" s="169"/>
      <c r="B1962" s="320" t="s">
        <v>4836</v>
      </c>
      <c r="C1962" s="22"/>
      <c r="D1962" s="38"/>
      <c r="E1962" s="38"/>
      <c r="F1962" s="65"/>
      <c r="G1962" s="66"/>
      <c r="H1962" s="38"/>
      <c r="I1962" s="38"/>
      <c r="J1962" s="38"/>
      <c r="K1962" s="38"/>
      <c r="L1962" s="38"/>
      <c r="M1962" s="56"/>
      <c r="N1962" s="56" t="b">
        <v>0</v>
      </c>
      <c r="O1962" s="56" t="b">
        <v>0</v>
      </c>
      <c r="P1962" s="56"/>
      <c r="Q1962" s="56"/>
      <c r="R1962" s="56"/>
      <c r="S1962" s="56"/>
      <c r="T1962" s="56"/>
      <c r="U1962" s="56"/>
      <c r="V1962" s="56"/>
      <c r="W1962" s="56"/>
      <c r="X1962" s="56"/>
      <c r="Y1962" s="56"/>
      <c r="Z1962" s="56"/>
      <c r="AA1962" s="56"/>
      <c r="AB1962" s="56"/>
    </row>
    <row r="1963" ht="15.75" customHeight="1">
      <c r="A1963" s="169"/>
      <c r="B1963" s="63"/>
      <c r="C1963" s="22" t="s">
        <v>53</v>
      </c>
      <c r="D1963" s="38"/>
      <c r="E1963" s="162" t="s">
        <v>5784</v>
      </c>
      <c r="F1963" s="155"/>
      <c r="G1963" s="66"/>
      <c r="H1963" s="38"/>
      <c r="I1963" s="38"/>
      <c r="J1963" s="38"/>
      <c r="K1963" s="38"/>
      <c r="L1963" s="38"/>
      <c r="M1963" s="56"/>
      <c r="N1963" s="56" t="b">
        <v>0</v>
      </c>
      <c r="O1963" s="56" t="b">
        <v>0</v>
      </c>
      <c r="P1963" s="56"/>
      <c r="Q1963" s="56"/>
      <c r="R1963" s="56"/>
      <c r="S1963" s="56"/>
      <c r="T1963" s="56"/>
      <c r="U1963" s="56"/>
      <c r="V1963" s="56"/>
      <c r="W1963" s="56"/>
      <c r="X1963" s="56"/>
      <c r="Y1963" s="56"/>
      <c r="Z1963" s="56"/>
      <c r="AA1963" s="56"/>
      <c r="AB1963" s="56"/>
    </row>
    <row r="1964" ht="15.75" customHeight="1">
      <c r="A1964" s="169"/>
      <c r="B1964" s="63"/>
      <c r="C1964" s="22" t="s">
        <v>53</v>
      </c>
      <c r="D1964" s="38"/>
      <c r="E1964" s="156"/>
      <c r="F1964" s="157"/>
      <c r="G1964" s="66"/>
      <c r="H1964" s="38"/>
      <c r="I1964" s="38"/>
      <c r="J1964" s="38"/>
      <c r="K1964" s="38"/>
      <c r="L1964" s="38"/>
      <c r="M1964" s="56"/>
      <c r="N1964" s="56" t="b">
        <v>0</v>
      </c>
      <c r="O1964" s="56" t="b">
        <v>0</v>
      </c>
      <c r="P1964" s="56"/>
      <c r="Q1964" s="56"/>
      <c r="R1964" s="56"/>
      <c r="S1964" s="56"/>
      <c r="T1964" s="56"/>
      <c r="U1964" s="56"/>
      <c r="V1964" s="56"/>
      <c r="W1964" s="56"/>
      <c r="X1964" s="56"/>
      <c r="Y1964" s="56"/>
      <c r="Z1964" s="56"/>
      <c r="AA1964" s="56"/>
      <c r="AB1964" s="56"/>
    </row>
    <row r="1965" ht="15.75" customHeight="1">
      <c r="A1965" s="169"/>
      <c r="B1965" s="63"/>
      <c r="C1965" s="22" t="s">
        <v>53</v>
      </c>
      <c r="D1965" s="38"/>
      <c r="E1965" s="158"/>
      <c r="F1965" s="159"/>
      <c r="G1965" s="66"/>
      <c r="H1965" s="38"/>
      <c r="I1965" s="38"/>
      <c r="J1965" s="38"/>
      <c r="K1965" s="38"/>
      <c r="L1965" s="38"/>
      <c r="M1965" s="56"/>
      <c r="N1965" s="56" t="b">
        <v>0</v>
      </c>
      <c r="O1965" s="56" t="b">
        <v>0</v>
      </c>
      <c r="P1965" s="56"/>
      <c r="Q1965" s="56"/>
      <c r="R1965" s="56"/>
      <c r="S1965" s="56"/>
      <c r="T1965" s="56"/>
      <c r="U1965" s="56"/>
      <c r="V1965" s="56"/>
      <c r="W1965" s="56"/>
      <c r="X1965" s="56"/>
      <c r="Y1965" s="56"/>
      <c r="Z1965" s="56"/>
      <c r="AA1965" s="56"/>
      <c r="AB1965" s="56"/>
    </row>
    <row r="1966" ht="15.75" customHeight="1">
      <c r="A1966" s="169"/>
      <c r="B1966" s="63"/>
      <c r="C1966" s="22" t="s">
        <v>53</v>
      </c>
      <c r="D1966" s="38"/>
      <c r="E1966" s="38"/>
      <c r="F1966" s="65"/>
      <c r="G1966" s="66"/>
      <c r="H1966" s="38"/>
      <c r="I1966" s="38"/>
      <c r="J1966" s="38"/>
      <c r="K1966" s="38"/>
      <c r="L1966" s="38"/>
      <c r="M1966" s="56"/>
      <c r="N1966" s="56" t="b">
        <v>0</v>
      </c>
      <c r="O1966" s="56" t="b">
        <v>0</v>
      </c>
      <c r="P1966" s="56"/>
      <c r="Q1966" s="56"/>
      <c r="R1966" s="56"/>
      <c r="S1966" s="56"/>
      <c r="T1966" s="56"/>
      <c r="U1966" s="56"/>
      <c r="V1966" s="56"/>
      <c r="W1966" s="56"/>
      <c r="X1966" s="56"/>
      <c r="Y1966" s="56"/>
      <c r="Z1966" s="56"/>
      <c r="AA1966" s="56"/>
      <c r="AB1966" s="56"/>
    </row>
    <row r="1967" ht="15.75" customHeight="1">
      <c r="A1967" s="169"/>
      <c r="B1967" s="63"/>
      <c r="C1967" s="22" t="s">
        <v>53</v>
      </c>
      <c r="D1967" s="38"/>
      <c r="E1967" s="38"/>
      <c r="F1967" s="65"/>
      <c r="G1967" s="66"/>
      <c r="H1967" s="38"/>
      <c r="I1967" s="38"/>
      <c r="J1967" s="38"/>
      <c r="K1967" s="38"/>
      <c r="L1967" s="38"/>
      <c r="M1967" s="56"/>
      <c r="N1967" s="56" t="b">
        <v>0</v>
      </c>
      <c r="O1967" s="56" t="b">
        <v>0</v>
      </c>
      <c r="P1967" s="56"/>
      <c r="Q1967" s="56"/>
      <c r="R1967" s="56"/>
      <c r="S1967" s="56"/>
      <c r="T1967" s="56"/>
      <c r="U1967" s="56"/>
      <c r="V1967" s="56"/>
      <c r="W1967" s="56"/>
      <c r="X1967" s="56"/>
      <c r="Y1967" s="56"/>
      <c r="Z1967" s="56"/>
      <c r="AA1967" s="56"/>
      <c r="AB1967" s="56"/>
    </row>
    <row r="1968" ht="15.75" customHeight="1">
      <c r="A1968" s="169"/>
      <c r="B1968" s="69"/>
      <c r="C1968" s="22"/>
      <c r="D1968" s="38"/>
      <c r="E1968" s="38"/>
      <c r="F1968" s="65"/>
      <c r="G1968" s="66"/>
      <c r="H1968" s="38"/>
      <c r="I1968" s="38"/>
      <c r="J1968" s="38"/>
      <c r="K1968" s="38"/>
      <c r="L1968" s="38"/>
      <c r="M1968" s="56"/>
      <c r="N1968" s="56" t="b">
        <v>0</v>
      </c>
      <c r="O1968" s="56" t="b">
        <v>0</v>
      </c>
      <c r="P1968" s="56"/>
      <c r="Q1968" s="56"/>
      <c r="R1968" s="56"/>
      <c r="S1968" s="56"/>
      <c r="T1968" s="56"/>
      <c r="U1968" s="56"/>
      <c r="V1968" s="56"/>
      <c r="W1968" s="56"/>
      <c r="X1968" s="56"/>
      <c r="Y1968" s="56"/>
      <c r="Z1968" s="56"/>
      <c r="AA1968" s="56"/>
      <c r="AB1968" s="56"/>
    </row>
    <row r="1969" ht="15.75" customHeight="1">
      <c r="A1969" s="169"/>
      <c r="B1969" s="320" t="s">
        <v>6168</v>
      </c>
      <c r="C1969" s="22" t="s">
        <v>66</v>
      </c>
      <c r="D1969" s="202" t="s">
        <v>89</v>
      </c>
      <c r="E1969" s="203" t="s">
        <v>1591</v>
      </c>
      <c r="F1969" s="203" t="s">
        <v>1592</v>
      </c>
      <c r="G1969" s="82" t="s">
        <v>5134</v>
      </c>
      <c r="H1969" s="76" t="s">
        <v>6755</v>
      </c>
      <c r="I1969" s="76" t="s">
        <v>6786</v>
      </c>
      <c r="J1969" s="203" t="s">
        <v>1594</v>
      </c>
      <c r="K1969" s="38" t="s">
        <v>6787</v>
      </c>
      <c r="L1969" s="38"/>
      <c r="M1969" s="56"/>
      <c r="N1969" s="56" t="b">
        <v>0</v>
      </c>
      <c r="O1969" s="56" t="b">
        <v>0</v>
      </c>
      <c r="P1969" s="56"/>
      <c r="Q1969" s="56"/>
      <c r="R1969" s="56"/>
      <c r="S1969" s="56"/>
      <c r="T1969" s="56"/>
      <c r="U1969" s="56"/>
      <c r="V1969" s="56"/>
      <c r="W1969" s="56"/>
      <c r="X1969" s="56"/>
      <c r="Y1969" s="56"/>
      <c r="Z1969" s="56"/>
      <c r="AA1969" s="56"/>
      <c r="AB1969" s="56"/>
    </row>
    <row r="1970" ht="15.75" customHeight="1">
      <c r="A1970" s="169"/>
      <c r="B1970" s="63"/>
      <c r="C1970" s="22" t="s">
        <v>66</v>
      </c>
      <c r="D1970" s="202" t="s">
        <v>89</v>
      </c>
      <c r="E1970" s="203" t="s">
        <v>3996</v>
      </c>
      <c r="F1970" s="203" t="s">
        <v>3997</v>
      </c>
      <c r="G1970" s="82" t="s">
        <v>4856</v>
      </c>
      <c r="H1970" s="76" t="s">
        <v>6755</v>
      </c>
      <c r="I1970" s="76" t="s">
        <v>6788</v>
      </c>
      <c r="J1970" s="203" t="s">
        <v>3998</v>
      </c>
      <c r="K1970" s="38" t="s">
        <v>6789</v>
      </c>
      <c r="L1970" s="38"/>
      <c r="M1970" s="56"/>
      <c r="N1970" s="56" t="b">
        <v>0</v>
      </c>
      <c r="O1970" s="56" t="b">
        <v>0</v>
      </c>
      <c r="P1970" s="56"/>
      <c r="Q1970" s="56"/>
      <c r="R1970" s="56"/>
      <c r="S1970" s="56"/>
      <c r="T1970" s="56"/>
      <c r="U1970" s="56"/>
      <c r="V1970" s="56"/>
      <c r="W1970" s="56"/>
      <c r="X1970" s="56"/>
      <c r="Y1970" s="56"/>
      <c r="Z1970" s="56"/>
      <c r="AA1970" s="56"/>
      <c r="AB1970" s="56"/>
    </row>
    <row r="1971" ht="15.75" customHeight="1">
      <c r="A1971" s="169"/>
      <c r="B1971" s="63"/>
      <c r="C1971" s="22" t="s">
        <v>66</v>
      </c>
      <c r="D1971" s="202" t="s">
        <v>89</v>
      </c>
      <c r="E1971" s="203" t="s">
        <v>3101</v>
      </c>
      <c r="F1971" s="203" t="s">
        <v>3102</v>
      </c>
      <c r="G1971" s="82" t="s">
        <v>4858</v>
      </c>
      <c r="H1971" s="76" t="s">
        <v>6411</v>
      </c>
      <c r="I1971" s="76" t="s">
        <v>6790</v>
      </c>
      <c r="J1971" s="203" t="s">
        <v>3105</v>
      </c>
      <c r="K1971" s="38" t="s">
        <v>6789</v>
      </c>
      <c r="L1971" s="38"/>
      <c r="M1971" s="56"/>
      <c r="N1971" s="56" t="b">
        <v>0</v>
      </c>
      <c r="O1971" s="56" t="b">
        <v>0</v>
      </c>
      <c r="P1971" s="56"/>
      <c r="Q1971" s="56"/>
      <c r="R1971" s="56"/>
      <c r="S1971" s="56"/>
      <c r="T1971" s="56"/>
      <c r="U1971" s="56"/>
      <c r="V1971" s="56"/>
      <c r="W1971" s="56"/>
      <c r="X1971" s="56"/>
      <c r="Y1971" s="56"/>
      <c r="Z1971" s="56"/>
      <c r="AA1971" s="56"/>
      <c r="AB1971" s="56"/>
    </row>
    <row r="1972" ht="15.75" customHeight="1">
      <c r="A1972" s="169"/>
      <c r="B1972" s="63"/>
      <c r="C1972" s="22" t="s">
        <v>66</v>
      </c>
      <c r="D1972" s="202" t="s">
        <v>89</v>
      </c>
      <c r="E1972" s="203" t="s">
        <v>398</v>
      </c>
      <c r="F1972" s="203" t="s">
        <v>399</v>
      </c>
      <c r="G1972" s="82" t="s">
        <v>5089</v>
      </c>
      <c r="H1972" s="76" t="s">
        <v>5689</v>
      </c>
      <c r="I1972" s="76" t="s">
        <v>6791</v>
      </c>
      <c r="J1972" s="203" t="s">
        <v>401</v>
      </c>
      <c r="K1972" s="38" t="s">
        <v>6789</v>
      </c>
      <c r="L1972" s="38"/>
      <c r="M1972" s="56"/>
      <c r="N1972" s="56" t="b">
        <v>0</v>
      </c>
      <c r="O1972" s="56" t="b">
        <v>0</v>
      </c>
      <c r="P1972" s="56"/>
      <c r="Q1972" s="56"/>
      <c r="R1972" s="56"/>
      <c r="S1972" s="56"/>
      <c r="T1972" s="56"/>
      <c r="U1972" s="56"/>
      <c r="V1972" s="56"/>
      <c r="W1972" s="56"/>
      <c r="X1972" s="56"/>
      <c r="Y1972" s="56"/>
      <c r="Z1972" s="56"/>
      <c r="AA1972" s="56"/>
      <c r="AB1972" s="56"/>
    </row>
    <row r="1973" ht="15.75" customHeight="1">
      <c r="A1973" s="169"/>
      <c r="B1973" s="63"/>
      <c r="C1973" s="22" t="s">
        <v>66</v>
      </c>
      <c r="D1973" s="38"/>
      <c r="E1973" s="38"/>
      <c r="F1973" s="65"/>
      <c r="G1973" s="66"/>
      <c r="H1973" s="38"/>
      <c r="I1973" s="38"/>
      <c r="J1973" s="38"/>
      <c r="K1973" s="38"/>
      <c r="L1973" s="38"/>
      <c r="M1973" s="56"/>
      <c r="N1973" s="56" t="b">
        <v>0</v>
      </c>
      <c r="O1973" s="56" t="b">
        <v>0</v>
      </c>
      <c r="P1973" s="56"/>
      <c r="Q1973" s="56"/>
      <c r="R1973" s="56"/>
      <c r="S1973" s="56"/>
      <c r="T1973" s="56"/>
      <c r="U1973" s="56"/>
      <c r="V1973" s="56"/>
      <c r="W1973" s="56"/>
      <c r="X1973" s="56"/>
      <c r="Y1973" s="56"/>
      <c r="Z1973" s="56"/>
      <c r="AA1973" s="56"/>
      <c r="AB1973" s="56"/>
    </row>
    <row r="1974" ht="15.75" customHeight="1">
      <c r="A1974" s="169"/>
      <c r="B1974" s="69"/>
      <c r="C1974" s="22"/>
      <c r="D1974" s="38"/>
      <c r="E1974" s="38"/>
      <c r="F1974" s="65"/>
      <c r="G1974" s="66"/>
      <c r="H1974" s="38"/>
      <c r="I1974" s="38"/>
      <c r="J1974" s="38"/>
      <c r="K1974" s="38"/>
      <c r="L1974" s="38"/>
      <c r="M1974" s="56"/>
      <c r="N1974" s="56" t="b">
        <v>0</v>
      </c>
      <c r="O1974" s="56" t="b">
        <v>0</v>
      </c>
      <c r="P1974" s="56"/>
      <c r="Q1974" s="56"/>
      <c r="R1974" s="56"/>
      <c r="S1974" s="56"/>
      <c r="T1974" s="56"/>
      <c r="U1974" s="56"/>
      <c r="V1974" s="56"/>
      <c r="W1974" s="56"/>
      <c r="X1974" s="56"/>
      <c r="Y1974" s="56"/>
      <c r="Z1974" s="56"/>
      <c r="AA1974" s="56"/>
      <c r="AB1974" s="56"/>
    </row>
    <row r="1975" ht="15.75" customHeight="1">
      <c r="A1975" s="169"/>
      <c r="B1975" s="299"/>
      <c r="C1975" s="220">
        <v>44574.0</v>
      </c>
      <c r="D1975" s="38"/>
      <c r="E1975" s="38"/>
      <c r="F1975" s="65"/>
      <c r="G1975" s="66"/>
      <c r="H1975" s="38"/>
      <c r="I1975" s="38"/>
      <c r="J1975" s="38"/>
      <c r="K1975" s="38"/>
      <c r="L1975" s="38"/>
      <c r="M1975" s="56"/>
      <c r="N1975" s="56" t="b">
        <v>0</v>
      </c>
      <c r="O1975" s="56" t="b">
        <v>0</v>
      </c>
      <c r="P1975" s="56"/>
      <c r="Q1975" s="56"/>
      <c r="R1975" s="56"/>
      <c r="S1975" s="56"/>
      <c r="T1975" s="56"/>
      <c r="U1975" s="56"/>
      <c r="V1975" s="56"/>
      <c r="W1975" s="56"/>
      <c r="X1975" s="56"/>
      <c r="Y1975" s="56"/>
      <c r="Z1975" s="56"/>
      <c r="AA1975" s="56"/>
      <c r="AB1975" s="56"/>
    </row>
    <row r="1976" ht="15.75" customHeight="1">
      <c r="A1976" s="169"/>
      <c r="B1976" s="320" t="s">
        <v>4836</v>
      </c>
      <c r="C1976" s="22"/>
      <c r="D1976" s="38"/>
      <c r="E1976" s="38"/>
      <c r="F1976" s="65"/>
      <c r="G1976" s="66"/>
      <c r="H1976" s="38"/>
      <c r="I1976" s="38"/>
      <c r="J1976" s="38"/>
      <c r="K1976" s="38"/>
      <c r="L1976" s="38"/>
      <c r="M1976" s="56"/>
      <c r="N1976" s="56" t="b">
        <v>0</v>
      </c>
      <c r="O1976" s="56" t="b">
        <v>0</v>
      </c>
      <c r="P1976" s="56"/>
      <c r="Q1976" s="56"/>
      <c r="R1976" s="56"/>
      <c r="S1976" s="56"/>
      <c r="T1976" s="56"/>
      <c r="U1976" s="56"/>
      <c r="V1976" s="56"/>
      <c r="W1976" s="56"/>
      <c r="X1976" s="56"/>
      <c r="Y1976" s="56"/>
      <c r="Z1976" s="56"/>
      <c r="AA1976" s="56"/>
      <c r="AB1976" s="56"/>
    </row>
    <row r="1977" ht="15.75" customHeight="1">
      <c r="A1977" s="169"/>
      <c r="B1977" s="63"/>
      <c r="C1977" s="22" t="s">
        <v>53</v>
      </c>
      <c r="D1977" s="38"/>
      <c r="E1977" s="38"/>
      <c r="F1977" s="65"/>
      <c r="G1977" s="66"/>
      <c r="H1977" s="38"/>
      <c r="I1977" s="38"/>
      <c r="J1977" s="38"/>
      <c r="K1977" s="38"/>
      <c r="L1977" s="38"/>
      <c r="M1977" s="56"/>
      <c r="N1977" s="56" t="b">
        <v>0</v>
      </c>
      <c r="O1977" s="56" t="b">
        <v>0</v>
      </c>
      <c r="P1977" s="56"/>
      <c r="Q1977" s="56"/>
      <c r="R1977" s="56"/>
      <c r="S1977" s="56"/>
      <c r="T1977" s="56"/>
      <c r="U1977" s="56"/>
      <c r="V1977" s="56"/>
      <c r="W1977" s="56"/>
      <c r="X1977" s="56"/>
      <c r="Y1977" s="56"/>
      <c r="Z1977" s="56"/>
      <c r="AA1977" s="56"/>
      <c r="AB1977" s="56"/>
    </row>
    <row r="1978" ht="15.75" customHeight="1">
      <c r="A1978" s="169"/>
      <c r="B1978" s="63"/>
      <c r="C1978" s="22" t="s">
        <v>53</v>
      </c>
      <c r="D1978" s="38"/>
      <c r="E1978" s="162" t="s">
        <v>5784</v>
      </c>
      <c r="F1978" s="155"/>
      <c r="G1978" s="66"/>
      <c r="H1978" s="38"/>
      <c r="I1978" s="38"/>
      <c r="J1978" s="38"/>
      <c r="K1978" s="38"/>
      <c r="L1978" s="38"/>
      <c r="M1978" s="56"/>
      <c r="N1978" s="56" t="b">
        <v>0</v>
      </c>
      <c r="O1978" s="56" t="b">
        <v>0</v>
      </c>
      <c r="P1978" s="56"/>
      <c r="Q1978" s="56"/>
      <c r="R1978" s="56"/>
      <c r="S1978" s="56"/>
      <c r="T1978" s="56"/>
      <c r="U1978" s="56"/>
      <c r="V1978" s="56"/>
      <c r="W1978" s="56"/>
      <c r="X1978" s="56"/>
      <c r="Y1978" s="56"/>
      <c r="Z1978" s="56"/>
      <c r="AA1978" s="56"/>
      <c r="AB1978" s="56"/>
    </row>
    <row r="1979" ht="15.75" customHeight="1">
      <c r="A1979" s="169"/>
      <c r="B1979" s="63"/>
      <c r="C1979" s="22" t="s">
        <v>53</v>
      </c>
      <c r="D1979" s="38"/>
      <c r="E1979" s="156"/>
      <c r="F1979" s="157"/>
      <c r="G1979" s="66"/>
      <c r="H1979" s="38"/>
      <c r="I1979" s="38"/>
      <c r="J1979" s="38"/>
      <c r="K1979" s="38"/>
      <c r="L1979" s="38"/>
      <c r="M1979" s="56"/>
      <c r="N1979" s="56" t="b">
        <v>0</v>
      </c>
      <c r="O1979" s="56" t="b">
        <v>0</v>
      </c>
      <c r="P1979" s="56"/>
      <c r="Q1979" s="56"/>
      <c r="R1979" s="56"/>
      <c r="S1979" s="56"/>
      <c r="T1979" s="56"/>
      <c r="U1979" s="56"/>
      <c r="V1979" s="56"/>
      <c r="W1979" s="56"/>
      <c r="X1979" s="56"/>
      <c r="Y1979" s="56"/>
      <c r="Z1979" s="56"/>
      <c r="AA1979" s="56"/>
      <c r="AB1979" s="56"/>
    </row>
    <row r="1980" ht="15.75" customHeight="1">
      <c r="A1980" s="169"/>
      <c r="B1980" s="63"/>
      <c r="C1980" s="22" t="s">
        <v>53</v>
      </c>
      <c r="D1980" s="38"/>
      <c r="E1980" s="158"/>
      <c r="F1980" s="159"/>
      <c r="G1980" s="66"/>
      <c r="H1980" s="38"/>
      <c r="I1980" s="38"/>
      <c r="J1980" s="38"/>
      <c r="K1980" s="38"/>
      <c r="L1980" s="38"/>
      <c r="M1980" s="56"/>
      <c r="N1980" s="56" t="b">
        <v>0</v>
      </c>
      <c r="O1980" s="56" t="b">
        <v>0</v>
      </c>
      <c r="P1980" s="56"/>
      <c r="Q1980" s="56"/>
      <c r="R1980" s="56"/>
      <c r="S1980" s="56"/>
      <c r="T1980" s="56"/>
      <c r="U1980" s="56"/>
      <c r="V1980" s="56"/>
      <c r="W1980" s="56"/>
      <c r="X1980" s="56"/>
      <c r="Y1980" s="56"/>
      <c r="Z1980" s="56"/>
      <c r="AA1980" s="56"/>
      <c r="AB1980" s="56"/>
    </row>
    <row r="1981" ht="15.75" customHeight="1">
      <c r="A1981" s="169"/>
      <c r="B1981" s="63"/>
      <c r="C1981" s="22" t="s">
        <v>53</v>
      </c>
      <c r="D1981" s="38"/>
      <c r="E1981" s="38"/>
      <c r="F1981" s="65"/>
      <c r="G1981" s="66"/>
      <c r="H1981" s="38"/>
      <c r="I1981" s="38"/>
      <c r="J1981" s="38"/>
      <c r="K1981" s="38"/>
      <c r="L1981" s="38"/>
      <c r="M1981" s="56"/>
      <c r="N1981" s="56" t="b">
        <v>0</v>
      </c>
      <c r="O1981" s="56" t="b">
        <v>0</v>
      </c>
      <c r="P1981" s="56"/>
      <c r="Q1981" s="56"/>
      <c r="R1981" s="56"/>
      <c r="S1981" s="56"/>
      <c r="T1981" s="56"/>
      <c r="U1981" s="56"/>
      <c r="V1981" s="56"/>
      <c r="W1981" s="56"/>
      <c r="X1981" s="56"/>
      <c r="Y1981" s="56"/>
      <c r="Z1981" s="56"/>
      <c r="AA1981" s="56"/>
      <c r="AB1981" s="56"/>
    </row>
    <row r="1982" ht="15.75" customHeight="1">
      <c r="A1982" s="169"/>
      <c r="B1982" s="69"/>
      <c r="C1982" s="22"/>
      <c r="D1982" s="38"/>
      <c r="E1982" s="38"/>
      <c r="F1982" s="65"/>
      <c r="G1982" s="66"/>
      <c r="H1982" s="38"/>
      <c r="I1982" s="38"/>
      <c r="J1982" s="38"/>
      <c r="K1982" s="38"/>
      <c r="L1982" s="38"/>
      <c r="M1982" s="56"/>
      <c r="N1982" s="56" t="b">
        <v>0</v>
      </c>
      <c r="O1982" s="56" t="b">
        <v>0</v>
      </c>
      <c r="P1982" s="56"/>
      <c r="Q1982" s="56"/>
      <c r="R1982" s="56"/>
      <c r="S1982" s="56"/>
      <c r="T1982" s="56"/>
      <c r="U1982" s="56"/>
      <c r="V1982" s="56"/>
      <c r="W1982" s="56"/>
      <c r="X1982" s="56"/>
      <c r="Y1982" s="56"/>
      <c r="Z1982" s="56"/>
      <c r="AA1982" s="56"/>
      <c r="AB1982" s="56"/>
    </row>
    <row r="1983" ht="15.75" customHeight="1">
      <c r="A1983" s="169"/>
      <c r="B1983" s="320" t="s">
        <v>6168</v>
      </c>
      <c r="C1983" s="164"/>
      <c r="D1983" s="38"/>
      <c r="E1983" s="38"/>
      <c r="F1983" s="65"/>
      <c r="G1983" s="66"/>
      <c r="H1983" s="38"/>
      <c r="I1983" s="38"/>
      <c r="J1983" s="38"/>
      <c r="K1983" s="38"/>
      <c r="L1983" s="38"/>
      <c r="M1983" s="56"/>
      <c r="N1983" s="56" t="b">
        <v>0</v>
      </c>
      <c r="O1983" s="56" t="b">
        <v>0</v>
      </c>
      <c r="P1983" s="56"/>
      <c r="Q1983" s="56"/>
      <c r="R1983" s="56"/>
      <c r="S1983" s="56"/>
      <c r="T1983" s="56"/>
      <c r="U1983" s="56"/>
      <c r="V1983" s="56"/>
      <c r="W1983" s="56"/>
      <c r="X1983" s="56"/>
      <c r="Y1983" s="56"/>
      <c r="Z1983" s="56"/>
      <c r="AA1983" s="56"/>
      <c r="AB1983" s="56"/>
    </row>
    <row r="1984" ht="15.75" customHeight="1">
      <c r="A1984" s="169"/>
      <c r="B1984" s="63"/>
      <c r="C1984" s="31" t="s">
        <v>66</v>
      </c>
      <c r="D1984" s="27" t="s">
        <v>89</v>
      </c>
      <c r="E1984" s="60" t="s">
        <v>4671</v>
      </c>
      <c r="F1984" s="60" t="s">
        <v>4672</v>
      </c>
      <c r="G1984" s="73" t="s">
        <v>5134</v>
      </c>
      <c r="H1984" s="62" t="s">
        <v>6792</v>
      </c>
      <c r="I1984" s="62" t="s">
        <v>6793</v>
      </c>
      <c r="J1984" s="242" t="s">
        <v>4673</v>
      </c>
      <c r="K1984" s="38"/>
      <c r="L1984" s="38"/>
      <c r="M1984" s="56"/>
      <c r="N1984" s="56" t="b">
        <v>0</v>
      </c>
      <c r="O1984" s="56" t="b">
        <v>0</v>
      </c>
      <c r="P1984" s="56"/>
      <c r="Q1984" s="56"/>
      <c r="R1984" s="56"/>
      <c r="S1984" s="56"/>
      <c r="T1984" s="56"/>
      <c r="U1984" s="56"/>
      <c r="V1984" s="56"/>
      <c r="W1984" s="56"/>
      <c r="X1984" s="56"/>
      <c r="Y1984" s="56"/>
      <c r="Z1984" s="56"/>
      <c r="AA1984" s="56"/>
      <c r="AB1984" s="56"/>
    </row>
    <row r="1985" ht="15.75" customHeight="1">
      <c r="A1985" s="169"/>
      <c r="B1985" s="63"/>
      <c r="C1985" s="22" t="s">
        <v>66</v>
      </c>
      <c r="D1985" s="62" t="s">
        <v>133</v>
      </c>
      <c r="E1985" s="60" t="s">
        <v>1582</v>
      </c>
      <c r="F1985" s="60" t="s">
        <v>1583</v>
      </c>
      <c r="G1985" s="73" t="s">
        <v>4856</v>
      </c>
      <c r="H1985" s="62" t="s">
        <v>5026</v>
      </c>
      <c r="I1985" s="62" t="s">
        <v>6794</v>
      </c>
      <c r="J1985" s="62" t="s">
        <v>1585</v>
      </c>
      <c r="K1985" s="38" t="s">
        <v>6795</v>
      </c>
      <c r="L1985" s="38"/>
      <c r="M1985" s="56"/>
      <c r="N1985" s="56" t="b">
        <v>0</v>
      </c>
      <c r="O1985" s="56" t="b">
        <v>0</v>
      </c>
      <c r="P1985" s="56"/>
      <c r="Q1985" s="56"/>
      <c r="R1985" s="56"/>
      <c r="S1985" s="56"/>
      <c r="T1985" s="56"/>
      <c r="U1985" s="56"/>
      <c r="V1985" s="56"/>
      <c r="W1985" s="56"/>
      <c r="X1985" s="56"/>
      <c r="Y1985" s="56"/>
      <c r="Z1985" s="56"/>
      <c r="AA1985" s="56"/>
      <c r="AB1985" s="56"/>
    </row>
    <row r="1986" ht="15.75" customHeight="1">
      <c r="A1986" s="169"/>
      <c r="B1986" s="63"/>
      <c r="C1986" s="22" t="s">
        <v>66</v>
      </c>
      <c r="D1986" s="76" t="s">
        <v>133</v>
      </c>
      <c r="E1986" s="77" t="s">
        <v>1125</v>
      </c>
      <c r="F1986" s="77" t="s">
        <v>1126</v>
      </c>
      <c r="G1986" s="82" t="s">
        <v>4858</v>
      </c>
      <c r="H1986" s="76" t="s">
        <v>4968</v>
      </c>
      <c r="I1986" s="76" t="s">
        <v>6796</v>
      </c>
      <c r="J1986" s="76" t="s">
        <v>1128</v>
      </c>
      <c r="K1986" s="38" t="s">
        <v>6795</v>
      </c>
      <c r="L1986" s="38"/>
      <c r="M1986" s="56"/>
      <c r="N1986" s="56" t="b">
        <v>0</v>
      </c>
      <c r="O1986" s="56" t="b">
        <v>0</v>
      </c>
      <c r="P1986" s="56"/>
      <c r="Q1986" s="56"/>
      <c r="R1986" s="56"/>
      <c r="S1986" s="56"/>
      <c r="T1986" s="56"/>
      <c r="U1986" s="56"/>
      <c r="V1986" s="56"/>
      <c r="W1986" s="56"/>
      <c r="X1986" s="56"/>
      <c r="Y1986" s="56"/>
      <c r="Z1986" s="56"/>
      <c r="AA1986" s="56"/>
      <c r="AB1986" s="56"/>
    </row>
    <row r="1987" ht="15.75" customHeight="1">
      <c r="A1987" s="169"/>
      <c r="B1987" s="63"/>
      <c r="C1987" s="22" t="s">
        <v>66</v>
      </c>
      <c r="D1987" s="76" t="s">
        <v>133</v>
      </c>
      <c r="E1987" s="77" t="s">
        <v>268</v>
      </c>
      <c r="F1987" s="77" t="s">
        <v>269</v>
      </c>
      <c r="G1987" s="82" t="s">
        <v>4847</v>
      </c>
      <c r="H1987" s="76" t="s">
        <v>5133</v>
      </c>
      <c r="I1987" s="76" t="s">
        <v>6797</v>
      </c>
      <c r="J1987" s="76" t="s">
        <v>271</v>
      </c>
      <c r="K1987" s="38" t="s">
        <v>6795</v>
      </c>
      <c r="L1987" s="38"/>
      <c r="M1987" s="56"/>
      <c r="N1987" s="56" t="b">
        <v>0</v>
      </c>
      <c r="O1987" s="56" t="b">
        <v>0</v>
      </c>
      <c r="P1987" s="56"/>
      <c r="Q1987" s="56"/>
      <c r="R1987" s="56"/>
      <c r="S1987" s="56"/>
      <c r="T1987" s="56"/>
      <c r="U1987" s="56"/>
      <c r="V1987" s="56"/>
      <c r="W1987" s="56"/>
      <c r="X1987" s="56"/>
      <c r="Y1987" s="56"/>
      <c r="Z1987" s="56"/>
      <c r="AA1987" s="56"/>
      <c r="AB1987" s="56"/>
    </row>
    <row r="1988" ht="15.75" customHeight="1">
      <c r="A1988" s="169"/>
      <c r="B1988" s="69"/>
      <c r="C1988" s="22" t="s">
        <v>66</v>
      </c>
      <c r="D1988" s="76" t="s">
        <v>133</v>
      </c>
      <c r="E1988" s="77" t="s">
        <v>1381</v>
      </c>
      <c r="F1988" s="77" t="s">
        <v>1382</v>
      </c>
      <c r="G1988" s="82" t="s">
        <v>4997</v>
      </c>
      <c r="H1988" s="76" t="s">
        <v>5589</v>
      </c>
      <c r="I1988" s="76" t="s">
        <v>6798</v>
      </c>
      <c r="J1988" s="76" t="s">
        <v>1384</v>
      </c>
      <c r="K1988" s="38" t="s">
        <v>6795</v>
      </c>
      <c r="L1988" s="38"/>
      <c r="M1988" s="56"/>
      <c r="N1988" s="56" t="b">
        <v>0</v>
      </c>
      <c r="O1988" s="56" t="b">
        <v>0</v>
      </c>
      <c r="P1988" s="56"/>
      <c r="Q1988" s="56"/>
      <c r="R1988" s="56"/>
      <c r="S1988" s="56"/>
      <c r="T1988" s="56"/>
      <c r="U1988" s="56"/>
      <c r="V1988" s="56"/>
      <c r="W1988" s="56"/>
      <c r="X1988" s="56"/>
      <c r="Y1988" s="56"/>
      <c r="Z1988" s="56"/>
      <c r="AA1988" s="56"/>
      <c r="AB1988" s="56"/>
    </row>
    <row r="1989" ht="15.75" customHeight="1">
      <c r="A1989" s="169"/>
      <c r="B1989" s="299"/>
      <c r="C1989" s="220">
        <v>44579.0</v>
      </c>
      <c r="D1989" s="38"/>
      <c r="E1989" s="38"/>
      <c r="F1989" s="65"/>
      <c r="G1989" s="66"/>
      <c r="H1989" s="38"/>
      <c r="I1989" s="38"/>
      <c r="J1989" s="38"/>
      <c r="K1989" s="38"/>
      <c r="L1989" s="38"/>
      <c r="M1989" s="56"/>
      <c r="N1989" s="56" t="b">
        <v>0</v>
      </c>
      <c r="O1989" s="56" t="b">
        <v>0</v>
      </c>
      <c r="P1989" s="56"/>
      <c r="Q1989" s="56"/>
      <c r="R1989" s="56"/>
      <c r="S1989" s="56"/>
      <c r="T1989" s="56"/>
      <c r="U1989" s="56"/>
      <c r="V1989" s="56"/>
      <c r="W1989" s="56"/>
      <c r="X1989" s="56"/>
      <c r="Y1989" s="56"/>
      <c r="Z1989" s="56"/>
      <c r="AA1989" s="56"/>
      <c r="AB1989" s="56"/>
    </row>
    <row r="1990" ht="15.75" customHeight="1">
      <c r="A1990" s="169"/>
      <c r="B1990" s="320" t="s">
        <v>4836</v>
      </c>
      <c r="C1990" s="22"/>
      <c r="D1990" s="38"/>
      <c r="E1990" s="38"/>
      <c r="F1990" s="65"/>
      <c r="G1990" s="66"/>
      <c r="H1990" s="38"/>
      <c r="I1990" s="38"/>
      <c r="J1990" s="38"/>
      <c r="K1990" s="38"/>
      <c r="L1990" s="38"/>
      <c r="M1990" s="56"/>
      <c r="N1990" s="56" t="b">
        <v>0</v>
      </c>
      <c r="O1990" s="56" t="b">
        <v>0</v>
      </c>
      <c r="P1990" s="56"/>
      <c r="Q1990" s="56"/>
      <c r="R1990" s="56"/>
      <c r="S1990" s="56"/>
      <c r="T1990" s="56"/>
      <c r="U1990" s="56"/>
      <c r="V1990" s="56"/>
      <c r="W1990" s="56"/>
      <c r="X1990" s="56"/>
      <c r="Y1990" s="56"/>
      <c r="Z1990" s="56"/>
      <c r="AA1990" s="56"/>
      <c r="AB1990" s="56"/>
    </row>
    <row r="1991" ht="15.75" customHeight="1">
      <c r="A1991" s="169"/>
      <c r="B1991" s="63"/>
      <c r="C1991" s="22" t="s">
        <v>53</v>
      </c>
      <c r="D1991" s="38"/>
      <c r="E1991" s="38"/>
      <c r="F1991" s="65"/>
      <c r="G1991" s="66"/>
      <c r="H1991" s="38"/>
      <c r="I1991" s="38"/>
      <c r="J1991" s="38"/>
      <c r="K1991" s="38"/>
      <c r="L1991" s="38"/>
      <c r="M1991" s="56"/>
      <c r="N1991" s="56" t="b">
        <v>0</v>
      </c>
      <c r="O1991" s="56" t="b">
        <v>0</v>
      </c>
      <c r="P1991" s="56"/>
      <c r="Q1991" s="56"/>
      <c r="R1991" s="56"/>
      <c r="S1991" s="56"/>
      <c r="T1991" s="56"/>
      <c r="U1991" s="56"/>
      <c r="V1991" s="56"/>
      <c r="W1991" s="56"/>
      <c r="X1991" s="56"/>
      <c r="Y1991" s="56"/>
      <c r="Z1991" s="56"/>
      <c r="AA1991" s="56"/>
      <c r="AB1991" s="56"/>
    </row>
    <row r="1992" ht="15.75" customHeight="1">
      <c r="A1992" s="169"/>
      <c r="B1992" s="63"/>
      <c r="C1992" s="22" t="s">
        <v>53</v>
      </c>
      <c r="D1992" s="38"/>
      <c r="E1992" s="162" t="s">
        <v>5784</v>
      </c>
      <c r="F1992" s="155"/>
      <c r="G1992" s="66"/>
      <c r="H1992" s="38"/>
      <c r="I1992" s="38"/>
      <c r="J1992" s="38"/>
      <c r="K1992" s="38"/>
      <c r="L1992" s="38"/>
      <c r="M1992" s="56"/>
      <c r="N1992" s="56" t="b">
        <v>0</v>
      </c>
      <c r="O1992" s="56" t="b">
        <v>0</v>
      </c>
      <c r="P1992" s="56"/>
      <c r="Q1992" s="56"/>
      <c r="R1992" s="56"/>
      <c r="S1992" s="56"/>
      <c r="T1992" s="56"/>
      <c r="U1992" s="56"/>
      <c r="V1992" s="56"/>
      <c r="W1992" s="56"/>
      <c r="X1992" s="56"/>
      <c r="Y1992" s="56"/>
      <c r="Z1992" s="56"/>
      <c r="AA1992" s="56"/>
      <c r="AB1992" s="56"/>
    </row>
    <row r="1993" ht="15.75" customHeight="1">
      <c r="A1993" s="169"/>
      <c r="B1993" s="63"/>
      <c r="C1993" s="22" t="s">
        <v>53</v>
      </c>
      <c r="D1993" s="38"/>
      <c r="E1993" s="156"/>
      <c r="F1993" s="157"/>
      <c r="G1993" s="66"/>
      <c r="H1993" s="38"/>
      <c r="I1993" s="38"/>
      <c r="J1993" s="38"/>
      <c r="K1993" s="38"/>
      <c r="L1993" s="38"/>
      <c r="M1993" s="56"/>
      <c r="N1993" s="56" t="b">
        <v>0</v>
      </c>
      <c r="O1993" s="56" t="b">
        <v>0</v>
      </c>
      <c r="P1993" s="56"/>
      <c r="Q1993" s="56"/>
      <c r="R1993" s="56"/>
      <c r="S1993" s="56"/>
      <c r="T1993" s="56"/>
      <c r="U1993" s="56"/>
      <c r="V1993" s="56"/>
      <c r="W1993" s="56"/>
      <c r="X1993" s="56"/>
      <c r="Y1993" s="56"/>
      <c r="Z1993" s="56"/>
      <c r="AA1993" s="56"/>
      <c r="AB1993" s="56"/>
    </row>
    <row r="1994" ht="15.75" customHeight="1">
      <c r="A1994" s="169"/>
      <c r="B1994" s="63"/>
      <c r="C1994" s="22" t="s">
        <v>53</v>
      </c>
      <c r="D1994" s="38"/>
      <c r="E1994" s="158"/>
      <c r="F1994" s="159"/>
      <c r="G1994" s="66"/>
      <c r="H1994" s="38"/>
      <c r="I1994" s="38"/>
      <c r="J1994" s="38"/>
      <c r="K1994" s="38"/>
      <c r="L1994" s="38"/>
      <c r="M1994" s="56"/>
      <c r="N1994" s="56" t="b">
        <v>0</v>
      </c>
      <c r="O1994" s="56" t="b">
        <v>0</v>
      </c>
      <c r="P1994" s="56"/>
      <c r="Q1994" s="56"/>
      <c r="R1994" s="56"/>
      <c r="S1994" s="56"/>
      <c r="T1994" s="56"/>
      <c r="U1994" s="56"/>
      <c r="V1994" s="56"/>
      <c r="W1994" s="56"/>
      <c r="X1994" s="56"/>
      <c r="Y1994" s="56"/>
      <c r="Z1994" s="56"/>
      <c r="AA1994" s="56"/>
      <c r="AB1994" s="56"/>
    </row>
    <row r="1995" ht="15.75" customHeight="1">
      <c r="A1995" s="169"/>
      <c r="B1995" s="63"/>
      <c r="C1995" s="22" t="s">
        <v>53</v>
      </c>
      <c r="D1995" s="38"/>
      <c r="G1995" s="66"/>
      <c r="H1995" s="38"/>
      <c r="I1995" s="38"/>
      <c r="J1995" s="38"/>
      <c r="K1995" s="38"/>
      <c r="L1995" s="38"/>
      <c r="M1995" s="56"/>
      <c r="N1995" s="56" t="b">
        <v>0</v>
      </c>
      <c r="O1995" s="56" t="b">
        <v>0</v>
      </c>
      <c r="P1995" s="56"/>
      <c r="Q1995" s="56"/>
      <c r="R1995" s="56"/>
      <c r="S1995" s="56"/>
      <c r="T1995" s="56"/>
      <c r="U1995" s="56"/>
      <c r="V1995" s="56"/>
      <c r="W1995" s="56"/>
      <c r="X1995" s="56"/>
      <c r="Y1995" s="56"/>
      <c r="Z1995" s="56"/>
      <c r="AA1995" s="56"/>
      <c r="AB1995" s="56"/>
    </row>
    <row r="1996" ht="15.75" customHeight="1">
      <c r="A1996" s="169"/>
      <c r="B1996" s="69"/>
      <c r="C1996" s="22"/>
      <c r="D1996" s="38"/>
      <c r="E1996" s="129" t="s">
        <v>6799</v>
      </c>
      <c r="F1996" s="127"/>
      <c r="G1996" s="66"/>
      <c r="H1996" s="38"/>
      <c r="I1996" s="38"/>
      <c r="J1996" s="38"/>
      <c r="K1996" s="38"/>
      <c r="L1996" s="38"/>
      <c r="M1996" s="56"/>
      <c r="N1996" s="56" t="b">
        <v>0</v>
      </c>
      <c r="O1996" s="56" t="b">
        <v>0</v>
      </c>
      <c r="P1996" s="56"/>
      <c r="Q1996" s="56"/>
      <c r="R1996" s="56"/>
      <c r="S1996" s="56"/>
      <c r="T1996" s="56"/>
      <c r="U1996" s="56"/>
      <c r="V1996" s="56"/>
      <c r="W1996" s="56"/>
      <c r="X1996" s="56"/>
      <c r="Y1996" s="56"/>
      <c r="Z1996" s="56"/>
      <c r="AA1996" s="56"/>
      <c r="AB1996" s="56"/>
    </row>
    <row r="1997" ht="15.75" customHeight="1">
      <c r="A1997" s="169"/>
      <c r="B1997" s="320" t="s">
        <v>6168</v>
      </c>
      <c r="C1997" s="22" t="s">
        <v>66</v>
      </c>
      <c r="D1997" s="321" t="s">
        <v>87</v>
      </c>
      <c r="E1997" s="322" t="s">
        <v>4015</v>
      </c>
      <c r="F1997" s="323" t="s">
        <v>4016</v>
      </c>
      <c r="G1997" s="324" t="s">
        <v>4983</v>
      </c>
      <c r="H1997" s="252" t="s">
        <v>4984</v>
      </c>
      <c r="I1997" s="252" t="s">
        <v>6800</v>
      </c>
      <c r="J1997" s="325" t="s">
        <v>4018</v>
      </c>
      <c r="K1997" s="38" t="s">
        <v>6801</v>
      </c>
      <c r="L1997" s="38"/>
      <c r="M1997" s="56"/>
      <c r="N1997" s="56" t="b">
        <v>0</v>
      </c>
      <c r="O1997" s="56" t="b">
        <v>0</v>
      </c>
      <c r="P1997" s="56"/>
      <c r="Q1997" s="56"/>
      <c r="R1997" s="56"/>
      <c r="S1997" s="56"/>
      <c r="T1997" s="56"/>
      <c r="U1997" s="56"/>
      <c r="V1997" s="56"/>
      <c r="W1997" s="56"/>
      <c r="X1997" s="56"/>
      <c r="Y1997" s="56"/>
      <c r="Z1997" s="56"/>
      <c r="AA1997" s="56"/>
      <c r="AB1997" s="56"/>
    </row>
    <row r="1998" ht="15.75" customHeight="1">
      <c r="A1998" s="169"/>
      <c r="B1998" s="63"/>
      <c r="C1998" s="22" t="s">
        <v>66</v>
      </c>
      <c r="D1998" s="202" t="s">
        <v>89</v>
      </c>
      <c r="E1998" s="203" t="s">
        <v>4543</v>
      </c>
      <c r="F1998" s="203" t="s">
        <v>4544</v>
      </c>
      <c r="G1998" s="82" t="s">
        <v>5704</v>
      </c>
      <c r="H1998" s="76" t="s">
        <v>6802</v>
      </c>
      <c r="I1998" s="76" t="s">
        <v>6803</v>
      </c>
      <c r="J1998" s="203" t="s">
        <v>4546</v>
      </c>
      <c r="K1998" s="38" t="s">
        <v>6804</v>
      </c>
      <c r="L1998" s="38"/>
      <c r="M1998" s="56"/>
      <c r="N1998" s="56" t="b">
        <v>0</v>
      </c>
      <c r="O1998" s="56" t="b">
        <v>0</v>
      </c>
      <c r="P1998" s="56"/>
      <c r="Q1998" s="56"/>
      <c r="R1998" s="56"/>
      <c r="S1998" s="56"/>
      <c r="T1998" s="56"/>
      <c r="U1998" s="56"/>
      <c r="V1998" s="56"/>
      <c r="W1998" s="56"/>
      <c r="X1998" s="56"/>
      <c r="Y1998" s="56"/>
      <c r="Z1998" s="56"/>
      <c r="AA1998" s="56"/>
      <c r="AB1998" s="56"/>
    </row>
    <row r="1999" ht="15.75" customHeight="1">
      <c r="A1999" s="169"/>
      <c r="B1999" s="63"/>
      <c r="C1999" s="22" t="s">
        <v>66</v>
      </c>
      <c r="D1999" s="27" t="s">
        <v>89</v>
      </c>
      <c r="E1999" s="242" t="s">
        <v>4378</v>
      </c>
      <c r="F1999" s="242" t="s">
        <v>4379</v>
      </c>
      <c r="G1999" s="73" t="s">
        <v>4960</v>
      </c>
      <c r="H1999" s="269" t="s">
        <v>6605</v>
      </c>
      <c r="I1999" s="62" t="s">
        <v>6805</v>
      </c>
      <c r="J1999" s="242" t="s">
        <v>4381</v>
      </c>
      <c r="K1999" s="38"/>
      <c r="L1999" s="38"/>
      <c r="M1999" s="56"/>
      <c r="N1999" s="56" t="b">
        <v>0</v>
      </c>
      <c r="O1999" s="56" t="b">
        <v>0</v>
      </c>
      <c r="P1999" s="56"/>
      <c r="Q1999" s="56"/>
      <c r="R1999" s="56"/>
      <c r="S1999" s="56"/>
      <c r="T1999" s="56"/>
      <c r="U1999" s="56"/>
      <c r="V1999" s="56"/>
      <c r="W1999" s="56"/>
      <c r="X1999" s="56"/>
      <c r="Y1999" s="56"/>
      <c r="Z1999" s="56"/>
      <c r="AA1999" s="56"/>
      <c r="AB1999" s="56"/>
    </row>
    <row r="2000" ht="15.75" customHeight="1">
      <c r="A2000" s="169"/>
      <c r="B2000" s="63"/>
      <c r="C2000" s="22" t="s">
        <v>66</v>
      </c>
      <c r="D2000" s="227" t="s">
        <v>314</v>
      </c>
      <c r="E2000" s="60" t="s">
        <v>2482</v>
      </c>
      <c r="F2000" s="60" t="s">
        <v>2483</v>
      </c>
      <c r="G2000" s="258">
        <v>0.625</v>
      </c>
      <c r="H2000" s="62" t="s">
        <v>5342</v>
      </c>
      <c r="I2000" s="62" t="s">
        <v>6730</v>
      </c>
      <c r="J2000" s="242" t="s">
        <v>908</v>
      </c>
      <c r="K2000" s="38"/>
      <c r="L2000" s="38"/>
      <c r="M2000" s="56"/>
      <c r="N2000" s="56" t="b">
        <v>0</v>
      </c>
      <c r="O2000" s="56" t="b">
        <v>0</v>
      </c>
      <c r="P2000" s="56"/>
      <c r="Q2000" s="56"/>
      <c r="R2000" s="56"/>
      <c r="S2000" s="56"/>
      <c r="T2000" s="56"/>
      <c r="U2000" s="56"/>
      <c r="V2000" s="56"/>
      <c r="W2000" s="56"/>
      <c r="X2000" s="56"/>
      <c r="Y2000" s="56"/>
      <c r="Z2000" s="56"/>
      <c r="AA2000" s="56"/>
      <c r="AB2000" s="56"/>
    </row>
    <row r="2001" ht="15.75" customHeight="1">
      <c r="A2001" s="169"/>
      <c r="B2001" s="63"/>
      <c r="C2001" s="22" t="s">
        <v>66</v>
      </c>
      <c r="D2001" s="27" t="s">
        <v>89</v>
      </c>
      <c r="E2001" s="242" t="s">
        <v>956</v>
      </c>
      <c r="F2001" s="242" t="s">
        <v>957</v>
      </c>
      <c r="G2001" s="73" t="s">
        <v>4899</v>
      </c>
      <c r="H2001" s="62" t="s">
        <v>6806</v>
      </c>
      <c r="I2001" s="62" t="s">
        <v>6807</v>
      </c>
      <c r="J2001" s="242" t="s">
        <v>959</v>
      </c>
      <c r="K2001" s="38"/>
      <c r="L2001" s="38"/>
      <c r="M2001" s="56"/>
      <c r="N2001" s="56" t="b">
        <v>0</v>
      </c>
      <c r="O2001" s="56" t="b">
        <v>0</v>
      </c>
      <c r="P2001" s="56"/>
      <c r="Q2001" s="56"/>
      <c r="R2001" s="56"/>
      <c r="S2001" s="56"/>
      <c r="T2001" s="56"/>
      <c r="U2001" s="56"/>
      <c r="V2001" s="56"/>
      <c r="W2001" s="56"/>
      <c r="X2001" s="56"/>
      <c r="Y2001" s="56"/>
      <c r="Z2001" s="56"/>
      <c r="AA2001" s="56"/>
      <c r="AB2001" s="56"/>
    </row>
    <row r="2002" ht="15.75" customHeight="1">
      <c r="A2002" s="169"/>
      <c r="B2002" s="69"/>
      <c r="C2002" s="22"/>
      <c r="D2002" s="38"/>
      <c r="E2002" s="38"/>
      <c r="F2002" s="65"/>
      <c r="G2002" s="66"/>
      <c r="H2002" s="38"/>
      <c r="I2002" s="38"/>
      <c r="J2002" s="38"/>
      <c r="K2002" s="38"/>
      <c r="L2002" s="38"/>
      <c r="M2002" s="56"/>
      <c r="N2002" s="56" t="b">
        <v>0</v>
      </c>
      <c r="O2002" s="56" t="b">
        <v>0</v>
      </c>
      <c r="P2002" s="56"/>
      <c r="Q2002" s="56"/>
      <c r="R2002" s="56"/>
      <c r="S2002" s="56"/>
      <c r="T2002" s="56"/>
      <c r="U2002" s="56"/>
      <c r="V2002" s="56"/>
      <c r="W2002" s="56"/>
      <c r="X2002" s="56"/>
      <c r="Y2002" s="56"/>
      <c r="Z2002" s="56"/>
      <c r="AA2002" s="56"/>
      <c r="AB2002" s="56"/>
    </row>
    <row r="2003" ht="15.75" customHeight="1">
      <c r="A2003" s="169"/>
      <c r="B2003" s="299"/>
      <c r="C2003" s="220">
        <v>44580.0</v>
      </c>
      <c r="D2003" s="38"/>
      <c r="E2003" s="38"/>
      <c r="F2003" s="65"/>
      <c r="G2003" s="66"/>
      <c r="H2003" s="38"/>
      <c r="I2003" s="38"/>
      <c r="J2003" s="38"/>
      <c r="K2003" s="38"/>
      <c r="L2003" s="38"/>
      <c r="M2003" s="56"/>
      <c r="N2003" s="56" t="b">
        <v>0</v>
      </c>
      <c r="O2003" s="56" t="b">
        <v>0</v>
      </c>
      <c r="P2003" s="56"/>
      <c r="Q2003" s="56"/>
      <c r="R2003" s="56"/>
      <c r="S2003" s="56"/>
      <c r="T2003" s="56"/>
      <c r="U2003" s="56"/>
      <c r="V2003" s="56"/>
      <c r="W2003" s="56"/>
      <c r="X2003" s="56"/>
      <c r="Y2003" s="56"/>
      <c r="Z2003" s="56"/>
      <c r="AA2003" s="56"/>
      <c r="AB2003" s="56"/>
    </row>
    <row r="2004" ht="15.75" customHeight="1">
      <c r="A2004" s="169"/>
      <c r="B2004" s="320" t="s">
        <v>4836</v>
      </c>
      <c r="C2004" s="22"/>
      <c r="D2004" s="38"/>
      <c r="E2004" s="38"/>
      <c r="F2004" s="65"/>
      <c r="G2004" s="66"/>
      <c r="H2004" s="38"/>
      <c r="I2004" s="38"/>
      <c r="J2004" s="38"/>
      <c r="K2004" s="38"/>
      <c r="L2004" s="38"/>
      <c r="M2004" s="56"/>
      <c r="N2004" s="56" t="b">
        <v>0</v>
      </c>
      <c r="O2004" s="56" t="b">
        <v>0</v>
      </c>
      <c r="P2004" s="56"/>
      <c r="Q2004" s="56"/>
      <c r="R2004" s="56"/>
      <c r="S2004" s="56"/>
      <c r="T2004" s="56"/>
      <c r="U2004" s="56"/>
      <c r="V2004" s="56"/>
      <c r="W2004" s="56"/>
      <c r="X2004" s="56"/>
      <c r="Y2004" s="56"/>
      <c r="Z2004" s="56"/>
      <c r="AA2004" s="56"/>
      <c r="AB2004" s="56"/>
    </row>
    <row r="2005" ht="15.75" customHeight="1">
      <c r="A2005" s="169"/>
      <c r="B2005" s="63"/>
      <c r="C2005" s="22" t="s">
        <v>53</v>
      </c>
      <c r="D2005" s="38"/>
      <c r="E2005" s="162" t="s">
        <v>5784</v>
      </c>
      <c r="F2005" s="155"/>
      <c r="G2005" s="66"/>
      <c r="H2005" s="38"/>
      <c r="I2005" s="38"/>
      <c r="J2005" s="38"/>
      <c r="K2005" s="38"/>
      <c r="L2005" s="38"/>
      <c r="M2005" s="56"/>
      <c r="N2005" s="56" t="b">
        <v>0</v>
      </c>
      <c r="O2005" s="56" t="b">
        <v>0</v>
      </c>
      <c r="P2005" s="56"/>
      <c r="Q2005" s="56"/>
      <c r="R2005" s="56"/>
      <c r="S2005" s="56"/>
      <c r="T2005" s="56"/>
      <c r="U2005" s="56"/>
      <c r="V2005" s="56"/>
      <c r="W2005" s="56"/>
      <c r="X2005" s="56"/>
      <c r="Y2005" s="56"/>
      <c r="Z2005" s="56"/>
      <c r="AA2005" s="56"/>
      <c r="AB2005" s="56"/>
    </row>
    <row r="2006" ht="15.75" customHeight="1">
      <c r="A2006" s="169"/>
      <c r="B2006" s="63"/>
      <c r="C2006" s="22" t="s">
        <v>53</v>
      </c>
      <c r="D2006" s="38"/>
      <c r="E2006" s="156"/>
      <c r="F2006" s="157"/>
      <c r="G2006" s="66"/>
      <c r="H2006" s="38"/>
      <c r="I2006" s="38"/>
      <c r="J2006" s="38"/>
      <c r="K2006" s="38"/>
      <c r="L2006" s="38"/>
      <c r="M2006" s="56"/>
      <c r="N2006" s="56" t="b">
        <v>0</v>
      </c>
      <c r="O2006" s="56" t="b">
        <v>0</v>
      </c>
      <c r="P2006" s="56"/>
      <c r="Q2006" s="56"/>
      <c r="R2006" s="56"/>
      <c r="S2006" s="56"/>
      <c r="T2006" s="56"/>
      <c r="U2006" s="56"/>
      <c r="V2006" s="56"/>
      <c r="W2006" s="56"/>
      <c r="X2006" s="56"/>
      <c r="Y2006" s="56"/>
      <c r="Z2006" s="56"/>
      <c r="AA2006" s="56"/>
      <c r="AB2006" s="56"/>
    </row>
    <row r="2007" ht="15.75" customHeight="1">
      <c r="A2007" s="169"/>
      <c r="B2007" s="63"/>
      <c r="C2007" s="22" t="s">
        <v>53</v>
      </c>
      <c r="D2007" s="38"/>
      <c r="E2007" s="158"/>
      <c r="F2007" s="159"/>
      <c r="G2007" s="66"/>
      <c r="H2007" s="38"/>
      <c r="I2007" s="38"/>
      <c r="J2007" s="38"/>
      <c r="K2007" s="38"/>
      <c r="L2007" s="38"/>
      <c r="M2007" s="56"/>
      <c r="N2007" s="56" t="b">
        <v>0</v>
      </c>
      <c r="O2007" s="56" t="b">
        <v>0</v>
      </c>
      <c r="P2007" s="56"/>
      <c r="Q2007" s="56"/>
      <c r="R2007" s="56"/>
      <c r="S2007" s="56"/>
      <c r="T2007" s="56"/>
      <c r="U2007" s="56"/>
      <c r="V2007" s="56"/>
      <c r="W2007" s="56"/>
      <c r="X2007" s="56"/>
      <c r="Y2007" s="56"/>
      <c r="Z2007" s="56"/>
      <c r="AA2007" s="56"/>
      <c r="AB2007" s="56"/>
    </row>
    <row r="2008" ht="15.75" customHeight="1">
      <c r="A2008" s="169"/>
      <c r="B2008" s="63"/>
      <c r="C2008" s="22" t="s">
        <v>53</v>
      </c>
      <c r="D2008" s="38"/>
      <c r="E2008" s="38"/>
      <c r="F2008" s="65"/>
      <c r="G2008" s="66"/>
      <c r="H2008" s="38"/>
      <c r="I2008" s="38"/>
      <c r="J2008" s="38"/>
      <c r="K2008" s="38"/>
      <c r="L2008" s="38"/>
      <c r="M2008" s="56"/>
      <c r="N2008" s="56" t="b">
        <v>0</v>
      </c>
      <c r="O2008" s="56" t="b">
        <v>0</v>
      </c>
      <c r="P2008" s="56"/>
      <c r="Q2008" s="56"/>
      <c r="R2008" s="56"/>
      <c r="S2008" s="56"/>
      <c r="T2008" s="56"/>
      <c r="U2008" s="56"/>
      <c r="V2008" s="56"/>
      <c r="W2008" s="56"/>
      <c r="X2008" s="56"/>
      <c r="Y2008" s="56"/>
      <c r="Z2008" s="56"/>
      <c r="AA2008" s="56"/>
      <c r="AB2008" s="56"/>
    </row>
    <row r="2009" ht="15.75" customHeight="1">
      <c r="A2009" s="169"/>
      <c r="B2009" s="63"/>
      <c r="C2009" s="22" t="s">
        <v>53</v>
      </c>
      <c r="D2009" s="38"/>
      <c r="E2009" s="38"/>
      <c r="F2009" s="65"/>
      <c r="G2009" s="66"/>
      <c r="H2009" s="38"/>
      <c r="I2009" s="38"/>
      <c r="J2009" s="38"/>
      <c r="K2009" s="38"/>
      <c r="L2009" s="38"/>
      <c r="M2009" s="56"/>
      <c r="N2009" s="56" t="b">
        <v>0</v>
      </c>
      <c r="O2009" s="56" t="b">
        <v>0</v>
      </c>
      <c r="P2009" s="56"/>
      <c r="Q2009" s="56"/>
      <c r="R2009" s="56"/>
      <c r="S2009" s="56"/>
      <c r="T2009" s="56"/>
      <c r="U2009" s="56"/>
      <c r="V2009" s="56"/>
      <c r="W2009" s="56"/>
      <c r="X2009" s="56"/>
      <c r="Y2009" s="56"/>
      <c r="Z2009" s="56"/>
      <c r="AA2009" s="56"/>
      <c r="AB2009" s="56"/>
    </row>
    <row r="2010" ht="15.75" customHeight="1">
      <c r="A2010" s="169"/>
      <c r="B2010" s="69"/>
      <c r="C2010" s="22"/>
      <c r="D2010" s="38"/>
      <c r="E2010" s="38"/>
      <c r="F2010" s="65"/>
      <c r="G2010" s="66"/>
      <c r="H2010" s="38"/>
      <c r="I2010" s="38"/>
      <c r="J2010" s="38"/>
      <c r="K2010" s="38"/>
      <c r="L2010" s="38"/>
      <c r="M2010" s="56"/>
      <c r="N2010" s="56" t="b">
        <v>0</v>
      </c>
      <c r="O2010" s="56" t="b">
        <v>0</v>
      </c>
      <c r="P2010" s="56"/>
      <c r="Q2010" s="56"/>
      <c r="R2010" s="56"/>
      <c r="S2010" s="56"/>
      <c r="T2010" s="56"/>
      <c r="U2010" s="56"/>
      <c r="V2010" s="56"/>
      <c r="W2010" s="56"/>
      <c r="X2010" s="56"/>
      <c r="Y2010" s="56"/>
      <c r="Z2010" s="56"/>
      <c r="AA2010" s="56"/>
      <c r="AB2010" s="56"/>
    </row>
    <row r="2011" ht="15.75" customHeight="1">
      <c r="A2011" s="169"/>
      <c r="B2011" s="320" t="s">
        <v>6168</v>
      </c>
      <c r="C2011" s="22" t="s">
        <v>66</v>
      </c>
      <c r="D2011" s="27" t="s">
        <v>89</v>
      </c>
      <c r="E2011" s="242" t="s">
        <v>758</v>
      </c>
      <c r="F2011" s="242" t="s">
        <v>759</v>
      </c>
      <c r="G2011" s="73" t="s">
        <v>5134</v>
      </c>
      <c r="H2011" s="62" t="s">
        <v>6329</v>
      </c>
      <c r="I2011" s="62" t="s">
        <v>6808</v>
      </c>
      <c r="J2011" s="242" t="s">
        <v>761</v>
      </c>
      <c r="K2011" s="38" t="s">
        <v>6809</v>
      </c>
      <c r="L2011" s="38"/>
      <c r="M2011" s="56"/>
      <c r="N2011" s="56" t="b">
        <v>0</v>
      </c>
      <c r="O2011" s="56" t="b">
        <v>0</v>
      </c>
      <c r="P2011" s="56"/>
      <c r="Q2011" s="56"/>
      <c r="R2011" s="56"/>
      <c r="S2011" s="56"/>
      <c r="T2011" s="56"/>
      <c r="U2011" s="56"/>
      <c r="V2011" s="56"/>
      <c r="W2011" s="56"/>
      <c r="X2011" s="56"/>
      <c r="Y2011" s="56"/>
      <c r="Z2011" s="56"/>
      <c r="AA2011" s="56"/>
      <c r="AB2011" s="56"/>
    </row>
    <row r="2012" ht="15.75" customHeight="1">
      <c r="A2012" s="169"/>
      <c r="B2012" s="63"/>
      <c r="C2012" s="22" t="s">
        <v>66</v>
      </c>
      <c r="D2012" s="202" t="s">
        <v>89</v>
      </c>
      <c r="E2012" s="203" t="s">
        <v>3996</v>
      </c>
      <c r="F2012" s="203" t="s">
        <v>3997</v>
      </c>
      <c r="G2012" s="82" t="s">
        <v>4856</v>
      </c>
      <c r="H2012" s="76" t="s">
        <v>6755</v>
      </c>
      <c r="I2012" s="76" t="s">
        <v>6788</v>
      </c>
      <c r="J2012" s="203" t="s">
        <v>3998</v>
      </c>
      <c r="K2012" s="38" t="s">
        <v>6810</v>
      </c>
      <c r="L2012" s="38"/>
      <c r="M2012" s="56"/>
      <c r="N2012" s="56" t="b">
        <v>0</v>
      </c>
      <c r="O2012" s="56" t="b">
        <v>0</v>
      </c>
      <c r="P2012" s="56"/>
      <c r="Q2012" s="56"/>
      <c r="R2012" s="56"/>
      <c r="S2012" s="56"/>
      <c r="T2012" s="56"/>
      <c r="U2012" s="56"/>
      <c r="V2012" s="56"/>
      <c r="W2012" s="56"/>
      <c r="X2012" s="56"/>
      <c r="Y2012" s="56"/>
      <c r="Z2012" s="56"/>
      <c r="AA2012" s="56"/>
      <c r="AB2012" s="56"/>
    </row>
    <row r="2013" ht="15.75" customHeight="1">
      <c r="A2013" s="169"/>
      <c r="B2013" s="63"/>
      <c r="C2013" s="22" t="s">
        <v>66</v>
      </c>
      <c r="D2013" s="27" t="s">
        <v>89</v>
      </c>
      <c r="E2013" s="242" t="s">
        <v>398</v>
      </c>
      <c r="F2013" s="242" t="s">
        <v>399</v>
      </c>
      <c r="G2013" s="73" t="s">
        <v>4858</v>
      </c>
      <c r="H2013" s="62" t="s">
        <v>5689</v>
      </c>
      <c r="I2013" s="62" t="s">
        <v>6791</v>
      </c>
      <c r="J2013" s="242" t="s">
        <v>401</v>
      </c>
      <c r="K2013" s="38"/>
      <c r="L2013" s="38"/>
      <c r="M2013" s="56"/>
      <c r="N2013" s="56" t="b">
        <v>0</v>
      </c>
      <c r="O2013" s="56" t="b">
        <v>0</v>
      </c>
      <c r="P2013" s="56"/>
      <c r="Q2013" s="56"/>
      <c r="R2013" s="56"/>
      <c r="S2013" s="56"/>
      <c r="T2013" s="56"/>
      <c r="U2013" s="56"/>
      <c r="V2013" s="56"/>
      <c r="W2013" s="56"/>
      <c r="X2013" s="56"/>
      <c r="Y2013" s="56"/>
      <c r="Z2013" s="56"/>
      <c r="AA2013" s="56"/>
      <c r="AB2013" s="56"/>
    </row>
    <row r="2014" ht="15.75" customHeight="1">
      <c r="A2014" s="169"/>
      <c r="B2014" s="63"/>
      <c r="C2014" s="22" t="s">
        <v>66</v>
      </c>
      <c r="D2014" s="202" t="s">
        <v>89</v>
      </c>
      <c r="E2014" s="203" t="s">
        <v>3101</v>
      </c>
      <c r="F2014" s="203" t="s">
        <v>3102</v>
      </c>
      <c r="G2014" s="82" t="s">
        <v>4858</v>
      </c>
      <c r="H2014" s="76" t="s">
        <v>6411</v>
      </c>
      <c r="I2014" s="76" t="s">
        <v>6811</v>
      </c>
      <c r="J2014" s="203" t="s">
        <v>3105</v>
      </c>
      <c r="K2014" s="137" t="s">
        <v>6812</v>
      </c>
      <c r="L2014" s="38"/>
      <c r="M2014" s="56"/>
      <c r="N2014" s="56" t="b">
        <v>0</v>
      </c>
      <c r="O2014" s="56" t="b">
        <v>0</v>
      </c>
      <c r="P2014" s="56"/>
      <c r="Q2014" s="56"/>
      <c r="R2014" s="56"/>
      <c r="S2014" s="56"/>
      <c r="T2014" s="56"/>
      <c r="U2014" s="56"/>
      <c r="V2014" s="56"/>
      <c r="W2014" s="56"/>
      <c r="X2014" s="56"/>
      <c r="Y2014" s="56"/>
      <c r="Z2014" s="56"/>
      <c r="AA2014" s="56"/>
      <c r="AB2014" s="56"/>
    </row>
    <row r="2015" ht="15.75" customHeight="1">
      <c r="A2015" s="169"/>
      <c r="B2015" s="63"/>
      <c r="C2015" s="22" t="s">
        <v>66</v>
      </c>
      <c r="D2015" s="172" t="s">
        <v>314</v>
      </c>
      <c r="E2015" s="203" t="s">
        <v>2013</v>
      </c>
      <c r="F2015" s="203" t="s">
        <v>2014</v>
      </c>
      <c r="G2015" s="82" t="s">
        <v>5089</v>
      </c>
      <c r="H2015" s="76" t="s">
        <v>6175</v>
      </c>
      <c r="I2015" s="76" t="s">
        <v>6813</v>
      </c>
      <c r="J2015" s="203" t="s">
        <v>2016</v>
      </c>
      <c r="K2015" s="38" t="s">
        <v>6814</v>
      </c>
      <c r="L2015" s="38"/>
      <c r="M2015" s="56"/>
      <c r="N2015" s="56" t="b">
        <v>0</v>
      </c>
      <c r="O2015" s="56" t="b">
        <v>0</v>
      </c>
      <c r="P2015" s="56"/>
      <c r="Q2015" s="56"/>
      <c r="R2015" s="56"/>
      <c r="S2015" s="56"/>
      <c r="T2015" s="56"/>
      <c r="U2015" s="56"/>
      <c r="V2015" s="56"/>
      <c r="W2015" s="56"/>
      <c r="X2015" s="56"/>
      <c r="Y2015" s="56"/>
      <c r="Z2015" s="56"/>
      <c r="AA2015" s="56"/>
      <c r="AB2015" s="56"/>
    </row>
    <row r="2016" ht="15.75" customHeight="1">
      <c r="A2016" s="169"/>
      <c r="B2016" s="69"/>
      <c r="C2016" s="22"/>
      <c r="D2016" s="38"/>
      <c r="E2016" s="38"/>
      <c r="F2016" s="65"/>
      <c r="G2016" s="66"/>
      <c r="H2016" s="38"/>
      <c r="I2016" s="38"/>
      <c r="J2016" s="38"/>
      <c r="K2016" s="38"/>
      <c r="L2016" s="38"/>
      <c r="M2016" s="56"/>
      <c r="N2016" s="56" t="b">
        <v>0</v>
      </c>
      <c r="O2016" s="56" t="b">
        <v>0</v>
      </c>
      <c r="P2016" s="56"/>
      <c r="Q2016" s="56"/>
      <c r="R2016" s="56"/>
      <c r="S2016" s="56"/>
      <c r="T2016" s="56"/>
      <c r="U2016" s="56"/>
      <c r="V2016" s="56"/>
      <c r="W2016" s="56"/>
      <c r="X2016" s="56"/>
      <c r="Y2016" s="56"/>
      <c r="Z2016" s="56"/>
      <c r="AA2016" s="56"/>
      <c r="AB2016" s="56"/>
    </row>
    <row r="2017" ht="15.75" customHeight="1">
      <c r="A2017" s="169"/>
      <c r="B2017" s="299"/>
      <c r="C2017" s="220">
        <v>44581.0</v>
      </c>
      <c r="D2017" s="38"/>
      <c r="E2017" s="38"/>
      <c r="F2017" s="65"/>
      <c r="G2017" s="66"/>
      <c r="H2017" s="38"/>
      <c r="I2017" s="38"/>
      <c r="J2017" s="38"/>
      <c r="K2017" s="38"/>
      <c r="L2017" s="38"/>
      <c r="M2017" s="56"/>
      <c r="N2017" s="56" t="b">
        <v>0</v>
      </c>
      <c r="O2017" s="56" t="b">
        <v>0</v>
      </c>
      <c r="P2017" s="56"/>
      <c r="Q2017" s="56"/>
      <c r="R2017" s="56"/>
      <c r="S2017" s="56"/>
      <c r="T2017" s="56"/>
      <c r="U2017" s="56"/>
      <c r="V2017" s="56"/>
      <c r="W2017" s="56"/>
      <c r="X2017" s="56"/>
      <c r="Y2017" s="56"/>
      <c r="Z2017" s="56"/>
      <c r="AA2017" s="56"/>
      <c r="AB2017" s="56"/>
    </row>
    <row r="2018" ht="15.75" customHeight="1">
      <c r="A2018" s="169"/>
      <c r="B2018" s="320" t="s">
        <v>4836</v>
      </c>
      <c r="C2018" s="22"/>
      <c r="D2018" s="38"/>
      <c r="E2018" s="38"/>
      <c r="F2018" s="65"/>
      <c r="G2018" s="66"/>
      <c r="H2018" s="38"/>
      <c r="I2018" s="38"/>
      <c r="J2018" s="38"/>
      <c r="K2018" s="38"/>
      <c r="L2018" s="38"/>
      <c r="M2018" s="56"/>
      <c r="N2018" s="56" t="b">
        <v>0</v>
      </c>
      <c r="O2018" s="56" t="b">
        <v>0</v>
      </c>
      <c r="P2018" s="56"/>
      <c r="Q2018" s="56"/>
      <c r="R2018" s="56"/>
      <c r="S2018" s="56"/>
      <c r="T2018" s="56"/>
      <c r="U2018" s="56"/>
      <c r="V2018" s="56"/>
      <c r="W2018" s="56"/>
      <c r="X2018" s="56"/>
      <c r="Y2018" s="56"/>
      <c r="Z2018" s="56"/>
      <c r="AA2018" s="56"/>
      <c r="AB2018" s="56"/>
    </row>
    <row r="2019" ht="15.75" customHeight="1">
      <c r="A2019" s="169"/>
      <c r="B2019" s="63"/>
      <c r="C2019" s="22" t="s">
        <v>53</v>
      </c>
      <c r="D2019" s="38"/>
      <c r="E2019" s="162" t="s">
        <v>5784</v>
      </c>
      <c r="F2019" s="155"/>
      <c r="G2019" s="66"/>
      <c r="H2019" s="38"/>
      <c r="I2019" s="38"/>
      <c r="J2019" s="38"/>
      <c r="K2019" s="38"/>
      <c r="L2019" s="38"/>
      <c r="M2019" s="56"/>
      <c r="N2019" s="56" t="b">
        <v>0</v>
      </c>
      <c r="O2019" s="56" t="b">
        <v>0</v>
      </c>
      <c r="P2019" s="56"/>
      <c r="Q2019" s="56"/>
      <c r="R2019" s="56"/>
      <c r="S2019" s="56"/>
      <c r="T2019" s="56"/>
      <c r="U2019" s="56"/>
      <c r="V2019" s="56"/>
      <c r="W2019" s="56"/>
      <c r="X2019" s="56"/>
      <c r="Y2019" s="56"/>
      <c r="Z2019" s="56"/>
      <c r="AA2019" s="56"/>
      <c r="AB2019" s="56"/>
    </row>
    <row r="2020" ht="15.75" customHeight="1">
      <c r="A2020" s="169"/>
      <c r="B2020" s="63"/>
      <c r="C2020" s="22" t="s">
        <v>53</v>
      </c>
      <c r="D2020" s="38"/>
      <c r="E2020" s="156"/>
      <c r="F2020" s="157"/>
      <c r="G2020" s="66"/>
      <c r="H2020" s="38"/>
      <c r="I2020" s="38"/>
      <c r="J2020" s="38"/>
      <c r="K2020" s="38"/>
      <c r="L2020" s="38"/>
      <c r="M2020" s="56"/>
      <c r="N2020" s="56" t="b">
        <v>0</v>
      </c>
      <c r="O2020" s="56" t="b">
        <v>0</v>
      </c>
      <c r="P2020" s="56"/>
      <c r="Q2020" s="56"/>
      <c r="R2020" s="56"/>
      <c r="S2020" s="56"/>
      <c r="T2020" s="56"/>
      <c r="U2020" s="56"/>
      <c r="V2020" s="56"/>
      <c r="W2020" s="56"/>
      <c r="X2020" s="56"/>
      <c r="Y2020" s="56"/>
      <c r="Z2020" s="56"/>
      <c r="AA2020" s="56"/>
      <c r="AB2020" s="56"/>
    </row>
    <row r="2021" ht="15.75" customHeight="1">
      <c r="A2021" s="169"/>
      <c r="B2021" s="63"/>
      <c r="C2021" s="22" t="s">
        <v>53</v>
      </c>
      <c r="D2021" s="38"/>
      <c r="E2021" s="158"/>
      <c r="F2021" s="159"/>
      <c r="G2021" s="66"/>
      <c r="H2021" s="38"/>
      <c r="I2021" s="38"/>
      <c r="J2021" s="38"/>
      <c r="K2021" s="38"/>
      <c r="L2021" s="38"/>
      <c r="M2021" s="56"/>
      <c r="N2021" s="56" t="b">
        <v>0</v>
      </c>
      <c r="O2021" s="56" t="b">
        <v>0</v>
      </c>
      <c r="P2021" s="56"/>
      <c r="Q2021" s="56"/>
      <c r="R2021" s="56"/>
      <c r="S2021" s="56"/>
      <c r="T2021" s="56"/>
      <c r="U2021" s="56"/>
      <c r="V2021" s="56"/>
      <c r="W2021" s="56"/>
      <c r="X2021" s="56"/>
      <c r="Y2021" s="56"/>
      <c r="Z2021" s="56"/>
      <c r="AA2021" s="56"/>
      <c r="AB2021" s="56"/>
    </row>
    <row r="2022" ht="15.75" customHeight="1">
      <c r="A2022" s="169"/>
      <c r="B2022" s="63"/>
      <c r="C2022" s="22" t="s">
        <v>53</v>
      </c>
      <c r="D2022" s="38"/>
      <c r="E2022" s="38"/>
      <c r="F2022" s="65"/>
      <c r="G2022" s="66"/>
      <c r="H2022" s="38"/>
      <c r="I2022" s="38"/>
      <c r="J2022" s="38"/>
      <c r="K2022" s="38"/>
      <c r="L2022" s="38"/>
      <c r="M2022" s="56"/>
      <c r="N2022" s="56" t="b">
        <v>0</v>
      </c>
      <c r="O2022" s="56" t="b">
        <v>0</v>
      </c>
      <c r="P2022" s="56"/>
      <c r="Q2022" s="56"/>
      <c r="R2022" s="56"/>
      <c r="S2022" s="56"/>
      <c r="T2022" s="56"/>
      <c r="U2022" s="56"/>
      <c r="V2022" s="56"/>
      <c r="W2022" s="56"/>
      <c r="X2022" s="56"/>
      <c r="Y2022" s="56"/>
      <c r="Z2022" s="56"/>
      <c r="AA2022" s="56"/>
      <c r="AB2022" s="56"/>
    </row>
    <row r="2023" ht="15.75" customHeight="1">
      <c r="A2023" s="169"/>
      <c r="B2023" s="63"/>
      <c r="C2023" s="22" t="s">
        <v>53</v>
      </c>
      <c r="D2023" s="38"/>
      <c r="E2023" s="38"/>
      <c r="F2023" s="65"/>
      <c r="G2023" s="66"/>
      <c r="H2023" s="38"/>
      <c r="I2023" s="38"/>
      <c r="J2023" s="38"/>
      <c r="K2023" s="38"/>
      <c r="L2023" s="38"/>
      <c r="M2023" s="56"/>
      <c r="N2023" s="56" t="b">
        <v>0</v>
      </c>
      <c r="O2023" s="56" t="b">
        <v>0</v>
      </c>
      <c r="P2023" s="56"/>
      <c r="Q2023" s="56"/>
      <c r="R2023" s="56"/>
      <c r="S2023" s="56"/>
      <c r="T2023" s="56"/>
      <c r="U2023" s="56"/>
      <c r="V2023" s="56"/>
      <c r="W2023" s="56"/>
      <c r="X2023" s="56"/>
      <c r="Y2023" s="56"/>
      <c r="Z2023" s="56"/>
      <c r="AA2023" s="56"/>
      <c r="AB2023" s="56"/>
    </row>
    <row r="2024" ht="15.75" customHeight="1">
      <c r="A2024" s="169"/>
      <c r="B2024" s="69"/>
      <c r="C2024" s="22"/>
      <c r="D2024" s="38"/>
      <c r="E2024" s="38"/>
      <c r="F2024" s="65"/>
      <c r="G2024" s="66"/>
      <c r="H2024" s="38"/>
      <c r="I2024" s="38"/>
      <c r="J2024" s="38"/>
      <c r="K2024" s="38"/>
      <c r="L2024" s="38"/>
      <c r="M2024" s="56"/>
      <c r="N2024" s="56" t="b">
        <v>0</v>
      </c>
      <c r="O2024" s="56" t="b">
        <v>0</v>
      </c>
      <c r="P2024" s="56"/>
      <c r="Q2024" s="56"/>
      <c r="R2024" s="56"/>
      <c r="S2024" s="56"/>
      <c r="T2024" s="56"/>
      <c r="U2024" s="56"/>
      <c r="V2024" s="56"/>
      <c r="W2024" s="56"/>
      <c r="X2024" s="56"/>
      <c r="Y2024" s="56"/>
      <c r="Z2024" s="56"/>
      <c r="AA2024" s="56"/>
      <c r="AB2024" s="56"/>
    </row>
    <row r="2025" ht="15.75" customHeight="1">
      <c r="A2025" s="169"/>
      <c r="B2025" s="320" t="s">
        <v>6168</v>
      </c>
      <c r="C2025" s="22" t="s">
        <v>66</v>
      </c>
      <c r="D2025" s="38"/>
      <c r="E2025" s="38"/>
      <c r="F2025" s="65"/>
      <c r="G2025" s="66"/>
      <c r="H2025" s="38"/>
      <c r="I2025" s="38"/>
      <c r="J2025" s="38"/>
      <c r="K2025" s="38"/>
      <c r="L2025" s="38"/>
      <c r="M2025" s="56"/>
      <c r="N2025" s="56" t="b">
        <v>0</v>
      </c>
      <c r="O2025" s="56" t="b">
        <v>0</v>
      </c>
      <c r="P2025" s="56"/>
      <c r="Q2025" s="56"/>
      <c r="R2025" s="56"/>
      <c r="S2025" s="56"/>
      <c r="T2025" s="56"/>
      <c r="U2025" s="56"/>
      <c r="V2025" s="56"/>
      <c r="W2025" s="56"/>
      <c r="X2025" s="56"/>
      <c r="Y2025" s="56"/>
      <c r="Z2025" s="56"/>
      <c r="AA2025" s="56"/>
      <c r="AB2025" s="56"/>
    </row>
    <row r="2026" ht="15.75" customHeight="1">
      <c r="A2026" s="169"/>
      <c r="B2026" s="63"/>
      <c r="C2026" s="22" t="s">
        <v>66</v>
      </c>
      <c r="D2026" s="172" t="s">
        <v>89</v>
      </c>
      <c r="E2026" s="203" t="s">
        <v>3664</v>
      </c>
      <c r="F2026" s="203" t="s">
        <v>3665</v>
      </c>
      <c r="G2026" s="82" t="s">
        <v>5134</v>
      </c>
      <c r="H2026" s="76" t="s">
        <v>6815</v>
      </c>
      <c r="I2026" s="76" t="s">
        <v>6816</v>
      </c>
      <c r="J2026" s="203" t="s">
        <v>3667</v>
      </c>
      <c r="K2026" s="38" t="s">
        <v>6817</v>
      </c>
      <c r="L2026" s="38"/>
      <c r="M2026" s="56"/>
      <c r="N2026" s="56" t="b">
        <v>0</v>
      </c>
      <c r="O2026" s="56" t="b">
        <v>0</v>
      </c>
      <c r="P2026" s="56"/>
      <c r="Q2026" s="56"/>
      <c r="R2026" s="56"/>
      <c r="S2026" s="56"/>
      <c r="T2026" s="56"/>
      <c r="U2026" s="56"/>
      <c r="V2026" s="56"/>
      <c r="W2026" s="56"/>
      <c r="X2026" s="56"/>
      <c r="Y2026" s="56"/>
      <c r="Z2026" s="56"/>
      <c r="AA2026" s="56"/>
      <c r="AB2026" s="56"/>
    </row>
    <row r="2027" ht="15.75" customHeight="1">
      <c r="A2027" s="169"/>
      <c r="B2027" s="63"/>
      <c r="C2027" s="22" t="s">
        <v>66</v>
      </c>
      <c r="D2027" s="76" t="s">
        <v>52</v>
      </c>
      <c r="E2027" s="203" t="s">
        <v>134</v>
      </c>
      <c r="F2027" s="203" t="s">
        <v>135</v>
      </c>
      <c r="G2027" s="82" t="s">
        <v>5160</v>
      </c>
      <c r="H2027" s="76" t="s">
        <v>5044</v>
      </c>
      <c r="I2027" s="76" t="s">
        <v>6818</v>
      </c>
      <c r="J2027" s="203" t="s">
        <v>139</v>
      </c>
      <c r="K2027" s="38" t="s">
        <v>6817</v>
      </c>
      <c r="L2027" s="38"/>
      <c r="M2027" s="56"/>
      <c r="N2027" s="56" t="b">
        <v>0</v>
      </c>
      <c r="O2027" s="56" t="b">
        <v>0</v>
      </c>
      <c r="P2027" s="56"/>
      <c r="Q2027" s="56"/>
      <c r="R2027" s="56"/>
      <c r="S2027" s="56"/>
      <c r="T2027" s="56"/>
      <c r="U2027" s="56"/>
      <c r="V2027" s="56"/>
      <c r="W2027" s="56"/>
      <c r="X2027" s="56"/>
      <c r="Y2027" s="56"/>
      <c r="Z2027" s="56"/>
      <c r="AA2027" s="56"/>
      <c r="AB2027" s="56"/>
    </row>
    <row r="2028" ht="15.75" customHeight="1">
      <c r="A2028" s="169"/>
      <c r="B2028" s="63"/>
      <c r="C2028" s="22" t="s">
        <v>66</v>
      </c>
      <c r="D2028" s="172" t="s">
        <v>89</v>
      </c>
      <c r="E2028" s="77" t="s">
        <v>3330</v>
      </c>
      <c r="F2028" s="77" t="s">
        <v>3331</v>
      </c>
      <c r="G2028" s="82" t="s">
        <v>4858</v>
      </c>
      <c r="H2028" s="76" t="s">
        <v>6819</v>
      </c>
      <c r="I2028" s="76" t="s">
        <v>6820</v>
      </c>
      <c r="J2028" s="203" t="s">
        <v>3333</v>
      </c>
      <c r="K2028" s="38" t="s">
        <v>6817</v>
      </c>
      <c r="L2028" s="38"/>
      <c r="M2028" s="56"/>
      <c r="N2028" s="56" t="b">
        <v>0</v>
      </c>
      <c r="O2028" s="56" t="b">
        <v>0</v>
      </c>
      <c r="P2028" s="56"/>
      <c r="Q2028" s="56"/>
      <c r="R2028" s="56"/>
      <c r="S2028" s="56"/>
      <c r="T2028" s="56"/>
      <c r="U2028" s="56"/>
      <c r="V2028" s="56"/>
      <c r="W2028" s="56"/>
      <c r="X2028" s="56"/>
      <c r="Y2028" s="56"/>
      <c r="Z2028" s="56"/>
      <c r="AA2028" s="56"/>
      <c r="AB2028" s="56"/>
    </row>
    <row r="2029" ht="15.75" customHeight="1">
      <c r="A2029" s="169"/>
      <c r="B2029" s="63"/>
      <c r="C2029" s="22" t="s">
        <v>66</v>
      </c>
      <c r="D2029" s="76" t="s">
        <v>52</v>
      </c>
      <c r="E2029" s="203" t="s">
        <v>825</v>
      </c>
      <c r="F2029" s="203" t="s">
        <v>826</v>
      </c>
      <c r="G2029" s="82" t="s">
        <v>5089</v>
      </c>
      <c r="H2029" s="76" t="s">
        <v>6819</v>
      </c>
      <c r="I2029" s="76" t="s">
        <v>6821</v>
      </c>
      <c r="J2029" s="203" t="s">
        <v>828</v>
      </c>
      <c r="K2029" s="38" t="s">
        <v>6822</v>
      </c>
      <c r="L2029" s="38"/>
      <c r="M2029" s="56"/>
      <c r="N2029" s="56" t="b">
        <v>0</v>
      </c>
      <c r="O2029" s="56" t="b">
        <v>0</v>
      </c>
      <c r="P2029" s="56"/>
      <c r="Q2029" s="56"/>
      <c r="R2029" s="56"/>
      <c r="S2029" s="56"/>
      <c r="T2029" s="56"/>
      <c r="U2029" s="56"/>
      <c r="V2029" s="56"/>
      <c r="W2029" s="56"/>
      <c r="X2029" s="56"/>
      <c r="Y2029" s="56"/>
      <c r="Z2029" s="56"/>
      <c r="AA2029" s="56"/>
      <c r="AB2029" s="56"/>
    </row>
    <row r="2030" ht="15.75" customHeight="1">
      <c r="A2030" s="169"/>
      <c r="B2030" s="69"/>
      <c r="C2030" s="22"/>
      <c r="D2030" s="38"/>
      <c r="E2030" s="38"/>
      <c r="F2030" s="65"/>
      <c r="G2030" s="66"/>
      <c r="H2030" s="38"/>
      <c r="I2030" s="38"/>
      <c r="J2030" s="38"/>
      <c r="K2030" s="38"/>
      <c r="L2030" s="38"/>
      <c r="M2030" s="56"/>
      <c r="N2030" s="56" t="b">
        <v>0</v>
      </c>
      <c r="O2030" s="56" t="b">
        <v>0</v>
      </c>
      <c r="P2030" s="56"/>
      <c r="Q2030" s="56"/>
      <c r="R2030" s="56"/>
      <c r="S2030" s="56"/>
      <c r="T2030" s="56"/>
      <c r="U2030" s="56"/>
      <c r="V2030" s="56"/>
      <c r="W2030" s="56"/>
      <c r="X2030" s="56"/>
      <c r="Y2030" s="56"/>
      <c r="Z2030" s="56"/>
      <c r="AA2030" s="56"/>
      <c r="AB2030" s="56"/>
    </row>
    <row r="2031" ht="15.75" customHeight="1">
      <c r="A2031" s="169"/>
      <c r="B2031" s="299"/>
      <c r="C2031" s="220">
        <v>44586.0</v>
      </c>
      <c r="D2031" s="38"/>
      <c r="E2031" s="38"/>
      <c r="F2031" s="65"/>
      <c r="G2031" s="66"/>
      <c r="H2031" s="38"/>
      <c r="I2031" s="38"/>
      <c r="J2031" s="38"/>
      <c r="K2031" s="38"/>
      <c r="L2031" s="38"/>
      <c r="M2031" s="56"/>
      <c r="N2031" s="56" t="b">
        <v>0</v>
      </c>
      <c r="O2031" s="56" t="b">
        <v>0</v>
      </c>
      <c r="P2031" s="56"/>
      <c r="Q2031" s="56"/>
      <c r="R2031" s="56"/>
      <c r="S2031" s="56"/>
      <c r="T2031" s="56"/>
      <c r="U2031" s="56"/>
      <c r="V2031" s="56"/>
      <c r="W2031" s="56"/>
      <c r="X2031" s="56"/>
      <c r="Y2031" s="56"/>
      <c r="Z2031" s="56"/>
      <c r="AA2031" s="56"/>
      <c r="AB2031" s="56"/>
    </row>
    <row r="2032" ht="15.75" customHeight="1">
      <c r="A2032" s="169"/>
      <c r="B2032" s="320" t="s">
        <v>4836</v>
      </c>
      <c r="C2032" s="22"/>
      <c r="D2032" s="38"/>
      <c r="E2032" s="38"/>
      <c r="F2032" s="65"/>
      <c r="G2032" s="66"/>
      <c r="H2032" s="38"/>
      <c r="I2032" s="38"/>
      <c r="J2032" s="38"/>
      <c r="K2032" s="38"/>
      <c r="L2032" s="38"/>
      <c r="M2032" s="56"/>
      <c r="N2032" s="56" t="b">
        <v>0</v>
      </c>
      <c r="O2032" s="56" t="b">
        <v>0</v>
      </c>
      <c r="P2032" s="56"/>
      <c r="Q2032" s="56"/>
      <c r="R2032" s="56"/>
      <c r="S2032" s="56"/>
      <c r="T2032" s="56"/>
      <c r="U2032" s="56"/>
      <c r="V2032" s="56"/>
      <c r="W2032" s="56"/>
      <c r="X2032" s="56"/>
      <c r="Y2032" s="56"/>
      <c r="Z2032" s="56"/>
      <c r="AA2032" s="56"/>
      <c r="AB2032" s="56"/>
    </row>
    <row r="2033" ht="15.75" customHeight="1">
      <c r="A2033" s="169"/>
      <c r="B2033" s="63"/>
      <c r="C2033" s="22" t="s">
        <v>53</v>
      </c>
      <c r="D2033" s="38"/>
      <c r="E2033" s="38"/>
      <c r="F2033" s="65"/>
      <c r="G2033" s="66"/>
      <c r="H2033" s="38"/>
      <c r="I2033" s="38"/>
      <c r="J2033" s="38"/>
      <c r="K2033" s="38"/>
      <c r="L2033" s="38"/>
      <c r="M2033" s="56"/>
      <c r="N2033" s="56" t="b">
        <v>0</v>
      </c>
      <c r="O2033" s="56" t="b">
        <v>0</v>
      </c>
      <c r="P2033" s="56"/>
      <c r="Q2033" s="56"/>
      <c r="R2033" s="56"/>
      <c r="S2033" s="56"/>
      <c r="T2033" s="56"/>
      <c r="U2033" s="56"/>
      <c r="V2033" s="56"/>
      <c r="W2033" s="56"/>
      <c r="X2033" s="56"/>
      <c r="Y2033" s="56"/>
      <c r="Z2033" s="56"/>
      <c r="AA2033" s="56"/>
      <c r="AB2033" s="56"/>
    </row>
    <row r="2034" ht="15.75" customHeight="1">
      <c r="A2034" s="169"/>
      <c r="B2034" s="63"/>
      <c r="C2034" s="22" t="s">
        <v>53</v>
      </c>
      <c r="D2034" s="38"/>
      <c r="E2034" s="162" t="s">
        <v>5784</v>
      </c>
      <c r="F2034" s="155"/>
      <c r="G2034" s="66"/>
      <c r="H2034" s="38"/>
      <c r="I2034" s="38"/>
      <c r="J2034" s="38"/>
      <c r="K2034" s="38"/>
      <c r="L2034" s="38"/>
      <c r="M2034" s="56"/>
      <c r="N2034" s="56" t="b">
        <v>0</v>
      </c>
      <c r="O2034" s="56" t="b">
        <v>0</v>
      </c>
      <c r="P2034" s="56"/>
      <c r="Q2034" s="56"/>
      <c r="R2034" s="56"/>
      <c r="S2034" s="56"/>
      <c r="T2034" s="56"/>
      <c r="U2034" s="56"/>
      <c r="V2034" s="56"/>
      <c r="W2034" s="56"/>
      <c r="X2034" s="56"/>
      <c r="Y2034" s="56"/>
      <c r="Z2034" s="56"/>
      <c r="AA2034" s="56"/>
      <c r="AB2034" s="56"/>
    </row>
    <row r="2035" ht="15.75" customHeight="1">
      <c r="A2035" s="169"/>
      <c r="B2035" s="63"/>
      <c r="C2035" s="22" t="s">
        <v>53</v>
      </c>
      <c r="D2035" s="38"/>
      <c r="E2035" s="156"/>
      <c r="F2035" s="157"/>
      <c r="G2035" s="66"/>
      <c r="H2035" s="38"/>
      <c r="I2035" s="38"/>
      <c r="J2035" s="38"/>
      <c r="K2035" s="38"/>
      <c r="L2035" s="38"/>
      <c r="M2035" s="56"/>
      <c r="N2035" s="56" t="b">
        <v>0</v>
      </c>
      <c r="O2035" s="56" t="b">
        <v>0</v>
      </c>
      <c r="P2035" s="56"/>
      <c r="Q2035" s="56"/>
      <c r="R2035" s="56"/>
      <c r="S2035" s="56"/>
      <c r="T2035" s="56"/>
      <c r="U2035" s="56"/>
      <c r="V2035" s="56"/>
      <c r="W2035" s="56"/>
      <c r="X2035" s="56"/>
      <c r="Y2035" s="56"/>
      <c r="Z2035" s="56"/>
      <c r="AA2035" s="56"/>
      <c r="AB2035" s="56"/>
    </row>
    <row r="2036" ht="15.75" customHeight="1">
      <c r="A2036" s="169"/>
      <c r="B2036" s="63"/>
      <c r="C2036" s="22" t="s">
        <v>53</v>
      </c>
      <c r="D2036" s="38"/>
      <c r="E2036" s="158"/>
      <c r="F2036" s="159"/>
      <c r="G2036" s="66"/>
      <c r="H2036" s="38"/>
      <c r="I2036" s="38"/>
      <c r="J2036" s="38"/>
      <c r="K2036" s="38"/>
      <c r="L2036" s="38"/>
      <c r="M2036" s="56"/>
      <c r="N2036" s="56" t="b">
        <v>0</v>
      </c>
      <c r="O2036" s="56" t="b">
        <v>0</v>
      </c>
      <c r="P2036" s="56"/>
      <c r="Q2036" s="56"/>
      <c r="R2036" s="56"/>
      <c r="S2036" s="56"/>
      <c r="T2036" s="56"/>
      <c r="U2036" s="56"/>
      <c r="V2036" s="56"/>
      <c r="W2036" s="56"/>
      <c r="X2036" s="56"/>
      <c r="Y2036" s="56"/>
      <c r="Z2036" s="56"/>
      <c r="AA2036" s="56"/>
      <c r="AB2036" s="56"/>
    </row>
    <row r="2037" ht="15.75" customHeight="1">
      <c r="A2037" s="169"/>
      <c r="B2037" s="63"/>
      <c r="C2037" s="22" t="s">
        <v>53</v>
      </c>
      <c r="D2037" s="38"/>
      <c r="E2037" s="38"/>
      <c r="F2037" s="65"/>
      <c r="G2037" s="66"/>
      <c r="H2037" s="38"/>
      <c r="I2037" s="38"/>
      <c r="J2037" s="38"/>
      <c r="K2037" s="38"/>
      <c r="L2037" s="38"/>
      <c r="M2037" s="56"/>
      <c r="N2037" s="56" t="b">
        <v>0</v>
      </c>
      <c r="O2037" s="56" t="b">
        <v>0</v>
      </c>
      <c r="P2037" s="56"/>
      <c r="Q2037" s="56"/>
      <c r="R2037" s="56"/>
      <c r="S2037" s="56"/>
      <c r="T2037" s="56"/>
      <c r="U2037" s="56"/>
      <c r="V2037" s="56"/>
      <c r="W2037" s="56"/>
      <c r="X2037" s="56"/>
      <c r="Y2037" s="56"/>
      <c r="Z2037" s="56"/>
      <c r="AA2037" s="56"/>
      <c r="AB2037" s="56"/>
    </row>
    <row r="2038" ht="15.75" customHeight="1">
      <c r="A2038" s="169"/>
      <c r="B2038" s="69"/>
      <c r="C2038" s="22"/>
      <c r="D2038" s="38"/>
      <c r="E2038" s="38"/>
      <c r="F2038" s="65"/>
      <c r="G2038" s="66"/>
      <c r="H2038" s="38"/>
      <c r="I2038" s="38"/>
      <c r="J2038" s="38"/>
      <c r="K2038" s="38"/>
      <c r="L2038" s="38"/>
      <c r="M2038" s="56"/>
      <c r="N2038" s="56" t="b">
        <v>0</v>
      </c>
      <c r="O2038" s="56" t="b">
        <v>0</v>
      </c>
      <c r="P2038" s="56"/>
      <c r="Q2038" s="56"/>
      <c r="R2038" s="56"/>
      <c r="S2038" s="56"/>
      <c r="T2038" s="56"/>
      <c r="U2038" s="56"/>
      <c r="V2038" s="56"/>
      <c r="W2038" s="56"/>
      <c r="X2038" s="56"/>
      <c r="Y2038" s="56"/>
      <c r="Z2038" s="56"/>
      <c r="AA2038" s="56"/>
      <c r="AB2038" s="56"/>
    </row>
    <row r="2039" ht="15.75" customHeight="1">
      <c r="A2039" s="169"/>
      <c r="B2039" s="320" t="s">
        <v>6168</v>
      </c>
      <c r="C2039" s="22" t="s">
        <v>66</v>
      </c>
      <c r="D2039" s="202" t="s">
        <v>89</v>
      </c>
      <c r="E2039" s="203" t="s">
        <v>758</v>
      </c>
      <c r="F2039" s="203" t="s">
        <v>759</v>
      </c>
      <c r="G2039" s="82" t="s">
        <v>6003</v>
      </c>
      <c r="H2039" s="76" t="s">
        <v>6329</v>
      </c>
      <c r="I2039" s="76" t="s">
        <v>6808</v>
      </c>
      <c r="J2039" s="203" t="s">
        <v>761</v>
      </c>
      <c r="K2039" s="38" t="s">
        <v>6823</v>
      </c>
      <c r="L2039" s="38"/>
      <c r="M2039" s="56"/>
      <c r="N2039" s="56" t="b">
        <v>0</v>
      </c>
      <c r="O2039" s="56" t="b">
        <v>0</v>
      </c>
      <c r="P2039" s="56"/>
      <c r="Q2039" s="56"/>
      <c r="R2039" s="56"/>
      <c r="S2039" s="56"/>
      <c r="T2039" s="56"/>
      <c r="U2039" s="56"/>
      <c r="V2039" s="56"/>
      <c r="W2039" s="56"/>
      <c r="X2039" s="56"/>
      <c r="Y2039" s="56"/>
      <c r="Z2039" s="56"/>
      <c r="AA2039" s="56"/>
      <c r="AB2039" s="56"/>
    </row>
    <row r="2040" ht="15.75" customHeight="1">
      <c r="A2040" s="169"/>
      <c r="B2040" s="63"/>
      <c r="C2040" s="22" t="s">
        <v>66</v>
      </c>
      <c r="D2040" s="202" t="s">
        <v>103</v>
      </c>
      <c r="E2040" s="203" t="s">
        <v>4048</v>
      </c>
      <c r="F2040" s="203" t="s">
        <v>4049</v>
      </c>
      <c r="G2040" s="82" t="s">
        <v>4887</v>
      </c>
      <c r="H2040" s="76" t="s">
        <v>6103</v>
      </c>
      <c r="I2040" s="263" t="s">
        <v>6824</v>
      </c>
      <c r="J2040" s="203" t="s">
        <v>4051</v>
      </c>
      <c r="K2040" s="38" t="s">
        <v>6825</v>
      </c>
      <c r="L2040" s="38"/>
      <c r="M2040" s="56"/>
      <c r="N2040" s="56" t="b">
        <v>0</v>
      </c>
      <c r="O2040" s="56" t="b">
        <v>0</v>
      </c>
      <c r="P2040" s="56"/>
      <c r="Q2040" s="56"/>
      <c r="R2040" s="56"/>
      <c r="S2040" s="56"/>
      <c r="T2040" s="56"/>
      <c r="U2040" s="56"/>
      <c r="V2040" s="56"/>
      <c r="W2040" s="56"/>
      <c r="X2040" s="56"/>
      <c r="Y2040" s="56"/>
      <c r="Z2040" s="56"/>
      <c r="AA2040" s="56"/>
      <c r="AB2040" s="56"/>
    </row>
    <row r="2041" ht="15.75" customHeight="1">
      <c r="A2041" s="169"/>
      <c r="B2041" s="63"/>
      <c r="C2041" s="22" t="s">
        <v>66</v>
      </c>
      <c r="D2041" s="202" t="s">
        <v>103</v>
      </c>
      <c r="E2041" s="203" t="s">
        <v>97</v>
      </c>
      <c r="F2041" s="203" t="s">
        <v>98</v>
      </c>
      <c r="G2041" s="82" t="s">
        <v>5160</v>
      </c>
      <c r="H2041" s="76" t="s">
        <v>6103</v>
      </c>
      <c r="I2041" s="202" t="s">
        <v>6826</v>
      </c>
      <c r="J2041" s="203" t="s">
        <v>101</v>
      </c>
      <c r="K2041" s="38" t="s">
        <v>6827</v>
      </c>
      <c r="L2041" s="38"/>
      <c r="M2041" s="56"/>
      <c r="N2041" s="56" t="b">
        <v>0</v>
      </c>
      <c r="O2041" s="56" t="b">
        <v>0</v>
      </c>
      <c r="P2041" s="56"/>
      <c r="Q2041" s="56"/>
      <c r="R2041" s="56"/>
      <c r="S2041" s="56"/>
      <c r="T2041" s="56"/>
      <c r="U2041" s="56"/>
      <c r="V2041" s="56"/>
      <c r="W2041" s="56"/>
      <c r="X2041" s="56"/>
      <c r="Y2041" s="56"/>
      <c r="Z2041" s="56"/>
      <c r="AA2041" s="56"/>
      <c r="AB2041" s="56"/>
    </row>
    <row r="2042" ht="15.75" customHeight="1">
      <c r="A2042" s="169"/>
      <c r="B2042" s="63"/>
      <c r="C2042" s="22" t="s">
        <v>66</v>
      </c>
      <c r="D2042" s="172" t="s">
        <v>89</v>
      </c>
      <c r="E2042" s="77" t="s">
        <v>125</v>
      </c>
      <c r="F2042" s="77" t="s">
        <v>126</v>
      </c>
      <c r="G2042" s="82" t="s">
        <v>5036</v>
      </c>
      <c r="H2042" s="76" t="s">
        <v>5342</v>
      </c>
      <c r="I2042" s="76" t="s">
        <v>5343</v>
      </c>
      <c r="J2042" s="77" t="s">
        <v>129</v>
      </c>
      <c r="K2042" s="38" t="s">
        <v>6827</v>
      </c>
      <c r="L2042" s="38"/>
      <c r="M2042" s="56"/>
      <c r="N2042" s="56" t="b">
        <v>0</v>
      </c>
      <c r="O2042" s="56" t="b">
        <v>0</v>
      </c>
      <c r="P2042" s="56"/>
      <c r="Q2042" s="56"/>
      <c r="R2042" s="56"/>
      <c r="S2042" s="56"/>
      <c r="T2042" s="56"/>
      <c r="U2042" s="56"/>
      <c r="V2042" s="56"/>
      <c r="W2042" s="56"/>
      <c r="X2042" s="56"/>
      <c r="Y2042" s="56"/>
      <c r="Z2042" s="56"/>
      <c r="AA2042" s="56"/>
      <c r="AB2042" s="56"/>
    </row>
    <row r="2043" ht="15.75" customHeight="1">
      <c r="A2043" s="169"/>
      <c r="B2043" s="63"/>
      <c r="C2043" s="22" t="s">
        <v>66</v>
      </c>
      <c r="D2043" s="38"/>
      <c r="E2043" s="38"/>
      <c r="F2043" s="65"/>
      <c r="G2043" s="66"/>
      <c r="H2043" s="38"/>
      <c r="I2043" s="38"/>
      <c r="J2043" s="38"/>
      <c r="K2043" s="38"/>
      <c r="L2043" s="38"/>
      <c r="M2043" s="56"/>
      <c r="N2043" s="56" t="b">
        <v>0</v>
      </c>
      <c r="O2043" s="56" t="b">
        <v>0</v>
      </c>
      <c r="P2043" s="56"/>
      <c r="Q2043" s="56"/>
      <c r="R2043" s="56"/>
      <c r="S2043" s="56"/>
      <c r="T2043" s="56"/>
      <c r="U2043" s="56"/>
      <c r="V2043" s="56"/>
      <c r="W2043" s="56"/>
      <c r="X2043" s="56"/>
      <c r="Y2043" s="56"/>
      <c r="Z2043" s="56"/>
      <c r="AA2043" s="56"/>
      <c r="AB2043" s="56"/>
    </row>
    <row r="2044" ht="15.75" customHeight="1">
      <c r="A2044" s="169"/>
      <c r="B2044" s="69"/>
      <c r="C2044" s="22"/>
      <c r="D2044" s="38"/>
      <c r="E2044" s="38"/>
      <c r="F2044" s="65"/>
      <c r="G2044" s="66"/>
      <c r="H2044" s="38"/>
      <c r="I2044" s="38"/>
      <c r="J2044" s="38"/>
      <c r="K2044" s="38"/>
      <c r="L2044" s="38"/>
      <c r="M2044" s="56"/>
      <c r="N2044" s="56" t="b">
        <v>0</v>
      </c>
      <c r="O2044" s="56" t="b">
        <v>0</v>
      </c>
      <c r="P2044" s="56"/>
      <c r="Q2044" s="56"/>
      <c r="R2044" s="56"/>
      <c r="S2044" s="56"/>
      <c r="T2044" s="56"/>
      <c r="U2044" s="56"/>
      <c r="V2044" s="56"/>
      <c r="W2044" s="56"/>
      <c r="X2044" s="56"/>
      <c r="Y2044" s="56"/>
      <c r="Z2044" s="56"/>
      <c r="AA2044" s="56"/>
      <c r="AB2044" s="56"/>
    </row>
    <row r="2045" ht="15.75" customHeight="1">
      <c r="A2045" s="169"/>
      <c r="B2045" s="299"/>
      <c r="C2045" s="220">
        <v>44588.0</v>
      </c>
      <c r="D2045" s="38"/>
      <c r="E2045" s="38"/>
      <c r="F2045" s="65"/>
      <c r="G2045" s="66"/>
      <c r="H2045" s="38"/>
      <c r="I2045" s="38"/>
      <c r="J2045" s="38"/>
      <c r="K2045" s="38"/>
      <c r="L2045" s="38"/>
      <c r="M2045" s="56"/>
      <c r="N2045" s="56" t="b">
        <v>0</v>
      </c>
      <c r="O2045" s="56" t="b">
        <v>0</v>
      </c>
      <c r="P2045" s="56"/>
      <c r="Q2045" s="56"/>
      <c r="R2045" s="56"/>
      <c r="S2045" s="56"/>
      <c r="T2045" s="56"/>
      <c r="U2045" s="56"/>
      <c r="V2045" s="56"/>
      <c r="W2045" s="56"/>
      <c r="X2045" s="56"/>
      <c r="Y2045" s="56"/>
      <c r="Z2045" s="56"/>
      <c r="AA2045" s="56"/>
      <c r="AB2045" s="56"/>
    </row>
    <row r="2046" ht="15.75" customHeight="1">
      <c r="A2046" s="169"/>
      <c r="B2046" s="320" t="s">
        <v>4836</v>
      </c>
      <c r="C2046" s="22"/>
      <c r="D2046" s="38"/>
      <c r="E2046" s="38"/>
      <c r="F2046" s="65"/>
      <c r="G2046" s="66"/>
      <c r="H2046" s="38"/>
      <c r="I2046" s="38"/>
      <c r="J2046" s="38"/>
      <c r="K2046" s="38"/>
      <c r="L2046" s="38"/>
      <c r="M2046" s="56"/>
      <c r="N2046" s="56" t="b">
        <v>0</v>
      </c>
      <c r="O2046" s="56" t="b">
        <v>0</v>
      </c>
      <c r="P2046" s="56"/>
      <c r="Q2046" s="56"/>
      <c r="R2046" s="56"/>
      <c r="S2046" s="56"/>
      <c r="T2046" s="56"/>
      <c r="U2046" s="56"/>
      <c r="V2046" s="56"/>
      <c r="W2046" s="56"/>
      <c r="X2046" s="56"/>
      <c r="Y2046" s="56"/>
      <c r="Z2046" s="56"/>
      <c r="AA2046" s="56"/>
      <c r="AB2046" s="56"/>
    </row>
    <row r="2047" ht="15.75" customHeight="1">
      <c r="A2047" s="169"/>
      <c r="B2047" s="63"/>
      <c r="C2047" s="22" t="s">
        <v>53</v>
      </c>
      <c r="D2047" s="38"/>
      <c r="E2047" s="162" t="s">
        <v>5784</v>
      </c>
      <c r="F2047" s="155"/>
      <c r="G2047" s="66"/>
      <c r="H2047" s="38"/>
      <c r="I2047" s="38"/>
      <c r="J2047" s="38"/>
      <c r="K2047" s="38"/>
      <c r="L2047" s="38"/>
      <c r="M2047" s="56"/>
      <c r="N2047" s="56" t="b">
        <v>0</v>
      </c>
      <c r="O2047" s="56" t="b">
        <v>0</v>
      </c>
      <c r="P2047" s="56"/>
      <c r="Q2047" s="56"/>
      <c r="R2047" s="56"/>
      <c r="S2047" s="56"/>
      <c r="T2047" s="56"/>
      <c r="U2047" s="56"/>
      <c r="V2047" s="56"/>
      <c r="W2047" s="56"/>
      <c r="X2047" s="56"/>
      <c r="Y2047" s="56"/>
      <c r="Z2047" s="56"/>
      <c r="AA2047" s="56"/>
      <c r="AB2047" s="56"/>
    </row>
    <row r="2048" ht="15.75" customHeight="1">
      <c r="A2048" s="169"/>
      <c r="B2048" s="63"/>
      <c r="C2048" s="22" t="s">
        <v>53</v>
      </c>
      <c r="D2048" s="38"/>
      <c r="E2048" s="156"/>
      <c r="F2048" s="157"/>
      <c r="G2048" s="66"/>
      <c r="H2048" s="38"/>
      <c r="I2048" s="38"/>
      <c r="J2048" s="38"/>
      <c r="K2048" s="38"/>
      <c r="L2048" s="38"/>
      <c r="M2048" s="56"/>
      <c r="N2048" s="56" t="b">
        <v>0</v>
      </c>
      <c r="O2048" s="56" t="b">
        <v>0</v>
      </c>
      <c r="P2048" s="56"/>
      <c r="Q2048" s="56"/>
      <c r="R2048" s="56"/>
      <c r="S2048" s="56"/>
      <c r="T2048" s="56"/>
      <c r="U2048" s="56"/>
      <c r="V2048" s="56"/>
      <c r="W2048" s="56"/>
      <c r="X2048" s="56"/>
      <c r="Y2048" s="56"/>
      <c r="Z2048" s="56"/>
      <c r="AA2048" s="56"/>
      <c r="AB2048" s="56"/>
    </row>
    <row r="2049" ht="15.75" customHeight="1">
      <c r="A2049" s="169"/>
      <c r="B2049" s="63"/>
      <c r="C2049" s="22" t="s">
        <v>53</v>
      </c>
      <c r="D2049" s="38"/>
      <c r="E2049" s="158"/>
      <c r="F2049" s="159"/>
      <c r="G2049" s="66"/>
      <c r="H2049" s="38"/>
      <c r="I2049" s="38"/>
      <c r="J2049" s="38"/>
      <c r="K2049" s="38"/>
      <c r="L2049" s="38"/>
      <c r="M2049" s="56"/>
      <c r="N2049" s="56" t="b">
        <v>0</v>
      </c>
      <c r="O2049" s="56" t="b">
        <v>0</v>
      </c>
      <c r="P2049" s="56"/>
      <c r="Q2049" s="56"/>
      <c r="R2049" s="56"/>
      <c r="S2049" s="56"/>
      <c r="T2049" s="56"/>
      <c r="U2049" s="56"/>
      <c r="V2049" s="56"/>
      <c r="W2049" s="56"/>
      <c r="X2049" s="56"/>
      <c r="Y2049" s="56"/>
      <c r="Z2049" s="56"/>
      <c r="AA2049" s="56"/>
      <c r="AB2049" s="56"/>
    </row>
    <row r="2050" ht="15.75" customHeight="1">
      <c r="A2050" s="169"/>
      <c r="B2050" s="63"/>
      <c r="C2050" s="22" t="s">
        <v>53</v>
      </c>
      <c r="D2050" s="38"/>
      <c r="E2050" s="38"/>
      <c r="F2050" s="65"/>
      <c r="G2050" s="66"/>
      <c r="H2050" s="38"/>
      <c r="I2050" s="38"/>
      <c r="J2050" s="38"/>
      <c r="K2050" s="38"/>
      <c r="L2050" s="38"/>
      <c r="M2050" s="56"/>
      <c r="N2050" s="56" t="b">
        <v>0</v>
      </c>
      <c r="O2050" s="56" t="b">
        <v>0</v>
      </c>
      <c r="P2050" s="56"/>
      <c r="Q2050" s="56"/>
      <c r="R2050" s="56"/>
      <c r="S2050" s="56"/>
      <c r="T2050" s="56"/>
      <c r="U2050" s="56"/>
      <c r="V2050" s="56"/>
      <c r="W2050" s="56"/>
      <c r="X2050" s="56"/>
      <c r="Y2050" s="56"/>
      <c r="Z2050" s="56"/>
      <c r="AA2050" s="56"/>
      <c r="AB2050" s="56"/>
    </row>
    <row r="2051" ht="15.75" customHeight="1">
      <c r="A2051" s="169"/>
      <c r="B2051" s="63"/>
      <c r="C2051" s="22" t="s">
        <v>53</v>
      </c>
      <c r="D2051" s="38"/>
      <c r="E2051" s="38"/>
      <c r="F2051" s="65"/>
      <c r="G2051" s="66"/>
      <c r="H2051" s="38"/>
      <c r="I2051" s="38"/>
      <c r="J2051" s="38"/>
      <c r="K2051" s="38"/>
      <c r="L2051" s="38"/>
      <c r="M2051" s="56"/>
      <c r="N2051" s="56" t="b">
        <v>0</v>
      </c>
      <c r="O2051" s="56" t="b">
        <v>0</v>
      </c>
      <c r="P2051" s="56"/>
      <c r="Q2051" s="56"/>
      <c r="R2051" s="56"/>
      <c r="S2051" s="56"/>
      <c r="T2051" s="56"/>
      <c r="U2051" s="56"/>
      <c r="V2051" s="56"/>
      <c r="W2051" s="56"/>
      <c r="X2051" s="56"/>
      <c r="Y2051" s="56"/>
      <c r="Z2051" s="56"/>
      <c r="AA2051" s="56"/>
      <c r="AB2051" s="56"/>
    </row>
    <row r="2052" ht="15.75" customHeight="1">
      <c r="A2052" s="169"/>
      <c r="B2052" s="69"/>
      <c r="C2052" s="22"/>
      <c r="D2052" s="38"/>
      <c r="E2052" s="38"/>
      <c r="F2052" s="65"/>
      <c r="G2052" s="66"/>
      <c r="H2052" s="38"/>
      <c r="I2052" s="38"/>
      <c r="J2052" s="38"/>
      <c r="K2052" s="38"/>
      <c r="L2052" s="38"/>
      <c r="M2052" s="56"/>
      <c r="N2052" s="56" t="b">
        <v>0</v>
      </c>
      <c r="O2052" s="56" t="b">
        <v>0</v>
      </c>
      <c r="P2052" s="56"/>
      <c r="Q2052" s="56"/>
      <c r="R2052" s="56"/>
      <c r="S2052" s="56"/>
      <c r="T2052" s="56"/>
      <c r="U2052" s="56"/>
      <c r="V2052" s="56"/>
      <c r="W2052" s="56"/>
      <c r="X2052" s="56"/>
      <c r="Y2052" s="56"/>
      <c r="Z2052" s="56"/>
      <c r="AA2052" s="56"/>
      <c r="AB2052" s="56"/>
    </row>
    <row r="2053" ht="15.75" customHeight="1">
      <c r="A2053" s="169"/>
      <c r="B2053" s="320" t="s">
        <v>6168</v>
      </c>
      <c r="C2053" s="22" t="s">
        <v>66</v>
      </c>
      <c r="D2053" s="172" t="s">
        <v>89</v>
      </c>
      <c r="E2053" s="77" t="s">
        <v>3664</v>
      </c>
      <c r="F2053" s="77" t="s">
        <v>3665</v>
      </c>
      <c r="G2053" s="82" t="s">
        <v>5134</v>
      </c>
      <c r="H2053" s="76" t="s">
        <v>6815</v>
      </c>
      <c r="I2053" s="76" t="s">
        <v>6816</v>
      </c>
      <c r="J2053" s="77" t="s">
        <v>3667</v>
      </c>
      <c r="K2053" s="38" t="s">
        <v>6828</v>
      </c>
      <c r="L2053" s="38"/>
      <c r="M2053" s="56"/>
      <c r="N2053" s="56" t="b">
        <v>0</v>
      </c>
      <c r="O2053" s="56" t="b">
        <v>0</v>
      </c>
      <c r="P2053" s="56"/>
      <c r="Q2053" s="56"/>
      <c r="R2053" s="56"/>
      <c r="S2053" s="56"/>
      <c r="T2053" s="56"/>
      <c r="U2053" s="56"/>
      <c r="V2053" s="56"/>
      <c r="W2053" s="56"/>
      <c r="X2053" s="56"/>
      <c r="Y2053" s="56"/>
      <c r="Z2053" s="56"/>
      <c r="AA2053" s="56"/>
      <c r="AB2053" s="56"/>
    </row>
    <row r="2054" ht="15.75" customHeight="1">
      <c r="A2054" s="169"/>
      <c r="B2054" s="63"/>
      <c r="C2054" s="22" t="s">
        <v>66</v>
      </c>
      <c r="D2054" s="76" t="s">
        <v>52</v>
      </c>
      <c r="E2054" s="77" t="s">
        <v>134</v>
      </c>
      <c r="F2054" s="77" t="s">
        <v>135</v>
      </c>
      <c r="G2054" s="82" t="s">
        <v>4856</v>
      </c>
      <c r="H2054" s="76" t="s">
        <v>5044</v>
      </c>
      <c r="I2054" s="76" t="s">
        <v>6818</v>
      </c>
      <c r="J2054" s="77" t="s">
        <v>139</v>
      </c>
      <c r="K2054" s="38" t="s">
        <v>6829</v>
      </c>
      <c r="L2054" s="38"/>
      <c r="M2054" s="56"/>
      <c r="N2054" s="56" t="b">
        <v>0</v>
      </c>
      <c r="O2054" s="56" t="b">
        <v>0</v>
      </c>
      <c r="P2054" s="56"/>
      <c r="Q2054" s="56"/>
      <c r="R2054" s="56"/>
      <c r="S2054" s="56"/>
      <c r="T2054" s="56"/>
      <c r="U2054" s="56"/>
      <c r="V2054" s="56"/>
      <c r="W2054" s="56"/>
      <c r="X2054" s="56"/>
      <c r="Y2054" s="56"/>
      <c r="Z2054" s="56"/>
      <c r="AA2054" s="56"/>
      <c r="AB2054" s="56"/>
    </row>
    <row r="2055" ht="15.75" customHeight="1">
      <c r="A2055" s="169"/>
      <c r="B2055" s="63"/>
      <c r="C2055" s="22" t="s">
        <v>66</v>
      </c>
      <c r="D2055" s="172" t="s">
        <v>89</v>
      </c>
      <c r="E2055" s="77" t="s">
        <v>3330</v>
      </c>
      <c r="F2055" s="77" t="s">
        <v>3331</v>
      </c>
      <c r="G2055" s="82" t="s">
        <v>4858</v>
      </c>
      <c r="H2055" s="76" t="s">
        <v>6819</v>
      </c>
      <c r="I2055" s="76" t="s">
        <v>6820</v>
      </c>
      <c r="J2055" s="77" t="s">
        <v>3333</v>
      </c>
      <c r="K2055" s="38" t="s">
        <v>6830</v>
      </c>
      <c r="L2055" s="38"/>
      <c r="M2055" s="56"/>
      <c r="N2055" s="56" t="b">
        <v>0</v>
      </c>
      <c r="O2055" s="56" t="b">
        <v>0</v>
      </c>
      <c r="P2055" s="56"/>
      <c r="Q2055" s="56"/>
      <c r="R2055" s="56"/>
      <c r="S2055" s="56"/>
      <c r="T2055" s="56"/>
      <c r="U2055" s="56"/>
      <c r="V2055" s="56"/>
      <c r="W2055" s="56"/>
      <c r="X2055" s="56"/>
      <c r="Y2055" s="56"/>
      <c r="Z2055" s="56"/>
      <c r="AA2055" s="56"/>
      <c r="AB2055" s="56"/>
    </row>
    <row r="2056" ht="15.75" customHeight="1">
      <c r="A2056" s="169"/>
      <c r="B2056" s="63"/>
      <c r="C2056" s="22" t="s">
        <v>66</v>
      </c>
      <c r="D2056" s="172" t="s">
        <v>89</v>
      </c>
      <c r="E2056" s="77" t="s">
        <v>3101</v>
      </c>
      <c r="F2056" s="77" t="s">
        <v>3102</v>
      </c>
      <c r="G2056" s="82" t="s">
        <v>4997</v>
      </c>
      <c r="H2056" s="76" t="s">
        <v>6411</v>
      </c>
      <c r="I2056" s="76" t="s">
        <v>6811</v>
      </c>
      <c r="J2056" s="77" t="s">
        <v>3105</v>
      </c>
      <c r="K2056" s="38" t="s">
        <v>6831</v>
      </c>
      <c r="L2056" s="38"/>
      <c r="M2056" s="56"/>
      <c r="N2056" s="56" t="b">
        <v>0</v>
      </c>
      <c r="O2056" s="56" t="b">
        <v>0</v>
      </c>
      <c r="P2056" s="56"/>
      <c r="Q2056" s="56"/>
      <c r="R2056" s="56"/>
      <c r="S2056" s="56"/>
      <c r="T2056" s="56"/>
      <c r="U2056" s="56"/>
      <c r="V2056" s="56"/>
      <c r="W2056" s="56"/>
      <c r="X2056" s="56"/>
      <c r="Y2056" s="56"/>
      <c r="Z2056" s="56"/>
      <c r="AA2056" s="56"/>
      <c r="AB2056" s="56"/>
    </row>
    <row r="2057" ht="15.75" customHeight="1">
      <c r="A2057" s="169"/>
      <c r="B2057" s="63"/>
      <c r="C2057" s="22" t="s">
        <v>66</v>
      </c>
      <c r="D2057" s="164"/>
      <c r="E2057" s="164"/>
      <c r="F2057" s="164"/>
      <c r="G2057" s="201"/>
      <c r="H2057" s="164"/>
      <c r="I2057" s="164"/>
      <c r="J2057" s="164"/>
      <c r="K2057" s="38"/>
      <c r="L2057" s="38"/>
      <c r="M2057" s="56"/>
      <c r="N2057" s="56" t="b">
        <v>0</v>
      </c>
      <c r="O2057" s="56" t="b">
        <v>0</v>
      </c>
      <c r="P2057" s="56"/>
      <c r="Q2057" s="56"/>
      <c r="R2057" s="56"/>
      <c r="S2057" s="56"/>
      <c r="T2057" s="56"/>
      <c r="U2057" s="56"/>
      <c r="V2057" s="56"/>
      <c r="W2057" s="56"/>
      <c r="X2057" s="56"/>
      <c r="Y2057" s="56"/>
      <c r="Z2057" s="56"/>
      <c r="AA2057" s="56"/>
      <c r="AB2057" s="56"/>
    </row>
    <row r="2058" ht="15.75" customHeight="1">
      <c r="A2058" s="169"/>
      <c r="B2058" s="69"/>
      <c r="C2058" s="22"/>
      <c r="D2058" s="38"/>
      <c r="E2058" s="38"/>
      <c r="F2058" s="65"/>
      <c r="G2058" s="66"/>
      <c r="H2058" s="38"/>
      <c r="I2058" s="38"/>
      <c r="J2058" s="38"/>
      <c r="K2058" s="38"/>
      <c r="L2058" s="38"/>
      <c r="M2058" s="56"/>
      <c r="N2058" s="56" t="b">
        <v>0</v>
      </c>
      <c r="O2058" s="56" t="b">
        <v>0</v>
      </c>
      <c r="P2058" s="56"/>
      <c r="Q2058" s="56"/>
      <c r="R2058" s="56"/>
      <c r="S2058" s="56"/>
      <c r="T2058" s="56"/>
      <c r="U2058" s="56"/>
      <c r="V2058" s="56"/>
      <c r="W2058" s="56"/>
      <c r="X2058" s="56"/>
      <c r="Y2058" s="56"/>
      <c r="Z2058" s="56"/>
      <c r="AA2058" s="56"/>
      <c r="AB2058" s="56"/>
    </row>
    <row r="2059" ht="15.75" customHeight="1">
      <c r="A2059" s="169"/>
      <c r="B2059" s="299"/>
      <c r="C2059" s="220">
        <v>44594.0</v>
      </c>
      <c r="D2059" s="38"/>
      <c r="E2059" s="38"/>
      <c r="F2059" s="65"/>
      <c r="G2059" s="66"/>
      <c r="H2059" s="38"/>
      <c r="I2059" s="38"/>
      <c r="J2059" s="38"/>
      <c r="K2059" s="38"/>
      <c r="L2059" s="38"/>
      <c r="M2059" s="56"/>
      <c r="N2059" s="56" t="b">
        <v>0</v>
      </c>
      <c r="O2059" s="56" t="b">
        <v>0</v>
      </c>
      <c r="P2059" s="56"/>
      <c r="Q2059" s="56"/>
      <c r="R2059" s="56"/>
      <c r="S2059" s="56"/>
      <c r="T2059" s="56"/>
      <c r="U2059" s="56"/>
      <c r="V2059" s="56"/>
      <c r="W2059" s="56"/>
      <c r="X2059" s="56"/>
      <c r="Y2059" s="56"/>
      <c r="Z2059" s="56"/>
      <c r="AA2059" s="56"/>
      <c r="AB2059" s="56"/>
    </row>
    <row r="2060" ht="15.75" customHeight="1">
      <c r="A2060" s="169"/>
      <c r="B2060" s="320" t="s">
        <v>6168</v>
      </c>
      <c r="C2060" s="22" t="s">
        <v>66</v>
      </c>
      <c r="D2060" s="164"/>
      <c r="E2060" s="164"/>
      <c r="F2060" s="326" t="s">
        <v>6832</v>
      </c>
      <c r="G2060" s="166"/>
      <c r="H2060" s="164"/>
      <c r="I2060" s="164"/>
      <c r="J2060" s="164"/>
      <c r="K2060" s="38"/>
      <c r="L2060" s="38"/>
      <c r="M2060" s="56"/>
      <c r="N2060" s="56" t="b">
        <v>0</v>
      </c>
      <c r="O2060" s="56" t="b">
        <v>0</v>
      </c>
      <c r="P2060" s="56"/>
      <c r="Q2060" s="56"/>
      <c r="R2060" s="56"/>
      <c r="S2060" s="56"/>
      <c r="T2060" s="56"/>
      <c r="U2060" s="56"/>
      <c r="V2060" s="56"/>
      <c r="W2060" s="56"/>
      <c r="X2060" s="56"/>
      <c r="Y2060" s="56"/>
      <c r="Z2060" s="56"/>
      <c r="AA2060" s="56"/>
      <c r="AB2060" s="56"/>
    </row>
    <row r="2061" ht="15.75" customHeight="1">
      <c r="A2061" s="169"/>
      <c r="B2061" s="63"/>
      <c r="C2061" s="22" t="s">
        <v>66</v>
      </c>
      <c r="D2061" s="62" t="s">
        <v>133</v>
      </c>
      <c r="E2061" s="60" t="s">
        <v>4257</v>
      </c>
      <c r="F2061" s="60" t="s">
        <v>4258</v>
      </c>
      <c r="G2061" s="73" t="s">
        <v>4887</v>
      </c>
      <c r="H2061" s="62" t="s">
        <v>5511</v>
      </c>
      <c r="I2061" s="62" t="s">
        <v>6833</v>
      </c>
      <c r="J2061" s="60" t="s">
        <v>4259</v>
      </c>
      <c r="K2061" s="38"/>
      <c r="L2061" s="38"/>
      <c r="M2061" s="56"/>
      <c r="N2061" s="56" t="b">
        <v>0</v>
      </c>
      <c r="O2061" s="56" t="b">
        <v>0</v>
      </c>
      <c r="P2061" s="56"/>
      <c r="Q2061" s="56"/>
      <c r="R2061" s="56"/>
      <c r="S2061" s="56"/>
      <c r="T2061" s="56"/>
      <c r="U2061" s="56"/>
      <c r="V2061" s="56"/>
      <c r="W2061" s="56"/>
      <c r="X2061" s="56"/>
      <c r="Y2061" s="56"/>
      <c r="Z2061" s="56"/>
      <c r="AA2061" s="56"/>
      <c r="AB2061" s="56"/>
    </row>
    <row r="2062" ht="15.75" customHeight="1">
      <c r="A2062" s="169"/>
      <c r="B2062" s="63"/>
      <c r="C2062" s="22" t="s">
        <v>66</v>
      </c>
      <c r="D2062" s="227" t="s">
        <v>89</v>
      </c>
      <c r="E2062" s="60" t="s">
        <v>97</v>
      </c>
      <c r="F2062" s="60" t="s">
        <v>98</v>
      </c>
      <c r="G2062" s="73" t="s">
        <v>4892</v>
      </c>
      <c r="H2062" s="62" t="s">
        <v>6103</v>
      </c>
      <c r="I2062" s="227" t="s">
        <v>6826</v>
      </c>
      <c r="J2062" s="60" t="s">
        <v>101</v>
      </c>
      <c r="K2062" s="38"/>
      <c r="L2062" s="38"/>
      <c r="M2062" s="56"/>
      <c r="N2062" s="56" t="b">
        <v>0</v>
      </c>
      <c r="O2062" s="56" t="b">
        <v>0</v>
      </c>
      <c r="P2062" s="56"/>
      <c r="Q2062" s="56"/>
      <c r="R2062" s="56"/>
      <c r="S2062" s="56"/>
      <c r="T2062" s="56"/>
      <c r="U2062" s="56"/>
      <c r="V2062" s="56"/>
      <c r="W2062" s="56"/>
      <c r="X2062" s="56"/>
      <c r="Y2062" s="56"/>
      <c r="Z2062" s="56"/>
      <c r="AA2062" s="56"/>
      <c r="AB2062" s="56"/>
    </row>
    <row r="2063" ht="15.75" customHeight="1">
      <c r="A2063" s="169"/>
      <c r="B2063" s="63"/>
      <c r="C2063" s="22" t="s">
        <v>66</v>
      </c>
      <c r="D2063" s="38"/>
      <c r="E2063" s="38"/>
      <c r="F2063" s="65"/>
      <c r="G2063" s="66"/>
      <c r="H2063" s="38"/>
      <c r="I2063" s="38"/>
      <c r="J2063" s="38"/>
      <c r="K2063" s="38"/>
      <c r="L2063" s="38"/>
      <c r="M2063" s="56"/>
      <c r="N2063" s="56" t="b">
        <v>0</v>
      </c>
      <c r="O2063" s="56" t="b">
        <v>0</v>
      </c>
      <c r="P2063" s="56"/>
      <c r="Q2063" s="56"/>
      <c r="R2063" s="56"/>
      <c r="S2063" s="56"/>
      <c r="T2063" s="56"/>
      <c r="U2063" s="56"/>
      <c r="V2063" s="56"/>
      <c r="W2063" s="56"/>
      <c r="X2063" s="56"/>
      <c r="Y2063" s="56"/>
      <c r="Z2063" s="56"/>
      <c r="AA2063" s="56"/>
      <c r="AB2063" s="56"/>
    </row>
    <row r="2064" ht="15.75" customHeight="1">
      <c r="A2064" s="169"/>
      <c r="B2064" s="63"/>
      <c r="C2064" s="22" t="s">
        <v>66</v>
      </c>
      <c r="D2064" s="38"/>
      <c r="E2064" s="38"/>
      <c r="F2064" s="65"/>
      <c r="G2064" s="66"/>
      <c r="H2064" s="38"/>
      <c r="I2064" s="38"/>
      <c r="J2064" s="38"/>
      <c r="K2064" s="38"/>
      <c r="L2064" s="38"/>
      <c r="M2064" s="56"/>
      <c r="N2064" s="56" t="b">
        <v>0</v>
      </c>
      <c r="O2064" s="56" t="b">
        <v>0</v>
      </c>
      <c r="P2064" s="56"/>
      <c r="Q2064" s="56"/>
      <c r="R2064" s="56"/>
      <c r="S2064" s="56"/>
      <c r="T2064" s="56"/>
      <c r="U2064" s="56"/>
      <c r="V2064" s="56"/>
      <c r="W2064" s="56"/>
      <c r="X2064" s="56"/>
      <c r="Y2064" s="56"/>
      <c r="Z2064" s="56"/>
      <c r="AA2064" s="56"/>
      <c r="AB2064" s="56"/>
    </row>
    <row r="2065" ht="15.75" customHeight="1">
      <c r="A2065" s="169"/>
      <c r="B2065" s="69"/>
      <c r="C2065" s="22"/>
      <c r="D2065" s="38"/>
      <c r="E2065" s="38"/>
      <c r="F2065" s="65"/>
      <c r="G2065" s="66"/>
      <c r="H2065" s="38"/>
      <c r="I2065" s="38"/>
      <c r="J2065" s="38"/>
      <c r="K2065" s="38"/>
      <c r="L2065" s="38"/>
      <c r="M2065" s="56"/>
      <c r="N2065" s="56" t="b">
        <v>0</v>
      </c>
      <c r="O2065" s="56" t="b">
        <v>0</v>
      </c>
      <c r="P2065" s="56"/>
      <c r="Q2065" s="56"/>
      <c r="R2065" s="56"/>
      <c r="S2065" s="56"/>
      <c r="T2065" s="56"/>
      <c r="U2065" s="56"/>
      <c r="V2065" s="56"/>
      <c r="W2065" s="56"/>
      <c r="X2065" s="56"/>
      <c r="Y2065" s="56"/>
      <c r="Z2065" s="56"/>
      <c r="AA2065" s="56"/>
      <c r="AB2065" s="56"/>
    </row>
    <row r="2066" ht="15.75" customHeight="1">
      <c r="A2066" s="169"/>
      <c r="B2066" s="299"/>
      <c r="C2066" s="220">
        <v>44627.0</v>
      </c>
      <c r="D2066" s="38"/>
      <c r="E2066" s="38"/>
      <c r="F2066" s="65"/>
      <c r="G2066" s="66"/>
      <c r="H2066" s="38"/>
      <c r="I2066" s="38"/>
      <c r="J2066" s="38"/>
      <c r="K2066" s="38"/>
      <c r="L2066" s="38"/>
      <c r="M2066" s="56"/>
      <c r="N2066" s="56" t="b">
        <v>0</v>
      </c>
      <c r="O2066" s="56" t="b">
        <v>0</v>
      </c>
      <c r="P2066" s="56"/>
      <c r="Q2066" s="56"/>
      <c r="R2066" s="56"/>
      <c r="S2066" s="56"/>
      <c r="T2066" s="56"/>
      <c r="U2066" s="56"/>
      <c r="V2066" s="56"/>
      <c r="W2066" s="56"/>
      <c r="X2066" s="56"/>
      <c r="Y2066" s="56"/>
      <c r="Z2066" s="56"/>
      <c r="AA2066" s="56"/>
      <c r="AB2066" s="56"/>
    </row>
    <row r="2067" ht="15.75" customHeight="1">
      <c r="A2067" s="169"/>
      <c r="B2067" s="320"/>
      <c r="C2067" s="22"/>
      <c r="D2067" s="38"/>
      <c r="E2067" s="38"/>
      <c r="F2067" s="65"/>
      <c r="G2067" s="66"/>
      <c r="H2067" s="38"/>
      <c r="I2067" s="38"/>
      <c r="J2067" s="38"/>
      <c r="K2067" s="38"/>
      <c r="L2067" s="38"/>
      <c r="M2067" s="56"/>
      <c r="N2067" s="56" t="b">
        <v>0</v>
      </c>
      <c r="O2067" s="56" t="b">
        <v>0</v>
      </c>
      <c r="P2067" s="56"/>
      <c r="Q2067" s="56"/>
      <c r="R2067" s="56"/>
      <c r="S2067" s="56"/>
      <c r="T2067" s="56"/>
      <c r="U2067" s="56"/>
      <c r="V2067" s="56"/>
      <c r="W2067" s="56"/>
      <c r="X2067" s="56"/>
      <c r="Y2067" s="56"/>
      <c r="Z2067" s="56"/>
      <c r="AA2067" s="56"/>
      <c r="AB2067" s="56"/>
    </row>
    <row r="2068" ht="15.75" customHeight="1">
      <c r="A2068" s="169"/>
      <c r="B2068" s="63"/>
      <c r="C2068" s="22" t="s">
        <v>131</v>
      </c>
      <c r="D2068" s="76" t="s">
        <v>52</v>
      </c>
      <c r="E2068" s="77" t="s">
        <v>1014</v>
      </c>
      <c r="F2068" s="77" t="s">
        <v>1015</v>
      </c>
      <c r="G2068" s="82" t="s">
        <v>5704</v>
      </c>
      <c r="H2068" s="76" t="s">
        <v>5029</v>
      </c>
      <c r="I2068" s="76" t="s">
        <v>6834</v>
      </c>
      <c r="J2068" s="203" t="s">
        <v>1017</v>
      </c>
      <c r="K2068" s="38" t="s">
        <v>6835</v>
      </c>
      <c r="L2068" s="38"/>
      <c r="M2068" s="56"/>
      <c r="N2068" s="56" t="b">
        <v>0</v>
      </c>
      <c r="O2068" s="56" t="b">
        <v>0</v>
      </c>
      <c r="P2068" s="56"/>
      <c r="Q2068" s="56"/>
      <c r="R2068" s="56"/>
      <c r="S2068" s="56"/>
      <c r="T2068" s="56"/>
      <c r="U2068" s="56"/>
      <c r="V2068" s="56"/>
      <c r="W2068" s="56"/>
      <c r="X2068" s="56"/>
      <c r="Y2068" s="56"/>
      <c r="Z2068" s="56"/>
      <c r="AA2068" s="56"/>
      <c r="AB2068" s="56"/>
    </row>
    <row r="2069" ht="15.75" customHeight="1">
      <c r="A2069" s="169"/>
      <c r="B2069" s="63"/>
      <c r="C2069" s="22" t="s">
        <v>131</v>
      </c>
      <c r="D2069" s="62" t="s">
        <v>52</v>
      </c>
      <c r="E2069" s="242" t="s">
        <v>578</v>
      </c>
      <c r="F2069" s="242" t="s">
        <v>579</v>
      </c>
      <c r="G2069" s="73" t="s">
        <v>5134</v>
      </c>
      <c r="H2069" s="62" t="s">
        <v>5430</v>
      </c>
      <c r="I2069" s="62" t="s">
        <v>6836</v>
      </c>
      <c r="J2069" s="242" t="s">
        <v>580</v>
      </c>
      <c r="K2069" s="38"/>
      <c r="L2069" s="38"/>
      <c r="M2069" s="56"/>
      <c r="N2069" s="56" t="b">
        <v>0</v>
      </c>
      <c r="O2069" s="56" t="b">
        <v>0</v>
      </c>
      <c r="P2069" s="56"/>
      <c r="Q2069" s="56"/>
      <c r="R2069" s="56"/>
      <c r="S2069" s="56"/>
      <c r="T2069" s="56"/>
      <c r="U2069" s="56"/>
      <c r="V2069" s="56"/>
      <c r="W2069" s="56"/>
      <c r="X2069" s="56"/>
      <c r="Y2069" s="56"/>
      <c r="Z2069" s="56"/>
      <c r="AA2069" s="56"/>
      <c r="AB2069" s="56"/>
    </row>
    <row r="2070" ht="15.75" customHeight="1">
      <c r="A2070" s="169"/>
      <c r="B2070" s="63"/>
      <c r="C2070" s="22" t="s">
        <v>131</v>
      </c>
      <c r="D2070" s="62" t="s">
        <v>52</v>
      </c>
      <c r="E2070" s="60" t="s">
        <v>2355</v>
      </c>
      <c r="F2070" s="60" t="s">
        <v>2356</v>
      </c>
      <c r="G2070" s="73" t="s">
        <v>4960</v>
      </c>
      <c r="H2070" s="62" t="s">
        <v>5029</v>
      </c>
      <c r="I2070" s="62" t="s">
        <v>6837</v>
      </c>
      <c r="J2070" s="60" t="s">
        <v>2358</v>
      </c>
      <c r="K2070" s="38"/>
      <c r="L2070" s="38"/>
      <c r="M2070" s="56"/>
      <c r="N2070" s="56" t="b">
        <v>0</v>
      </c>
      <c r="O2070" s="56" t="b">
        <v>0</v>
      </c>
      <c r="P2070" s="56"/>
      <c r="Q2070" s="56"/>
      <c r="R2070" s="56"/>
      <c r="S2070" s="56"/>
      <c r="T2070" s="56"/>
      <c r="U2070" s="56"/>
      <c r="V2070" s="56"/>
      <c r="W2070" s="56"/>
      <c r="X2070" s="56"/>
      <c r="Y2070" s="56"/>
      <c r="Z2070" s="56"/>
      <c r="AA2070" s="56"/>
      <c r="AB2070" s="56"/>
    </row>
    <row r="2071" ht="15.75" customHeight="1">
      <c r="A2071" s="169"/>
      <c r="B2071" s="63"/>
      <c r="C2071" s="22" t="s">
        <v>131</v>
      </c>
      <c r="D2071" s="62" t="s">
        <v>52</v>
      </c>
      <c r="E2071" s="60" t="s">
        <v>617</v>
      </c>
      <c r="F2071" s="60" t="s">
        <v>618</v>
      </c>
      <c r="G2071" s="73" t="s">
        <v>4892</v>
      </c>
      <c r="H2071" s="62" t="s">
        <v>6307</v>
      </c>
      <c r="I2071" s="62" t="s">
        <v>6838</v>
      </c>
      <c r="J2071" s="60" t="s">
        <v>620</v>
      </c>
      <c r="K2071" s="38"/>
      <c r="L2071" s="38"/>
      <c r="M2071" s="56"/>
      <c r="N2071" s="56" t="b">
        <v>0</v>
      </c>
      <c r="O2071" s="56" t="b">
        <v>0</v>
      </c>
      <c r="P2071" s="56"/>
      <c r="Q2071" s="56"/>
      <c r="R2071" s="56"/>
      <c r="S2071" s="56"/>
      <c r="T2071" s="56"/>
      <c r="U2071" s="56"/>
      <c r="V2071" s="56"/>
      <c r="W2071" s="56"/>
      <c r="X2071" s="56"/>
      <c r="Y2071" s="56"/>
      <c r="Z2071" s="56"/>
      <c r="AA2071" s="56"/>
      <c r="AB2071" s="56"/>
    </row>
    <row r="2072" ht="15.75" customHeight="1">
      <c r="A2072" s="169"/>
      <c r="B2072" s="69"/>
      <c r="C2072" s="22"/>
      <c r="D2072" s="38"/>
      <c r="E2072" s="38"/>
      <c r="F2072" s="65"/>
      <c r="G2072" s="66"/>
      <c r="H2072" s="38"/>
      <c r="I2072" s="38"/>
      <c r="J2072" s="38"/>
      <c r="K2072" s="38"/>
      <c r="L2072" s="38"/>
      <c r="M2072" s="56"/>
      <c r="N2072" s="56" t="b">
        <v>0</v>
      </c>
      <c r="O2072" s="56" t="b">
        <v>0</v>
      </c>
      <c r="P2072" s="56"/>
      <c r="Q2072" s="56"/>
      <c r="R2072" s="56"/>
      <c r="S2072" s="56"/>
      <c r="T2072" s="56"/>
      <c r="U2072" s="56"/>
      <c r="V2072" s="56"/>
      <c r="W2072" s="56"/>
      <c r="X2072" s="56"/>
      <c r="Y2072" s="56"/>
      <c r="Z2072" s="56"/>
      <c r="AA2072" s="56"/>
      <c r="AB2072" s="56"/>
    </row>
    <row r="2073" ht="15.75" customHeight="1">
      <c r="A2073" s="169"/>
      <c r="B2073" s="299"/>
      <c r="C2073" s="220">
        <v>44628.0</v>
      </c>
      <c r="D2073" s="38"/>
      <c r="E2073" s="38"/>
      <c r="F2073" s="65"/>
      <c r="G2073" s="66"/>
      <c r="H2073" s="38"/>
      <c r="I2073" s="38"/>
      <c r="J2073" s="38"/>
      <c r="K2073" s="38"/>
      <c r="L2073" s="38"/>
      <c r="M2073" s="56"/>
      <c r="N2073" s="56" t="b">
        <v>0</v>
      </c>
      <c r="O2073" s="56" t="b">
        <v>0</v>
      </c>
      <c r="P2073" s="56"/>
      <c r="Q2073" s="56"/>
      <c r="R2073" s="56"/>
      <c r="S2073" s="56"/>
      <c r="T2073" s="56"/>
      <c r="U2073" s="56"/>
      <c r="V2073" s="56"/>
      <c r="W2073" s="56"/>
      <c r="X2073" s="56"/>
      <c r="Y2073" s="56"/>
      <c r="Z2073" s="56"/>
      <c r="AA2073" s="56"/>
      <c r="AB2073" s="56"/>
    </row>
    <row r="2074" ht="15.75" customHeight="1">
      <c r="A2074" s="169"/>
      <c r="B2074" s="320" t="s">
        <v>6168</v>
      </c>
      <c r="C2074" s="22"/>
      <c r="D2074" s="38"/>
      <c r="E2074" s="67"/>
      <c r="F2074" s="67"/>
      <c r="G2074" s="66"/>
      <c r="H2074" s="38"/>
      <c r="I2074" s="38"/>
      <c r="J2074" s="10"/>
      <c r="K2074" s="38"/>
      <c r="L2074" s="38"/>
      <c r="M2074" s="56"/>
      <c r="N2074" s="56" t="b">
        <v>0</v>
      </c>
      <c r="O2074" s="56" t="b">
        <v>0</v>
      </c>
      <c r="P2074" s="56"/>
      <c r="Q2074" s="56"/>
      <c r="R2074" s="56"/>
      <c r="S2074" s="56"/>
      <c r="T2074" s="56"/>
      <c r="U2074" s="56"/>
      <c r="V2074" s="56"/>
      <c r="W2074" s="56"/>
      <c r="X2074" s="56"/>
      <c r="Y2074" s="56"/>
      <c r="Z2074" s="56"/>
      <c r="AA2074" s="56"/>
      <c r="AB2074" s="56"/>
    </row>
    <row r="2075" ht="15.75" customHeight="1">
      <c r="A2075" s="169"/>
      <c r="B2075" s="63"/>
      <c r="C2075" s="22" t="s">
        <v>66</v>
      </c>
      <c r="D2075" s="38"/>
      <c r="E2075" s="38"/>
      <c r="F2075" s="65"/>
      <c r="G2075" s="66"/>
      <c r="H2075" s="38"/>
      <c r="I2075" s="38"/>
      <c r="J2075" s="38"/>
      <c r="K2075" s="38"/>
      <c r="L2075" s="38"/>
      <c r="M2075" s="56"/>
      <c r="N2075" s="56" t="b">
        <v>0</v>
      </c>
      <c r="O2075" s="56" t="b">
        <v>0</v>
      </c>
      <c r="P2075" s="56"/>
      <c r="Q2075" s="56"/>
      <c r="R2075" s="56"/>
      <c r="S2075" s="56"/>
      <c r="T2075" s="56"/>
      <c r="U2075" s="56"/>
      <c r="V2075" s="56"/>
      <c r="W2075" s="56"/>
      <c r="X2075" s="56"/>
      <c r="Y2075" s="56"/>
      <c r="Z2075" s="56"/>
      <c r="AA2075" s="56"/>
      <c r="AB2075" s="56"/>
    </row>
    <row r="2076" ht="15.75" customHeight="1">
      <c r="A2076" s="169"/>
      <c r="B2076" s="63"/>
      <c r="C2076" s="22" t="s">
        <v>66</v>
      </c>
      <c r="D2076" s="62" t="s">
        <v>52</v>
      </c>
      <c r="E2076" s="242" t="s">
        <v>4620</v>
      </c>
      <c r="F2076" s="242" t="s">
        <v>4621</v>
      </c>
      <c r="G2076" s="73" t="s">
        <v>4854</v>
      </c>
      <c r="H2076" s="62" t="s">
        <v>6839</v>
      </c>
      <c r="I2076" s="62" t="s">
        <v>6840</v>
      </c>
      <c r="J2076" s="242" t="s">
        <v>4623</v>
      </c>
      <c r="K2076" s="38" t="s">
        <v>6841</v>
      </c>
      <c r="L2076" s="38"/>
      <c r="M2076" s="56"/>
      <c r="N2076" s="56" t="b">
        <v>0</v>
      </c>
      <c r="O2076" s="56" t="b">
        <v>0</v>
      </c>
      <c r="P2076" s="56"/>
      <c r="Q2076" s="56"/>
      <c r="R2076" s="56"/>
      <c r="S2076" s="56"/>
      <c r="T2076" s="56"/>
      <c r="U2076" s="56"/>
      <c r="V2076" s="56"/>
      <c r="W2076" s="56"/>
      <c r="X2076" s="56"/>
      <c r="Y2076" s="56"/>
      <c r="Z2076" s="56"/>
      <c r="AA2076" s="56"/>
      <c r="AB2076" s="56"/>
    </row>
    <row r="2077" ht="15.75" customHeight="1">
      <c r="A2077" s="169"/>
      <c r="B2077" s="63"/>
      <c r="C2077" s="22" t="s">
        <v>66</v>
      </c>
      <c r="D2077" s="62" t="s">
        <v>52</v>
      </c>
      <c r="E2077" s="242" t="s">
        <v>2334</v>
      </c>
      <c r="F2077" s="242" t="s">
        <v>2330</v>
      </c>
      <c r="G2077" s="73" t="s">
        <v>4856</v>
      </c>
      <c r="H2077" s="62" t="s">
        <v>6839</v>
      </c>
      <c r="I2077" s="62" t="s">
        <v>6842</v>
      </c>
      <c r="J2077" s="242" t="s">
        <v>2336</v>
      </c>
      <c r="K2077" s="38"/>
      <c r="L2077" s="38"/>
      <c r="M2077" s="56"/>
      <c r="N2077" s="56" t="b">
        <v>0</v>
      </c>
      <c r="O2077" s="56" t="b">
        <v>0</v>
      </c>
      <c r="P2077" s="56"/>
      <c r="Q2077" s="56"/>
      <c r="R2077" s="56"/>
      <c r="S2077" s="56"/>
      <c r="T2077" s="56"/>
      <c r="U2077" s="56"/>
      <c r="V2077" s="56"/>
      <c r="W2077" s="56"/>
      <c r="X2077" s="56"/>
      <c r="Y2077" s="56"/>
      <c r="Z2077" s="56"/>
      <c r="AA2077" s="56"/>
      <c r="AB2077" s="56"/>
    </row>
    <row r="2078" ht="15.75" customHeight="1">
      <c r="A2078" s="169"/>
      <c r="B2078" s="63"/>
      <c r="C2078" s="22" t="s">
        <v>66</v>
      </c>
      <c r="D2078" s="62" t="s">
        <v>52</v>
      </c>
      <c r="E2078" s="60" t="s">
        <v>1344</v>
      </c>
      <c r="F2078" s="60" t="s">
        <v>1345</v>
      </c>
      <c r="G2078" s="73" t="s">
        <v>4858</v>
      </c>
      <c r="H2078" s="62" t="s">
        <v>4888</v>
      </c>
      <c r="I2078" s="62" t="s">
        <v>6843</v>
      </c>
      <c r="J2078" s="242" t="s">
        <v>1347</v>
      </c>
      <c r="K2078" s="38"/>
      <c r="L2078" s="38"/>
      <c r="M2078" s="56"/>
      <c r="N2078" s="56" t="b">
        <v>0</v>
      </c>
      <c r="O2078" s="56" t="b">
        <v>0</v>
      </c>
      <c r="P2078" s="56"/>
      <c r="Q2078" s="56"/>
      <c r="R2078" s="56"/>
      <c r="S2078" s="56"/>
      <c r="T2078" s="56"/>
      <c r="U2078" s="56"/>
      <c r="V2078" s="56"/>
      <c r="W2078" s="56"/>
      <c r="X2078" s="56"/>
      <c r="Y2078" s="56"/>
      <c r="Z2078" s="56"/>
      <c r="AA2078" s="56"/>
      <c r="AB2078" s="56"/>
    </row>
    <row r="2079" ht="15.75" customHeight="1">
      <c r="A2079" s="169"/>
      <c r="B2079" s="63"/>
      <c r="C2079" s="22" t="s">
        <v>66</v>
      </c>
      <c r="D2079" s="62" t="s">
        <v>52</v>
      </c>
      <c r="E2079" s="60" t="s">
        <v>2986</v>
      </c>
      <c r="F2079" s="60" t="s">
        <v>2987</v>
      </c>
      <c r="G2079" s="73" t="s">
        <v>5089</v>
      </c>
      <c r="H2079" s="62" t="s">
        <v>6844</v>
      </c>
      <c r="I2079" s="62" t="s">
        <v>6845</v>
      </c>
      <c r="J2079" s="60" t="s">
        <v>2990</v>
      </c>
      <c r="K2079" s="38"/>
      <c r="L2079" s="38"/>
      <c r="M2079" s="56"/>
      <c r="N2079" s="56" t="b">
        <v>0</v>
      </c>
      <c r="O2079" s="56" t="b">
        <v>0</v>
      </c>
      <c r="P2079" s="56"/>
      <c r="Q2079" s="56"/>
      <c r="R2079" s="56"/>
      <c r="S2079" s="56"/>
      <c r="T2079" s="56"/>
      <c r="U2079" s="56"/>
      <c r="V2079" s="56"/>
      <c r="W2079" s="56"/>
      <c r="X2079" s="56"/>
      <c r="Y2079" s="56"/>
      <c r="Z2079" s="56"/>
      <c r="AA2079" s="56"/>
      <c r="AB2079" s="56"/>
    </row>
    <row r="2080" ht="15.75" customHeight="1">
      <c r="A2080" s="169"/>
      <c r="B2080" s="69"/>
      <c r="C2080" s="327" t="s">
        <v>66</v>
      </c>
      <c r="D2080" s="76" t="s">
        <v>52</v>
      </c>
      <c r="E2080" s="77" t="s">
        <v>4649</v>
      </c>
      <c r="F2080" s="77" t="s">
        <v>4650</v>
      </c>
      <c r="G2080" s="82" t="s">
        <v>5981</v>
      </c>
      <c r="H2080" s="76" t="s">
        <v>6839</v>
      </c>
      <c r="I2080" s="76" t="s">
        <v>6846</v>
      </c>
      <c r="J2080" s="77" t="s">
        <v>2313</v>
      </c>
      <c r="K2080" s="38" t="s">
        <v>6847</v>
      </c>
      <c r="L2080" s="38"/>
      <c r="M2080" s="56"/>
      <c r="N2080" s="56" t="b">
        <v>0</v>
      </c>
      <c r="O2080" s="56" t="b">
        <v>0</v>
      </c>
      <c r="P2080" s="56"/>
      <c r="Q2080" s="56"/>
      <c r="R2080" s="56"/>
      <c r="S2080" s="56"/>
      <c r="T2080" s="56"/>
      <c r="U2080" s="56"/>
      <c r="V2080" s="56"/>
      <c r="W2080" s="56"/>
      <c r="X2080" s="56"/>
      <c r="Y2080" s="56"/>
      <c r="Z2080" s="56"/>
      <c r="AA2080" s="56"/>
      <c r="AB2080" s="56"/>
    </row>
    <row r="2081" ht="15.75" customHeight="1">
      <c r="A2081" s="169"/>
      <c r="B2081" s="320" t="s">
        <v>6848</v>
      </c>
      <c r="D2081" s="38"/>
      <c r="E2081" s="67"/>
      <c r="F2081" s="67"/>
      <c r="G2081" s="66"/>
      <c r="H2081" s="38"/>
      <c r="I2081" s="38"/>
      <c r="J2081" s="67"/>
      <c r="K2081" s="38"/>
      <c r="L2081" s="38"/>
      <c r="M2081" s="56"/>
      <c r="N2081" s="56" t="b">
        <v>0</v>
      </c>
      <c r="O2081" s="56" t="b">
        <v>0</v>
      </c>
      <c r="P2081" s="56"/>
      <c r="Q2081" s="56"/>
      <c r="R2081" s="56"/>
      <c r="S2081" s="56"/>
      <c r="T2081" s="56"/>
      <c r="U2081" s="56"/>
      <c r="V2081" s="56"/>
      <c r="W2081" s="56"/>
      <c r="X2081" s="56"/>
      <c r="Y2081" s="56"/>
      <c r="Z2081" s="56"/>
      <c r="AA2081" s="56"/>
      <c r="AB2081" s="56"/>
    </row>
    <row r="2082" ht="15.75" customHeight="1">
      <c r="A2082" s="169"/>
      <c r="B2082" s="63"/>
      <c r="C2082" s="31" t="s">
        <v>131</v>
      </c>
      <c r="D2082" s="212"/>
      <c r="E2082" s="38"/>
      <c r="F2082" s="65"/>
      <c r="G2082" s="66"/>
      <c r="H2082" s="38"/>
      <c r="I2082" s="38"/>
      <c r="J2082" s="38"/>
      <c r="K2082" s="38"/>
      <c r="L2082" s="38"/>
      <c r="M2082" s="56"/>
      <c r="N2082" s="56" t="b">
        <v>0</v>
      </c>
      <c r="O2082" s="56" t="b">
        <v>0</v>
      </c>
      <c r="P2082" s="56"/>
      <c r="Q2082" s="56"/>
      <c r="R2082" s="56"/>
      <c r="S2082" s="56"/>
      <c r="T2082" s="56"/>
      <c r="U2082" s="56"/>
      <c r="V2082" s="56"/>
      <c r="W2082" s="56"/>
      <c r="X2082" s="56"/>
      <c r="Y2082" s="56"/>
      <c r="Z2082" s="56"/>
      <c r="AA2082" s="56"/>
      <c r="AB2082" s="56"/>
    </row>
    <row r="2083" ht="15.75" customHeight="1">
      <c r="A2083" s="169"/>
      <c r="B2083" s="63"/>
      <c r="C2083" s="31" t="s">
        <v>131</v>
      </c>
      <c r="D2083" s="328" t="s">
        <v>52</v>
      </c>
      <c r="E2083" s="203" t="s">
        <v>2262</v>
      </c>
      <c r="F2083" s="203" t="s">
        <v>2263</v>
      </c>
      <c r="G2083" s="82" t="s">
        <v>5704</v>
      </c>
      <c r="H2083" s="76" t="s">
        <v>5142</v>
      </c>
      <c r="I2083" s="76" t="s">
        <v>6849</v>
      </c>
      <c r="J2083" s="203" t="s">
        <v>6850</v>
      </c>
      <c r="K2083" s="38" t="s">
        <v>6851</v>
      </c>
      <c r="L2083" s="38"/>
      <c r="M2083" s="56"/>
      <c r="N2083" s="56" t="b">
        <v>0</v>
      </c>
      <c r="O2083" s="56" t="b">
        <v>0</v>
      </c>
      <c r="P2083" s="56"/>
      <c r="Q2083" s="56"/>
      <c r="R2083" s="56"/>
      <c r="S2083" s="56"/>
      <c r="T2083" s="56"/>
      <c r="U2083" s="56"/>
      <c r="V2083" s="56"/>
      <c r="W2083" s="56"/>
      <c r="X2083" s="56"/>
      <c r="Y2083" s="56"/>
      <c r="Z2083" s="56"/>
      <c r="AA2083" s="56"/>
      <c r="AB2083" s="56"/>
    </row>
    <row r="2084" ht="15.75" customHeight="1">
      <c r="A2084" s="169"/>
      <c r="B2084" s="63"/>
      <c r="C2084" s="22" t="s">
        <v>131</v>
      </c>
      <c r="D2084" s="76" t="s">
        <v>52</v>
      </c>
      <c r="E2084" s="77" t="s">
        <v>1014</v>
      </c>
      <c r="F2084" s="77" t="s">
        <v>1015</v>
      </c>
      <c r="G2084" s="82" t="s">
        <v>5134</v>
      </c>
      <c r="H2084" s="76" t="s">
        <v>5029</v>
      </c>
      <c r="I2084" s="76" t="s">
        <v>6834</v>
      </c>
      <c r="J2084" s="203" t="s">
        <v>1017</v>
      </c>
      <c r="K2084" s="38" t="s">
        <v>6852</v>
      </c>
      <c r="L2084" s="38"/>
      <c r="M2084" s="56"/>
      <c r="N2084" s="56" t="b">
        <v>0</v>
      </c>
      <c r="O2084" s="56" t="b">
        <v>0</v>
      </c>
      <c r="P2084" s="56"/>
      <c r="Q2084" s="56"/>
      <c r="R2084" s="56"/>
      <c r="S2084" s="56"/>
      <c r="T2084" s="56"/>
      <c r="U2084" s="56"/>
      <c r="V2084" s="56"/>
      <c r="W2084" s="56"/>
      <c r="X2084" s="56"/>
      <c r="Y2084" s="56"/>
      <c r="Z2084" s="56"/>
      <c r="AA2084" s="56"/>
      <c r="AB2084" s="56"/>
    </row>
    <row r="2085" ht="15.75" customHeight="1">
      <c r="A2085" s="169"/>
      <c r="B2085" s="63"/>
      <c r="C2085" s="22" t="s">
        <v>131</v>
      </c>
      <c r="D2085" s="76" t="s">
        <v>52</v>
      </c>
      <c r="E2085" s="203" t="s">
        <v>4382</v>
      </c>
      <c r="F2085" s="203" t="s">
        <v>4383</v>
      </c>
      <c r="G2085" s="82" t="s">
        <v>4856</v>
      </c>
      <c r="H2085" s="76" t="s">
        <v>6437</v>
      </c>
      <c r="I2085" s="76" t="s">
        <v>6853</v>
      </c>
      <c r="J2085" s="203" t="s">
        <v>4385</v>
      </c>
      <c r="K2085" s="38" t="s">
        <v>6854</v>
      </c>
      <c r="L2085" s="38"/>
      <c r="M2085" s="56"/>
      <c r="N2085" s="56" t="b">
        <v>0</v>
      </c>
      <c r="O2085" s="56" t="b">
        <v>0</v>
      </c>
      <c r="P2085" s="56"/>
      <c r="Q2085" s="56"/>
      <c r="R2085" s="56"/>
      <c r="S2085" s="56"/>
      <c r="T2085" s="56"/>
      <c r="U2085" s="56"/>
      <c r="V2085" s="56"/>
      <c r="W2085" s="56"/>
      <c r="X2085" s="56"/>
      <c r="Y2085" s="56"/>
      <c r="Z2085" s="56"/>
      <c r="AA2085" s="56"/>
      <c r="AB2085" s="56"/>
    </row>
    <row r="2086" ht="15.75" customHeight="1">
      <c r="A2086" s="169"/>
      <c r="B2086" s="63"/>
      <c r="C2086" s="22" t="s">
        <v>131</v>
      </c>
      <c r="D2086" s="62" t="s">
        <v>52</v>
      </c>
      <c r="E2086" s="60" t="s">
        <v>2504</v>
      </c>
      <c r="F2086" s="60" t="s">
        <v>2505</v>
      </c>
      <c r="G2086" s="73" t="s">
        <v>4858</v>
      </c>
      <c r="H2086" s="62" t="s">
        <v>5833</v>
      </c>
      <c r="I2086" s="62" t="s">
        <v>6855</v>
      </c>
      <c r="J2086" s="60" t="s">
        <v>2507</v>
      </c>
      <c r="K2086" s="38"/>
      <c r="L2086" s="38"/>
      <c r="M2086" s="56"/>
      <c r="N2086" s="56" t="b">
        <v>0</v>
      </c>
      <c r="O2086" s="56" t="b">
        <v>0</v>
      </c>
      <c r="P2086" s="56"/>
      <c r="Q2086" s="56"/>
      <c r="R2086" s="56"/>
      <c r="S2086" s="56"/>
      <c r="T2086" s="56"/>
      <c r="U2086" s="56"/>
      <c r="V2086" s="56"/>
      <c r="W2086" s="56"/>
      <c r="X2086" s="56"/>
      <c r="Y2086" s="56"/>
      <c r="Z2086" s="56"/>
      <c r="AA2086" s="56"/>
      <c r="AB2086" s="56"/>
    </row>
    <row r="2087" ht="15.75" customHeight="1">
      <c r="A2087" s="169"/>
      <c r="B2087" s="69"/>
      <c r="C2087" s="22"/>
      <c r="D2087" s="38"/>
      <c r="E2087" s="67"/>
      <c r="F2087" s="67"/>
      <c r="G2087" s="66"/>
      <c r="H2087" s="38"/>
      <c r="I2087" s="38"/>
      <c r="J2087" s="67"/>
      <c r="K2087" s="38"/>
      <c r="L2087" s="38"/>
      <c r="M2087" s="56"/>
      <c r="N2087" s="56" t="b">
        <v>0</v>
      </c>
      <c r="O2087" s="56" t="b">
        <v>0</v>
      </c>
      <c r="P2087" s="56"/>
      <c r="Q2087" s="56"/>
      <c r="R2087" s="56"/>
      <c r="S2087" s="56"/>
      <c r="T2087" s="56"/>
      <c r="U2087" s="56"/>
      <c r="V2087" s="56"/>
      <c r="W2087" s="56"/>
      <c r="X2087" s="56"/>
      <c r="Y2087" s="56"/>
      <c r="Z2087" s="56"/>
      <c r="AA2087" s="56"/>
      <c r="AB2087" s="56"/>
    </row>
    <row r="2088" ht="15.75" customHeight="1">
      <c r="A2088" s="169"/>
      <c r="B2088" s="299"/>
      <c r="C2088" s="220">
        <v>44629.0</v>
      </c>
      <c r="D2088" s="38"/>
      <c r="E2088" s="38"/>
      <c r="F2088" s="65"/>
      <c r="G2088" s="66"/>
      <c r="H2088" s="38"/>
      <c r="I2088" s="38"/>
      <c r="J2088" s="38"/>
      <c r="K2088" s="38"/>
      <c r="L2088" s="38"/>
      <c r="M2088" s="56"/>
      <c r="N2088" s="56" t="b">
        <v>0</v>
      </c>
      <c r="O2088" s="56" t="b">
        <v>0</v>
      </c>
      <c r="P2088" s="56"/>
      <c r="Q2088" s="56"/>
      <c r="R2088" s="56"/>
      <c r="S2088" s="56"/>
      <c r="T2088" s="56"/>
      <c r="U2088" s="56"/>
      <c r="V2088" s="56"/>
      <c r="W2088" s="56"/>
      <c r="X2088" s="56"/>
      <c r="Y2088" s="56"/>
      <c r="Z2088" s="56"/>
      <c r="AA2088" s="56"/>
      <c r="AB2088" s="56"/>
    </row>
    <row r="2089" ht="15.75" customHeight="1">
      <c r="A2089" s="169"/>
      <c r="B2089" s="320" t="s">
        <v>6848</v>
      </c>
      <c r="C2089" s="22"/>
      <c r="D2089" s="38"/>
      <c r="E2089" s="329"/>
      <c r="F2089" s="55"/>
      <c r="G2089" s="66"/>
      <c r="H2089" s="38"/>
      <c r="I2089" s="38"/>
      <c r="J2089" s="38"/>
      <c r="K2089" s="38"/>
      <c r="L2089" s="38"/>
      <c r="M2089" s="56"/>
      <c r="N2089" s="56" t="b">
        <v>0</v>
      </c>
      <c r="O2089" s="56" t="b">
        <v>0</v>
      </c>
      <c r="P2089" s="56"/>
      <c r="Q2089" s="56"/>
      <c r="R2089" s="56"/>
      <c r="S2089" s="56"/>
      <c r="T2089" s="56"/>
      <c r="U2089" s="56"/>
      <c r="V2089" s="56"/>
      <c r="W2089" s="56"/>
      <c r="X2089" s="56"/>
      <c r="Y2089" s="56"/>
      <c r="Z2089" s="56"/>
      <c r="AA2089" s="56"/>
      <c r="AB2089" s="56"/>
    </row>
    <row r="2090" ht="15.75" customHeight="1">
      <c r="A2090" s="169"/>
      <c r="B2090" s="63"/>
      <c r="C2090" s="22" t="s">
        <v>131</v>
      </c>
      <c r="D2090" s="164"/>
      <c r="E2090" s="164"/>
      <c r="F2090" s="164"/>
      <c r="G2090" s="201"/>
      <c r="H2090" s="164"/>
      <c r="I2090" s="164"/>
      <c r="J2090" s="164"/>
      <c r="K2090" s="38"/>
      <c r="L2090" s="38"/>
      <c r="M2090" s="56"/>
      <c r="N2090" s="56" t="b">
        <v>0</v>
      </c>
      <c r="O2090" s="56" t="b">
        <v>0</v>
      </c>
      <c r="P2090" s="56"/>
      <c r="Q2090" s="56"/>
      <c r="R2090" s="56"/>
      <c r="S2090" s="56"/>
      <c r="T2090" s="56"/>
      <c r="U2090" s="56"/>
      <c r="V2090" s="56"/>
      <c r="W2090" s="56"/>
      <c r="X2090" s="56"/>
      <c r="Y2090" s="56"/>
      <c r="Z2090" s="56"/>
      <c r="AA2090" s="56"/>
      <c r="AB2090" s="56"/>
    </row>
    <row r="2091" ht="15.75" customHeight="1">
      <c r="A2091" s="169"/>
      <c r="B2091" s="63"/>
      <c r="C2091" s="22" t="s">
        <v>131</v>
      </c>
      <c r="D2091" s="164"/>
      <c r="E2091" s="162" t="s">
        <v>5784</v>
      </c>
      <c r="F2091" s="155"/>
      <c r="G2091" s="201"/>
      <c r="H2091" s="164"/>
      <c r="I2091" s="164"/>
      <c r="J2091" s="164"/>
      <c r="K2091" s="38"/>
      <c r="L2091" s="38"/>
      <c r="M2091" s="56"/>
      <c r="N2091" s="56" t="b">
        <v>0</v>
      </c>
      <c r="O2091" s="56" t="b">
        <v>0</v>
      </c>
      <c r="P2091" s="56"/>
      <c r="Q2091" s="56"/>
      <c r="R2091" s="56"/>
      <c r="S2091" s="56"/>
      <c r="T2091" s="56"/>
      <c r="U2091" s="56"/>
      <c r="V2091" s="56"/>
      <c r="W2091" s="56"/>
      <c r="X2091" s="56"/>
      <c r="Y2091" s="56"/>
      <c r="Z2091" s="56"/>
      <c r="AA2091" s="56"/>
      <c r="AB2091" s="56"/>
    </row>
    <row r="2092" ht="15.75" customHeight="1">
      <c r="A2092" s="169"/>
      <c r="B2092" s="63"/>
      <c r="C2092" s="22" t="s">
        <v>131</v>
      </c>
      <c r="D2092" s="164"/>
      <c r="E2092" s="156"/>
      <c r="F2092" s="157"/>
      <c r="G2092" s="201"/>
      <c r="H2092" s="164"/>
      <c r="I2092" s="164"/>
      <c r="J2092" s="164"/>
      <c r="K2092" s="38"/>
      <c r="L2092" s="38"/>
      <c r="M2092" s="56"/>
      <c r="N2092" s="56" t="b">
        <v>0</v>
      </c>
      <c r="O2092" s="56" t="b">
        <v>0</v>
      </c>
      <c r="P2092" s="56"/>
      <c r="Q2092" s="56"/>
      <c r="R2092" s="56"/>
      <c r="S2092" s="56"/>
      <c r="T2092" s="56"/>
      <c r="U2092" s="56"/>
      <c r="V2092" s="56"/>
      <c r="W2092" s="56"/>
      <c r="X2092" s="56"/>
      <c r="Y2092" s="56"/>
      <c r="Z2092" s="56"/>
      <c r="AA2092" s="56"/>
      <c r="AB2092" s="56"/>
    </row>
    <row r="2093" ht="15.75" customHeight="1">
      <c r="A2093" s="169"/>
      <c r="B2093" s="63"/>
      <c r="C2093" s="22" t="s">
        <v>131</v>
      </c>
      <c r="D2093" s="164"/>
      <c r="E2093" s="158"/>
      <c r="F2093" s="159"/>
      <c r="G2093" s="201"/>
      <c r="H2093" s="164"/>
      <c r="I2093" s="164"/>
      <c r="J2093" s="164"/>
      <c r="K2093" s="38"/>
      <c r="L2093" s="38"/>
      <c r="M2093" s="56"/>
      <c r="N2093" s="56" t="b">
        <v>0</v>
      </c>
      <c r="O2093" s="56" t="b">
        <v>0</v>
      </c>
      <c r="P2093" s="56"/>
      <c r="Q2093" s="56"/>
      <c r="R2093" s="56"/>
      <c r="S2093" s="56"/>
      <c r="T2093" s="56"/>
      <c r="U2093" s="56"/>
      <c r="V2093" s="56"/>
      <c r="W2093" s="56"/>
      <c r="X2093" s="56"/>
      <c r="Y2093" s="56"/>
      <c r="Z2093" s="56"/>
      <c r="AA2093" s="56"/>
      <c r="AB2093" s="56"/>
    </row>
    <row r="2094" ht="15.75" customHeight="1">
      <c r="A2094" s="169"/>
      <c r="B2094" s="69"/>
      <c r="C2094" s="22"/>
      <c r="D2094" s="164"/>
      <c r="E2094" s="164"/>
      <c r="F2094" s="164"/>
      <c r="G2094" s="201"/>
      <c r="H2094" s="164"/>
      <c r="I2094" s="164"/>
      <c r="J2094" s="164"/>
      <c r="K2094" s="38"/>
      <c r="L2094" s="38"/>
      <c r="M2094" s="56"/>
      <c r="N2094" s="56" t="b">
        <v>0</v>
      </c>
      <c r="O2094" s="56" t="b">
        <v>0</v>
      </c>
      <c r="P2094" s="56"/>
      <c r="Q2094" s="56"/>
      <c r="R2094" s="56"/>
      <c r="S2094" s="56"/>
      <c r="T2094" s="56"/>
      <c r="U2094" s="56"/>
      <c r="V2094" s="56"/>
      <c r="W2094" s="56"/>
      <c r="X2094" s="56"/>
      <c r="Y2094" s="56"/>
      <c r="Z2094" s="56"/>
      <c r="AA2094" s="56"/>
      <c r="AB2094" s="56"/>
    </row>
    <row r="2095" ht="15.75" customHeight="1">
      <c r="A2095" s="169"/>
      <c r="B2095" s="299"/>
      <c r="C2095" s="220">
        <v>44630.0</v>
      </c>
      <c r="D2095" s="38"/>
      <c r="E2095" s="38"/>
      <c r="F2095" s="65"/>
      <c r="G2095" s="66"/>
      <c r="H2095" s="38"/>
      <c r="I2095" s="38"/>
      <c r="J2095" s="38"/>
      <c r="K2095" s="38"/>
      <c r="L2095" s="38"/>
      <c r="M2095" s="56"/>
      <c r="N2095" s="56" t="b">
        <v>0</v>
      </c>
      <c r="O2095" s="56" t="b">
        <v>0</v>
      </c>
      <c r="P2095" s="56"/>
      <c r="Q2095" s="56"/>
      <c r="R2095" s="56"/>
      <c r="S2095" s="56"/>
      <c r="T2095" s="56"/>
      <c r="U2095" s="56"/>
      <c r="V2095" s="56"/>
      <c r="W2095" s="56"/>
      <c r="X2095" s="56"/>
      <c r="Y2095" s="56"/>
      <c r="Z2095" s="56"/>
      <c r="AA2095" s="56"/>
      <c r="AB2095" s="56"/>
    </row>
    <row r="2096" ht="15.75" customHeight="1">
      <c r="A2096" s="169"/>
      <c r="B2096" s="320" t="s">
        <v>6168</v>
      </c>
      <c r="C2096" s="22" t="s">
        <v>66</v>
      </c>
      <c r="D2096" s="71" t="s">
        <v>329</v>
      </c>
      <c r="E2096" s="60" t="s">
        <v>909</v>
      </c>
      <c r="F2096" s="60" t="s">
        <v>906</v>
      </c>
      <c r="G2096" s="73" t="s">
        <v>4851</v>
      </c>
      <c r="H2096" s="62" t="s">
        <v>5342</v>
      </c>
      <c r="I2096" s="62" t="s">
        <v>6856</v>
      </c>
      <c r="J2096" s="60" t="s">
        <v>908</v>
      </c>
      <c r="K2096" s="38"/>
      <c r="L2096" s="38"/>
      <c r="M2096" s="56"/>
      <c r="N2096" s="56" t="b">
        <v>0</v>
      </c>
      <c r="O2096" s="56" t="b">
        <v>0</v>
      </c>
      <c r="P2096" s="56"/>
      <c r="Q2096" s="56"/>
      <c r="R2096" s="56"/>
      <c r="S2096" s="56"/>
      <c r="T2096" s="56"/>
      <c r="U2096" s="56"/>
      <c r="V2096" s="56"/>
      <c r="W2096" s="56"/>
      <c r="X2096" s="56"/>
      <c r="Y2096" s="56"/>
      <c r="Z2096" s="56"/>
      <c r="AA2096" s="56"/>
      <c r="AB2096" s="56"/>
    </row>
    <row r="2097" ht="15.75" customHeight="1">
      <c r="A2097" s="169"/>
      <c r="B2097" s="63"/>
      <c r="C2097" s="22" t="s">
        <v>66</v>
      </c>
      <c r="D2097" s="71" t="s">
        <v>329</v>
      </c>
      <c r="E2097" s="60" t="s">
        <v>1476</v>
      </c>
      <c r="F2097" s="60" t="s">
        <v>1477</v>
      </c>
      <c r="G2097" s="73" t="s">
        <v>4854</v>
      </c>
      <c r="H2097" s="62" t="s">
        <v>5342</v>
      </c>
      <c r="I2097" s="62" t="s">
        <v>6857</v>
      </c>
      <c r="J2097" s="60" t="s">
        <v>1479</v>
      </c>
      <c r="K2097" s="38"/>
      <c r="L2097" s="38"/>
      <c r="M2097" s="56"/>
      <c r="N2097" s="56" t="b">
        <v>0</v>
      </c>
      <c r="O2097" s="56" t="b">
        <v>0</v>
      </c>
      <c r="P2097" s="56"/>
      <c r="Q2097" s="56"/>
      <c r="R2097" s="56"/>
      <c r="S2097" s="56"/>
      <c r="T2097" s="56"/>
      <c r="U2097" s="56"/>
      <c r="V2097" s="56"/>
      <c r="W2097" s="56"/>
      <c r="X2097" s="56"/>
      <c r="Y2097" s="56"/>
      <c r="Z2097" s="56"/>
      <c r="AA2097" s="56"/>
      <c r="AB2097" s="56"/>
    </row>
    <row r="2098" ht="15.75" customHeight="1">
      <c r="A2098" s="169"/>
      <c r="B2098" s="63"/>
      <c r="C2098" s="22" t="s">
        <v>66</v>
      </c>
      <c r="D2098" s="71" t="s">
        <v>329</v>
      </c>
      <c r="E2098" s="60" t="s">
        <v>1327</v>
      </c>
      <c r="F2098" s="60" t="s">
        <v>1328</v>
      </c>
      <c r="G2098" s="73" t="s">
        <v>4892</v>
      </c>
      <c r="H2098" s="62" t="s">
        <v>6858</v>
      </c>
      <c r="I2098" s="62" t="s">
        <v>6859</v>
      </c>
      <c r="J2098" s="60" t="s">
        <v>1329</v>
      </c>
      <c r="K2098" s="38"/>
      <c r="L2098" s="38"/>
      <c r="M2098" s="56"/>
      <c r="N2098" s="56" t="b">
        <v>0</v>
      </c>
      <c r="O2098" s="56" t="b">
        <v>0</v>
      </c>
      <c r="P2098" s="56"/>
      <c r="Q2098" s="56"/>
      <c r="R2098" s="56"/>
      <c r="S2098" s="56"/>
      <c r="T2098" s="56"/>
      <c r="U2098" s="56"/>
      <c r="V2098" s="56"/>
      <c r="W2098" s="56"/>
      <c r="X2098" s="56"/>
      <c r="Y2098" s="56"/>
      <c r="Z2098" s="56"/>
      <c r="AA2098" s="56"/>
      <c r="AB2098" s="56"/>
    </row>
    <row r="2099" ht="15.75" customHeight="1">
      <c r="A2099" s="169"/>
      <c r="B2099" s="63"/>
      <c r="C2099" s="22" t="s">
        <v>66</v>
      </c>
      <c r="D2099" s="27" t="s">
        <v>87</v>
      </c>
      <c r="E2099" s="60" t="s">
        <v>4072</v>
      </c>
      <c r="F2099" s="60" t="s">
        <v>4073</v>
      </c>
      <c r="G2099" s="73" t="s">
        <v>4967</v>
      </c>
      <c r="H2099" s="269" t="s">
        <v>6860</v>
      </c>
      <c r="I2099" s="62" t="s">
        <v>6861</v>
      </c>
      <c r="J2099" s="267" t="s">
        <v>4075</v>
      </c>
      <c r="K2099" s="38" t="s">
        <v>2116</v>
      </c>
      <c r="L2099" s="38"/>
      <c r="M2099" s="56"/>
      <c r="N2099" s="56" t="b">
        <v>0</v>
      </c>
      <c r="O2099" s="56" t="b">
        <v>0</v>
      </c>
      <c r="P2099" s="56"/>
      <c r="Q2099" s="56"/>
      <c r="R2099" s="56"/>
      <c r="S2099" s="56"/>
      <c r="T2099" s="56"/>
      <c r="U2099" s="56"/>
      <c r="V2099" s="56"/>
      <c r="W2099" s="56"/>
      <c r="X2099" s="56"/>
      <c r="Y2099" s="56"/>
      <c r="Z2099" s="56"/>
      <c r="AA2099" s="56"/>
      <c r="AB2099" s="56"/>
    </row>
    <row r="2100" ht="15.75" customHeight="1">
      <c r="A2100" s="169"/>
      <c r="B2100" s="63"/>
      <c r="C2100" s="22" t="s">
        <v>66</v>
      </c>
      <c r="D2100" s="38"/>
      <c r="E2100" s="38"/>
      <c r="F2100" s="65"/>
      <c r="G2100" s="66"/>
      <c r="H2100" s="38"/>
      <c r="I2100" s="38"/>
      <c r="J2100" s="38"/>
      <c r="K2100" s="38"/>
      <c r="L2100" s="38"/>
      <c r="M2100" s="56"/>
      <c r="N2100" s="56" t="b">
        <v>0</v>
      </c>
      <c r="O2100" s="56" t="b">
        <v>0</v>
      </c>
      <c r="P2100" s="56"/>
      <c r="Q2100" s="56"/>
      <c r="R2100" s="56"/>
      <c r="S2100" s="56"/>
      <c r="T2100" s="56"/>
      <c r="U2100" s="56"/>
      <c r="V2100" s="56"/>
      <c r="W2100" s="56"/>
      <c r="X2100" s="56"/>
      <c r="Y2100" s="56"/>
      <c r="Z2100" s="56"/>
      <c r="AA2100" s="56"/>
      <c r="AB2100" s="56"/>
    </row>
    <row r="2101" ht="15.75" customHeight="1">
      <c r="A2101" s="169"/>
      <c r="B2101" s="69"/>
      <c r="C2101" s="22" t="s">
        <v>66</v>
      </c>
      <c r="D2101" s="38"/>
      <c r="E2101" s="38"/>
      <c r="F2101" s="65"/>
      <c r="G2101" s="66"/>
      <c r="H2101" s="38"/>
      <c r="I2101" s="38"/>
      <c r="J2101" s="38"/>
      <c r="K2101" s="38"/>
      <c r="L2101" s="38"/>
      <c r="M2101" s="56"/>
      <c r="N2101" s="56" t="b">
        <v>0</v>
      </c>
      <c r="O2101" s="56" t="b">
        <v>0</v>
      </c>
      <c r="P2101" s="56"/>
      <c r="Q2101" s="56"/>
      <c r="R2101" s="56"/>
      <c r="S2101" s="56"/>
      <c r="T2101" s="56"/>
      <c r="U2101" s="56"/>
      <c r="V2101" s="56"/>
      <c r="W2101" s="56"/>
      <c r="X2101" s="56"/>
      <c r="Y2101" s="56"/>
      <c r="Z2101" s="56"/>
      <c r="AA2101" s="56"/>
      <c r="AB2101" s="56"/>
    </row>
    <row r="2102" ht="15.75" customHeight="1">
      <c r="A2102" s="169"/>
      <c r="B2102" s="320" t="s">
        <v>6848</v>
      </c>
      <c r="C2102" s="22"/>
      <c r="D2102" s="38"/>
      <c r="E2102" s="38"/>
      <c r="F2102" s="65"/>
      <c r="G2102" s="66"/>
      <c r="H2102" s="38"/>
      <c r="I2102" s="38"/>
      <c r="J2102" s="38"/>
      <c r="K2102" s="38"/>
      <c r="L2102" s="38"/>
      <c r="M2102" s="56"/>
      <c r="N2102" s="56" t="b">
        <v>0</v>
      </c>
      <c r="O2102" s="56" t="b">
        <v>0</v>
      </c>
      <c r="P2102" s="56"/>
      <c r="Q2102" s="56"/>
      <c r="R2102" s="56"/>
      <c r="S2102" s="56"/>
      <c r="T2102" s="56"/>
      <c r="U2102" s="56"/>
      <c r="V2102" s="56"/>
      <c r="W2102" s="56"/>
      <c r="X2102" s="56"/>
      <c r="Y2102" s="56"/>
      <c r="Z2102" s="56"/>
      <c r="AA2102" s="56"/>
      <c r="AB2102" s="56"/>
    </row>
    <row r="2103" ht="15.75" customHeight="1">
      <c r="A2103" s="169"/>
      <c r="B2103" s="63"/>
      <c r="C2103" s="22" t="s">
        <v>131</v>
      </c>
      <c r="D2103" s="38"/>
      <c r="E2103" s="330" t="s">
        <v>6862</v>
      </c>
      <c r="F2103" s="55"/>
      <c r="G2103" s="66"/>
      <c r="H2103" s="38"/>
      <c r="I2103" s="38"/>
      <c r="J2103" s="38"/>
      <c r="K2103" s="38"/>
      <c r="L2103" s="38"/>
      <c r="M2103" s="56"/>
      <c r="N2103" s="56" t="b">
        <v>0</v>
      </c>
      <c r="O2103" s="56" t="b">
        <v>0</v>
      </c>
      <c r="P2103" s="56"/>
      <c r="Q2103" s="56"/>
      <c r="R2103" s="56"/>
      <c r="S2103" s="56"/>
      <c r="T2103" s="56"/>
      <c r="U2103" s="56"/>
      <c r="V2103" s="56"/>
      <c r="W2103" s="56"/>
      <c r="X2103" s="56"/>
      <c r="Y2103" s="56"/>
      <c r="Z2103" s="56"/>
      <c r="AA2103" s="56"/>
      <c r="AB2103" s="56"/>
    </row>
    <row r="2104" ht="15.75" customHeight="1">
      <c r="A2104" s="169"/>
      <c r="B2104" s="63"/>
      <c r="C2104" s="22" t="s">
        <v>131</v>
      </c>
      <c r="D2104" s="71" t="s">
        <v>329</v>
      </c>
      <c r="E2104" s="60" t="s">
        <v>2409</v>
      </c>
      <c r="F2104" s="60" t="s">
        <v>2410</v>
      </c>
      <c r="G2104" s="73" t="s">
        <v>4851</v>
      </c>
      <c r="H2104" s="62" t="s">
        <v>6858</v>
      </c>
      <c r="I2104" s="62" t="s">
        <v>6863</v>
      </c>
      <c r="J2104" s="60" t="s">
        <v>2412</v>
      </c>
      <c r="K2104" s="38"/>
      <c r="L2104" s="38"/>
      <c r="M2104" s="56"/>
      <c r="N2104" s="56" t="b">
        <v>0</v>
      </c>
      <c r="O2104" s="56" t="b">
        <v>0</v>
      </c>
      <c r="P2104" s="56"/>
      <c r="Q2104" s="56"/>
      <c r="R2104" s="56"/>
      <c r="S2104" s="56"/>
      <c r="T2104" s="56"/>
      <c r="U2104" s="56"/>
      <c r="V2104" s="56"/>
      <c r="W2104" s="56"/>
      <c r="X2104" s="56"/>
      <c r="Y2104" s="56"/>
      <c r="Z2104" s="56"/>
      <c r="AA2104" s="56"/>
      <c r="AB2104" s="56"/>
    </row>
    <row r="2105" ht="15.75" customHeight="1">
      <c r="A2105" s="169"/>
      <c r="B2105" s="63"/>
      <c r="C2105" s="22" t="s">
        <v>131</v>
      </c>
      <c r="D2105" s="27" t="s">
        <v>87</v>
      </c>
      <c r="E2105" s="242" t="s">
        <v>1785</v>
      </c>
      <c r="F2105" s="242" t="s">
        <v>1786</v>
      </c>
      <c r="G2105" s="73" t="s">
        <v>6864</v>
      </c>
      <c r="H2105" s="269" t="s">
        <v>5344</v>
      </c>
      <c r="I2105" s="62" t="s">
        <v>6134</v>
      </c>
      <c r="J2105" s="267" t="s">
        <v>1788</v>
      </c>
      <c r="K2105" s="38" t="s">
        <v>2116</v>
      </c>
      <c r="L2105" s="38"/>
      <c r="M2105" s="56"/>
      <c r="N2105" s="56" t="b">
        <v>0</v>
      </c>
      <c r="O2105" s="56" t="b">
        <v>0</v>
      </c>
      <c r="P2105" s="56"/>
      <c r="Q2105" s="56"/>
      <c r="R2105" s="56"/>
      <c r="S2105" s="56"/>
      <c r="T2105" s="56"/>
      <c r="U2105" s="56"/>
      <c r="V2105" s="56"/>
      <c r="W2105" s="56"/>
      <c r="X2105" s="56"/>
      <c r="Y2105" s="56"/>
      <c r="Z2105" s="56"/>
      <c r="AA2105" s="56"/>
      <c r="AB2105" s="56"/>
    </row>
    <row r="2106" ht="15.75" customHeight="1">
      <c r="A2106" s="169"/>
      <c r="B2106" s="63"/>
      <c r="C2106" s="22" t="s">
        <v>131</v>
      </c>
      <c r="D2106" s="265" t="s">
        <v>52</v>
      </c>
      <c r="E2106" s="221" t="s">
        <v>4382</v>
      </c>
      <c r="F2106" s="221" t="s">
        <v>4383</v>
      </c>
      <c r="G2106" s="264" t="s">
        <v>4856</v>
      </c>
      <c r="H2106" s="265" t="s">
        <v>6437</v>
      </c>
      <c r="I2106" s="265" t="s">
        <v>6853</v>
      </c>
      <c r="J2106" s="221" t="s">
        <v>4385</v>
      </c>
      <c r="K2106" s="38"/>
      <c r="L2106" s="38"/>
      <c r="M2106" s="56"/>
      <c r="N2106" s="56" t="b">
        <v>0</v>
      </c>
      <c r="O2106" s="56" t="b">
        <v>0</v>
      </c>
      <c r="P2106" s="56"/>
      <c r="Q2106" s="56"/>
      <c r="R2106" s="56"/>
      <c r="S2106" s="56"/>
      <c r="T2106" s="56"/>
      <c r="U2106" s="56"/>
      <c r="V2106" s="56"/>
      <c r="W2106" s="56"/>
      <c r="X2106" s="56"/>
      <c r="Y2106" s="56"/>
      <c r="Z2106" s="56"/>
      <c r="AA2106" s="56"/>
      <c r="AB2106" s="56"/>
    </row>
    <row r="2107" ht="15.75" customHeight="1">
      <c r="A2107" s="169"/>
      <c r="B2107" s="69"/>
      <c r="C2107" s="22" t="s">
        <v>131</v>
      </c>
      <c r="D2107" s="76" t="s">
        <v>52</v>
      </c>
      <c r="E2107" s="77" t="s">
        <v>4649</v>
      </c>
      <c r="F2107" s="77" t="s">
        <v>4650</v>
      </c>
      <c r="G2107" s="82" t="s">
        <v>4858</v>
      </c>
      <c r="H2107" s="76" t="s">
        <v>6839</v>
      </c>
      <c r="I2107" s="76" t="s">
        <v>6846</v>
      </c>
      <c r="J2107" s="77" t="s">
        <v>2313</v>
      </c>
      <c r="K2107" s="38" t="s">
        <v>6865</v>
      </c>
      <c r="L2107" s="38"/>
      <c r="M2107" s="56"/>
      <c r="N2107" s="56" t="b">
        <v>0</v>
      </c>
      <c r="O2107" s="56" t="b">
        <v>0</v>
      </c>
      <c r="P2107" s="56"/>
      <c r="Q2107" s="56"/>
      <c r="R2107" s="56"/>
      <c r="S2107" s="56"/>
      <c r="T2107" s="56"/>
      <c r="U2107" s="56"/>
      <c r="V2107" s="56"/>
      <c r="W2107" s="56"/>
      <c r="X2107" s="56"/>
      <c r="Y2107" s="56"/>
      <c r="Z2107" s="56"/>
      <c r="AA2107" s="56"/>
      <c r="AB2107" s="56"/>
    </row>
    <row r="2108" ht="15.75" customHeight="1">
      <c r="A2108" s="169"/>
      <c r="B2108" s="299"/>
      <c r="C2108" s="220">
        <v>44631.0</v>
      </c>
      <c r="D2108" s="38"/>
      <c r="E2108" s="38"/>
      <c r="F2108" s="65"/>
      <c r="G2108" s="66"/>
      <c r="H2108" s="38"/>
      <c r="I2108" s="38"/>
      <c r="J2108" s="38"/>
      <c r="K2108" s="38"/>
      <c r="L2108" s="38"/>
      <c r="M2108" s="56"/>
      <c r="N2108" s="56" t="b">
        <v>0</v>
      </c>
      <c r="O2108" s="56" t="b">
        <v>0</v>
      </c>
      <c r="P2108" s="56"/>
      <c r="Q2108" s="56"/>
      <c r="R2108" s="56"/>
      <c r="S2108" s="56"/>
      <c r="T2108" s="56"/>
      <c r="U2108" s="56"/>
      <c r="V2108" s="56"/>
      <c r="W2108" s="56"/>
      <c r="X2108" s="56"/>
      <c r="Y2108" s="56"/>
      <c r="Z2108" s="56"/>
      <c r="AA2108" s="56"/>
      <c r="AB2108" s="56"/>
    </row>
    <row r="2109" ht="15.75" customHeight="1">
      <c r="A2109" s="169"/>
      <c r="B2109" s="320" t="s">
        <v>6168</v>
      </c>
      <c r="C2109" s="22" t="s">
        <v>66</v>
      </c>
      <c r="D2109" s="38"/>
      <c r="E2109" s="38"/>
      <c r="F2109" s="65"/>
      <c r="G2109" s="66"/>
      <c r="H2109" s="38"/>
      <c r="I2109" s="38"/>
      <c r="J2109" s="38"/>
      <c r="K2109" s="38"/>
      <c r="L2109" s="38"/>
      <c r="M2109" s="56"/>
      <c r="N2109" s="56" t="b">
        <v>0</v>
      </c>
      <c r="O2109" s="56" t="b">
        <v>0</v>
      </c>
      <c r="P2109" s="56"/>
      <c r="Q2109" s="56"/>
      <c r="R2109" s="56"/>
      <c r="S2109" s="56"/>
      <c r="T2109" s="56"/>
      <c r="U2109" s="56"/>
      <c r="V2109" s="56"/>
      <c r="W2109" s="56"/>
      <c r="X2109" s="56"/>
      <c r="Y2109" s="56"/>
      <c r="Z2109" s="56"/>
      <c r="AA2109" s="56"/>
      <c r="AB2109" s="56"/>
    </row>
    <row r="2110" ht="15.75" customHeight="1">
      <c r="A2110" s="169"/>
      <c r="B2110" s="63"/>
      <c r="C2110" s="22" t="s">
        <v>66</v>
      </c>
      <c r="D2110" s="27" t="s">
        <v>89</v>
      </c>
      <c r="E2110" s="242" t="s">
        <v>574</v>
      </c>
      <c r="F2110" s="242" t="s">
        <v>575</v>
      </c>
      <c r="G2110" s="73" t="s">
        <v>5134</v>
      </c>
      <c r="H2110" s="62" t="s">
        <v>6669</v>
      </c>
      <c r="I2110" s="62" t="s">
        <v>6866</v>
      </c>
      <c r="J2110" s="242" t="s">
        <v>577</v>
      </c>
      <c r="K2110" s="38"/>
      <c r="L2110" s="38"/>
      <c r="M2110" s="56"/>
      <c r="N2110" s="56" t="b">
        <v>0</v>
      </c>
      <c r="O2110" s="56" t="b">
        <v>0</v>
      </c>
      <c r="P2110" s="56"/>
      <c r="Q2110" s="56"/>
      <c r="R2110" s="56"/>
      <c r="S2110" s="56"/>
      <c r="T2110" s="56"/>
      <c r="U2110" s="56"/>
      <c r="V2110" s="56"/>
      <c r="W2110" s="56"/>
      <c r="X2110" s="56"/>
      <c r="Y2110" s="56"/>
      <c r="Z2110" s="56"/>
      <c r="AA2110" s="56"/>
      <c r="AB2110" s="56"/>
    </row>
    <row r="2111" ht="15.75" customHeight="1">
      <c r="A2111" s="169"/>
      <c r="B2111" s="63"/>
      <c r="C2111" s="22" t="s">
        <v>66</v>
      </c>
      <c r="D2111" s="27" t="s">
        <v>89</v>
      </c>
      <c r="E2111" s="242" t="s">
        <v>1578</v>
      </c>
      <c r="F2111" s="242" t="s">
        <v>1579</v>
      </c>
      <c r="G2111" s="73" t="s">
        <v>4856</v>
      </c>
      <c r="H2111" s="62" t="s">
        <v>5017</v>
      </c>
      <c r="I2111" s="62" t="s">
        <v>6867</v>
      </c>
      <c r="J2111" s="242" t="s">
        <v>1581</v>
      </c>
      <c r="K2111" s="38"/>
      <c r="L2111" s="38"/>
      <c r="M2111" s="56"/>
      <c r="N2111" s="56" t="b">
        <v>0</v>
      </c>
      <c r="O2111" s="56" t="b">
        <v>0</v>
      </c>
      <c r="P2111" s="56"/>
      <c r="Q2111" s="56"/>
      <c r="R2111" s="56"/>
      <c r="S2111" s="56"/>
      <c r="T2111" s="56"/>
      <c r="U2111" s="56"/>
      <c r="V2111" s="56"/>
      <c r="W2111" s="56"/>
      <c r="X2111" s="56"/>
      <c r="Y2111" s="56"/>
      <c r="Z2111" s="56"/>
      <c r="AA2111" s="56"/>
      <c r="AB2111" s="56"/>
    </row>
    <row r="2112" ht="15.75" customHeight="1">
      <c r="A2112" s="169"/>
      <c r="B2112" s="63"/>
      <c r="C2112" s="22" t="s">
        <v>66</v>
      </c>
      <c r="D2112" s="27" t="s">
        <v>89</v>
      </c>
      <c r="E2112" s="242" t="s">
        <v>1367</v>
      </c>
      <c r="F2112" s="242" t="s">
        <v>1368</v>
      </c>
      <c r="G2112" s="73" t="s">
        <v>4858</v>
      </c>
      <c r="H2112" s="62" t="s">
        <v>5017</v>
      </c>
      <c r="I2112" s="62" t="s">
        <v>6868</v>
      </c>
      <c r="J2112" s="242" t="s">
        <v>1370</v>
      </c>
      <c r="K2112" s="38"/>
      <c r="L2112" s="38"/>
      <c r="M2112" s="56"/>
      <c r="N2112" s="56" t="b">
        <v>0</v>
      </c>
      <c r="O2112" s="56" t="b">
        <v>0</v>
      </c>
      <c r="P2112" s="56"/>
      <c r="Q2112" s="56"/>
      <c r="R2112" s="56"/>
      <c r="S2112" s="56"/>
      <c r="T2112" s="56"/>
      <c r="U2112" s="56"/>
      <c r="V2112" s="56"/>
      <c r="W2112" s="56"/>
      <c r="X2112" s="56"/>
      <c r="Y2112" s="56"/>
      <c r="Z2112" s="56"/>
      <c r="AA2112" s="56"/>
      <c r="AB2112" s="56"/>
    </row>
    <row r="2113" ht="15.75" customHeight="1">
      <c r="A2113" s="169"/>
      <c r="B2113" s="63"/>
      <c r="C2113" s="22" t="s">
        <v>66</v>
      </c>
      <c r="D2113" s="27" t="s">
        <v>89</v>
      </c>
      <c r="E2113" s="242" t="s">
        <v>3216</v>
      </c>
      <c r="F2113" s="242" t="s">
        <v>3217</v>
      </c>
      <c r="G2113" s="73" t="s">
        <v>5089</v>
      </c>
      <c r="H2113" s="62" t="s">
        <v>6869</v>
      </c>
      <c r="I2113" s="62" t="s">
        <v>6870</v>
      </c>
      <c r="J2113" s="242" t="s">
        <v>3219</v>
      </c>
      <c r="K2113" s="38"/>
      <c r="L2113" s="38"/>
      <c r="M2113" s="56"/>
      <c r="N2113" s="56" t="b">
        <v>0</v>
      </c>
      <c r="O2113" s="56" t="b">
        <v>0</v>
      </c>
      <c r="P2113" s="56"/>
      <c r="Q2113" s="56"/>
      <c r="R2113" s="56"/>
      <c r="S2113" s="56"/>
      <c r="T2113" s="56"/>
      <c r="U2113" s="56"/>
      <c r="V2113" s="56"/>
      <c r="W2113" s="56"/>
      <c r="X2113" s="56"/>
      <c r="Y2113" s="56"/>
      <c r="Z2113" s="56"/>
      <c r="AA2113" s="56"/>
      <c r="AB2113" s="56"/>
    </row>
    <row r="2114" ht="15.75" customHeight="1">
      <c r="A2114" s="169"/>
      <c r="B2114" s="69"/>
      <c r="C2114" s="22" t="s">
        <v>66</v>
      </c>
      <c r="D2114" s="38"/>
      <c r="E2114" s="38"/>
      <c r="F2114" s="65"/>
      <c r="G2114" s="66"/>
      <c r="H2114" s="38"/>
      <c r="I2114" s="38"/>
      <c r="J2114" s="38"/>
      <c r="K2114" s="38"/>
      <c r="L2114" s="38"/>
      <c r="M2114" s="56"/>
      <c r="N2114" s="56" t="b">
        <v>0</v>
      </c>
      <c r="O2114" s="56" t="b">
        <v>0</v>
      </c>
      <c r="P2114" s="56"/>
      <c r="Q2114" s="56"/>
      <c r="R2114" s="56"/>
      <c r="S2114" s="56"/>
      <c r="T2114" s="56"/>
      <c r="U2114" s="56"/>
      <c r="V2114" s="56"/>
      <c r="W2114" s="56"/>
      <c r="X2114" s="56"/>
      <c r="Y2114" s="56"/>
      <c r="Z2114" s="56"/>
      <c r="AA2114" s="56"/>
      <c r="AB2114" s="56"/>
    </row>
    <row r="2115" ht="15.75" customHeight="1">
      <c r="A2115" s="169"/>
      <c r="B2115" s="320" t="s">
        <v>6848</v>
      </c>
      <c r="C2115" s="22"/>
      <c r="D2115" s="38"/>
      <c r="E2115" s="38"/>
      <c r="F2115" s="65"/>
      <c r="G2115" s="66"/>
      <c r="H2115" s="38"/>
      <c r="I2115" s="38"/>
      <c r="J2115" s="38"/>
      <c r="K2115" s="38"/>
      <c r="L2115" s="38"/>
      <c r="M2115" s="56"/>
      <c r="N2115" s="56" t="b">
        <v>0</v>
      </c>
      <c r="O2115" s="56" t="b">
        <v>0</v>
      </c>
      <c r="P2115" s="56"/>
      <c r="Q2115" s="56"/>
      <c r="R2115" s="56"/>
      <c r="S2115" s="56"/>
      <c r="T2115" s="56"/>
      <c r="U2115" s="56"/>
      <c r="V2115" s="56"/>
      <c r="W2115" s="56"/>
      <c r="X2115" s="56"/>
      <c r="Y2115" s="56"/>
      <c r="Z2115" s="56"/>
      <c r="AA2115" s="56"/>
      <c r="AB2115" s="56"/>
    </row>
    <row r="2116" ht="15.75" customHeight="1">
      <c r="A2116" s="169"/>
      <c r="B2116" s="63"/>
      <c r="C2116" s="22" t="s">
        <v>131</v>
      </c>
      <c r="D2116" s="38"/>
      <c r="E2116" s="330" t="s">
        <v>6862</v>
      </c>
      <c r="F2116" s="55"/>
      <c r="G2116" s="66"/>
      <c r="H2116" s="38"/>
      <c r="I2116" s="38" t="str">
        <f>H2116</f>
        <v/>
      </c>
      <c r="J2116" s="38"/>
      <c r="K2116" s="38"/>
      <c r="L2116" s="38"/>
      <c r="M2116" s="56"/>
      <c r="N2116" s="56" t="b">
        <v>0</v>
      </c>
      <c r="O2116" s="56" t="b">
        <v>0</v>
      </c>
      <c r="P2116" s="56"/>
      <c r="Q2116" s="56"/>
      <c r="R2116" s="56"/>
      <c r="S2116" s="56"/>
      <c r="T2116" s="56"/>
      <c r="U2116" s="56"/>
      <c r="V2116" s="56"/>
      <c r="W2116" s="56"/>
      <c r="X2116" s="56"/>
      <c r="Y2116" s="56"/>
      <c r="Z2116" s="56"/>
      <c r="AA2116" s="56"/>
      <c r="AB2116" s="56"/>
    </row>
    <row r="2117" ht="15.75" customHeight="1">
      <c r="A2117" s="169"/>
      <c r="B2117" s="63"/>
      <c r="C2117" s="22" t="s">
        <v>131</v>
      </c>
      <c r="D2117" s="62" t="s">
        <v>52</v>
      </c>
      <c r="E2117" s="60" t="s">
        <v>6871</v>
      </c>
      <c r="F2117" s="60" t="s">
        <v>1099</v>
      </c>
      <c r="G2117" s="73" t="s">
        <v>4851</v>
      </c>
      <c r="H2117" s="62" t="s">
        <v>6872</v>
      </c>
      <c r="I2117" s="62" t="s">
        <v>6873</v>
      </c>
      <c r="J2117" s="60" t="s">
        <v>1101</v>
      </c>
      <c r="K2117" s="38"/>
      <c r="L2117" s="38"/>
      <c r="M2117" s="56"/>
      <c r="N2117" s="56" t="b">
        <v>0</v>
      </c>
      <c r="O2117" s="56" t="b">
        <v>0</v>
      </c>
      <c r="P2117" s="56"/>
      <c r="Q2117" s="56"/>
      <c r="R2117" s="56"/>
      <c r="S2117" s="56"/>
      <c r="T2117" s="56"/>
      <c r="U2117" s="56"/>
      <c r="V2117" s="56"/>
      <c r="W2117" s="56"/>
      <c r="X2117" s="56"/>
      <c r="Y2117" s="56"/>
      <c r="Z2117" s="56"/>
      <c r="AA2117" s="56"/>
      <c r="AB2117" s="56"/>
    </row>
    <row r="2118" ht="15.75" customHeight="1">
      <c r="A2118" s="169"/>
      <c r="B2118" s="63"/>
      <c r="C2118" s="22" t="s">
        <v>131</v>
      </c>
      <c r="D2118" s="62" t="s">
        <v>52</v>
      </c>
      <c r="E2118" s="60" t="s">
        <v>1795</v>
      </c>
      <c r="F2118" s="60" t="s">
        <v>1796</v>
      </c>
      <c r="G2118" s="73" t="s">
        <v>4887</v>
      </c>
      <c r="H2118" s="62" t="s">
        <v>6874</v>
      </c>
      <c r="I2118" s="62" t="s">
        <v>6875</v>
      </c>
      <c r="J2118" s="60" t="s">
        <v>1798</v>
      </c>
      <c r="K2118" s="38"/>
      <c r="L2118" s="38"/>
      <c r="M2118" s="56"/>
      <c r="N2118" s="56" t="b">
        <v>0</v>
      </c>
      <c r="O2118" s="56" t="b">
        <v>0</v>
      </c>
      <c r="P2118" s="56"/>
      <c r="Q2118" s="56"/>
      <c r="R2118" s="56"/>
      <c r="S2118" s="56"/>
      <c r="T2118" s="56"/>
      <c r="U2118" s="56"/>
      <c r="V2118" s="56"/>
      <c r="W2118" s="56"/>
      <c r="X2118" s="56"/>
      <c r="Y2118" s="56"/>
      <c r="Z2118" s="56"/>
      <c r="AA2118" s="56"/>
      <c r="AB2118" s="56"/>
    </row>
    <row r="2119" ht="15.75" customHeight="1">
      <c r="A2119" s="169"/>
      <c r="B2119" s="63"/>
      <c r="C2119" s="22" t="s">
        <v>131</v>
      </c>
      <c r="D2119" s="62" t="s">
        <v>52</v>
      </c>
      <c r="E2119" s="60" t="s">
        <v>2225</v>
      </c>
      <c r="F2119" s="60" t="s">
        <v>2226</v>
      </c>
      <c r="G2119" s="73" t="s">
        <v>4856</v>
      </c>
      <c r="H2119" s="62" t="s">
        <v>6872</v>
      </c>
      <c r="I2119" s="62" t="s">
        <v>6876</v>
      </c>
      <c r="J2119" s="62" t="s">
        <v>2228</v>
      </c>
      <c r="K2119" s="38"/>
      <c r="L2119" s="38"/>
      <c r="M2119" s="56"/>
      <c r="N2119" s="56" t="b">
        <v>0</v>
      </c>
      <c r="O2119" s="56" t="b">
        <v>0</v>
      </c>
      <c r="P2119" s="56"/>
      <c r="Q2119" s="56"/>
      <c r="R2119" s="56"/>
      <c r="S2119" s="56"/>
      <c r="T2119" s="56"/>
      <c r="U2119" s="56"/>
      <c r="V2119" s="56"/>
      <c r="W2119" s="56"/>
      <c r="X2119" s="56"/>
      <c r="Y2119" s="56"/>
      <c r="Z2119" s="56"/>
      <c r="AA2119" s="56"/>
      <c r="AB2119" s="56"/>
    </row>
    <row r="2120" ht="15.75" customHeight="1">
      <c r="A2120" s="169"/>
      <c r="B2120" s="63"/>
      <c r="C2120" s="22" t="s">
        <v>131</v>
      </c>
      <c r="D2120" s="62" t="s">
        <v>52</v>
      </c>
      <c r="E2120" s="242" t="s">
        <v>776</v>
      </c>
      <c r="F2120" s="242" t="s">
        <v>777</v>
      </c>
      <c r="G2120" s="73" t="s">
        <v>4892</v>
      </c>
      <c r="H2120" s="62" t="s">
        <v>5866</v>
      </c>
      <c r="I2120" s="62" t="s">
        <v>6877</v>
      </c>
      <c r="J2120" s="242" t="s">
        <v>780</v>
      </c>
      <c r="K2120" s="38"/>
      <c r="L2120" s="38"/>
      <c r="M2120" s="56"/>
      <c r="N2120" s="56" t="b">
        <v>0</v>
      </c>
      <c r="O2120" s="56" t="b">
        <v>0</v>
      </c>
      <c r="P2120" s="56"/>
      <c r="Q2120" s="56"/>
      <c r="R2120" s="56"/>
      <c r="S2120" s="56"/>
      <c r="T2120" s="56"/>
      <c r="U2120" s="56"/>
      <c r="V2120" s="56"/>
      <c r="W2120" s="56"/>
      <c r="X2120" s="56"/>
      <c r="Y2120" s="56"/>
      <c r="Z2120" s="56"/>
      <c r="AA2120" s="56"/>
      <c r="AB2120" s="56"/>
    </row>
    <row r="2121" ht="15.75" customHeight="1">
      <c r="A2121" s="169"/>
      <c r="B2121" s="69"/>
      <c r="C2121" s="22" t="s">
        <v>131</v>
      </c>
      <c r="D2121" s="62" t="s">
        <v>52</v>
      </c>
      <c r="E2121" s="242" t="s">
        <v>1183</v>
      </c>
      <c r="F2121" s="242" t="s">
        <v>1184</v>
      </c>
      <c r="G2121" s="73" t="s">
        <v>4858</v>
      </c>
      <c r="H2121" s="62" t="s">
        <v>5866</v>
      </c>
      <c r="I2121" s="62" t="s">
        <v>6878</v>
      </c>
      <c r="J2121" s="242" t="s">
        <v>1186</v>
      </c>
      <c r="K2121" s="38"/>
      <c r="L2121" s="38"/>
      <c r="M2121" s="56"/>
      <c r="N2121" s="56" t="b">
        <v>0</v>
      </c>
      <c r="O2121" s="56" t="b">
        <v>0</v>
      </c>
      <c r="P2121" s="56"/>
      <c r="Q2121" s="56"/>
      <c r="R2121" s="56"/>
      <c r="S2121" s="56"/>
      <c r="T2121" s="56"/>
      <c r="U2121" s="56"/>
      <c r="V2121" s="56"/>
      <c r="W2121" s="56"/>
      <c r="X2121" s="56"/>
      <c r="Y2121" s="56"/>
      <c r="Z2121" s="56"/>
      <c r="AA2121" s="56"/>
      <c r="AB2121" s="56"/>
    </row>
    <row r="2122" ht="15.75" customHeight="1">
      <c r="A2122" s="169"/>
      <c r="B2122" s="299"/>
      <c r="C2122" s="220">
        <v>44634.0</v>
      </c>
      <c r="D2122" s="38"/>
      <c r="E2122" s="38"/>
      <c r="F2122" s="65"/>
      <c r="G2122" s="66"/>
      <c r="H2122" s="38"/>
      <c r="I2122" s="38"/>
      <c r="J2122" s="38"/>
      <c r="K2122" s="38"/>
      <c r="L2122" s="38"/>
      <c r="M2122" s="56"/>
      <c r="N2122" s="56" t="b">
        <v>0</v>
      </c>
      <c r="O2122" s="56" t="b">
        <v>0</v>
      </c>
      <c r="P2122" s="56"/>
      <c r="Q2122" s="56"/>
      <c r="R2122" s="56"/>
      <c r="S2122" s="56"/>
      <c r="T2122" s="56"/>
      <c r="U2122" s="56"/>
      <c r="V2122" s="56"/>
      <c r="W2122" s="56"/>
      <c r="X2122" s="56"/>
      <c r="Y2122" s="56"/>
      <c r="Z2122" s="56"/>
      <c r="AA2122" s="56"/>
      <c r="AB2122" s="56"/>
    </row>
    <row r="2123" ht="15.75" customHeight="1">
      <c r="A2123" s="169"/>
      <c r="B2123" s="320" t="s">
        <v>6168</v>
      </c>
      <c r="C2123" s="22" t="s">
        <v>66</v>
      </c>
      <c r="D2123" s="38"/>
      <c r="E2123" s="38"/>
      <c r="F2123" s="65"/>
      <c r="G2123" s="66"/>
      <c r="H2123" s="38"/>
      <c r="I2123" s="38"/>
      <c r="J2123" s="38"/>
      <c r="K2123" s="38"/>
      <c r="L2123" s="38"/>
      <c r="M2123" s="56"/>
      <c r="N2123" s="56" t="b">
        <v>0</v>
      </c>
      <c r="O2123" s="56" t="b">
        <v>0</v>
      </c>
      <c r="P2123" s="56"/>
      <c r="Q2123" s="56"/>
      <c r="R2123" s="56"/>
      <c r="S2123" s="56"/>
      <c r="T2123" s="56"/>
      <c r="U2123" s="56"/>
      <c r="V2123" s="56"/>
      <c r="W2123" s="56"/>
      <c r="X2123" s="56"/>
      <c r="Y2123" s="56"/>
      <c r="Z2123" s="56"/>
      <c r="AA2123" s="56"/>
      <c r="AB2123" s="56"/>
    </row>
    <row r="2124" ht="15.75" customHeight="1">
      <c r="A2124" s="169"/>
      <c r="B2124" s="63"/>
      <c r="C2124" s="22" t="s">
        <v>66</v>
      </c>
      <c r="D2124" s="38"/>
      <c r="E2124" s="162" t="s">
        <v>5784</v>
      </c>
      <c r="F2124" s="155"/>
      <c r="G2124" s="66"/>
      <c r="H2124" s="38"/>
      <c r="I2124" s="38"/>
      <c r="J2124" s="38"/>
      <c r="K2124" s="38"/>
      <c r="L2124" s="38"/>
      <c r="M2124" s="56"/>
      <c r="N2124" s="56" t="b">
        <v>0</v>
      </c>
      <c r="O2124" s="56" t="b">
        <v>0</v>
      </c>
      <c r="P2124" s="56"/>
      <c r="Q2124" s="56"/>
      <c r="R2124" s="56"/>
      <c r="S2124" s="56"/>
      <c r="T2124" s="56"/>
      <c r="U2124" s="56"/>
      <c r="V2124" s="56"/>
      <c r="W2124" s="56"/>
      <c r="X2124" s="56"/>
      <c r="Y2124" s="56"/>
      <c r="Z2124" s="56"/>
      <c r="AA2124" s="56"/>
      <c r="AB2124" s="56"/>
    </row>
    <row r="2125" ht="15.75" customHeight="1">
      <c r="A2125" s="169"/>
      <c r="B2125" s="63"/>
      <c r="C2125" s="22" t="s">
        <v>66</v>
      </c>
      <c r="D2125" s="38"/>
      <c r="E2125" s="156"/>
      <c r="F2125" s="157"/>
      <c r="G2125" s="66"/>
      <c r="H2125" s="38"/>
      <c r="I2125" s="38"/>
      <c r="J2125" s="38"/>
      <c r="K2125" s="38"/>
      <c r="L2125" s="38"/>
      <c r="M2125" s="56"/>
      <c r="N2125" s="56" t="b">
        <v>0</v>
      </c>
      <c r="O2125" s="56" t="b">
        <v>0</v>
      </c>
      <c r="P2125" s="56"/>
      <c r="Q2125" s="56"/>
      <c r="R2125" s="56"/>
      <c r="S2125" s="56"/>
      <c r="T2125" s="56"/>
      <c r="U2125" s="56"/>
      <c r="V2125" s="56"/>
      <c r="W2125" s="56"/>
      <c r="X2125" s="56"/>
      <c r="Y2125" s="56"/>
      <c r="Z2125" s="56"/>
      <c r="AA2125" s="56"/>
      <c r="AB2125" s="56"/>
    </row>
    <row r="2126" ht="15.75" customHeight="1">
      <c r="A2126" s="169"/>
      <c r="B2126" s="63"/>
      <c r="C2126" s="22" t="s">
        <v>66</v>
      </c>
      <c r="D2126" s="38"/>
      <c r="E2126" s="158"/>
      <c r="F2126" s="159"/>
      <c r="G2126" s="66"/>
      <c r="H2126" s="38"/>
      <c r="I2126" s="38"/>
      <c r="J2126" s="38"/>
      <c r="K2126" s="38"/>
      <c r="L2126" s="38"/>
      <c r="M2126" s="56"/>
      <c r="N2126" s="56" t="b">
        <v>0</v>
      </c>
      <c r="O2126" s="56" t="b">
        <v>0</v>
      </c>
      <c r="P2126" s="56"/>
      <c r="Q2126" s="56"/>
      <c r="R2126" s="56"/>
      <c r="S2126" s="56"/>
      <c r="T2126" s="56"/>
      <c r="U2126" s="56"/>
      <c r="V2126" s="56"/>
      <c r="W2126" s="56"/>
      <c r="X2126" s="56"/>
      <c r="Y2126" s="56"/>
      <c r="Z2126" s="56"/>
      <c r="AA2126" s="56"/>
      <c r="AB2126" s="56"/>
    </row>
    <row r="2127" ht="15.75" customHeight="1">
      <c r="A2127" s="169"/>
      <c r="B2127" s="63"/>
      <c r="C2127" s="22" t="s">
        <v>66</v>
      </c>
      <c r="D2127" s="38"/>
      <c r="E2127" s="38"/>
      <c r="F2127" s="65"/>
      <c r="G2127" s="66"/>
      <c r="H2127" s="38"/>
      <c r="I2127" s="38"/>
      <c r="J2127" s="38"/>
      <c r="K2127" s="38"/>
      <c r="L2127" s="38"/>
      <c r="M2127" s="56"/>
      <c r="N2127" s="56" t="b">
        <v>0</v>
      </c>
      <c r="O2127" s="56" t="b">
        <v>0</v>
      </c>
      <c r="P2127" s="56"/>
      <c r="Q2127" s="56"/>
      <c r="R2127" s="56"/>
      <c r="S2127" s="56"/>
      <c r="T2127" s="56"/>
      <c r="U2127" s="56"/>
      <c r="V2127" s="56"/>
      <c r="W2127" s="56"/>
      <c r="X2127" s="56"/>
      <c r="Y2127" s="56"/>
      <c r="Z2127" s="56"/>
      <c r="AA2127" s="56"/>
      <c r="AB2127" s="56"/>
    </row>
    <row r="2128" ht="15.75" customHeight="1">
      <c r="A2128" s="169"/>
      <c r="B2128" s="69"/>
      <c r="C2128" s="22" t="s">
        <v>66</v>
      </c>
      <c r="D2128" s="38"/>
      <c r="E2128" s="38"/>
      <c r="F2128" s="65"/>
      <c r="G2128" s="66"/>
      <c r="H2128" s="38"/>
      <c r="I2128" s="38"/>
      <c r="J2128" s="38"/>
      <c r="K2128" s="38"/>
      <c r="L2128" s="38"/>
      <c r="M2128" s="56"/>
      <c r="N2128" s="56" t="b">
        <v>0</v>
      </c>
      <c r="O2128" s="56" t="b">
        <v>0</v>
      </c>
      <c r="P2128" s="56"/>
      <c r="Q2128" s="56"/>
      <c r="R2128" s="56"/>
      <c r="S2128" s="56"/>
      <c r="T2128" s="56"/>
      <c r="U2128" s="56"/>
      <c r="V2128" s="56"/>
      <c r="W2128" s="56"/>
      <c r="X2128" s="56"/>
      <c r="Y2128" s="56"/>
      <c r="Z2128" s="56"/>
      <c r="AA2128" s="56"/>
      <c r="AB2128" s="56"/>
    </row>
    <row r="2129" ht="15.75" customHeight="1">
      <c r="A2129" s="169"/>
      <c r="B2129" s="320" t="s">
        <v>6848</v>
      </c>
      <c r="C2129" s="22"/>
      <c r="D2129" s="38"/>
      <c r="E2129" s="38"/>
      <c r="F2129" s="65"/>
      <c r="G2129" s="66"/>
      <c r="H2129" s="38"/>
      <c r="I2129" s="38"/>
      <c r="J2129" s="38"/>
      <c r="K2129" s="38"/>
      <c r="L2129" s="38"/>
      <c r="M2129" s="56"/>
      <c r="N2129" s="56" t="b">
        <v>0</v>
      </c>
      <c r="O2129" s="56" t="b">
        <v>0</v>
      </c>
      <c r="P2129" s="56"/>
      <c r="Q2129" s="56"/>
      <c r="R2129" s="56"/>
      <c r="S2129" s="56"/>
      <c r="T2129" s="56"/>
      <c r="U2129" s="56"/>
      <c r="V2129" s="56"/>
      <c r="W2129" s="56"/>
      <c r="X2129" s="56"/>
      <c r="Y2129" s="56"/>
      <c r="Z2129" s="56"/>
      <c r="AA2129" s="56"/>
      <c r="AB2129" s="56"/>
    </row>
    <row r="2130" ht="15.75" customHeight="1">
      <c r="A2130" s="169"/>
      <c r="B2130" s="63"/>
      <c r="C2130" s="22" t="s">
        <v>131</v>
      </c>
      <c r="D2130" s="38"/>
      <c r="E2130" s="38"/>
      <c r="F2130" s="330" t="s">
        <v>6862</v>
      </c>
      <c r="G2130" s="55"/>
      <c r="H2130" s="38"/>
      <c r="I2130" s="38"/>
      <c r="J2130" s="38"/>
      <c r="K2130" s="38"/>
      <c r="L2130" s="38"/>
      <c r="M2130" s="56"/>
      <c r="N2130" s="56" t="b">
        <v>0</v>
      </c>
      <c r="O2130" s="56" t="b">
        <v>0</v>
      </c>
      <c r="P2130" s="56"/>
      <c r="Q2130" s="56"/>
      <c r="R2130" s="56"/>
      <c r="S2130" s="56"/>
      <c r="T2130" s="56"/>
      <c r="U2130" s="56"/>
      <c r="V2130" s="56"/>
      <c r="W2130" s="56"/>
      <c r="X2130" s="56"/>
      <c r="Y2130" s="56"/>
      <c r="Z2130" s="56"/>
      <c r="AA2130" s="56"/>
      <c r="AB2130" s="56"/>
    </row>
    <row r="2131" ht="15.75" customHeight="1">
      <c r="A2131" s="169"/>
      <c r="B2131" s="63"/>
      <c r="C2131" s="22" t="s">
        <v>131</v>
      </c>
      <c r="D2131" s="27" t="s">
        <v>87</v>
      </c>
      <c r="E2131" s="242" t="s">
        <v>3083</v>
      </c>
      <c r="F2131" s="242" t="s">
        <v>3084</v>
      </c>
      <c r="G2131" s="73" t="s">
        <v>4926</v>
      </c>
      <c r="H2131" s="269" t="s">
        <v>5259</v>
      </c>
      <c r="I2131" s="62" t="s">
        <v>6879</v>
      </c>
      <c r="J2131" s="267" t="s">
        <v>3086</v>
      </c>
      <c r="K2131" s="38"/>
      <c r="L2131" s="38"/>
      <c r="M2131" s="56"/>
      <c r="N2131" s="56" t="b">
        <v>0</v>
      </c>
      <c r="O2131" s="56" t="b">
        <v>0</v>
      </c>
      <c r="P2131" s="56"/>
      <c r="Q2131" s="56"/>
      <c r="R2131" s="56"/>
      <c r="S2131" s="56"/>
      <c r="T2131" s="56"/>
      <c r="U2131" s="56"/>
      <c r="V2131" s="56"/>
      <c r="W2131" s="56"/>
      <c r="X2131" s="56"/>
      <c r="Y2131" s="56"/>
      <c r="Z2131" s="56"/>
      <c r="AA2131" s="56"/>
      <c r="AB2131" s="56"/>
    </row>
    <row r="2132" ht="15.75" customHeight="1">
      <c r="A2132" s="169"/>
      <c r="B2132" s="63"/>
      <c r="C2132" s="22" t="s">
        <v>131</v>
      </c>
      <c r="D2132" s="62" t="s">
        <v>52</v>
      </c>
      <c r="E2132" s="60" t="s">
        <v>4649</v>
      </c>
      <c r="F2132" s="60" t="s">
        <v>4650</v>
      </c>
      <c r="G2132" s="73" t="s">
        <v>5134</v>
      </c>
      <c r="H2132" s="62" t="s">
        <v>6839</v>
      </c>
      <c r="I2132" s="62" t="s">
        <v>6846</v>
      </c>
      <c r="J2132" s="60" t="s">
        <v>2313</v>
      </c>
      <c r="K2132" s="38"/>
      <c r="L2132" s="38"/>
      <c r="M2132" s="56"/>
      <c r="N2132" s="56" t="b">
        <v>0</v>
      </c>
      <c r="O2132" s="56" t="b">
        <v>0</v>
      </c>
      <c r="P2132" s="56"/>
      <c r="Q2132" s="56"/>
      <c r="R2132" s="56"/>
      <c r="S2132" s="56"/>
      <c r="T2132" s="56"/>
      <c r="U2132" s="56"/>
      <c r="V2132" s="56"/>
      <c r="W2132" s="56"/>
      <c r="X2132" s="56"/>
      <c r="Y2132" s="56"/>
      <c r="Z2132" s="56"/>
      <c r="AA2132" s="56"/>
      <c r="AB2132" s="56"/>
    </row>
    <row r="2133" ht="15.75" customHeight="1">
      <c r="A2133" s="169"/>
      <c r="B2133" s="63"/>
      <c r="C2133" s="22" t="s">
        <v>131</v>
      </c>
      <c r="D2133" s="27" t="s">
        <v>87</v>
      </c>
      <c r="E2133" s="60" t="s">
        <v>1639</v>
      </c>
      <c r="F2133" s="60" t="s">
        <v>1640</v>
      </c>
      <c r="G2133" s="73" t="s">
        <v>5602</v>
      </c>
      <c r="H2133" s="269" t="s">
        <v>5342</v>
      </c>
      <c r="I2133" s="62" t="s">
        <v>6880</v>
      </c>
      <c r="J2133" s="267" t="s">
        <v>1642</v>
      </c>
      <c r="K2133" s="38"/>
      <c r="L2133" s="38"/>
      <c r="M2133" s="56"/>
      <c r="N2133" s="56" t="b">
        <v>0</v>
      </c>
      <c r="O2133" s="56" t="b">
        <v>0</v>
      </c>
      <c r="P2133" s="56"/>
      <c r="Q2133" s="56"/>
      <c r="R2133" s="56"/>
      <c r="S2133" s="56"/>
      <c r="T2133" s="56"/>
      <c r="U2133" s="56"/>
      <c r="V2133" s="56"/>
      <c r="W2133" s="56"/>
      <c r="X2133" s="56"/>
      <c r="Y2133" s="56"/>
      <c r="Z2133" s="56"/>
      <c r="AA2133" s="56"/>
      <c r="AB2133" s="56"/>
    </row>
    <row r="2134" ht="15.75" customHeight="1">
      <c r="A2134" s="169"/>
      <c r="B2134" s="63"/>
      <c r="C2134" s="22" t="s">
        <v>131</v>
      </c>
      <c r="D2134" s="71" t="s">
        <v>329</v>
      </c>
      <c r="E2134" s="60" t="s">
        <v>917</v>
      </c>
      <c r="F2134" s="60" t="s">
        <v>918</v>
      </c>
      <c r="G2134" s="73" t="s">
        <v>5461</v>
      </c>
      <c r="H2134" s="62" t="s">
        <v>5259</v>
      </c>
      <c r="I2134" s="62" t="s">
        <v>6881</v>
      </c>
      <c r="J2134" s="242" t="s">
        <v>920</v>
      </c>
      <c r="K2134" s="38"/>
      <c r="L2134" s="38"/>
      <c r="M2134" s="56"/>
      <c r="N2134" s="56" t="b">
        <v>0</v>
      </c>
      <c r="O2134" s="56" t="b">
        <v>0</v>
      </c>
      <c r="P2134" s="56"/>
      <c r="Q2134" s="56"/>
      <c r="R2134" s="56"/>
      <c r="S2134" s="56"/>
      <c r="T2134" s="56"/>
      <c r="U2134" s="56"/>
      <c r="V2134" s="56"/>
      <c r="W2134" s="56"/>
      <c r="X2134" s="56"/>
      <c r="Y2134" s="56"/>
      <c r="Z2134" s="56"/>
      <c r="AA2134" s="56"/>
      <c r="AB2134" s="56"/>
    </row>
    <row r="2135" ht="15.75" customHeight="1">
      <c r="A2135" s="169"/>
      <c r="B2135" s="63"/>
      <c r="C2135" s="22" t="s">
        <v>131</v>
      </c>
      <c r="D2135" s="38"/>
      <c r="E2135" s="38"/>
      <c r="F2135" s="65"/>
      <c r="G2135" s="66"/>
      <c r="H2135" s="38"/>
      <c r="I2135" s="38"/>
      <c r="J2135" s="38"/>
      <c r="K2135" s="38"/>
      <c r="L2135" s="38"/>
      <c r="M2135" s="56"/>
      <c r="N2135" s="56" t="b">
        <v>0</v>
      </c>
      <c r="O2135" s="56" t="b">
        <v>0</v>
      </c>
      <c r="P2135" s="56"/>
      <c r="Q2135" s="56"/>
      <c r="R2135" s="56"/>
      <c r="S2135" s="56"/>
      <c r="T2135" s="56"/>
      <c r="U2135" s="56"/>
      <c r="V2135" s="56"/>
      <c r="W2135" s="56"/>
      <c r="X2135" s="56"/>
      <c r="Y2135" s="56"/>
      <c r="Z2135" s="56"/>
      <c r="AA2135" s="56"/>
      <c r="AB2135" s="56"/>
    </row>
    <row r="2136" ht="15.75" customHeight="1">
      <c r="A2136" s="169"/>
      <c r="B2136" s="69"/>
      <c r="C2136" s="22" t="s">
        <v>131</v>
      </c>
      <c r="D2136" s="38"/>
      <c r="E2136" s="38"/>
      <c r="F2136" s="65"/>
      <c r="G2136" s="66"/>
      <c r="H2136" s="38"/>
      <c r="I2136" s="38"/>
      <c r="J2136" s="38"/>
      <c r="K2136" s="38"/>
      <c r="L2136" s="38"/>
      <c r="M2136" s="56"/>
      <c r="N2136" s="56" t="b">
        <v>0</v>
      </c>
      <c r="O2136" s="56" t="b">
        <v>0</v>
      </c>
      <c r="P2136" s="56"/>
      <c r="Q2136" s="56"/>
      <c r="R2136" s="56"/>
      <c r="S2136" s="56"/>
      <c r="T2136" s="56"/>
      <c r="U2136" s="56"/>
      <c r="V2136" s="56"/>
      <c r="W2136" s="56"/>
      <c r="X2136" s="56"/>
      <c r="Y2136" s="56"/>
      <c r="Z2136" s="56"/>
      <c r="AA2136" s="56"/>
      <c r="AB2136" s="56"/>
    </row>
    <row r="2137" ht="15.75" customHeight="1">
      <c r="A2137" s="169"/>
      <c r="B2137" s="299"/>
      <c r="C2137" s="220">
        <v>44635.0</v>
      </c>
      <c r="D2137" s="38"/>
      <c r="E2137" s="38"/>
      <c r="F2137" s="65"/>
      <c r="G2137" s="66"/>
      <c r="H2137" s="38"/>
      <c r="I2137" s="38"/>
      <c r="J2137" s="38"/>
      <c r="K2137" s="38"/>
      <c r="L2137" s="38"/>
      <c r="M2137" s="56"/>
      <c r="N2137" s="56" t="b">
        <v>0</v>
      </c>
      <c r="O2137" s="56" t="b">
        <v>0</v>
      </c>
      <c r="P2137" s="56"/>
      <c r="Q2137" s="56"/>
      <c r="R2137" s="56"/>
      <c r="S2137" s="56"/>
      <c r="T2137" s="56"/>
      <c r="U2137" s="56"/>
      <c r="V2137" s="56"/>
      <c r="W2137" s="56"/>
      <c r="X2137" s="56"/>
      <c r="Y2137" s="56"/>
      <c r="Z2137" s="56"/>
      <c r="AA2137" s="56"/>
      <c r="AB2137" s="56"/>
    </row>
    <row r="2138" ht="15.75" customHeight="1">
      <c r="A2138" s="169"/>
      <c r="B2138" s="320" t="s">
        <v>6168</v>
      </c>
      <c r="C2138" s="22" t="s">
        <v>66</v>
      </c>
      <c r="D2138" s="38"/>
      <c r="E2138" s="38"/>
      <c r="F2138" s="65"/>
      <c r="G2138" s="66"/>
      <c r="H2138" s="38"/>
      <c r="I2138" s="38"/>
      <c r="J2138" s="38"/>
      <c r="K2138" s="38"/>
      <c r="L2138" s="38"/>
      <c r="M2138" s="56"/>
      <c r="N2138" s="56" t="b">
        <v>0</v>
      </c>
      <c r="O2138" s="56" t="b">
        <v>0</v>
      </c>
      <c r="P2138" s="56"/>
      <c r="Q2138" s="56"/>
      <c r="R2138" s="56"/>
      <c r="S2138" s="56"/>
      <c r="T2138" s="56"/>
      <c r="U2138" s="56"/>
      <c r="V2138" s="56"/>
      <c r="W2138" s="56"/>
      <c r="X2138" s="56"/>
      <c r="Y2138" s="56"/>
      <c r="Z2138" s="56"/>
      <c r="AA2138" s="56"/>
      <c r="AB2138" s="56"/>
    </row>
    <row r="2139" ht="15.75" customHeight="1">
      <c r="A2139" s="169"/>
      <c r="B2139" s="63"/>
      <c r="C2139" s="22" t="s">
        <v>66</v>
      </c>
      <c r="D2139" s="38"/>
      <c r="E2139" s="38"/>
      <c r="F2139" s="331"/>
      <c r="G2139" s="66"/>
      <c r="H2139" s="38"/>
      <c r="I2139" s="38"/>
      <c r="J2139" s="38"/>
      <c r="K2139" s="38"/>
      <c r="L2139" s="38"/>
      <c r="M2139" s="56"/>
      <c r="N2139" s="56" t="b">
        <v>0</v>
      </c>
      <c r="O2139" s="56" t="b">
        <v>0</v>
      </c>
      <c r="P2139" s="56"/>
      <c r="Q2139" s="56"/>
      <c r="R2139" s="56"/>
      <c r="S2139" s="56"/>
      <c r="T2139" s="56"/>
      <c r="U2139" s="56"/>
      <c r="V2139" s="56"/>
      <c r="W2139" s="56"/>
      <c r="X2139" s="56"/>
      <c r="Y2139" s="56"/>
      <c r="Z2139" s="56"/>
      <c r="AA2139" s="56"/>
      <c r="AB2139" s="56"/>
    </row>
    <row r="2140" ht="15.75" customHeight="1">
      <c r="A2140" s="169"/>
      <c r="B2140" s="63"/>
      <c r="C2140" s="22" t="s">
        <v>66</v>
      </c>
      <c r="D2140" s="38"/>
      <c r="E2140" s="38"/>
      <c r="F2140" s="162" t="s">
        <v>5784</v>
      </c>
      <c r="G2140" s="155"/>
      <c r="H2140" s="38"/>
      <c r="I2140" s="38"/>
      <c r="J2140" s="38"/>
      <c r="K2140" s="38"/>
      <c r="L2140" s="38"/>
      <c r="M2140" s="56"/>
      <c r="N2140" s="56" t="b">
        <v>0</v>
      </c>
      <c r="O2140" s="56" t="b">
        <v>0</v>
      </c>
      <c r="P2140" s="56"/>
      <c r="Q2140" s="56"/>
      <c r="R2140" s="56"/>
      <c r="S2140" s="56"/>
      <c r="T2140" s="56"/>
      <c r="U2140" s="56"/>
      <c r="V2140" s="56"/>
      <c r="W2140" s="56"/>
      <c r="X2140" s="56"/>
      <c r="Y2140" s="56"/>
      <c r="Z2140" s="56"/>
      <c r="AA2140" s="56"/>
      <c r="AB2140" s="56"/>
    </row>
    <row r="2141" ht="15.75" customHeight="1">
      <c r="A2141" s="169"/>
      <c r="B2141" s="63"/>
      <c r="C2141" s="22" t="s">
        <v>66</v>
      </c>
      <c r="D2141" s="38"/>
      <c r="E2141" s="38"/>
      <c r="F2141" s="156"/>
      <c r="G2141" s="157"/>
      <c r="H2141" s="38"/>
      <c r="I2141" s="38"/>
      <c r="J2141" s="38"/>
      <c r="K2141" s="38"/>
      <c r="L2141" s="38"/>
      <c r="M2141" s="56"/>
      <c r="N2141" s="56" t="b">
        <v>0</v>
      </c>
      <c r="O2141" s="56" t="b">
        <v>0</v>
      </c>
      <c r="P2141" s="56"/>
      <c r="Q2141" s="56"/>
      <c r="R2141" s="56"/>
      <c r="S2141" s="56"/>
      <c r="T2141" s="56"/>
      <c r="U2141" s="56"/>
      <c r="V2141" s="56"/>
      <c r="W2141" s="56"/>
      <c r="X2141" s="56"/>
      <c r="Y2141" s="56"/>
      <c r="Z2141" s="56"/>
      <c r="AA2141" s="56"/>
      <c r="AB2141" s="56"/>
    </row>
    <row r="2142" ht="15.75" customHeight="1">
      <c r="A2142" s="169"/>
      <c r="B2142" s="63"/>
      <c r="C2142" s="22" t="s">
        <v>66</v>
      </c>
      <c r="D2142" s="38"/>
      <c r="E2142" s="38"/>
      <c r="F2142" s="158"/>
      <c r="G2142" s="159"/>
      <c r="H2142" s="38"/>
      <c r="I2142" s="38"/>
      <c r="J2142" s="38"/>
      <c r="K2142" s="38"/>
      <c r="L2142" s="38"/>
      <c r="M2142" s="56"/>
      <c r="N2142" s="56" t="b">
        <v>0</v>
      </c>
      <c r="O2142" s="56" t="b">
        <v>0</v>
      </c>
      <c r="P2142" s="56"/>
      <c r="Q2142" s="56"/>
      <c r="R2142" s="56"/>
      <c r="S2142" s="56"/>
      <c r="T2142" s="56"/>
      <c r="U2142" s="56"/>
      <c r="V2142" s="56"/>
      <c r="W2142" s="56"/>
      <c r="X2142" s="56"/>
      <c r="Y2142" s="56"/>
      <c r="Z2142" s="56"/>
      <c r="AA2142" s="56"/>
      <c r="AB2142" s="56"/>
    </row>
    <row r="2143" ht="15.75" customHeight="1">
      <c r="A2143" s="169"/>
      <c r="B2143" s="69"/>
      <c r="C2143" s="22" t="s">
        <v>66</v>
      </c>
      <c r="D2143" s="38"/>
      <c r="E2143" s="38"/>
      <c r="F2143" s="329"/>
      <c r="G2143" s="55"/>
      <c r="H2143" s="38"/>
      <c r="I2143" s="38"/>
      <c r="J2143" s="38"/>
      <c r="K2143" s="38"/>
      <c r="L2143" s="38"/>
      <c r="M2143" s="56"/>
      <c r="N2143" s="56" t="b">
        <v>0</v>
      </c>
      <c r="O2143" s="56" t="b">
        <v>0</v>
      </c>
      <c r="P2143" s="56"/>
      <c r="Q2143" s="56"/>
      <c r="R2143" s="56"/>
      <c r="S2143" s="56"/>
      <c r="T2143" s="56"/>
      <c r="U2143" s="56"/>
      <c r="V2143" s="56"/>
      <c r="W2143" s="56"/>
      <c r="X2143" s="56"/>
      <c r="Y2143" s="56"/>
      <c r="Z2143" s="56"/>
      <c r="AA2143" s="56"/>
      <c r="AB2143" s="56"/>
    </row>
    <row r="2144" ht="15.75" customHeight="1">
      <c r="A2144" s="169"/>
      <c r="B2144" s="320" t="s">
        <v>6848</v>
      </c>
      <c r="C2144" s="22"/>
      <c r="D2144" s="38"/>
      <c r="E2144" s="38"/>
      <c r="F2144" s="330" t="s">
        <v>6862</v>
      </c>
      <c r="G2144" s="55"/>
      <c r="H2144" s="38"/>
      <c r="I2144" s="38"/>
      <c r="J2144" s="38"/>
      <c r="K2144" s="38"/>
      <c r="L2144" s="38"/>
      <c r="M2144" s="56"/>
      <c r="N2144" s="56" t="b">
        <v>0</v>
      </c>
      <c r="O2144" s="56" t="b">
        <v>0</v>
      </c>
      <c r="P2144" s="56"/>
      <c r="Q2144" s="56"/>
      <c r="R2144" s="56"/>
      <c r="S2144" s="56"/>
      <c r="T2144" s="56"/>
      <c r="U2144" s="56"/>
      <c r="V2144" s="56"/>
      <c r="W2144" s="56"/>
      <c r="X2144" s="56"/>
      <c r="Y2144" s="56"/>
      <c r="Z2144" s="56"/>
      <c r="AA2144" s="56"/>
      <c r="AB2144" s="56"/>
    </row>
    <row r="2145" ht="15.75" customHeight="1">
      <c r="A2145" s="169"/>
      <c r="B2145" s="63"/>
      <c r="C2145" s="22" t="s">
        <v>131</v>
      </c>
      <c r="D2145" s="227" t="s">
        <v>89</v>
      </c>
      <c r="E2145" s="242" t="s">
        <v>4712</v>
      </c>
      <c r="F2145" s="242" t="s">
        <v>4713</v>
      </c>
      <c r="G2145" s="258">
        <v>0.4583333333333333</v>
      </c>
      <c r="H2145" s="170" t="s">
        <v>6882</v>
      </c>
      <c r="I2145" s="170" t="s">
        <v>6883</v>
      </c>
      <c r="J2145" s="242" t="s">
        <v>4715</v>
      </c>
      <c r="K2145" s="38"/>
      <c r="L2145" s="38"/>
      <c r="M2145" s="56"/>
      <c r="N2145" s="56" t="b">
        <v>0</v>
      </c>
      <c r="O2145" s="56" t="b">
        <v>0</v>
      </c>
      <c r="P2145" s="56"/>
      <c r="Q2145" s="56"/>
      <c r="R2145" s="56"/>
      <c r="S2145" s="56"/>
      <c r="T2145" s="56"/>
      <c r="U2145" s="56"/>
      <c r="V2145" s="56"/>
      <c r="W2145" s="56"/>
      <c r="X2145" s="56"/>
      <c r="Y2145" s="56"/>
      <c r="Z2145" s="56"/>
      <c r="AA2145" s="56"/>
      <c r="AB2145" s="56"/>
    </row>
    <row r="2146" ht="15.75" customHeight="1">
      <c r="A2146" s="169"/>
      <c r="B2146" s="63"/>
      <c r="C2146" s="22" t="s">
        <v>131</v>
      </c>
      <c r="D2146" s="227" t="s">
        <v>89</v>
      </c>
      <c r="E2146" s="60" t="s">
        <v>4240</v>
      </c>
      <c r="F2146" s="60" t="s">
        <v>4241</v>
      </c>
      <c r="G2146" s="73" t="s">
        <v>5134</v>
      </c>
      <c r="H2146" s="62" t="s">
        <v>6884</v>
      </c>
      <c r="I2146" s="62" t="s">
        <v>6885</v>
      </c>
      <c r="J2146" s="60" t="s">
        <v>4243</v>
      </c>
      <c r="K2146" s="38"/>
      <c r="L2146" s="38"/>
      <c r="M2146" s="56"/>
      <c r="N2146" s="56" t="b">
        <v>0</v>
      </c>
      <c r="O2146" s="56" t="b">
        <v>0</v>
      </c>
      <c r="P2146" s="56"/>
      <c r="Q2146" s="56"/>
      <c r="R2146" s="56"/>
      <c r="S2146" s="56"/>
      <c r="T2146" s="56"/>
      <c r="U2146" s="56"/>
      <c r="V2146" s="56"/>
      <c r="W2146" s="56"/>
      <c r="X2146" s="56"/>
      <c r="Y2146" s="56"/>
      <c r="Z2146" s="56"/>
      <c r="AA2146" s="56"/>
      <c r="AB2146" s="56"/>
    </row>
    <row r="2147" ht="15.75" customHeight="1">
      <c r="A2147" s="169"/>
      <c r="B2147" s="63"/>
      <c r="C2147" s="22" t="s">
        <v>131</v>
      </c>
      <c r="D2147" s="227" t="s">
        <v>89</v>
      </c>
      <c r="E2147" s="60" t="s">
        <v>631</v>
      </c>
      <c r="F2147" s="60" t="s">
        <v>632</v>
      </c>
      <c r="G2147" s="73" t="s">
        <v>4856</v>
      </c>
      <c r="H2147" s="62" t="s">
        <v>6886</v>
      </c>
      <c r="I2147" s="62" t="s">
        <v>6887</v>
      </c>
      <c r="J2147" s="60" t="s">
        <v>635</v>
      </c>
      <c r="K2147" s="38"/>
      <c r="L2147" s="38"/>
      <c r="M2147" s="56"/>
      <c r="N2147" s="56" t="b">
        <v>0</v>
      </c>
      <c r="O2147" s="56" t="b">
        <v>0</v>
      </c>
      <c r="P2147" s="56"/>
      <c r="Q2147" s="56"/>
      <c r="R2147" s="56"/>
      <c r="S2147" s="56"/>
      <c r="T2147" s="56"/>
      <c r="U2147" s="56"/>
      <c r="V2147" s="56"/>
      <c r="W2147" s="56"/>
      <c r="X2147" s="56"/>
      <c r="Y2147" s="56"/>
      <c r="Z2147" s="56"/>
      <c r="AA2147" s="56"/>
      <c r="AB2147" s="56"/>
    </row>
    <row r="2148" ht="15.75" customHeight="1">
      <c r="A2148" s="169"/>
      <c r="B2148" s="63"/>
      <c r="C2148" s="22" t="s">
        <v>131</v>
      </c>
      <c r="D2148" s="227" t="s">
        <v>89</v>
      </c>
      <c r="E2148" s="242" t="s">
        <v>4354</v>
      </c>
      <c r="F2148" s="242" t="s">
        <v>4355</v>
      </c>
      <c r="G2148" s="73" t="s">
        <v>4858</v>
      </c>
      <c r="H2148" s="62" t="s">
        <v>6888</v>
      </c>
      <c r="I2148" s="62" t="s">
        <v>6889</v>
      </c>
      <c r="J2148" s="242" t="s">
        <v>4357</v>
      </c>
      <c r="K2148" s="38"/>
      <c r="L2148" s="38"/>
      <c r="M2148" s="56"/>
      <c r="N2148" s="56" t="b">
        <v>0</v>
      </c>
      <c r="O2148" s="56" t="b">
        <v>0</v>
      </c>
      <c r="P2148" s="56"/>
      <c r="Q2148" s="56"/>
      <c r="R2148" s="56"/>
      <c r="S2148" s="56"/>
      <c r="T2148" s="56"/>
      <c r="U2148" s="56"/>
      <c r="V2148" s="56"/>
      <c r="W2148" s="56"/>
      <c r="X2148" s="56"/>
      <c r="Y2148" s="56"/>
      <c r="Z2148" s="56"/>
      <c r="AA2148" s="56"/>
      <c r="AB2148" s="56"/>
    </row>
    <row r="2149" ht="15.75" customHeight="1">
      <c r="A2149" s="169"/>
      <c r="B2149" s="63"/>
      <c r="C2149" s="22" t="s">
        <v>131</v>
      </c>
      <c r="D2149" s="38"/>
      <c r="E2149" s="38"/>
      <c r="F2149" s="65"/>
      <c r="G2149" s="66"/>
      <c r="H2149" s="38"/>
      <c r="I2149" s="38"/>
      <c r="J2149" s="38"/>
      <c r="K2149" s="38"/>
      <c r="L2149" s="38"/>
      <c r="M2149" s="56"/>
      <c r="N2149" s="56" t="b">
        <v>0</v>
      </c>
      <c r="O2149" s="56" t="b">
        <v>0</v>
      </c>
      <c r="P2149" s="56"/>
      <c r="Q2149" s="56"/>
      <c r="R2149" s="56"/>
      <c r="S2149" s="56"/>
      <c r="T2149" s="56"/>
      <c r="U2149" s="56"/>
      <c r="V2149" s="56"/>
      <c r="W2149" s="56"/>
      <c r="X2149" s="56"/>
      <c r="Y2149" s="56"/>
      <c r="Z2149" s="56"/>
      <c r="AA2149" s="56"/>
      <c r="AB2149" s="56"/>
    </row>
    <row r="2150" ht="15.75" customHeight="1">
      <c r="A2150" s="169"/>
      <c r="B2150" s="69"/>
      <c r="C2150" s="22" t="s">
        <v>131</v>
      </c>
      <c r="D2150" s="38"/>
      <c r="E2150" s="38"/>
      <c r="F2150" s="65"/>
      <c r="G2150" s="66"/>
      <c r="H2150" s="38"/>
      <c r="I2150" s="38"/>
      <c r="J2150" s="38"/>
      <c r="K2150" s="38"/>
      <c r="L2150" s="38"/>
      <c r="M2150" s="56"/>
      <c r="N2150" s="56" t="b">
        <v>0</v>
      </c>
      <c r="O2150" s="56" t="b">
        <v>0</v>
      </c>
      <c r="P2150" s="56"/>
      <c r="Q2150" s="56"/>
      <c r="R2150" s="56"/>
      <c r="S2150" s="56"/>
      <c r="T2150" s="56"/>
      <c r="U2150" s="56"/>
      <c r="V2150" s="56"/>
      <c r="W2150" s="56"/>
      <c r="X2150" s="56"/>
      <c r="Y2150" s="56"/>
      <c r="Z2150" s="56"/>
      <c r="AA2150" s="56"/>
      <c r="AB2150" s="56"/>
    </row>
    <row r="2151" ht="15.75" customHeight="1">
      <c r="A2151" s="169"/>
      <c r="B2151" s="299"/>
      <c r="C2151" s="220">
        <v>44636.0</v>
      </c>
      <c r="D2151" s="38"/>
      <c r="E2151" s="38"/>
      <c r="F2151" s="65"/>
      <c r="G2151" s="66"/>
      <c r="H2151" s="38"/>
      <c r="I2151" s="38"/>
      <c r="J2151" s="38"/>
      <c r="K2151" s="38"/>
      <c r="L2151" s="38"/>
      <c r="M2151" s="56"/>
      <c r="N2151" s="56" t="b">
        <v>0</v>
      </c>
      <c r="O2151" s="56" t="b">
        <v>0</v>
      </c>
      <c r="P2151" s="56"/>
      <c r="Q2151" s="56"/>
      <c r="R2151" s="56"/>
      <c r="S2151" s="56"/>
      <c r="T2151" s="56"/>
      <c r="U2151" s="56"/>
      <c r="V2151" s="56"/>
      <c r="W2151" s="56"/>
      <c r="X2151" s="56"/>
      <c r="Y2151" s="56"/>
      <c r="Z2151" s="56"/>
      <c r="AA2151" s="56"/>
      <c r="AB2151" s="56"/>
    </row>
    <row r="2152" ht="15.75" customHeight="1">
      <c r="A2152" s="169"/>
      <c r="B2152" s="320" t="s">
        <v>6168</v>
      </c>
      <c r="C2152" s="22" t="s">
        <v>66</v>
      </c>
      <c r="D2152" s="38"/>
      <c r="E2152" s="38"/>
      <c r="F2152" s="65"/>
      <c r="G2152" s="66"/>
      <c r="H2152" s="38"/>
      <c r="I2152" s="38"/>
      <c r="J2152" s="38"/>
      <c r="K2152" s="38"/>
      <c r="L2152" s="38"/>
      <c r="M2152" s="56"/>
      <c r="N2152" s="56" t="b">
        <v>0</v>
      </c>
      <c r="O2152" s="56" t="b">
        <v>0</v>
      </c>
      <c r="P2152" s="56"/>
      <c r="Q2152" s="56"/>
      <c r="R2152" s="56"/>
      <c r="S2152" s="56"/>
      <c r="T2152" s="56"/>
      <c r="U2152" s="56"/>
      <c r="V2152" s="56"/>
      <c r="W2152" s="56"/>
      <c r="X2152" s="56"/>
      <c r="Y2152" s="56"/>
      <c r="Z2152" s="56"/>
      <c r="AA2152" s="56"/>
      <c r="AB2152" s="56"/>
    </row>
    <row r="2153" ht="15.75" customHeight="1">
      <c r="A2153" s="169"/>
      <c r="B2153" s="63"/>
      <c r="C2153" s="22" t="s">
        <v>66</v>
      </c>
      <c r="D2153" s="38"/>
      <c r="E2153" s="38"/>
      <c r="F2153" s="65"/>
      <c r="G2153" s="66"/>
      <c r="H2153" s="38"/>
      <c r="I2153" s="38"/>
      <c r="J2153" s="38"/>
      <c r="K2153" s="38"/>
      <c r="L2153" s="38"/>
      <c r="M2153" s="56"/>
      <c r="N2153" s="56" t="b">
        <v>0</v>
      </c>
      <c r="O2153" s="56" t="b">
        <v>0</v>
      </c>
      <c r="P2153" s="56"/>
      <c r="Q2153" s="56"/>
      <c r="R2153" s="56"/>
      <c r="S2153" s="56"/>
      <c r="T2153" s="56"/>
      <c r="U2153" s="56"/>
      <c r="V2153" s="56"/>
      <c r="W2153" s="56"/>
      <c r="X2153" s="56"/>
      <c r="Y2153" s="56"/>
      <c r="Z2153" s="56"/>
      <c r="AA2153" s="56"/>
      <c r="AB2153" s="56"/>
    </row>
    <row r="2154" ht="15.75" customHeight="1">
      <c r="A2154" s="169"/>
      <c r="B2154" s="63"/>
      <c r="C2154" s="22" t="s">
        <v>66</v>
      </c>
      <c r="D2154" s="38"/>
      <c r="E2154" s="38"/>
      <c r="F2154" s="162" t="s">
        <v>5784</v>
      </c>
      <c r="G2154" s="155"/>
      <c r="H2154" s="38"/>
      <c r="I2154" s="38"/>
      <c r="J2154" s="38"/>
      <c r="K2154" s="38"/>
      <c r="L2154" s="38"/>
      <c r="M2154" s="56"/>
      <c r="N2154" s="56" t="b">
        <v>0</v>
      </c>
      <c r="O2154" s="56" t="b">
        <v>0</v>
      </c>
      <c r="P2154" s="56"/>
      <c r="Q2154" s="56"/>
      <c r="R2154" s="56"/>
      <c r="S2154" s="56"/>
      <c r="T2154" s="56"/>
      <c r="U2154" s="56"/>
      <c r="V2154" s="56"/>
      <c r="W2154" s="56"/>
      <c r="X2154" s="56"/>
      <c r="Y2154" s="56"/>
      <c r="Z2154" s="56"/>
      <c r="AA2154" s="56"/>
      <c r="AB2154" s="56"/>
    </row>
    <row r="2155" ht="15.75" customHeight="1">
      <c r="A2155" s="169"/>
      <c r="B2155" s="63"/>
      <c r="C2155" s="22" t="s">
        <v>66</v>
      </c>
      <c r="D2155" s="38"/>
      <c r="E2155" s="38"/>
      <c r="F2155" s="156"/>
      <c r="G2155" s="157"/>
      <c r="H2155" s="38"/>
      <c r="I2155" s="38"/>
      <c r="J2155" s="38"/>
      <c r="K2155" s="38"/>
      <c r="L2155" s="38"/>
      <c r="M2155" s="56"/>
      <c r="N2155" s="56" t="b">
        <v>0</v>
      </c>
      <c r="O2155" s="56" t="b">
        <v>0</v>
      </c>
      <c r="P2155" s="56"/>
      <c r="Q2155" s="56"/>
      <c r="R2155" s="56"/>
      <c r="S2155" s="56"/>
      <c r="T2155" s="56"/>
      <c r="U2155" s="56"/>
      <c r="V2155" s="56"/>
      <c r="W2155" s="56"/>
      <c r="X2155" s="56"/>
      <c r="Y2155" s="56"/>
      <c r="Z2155" s="56"/>
      <c r="AA2155" s="56"/>
      <c r="AB2155" s="56"/>
    </row>
    <row r="2156" ht="15.75" customHeight="1">
      <c r="A2156" s="169"/>
      <c r="B2156" s="63"/>
      <c r="C2156" s="22" t="s">
        <v>66</v>
      </c>
      <c r="D2156" s="38"/>
      <c r="E2156" s="38"/>
      <c r="F2156" s="158"/>
      <c r="G2156" s="159"/>
      <c r="H2156" s="38"/>
      <c r="I2156" s="38"/>
      <c r="J2156" s="38"/>
      <c r="K2156" s="38"/>
      <c r="L2156" s="38"/>
      <c r="M2156" s="56"/>
      <c r="N2156" s="56" t="b">
        <v>0</v>
      </c>
      <c r="O2156" s="56" t="b">
        <v>0</v>
      </c>
      <c r="P2156" s="56"/>
      <c r="Q2156" s="56"/>
      <c r="R2156" s="56"/>
      <c r="S2156" s="56"/>
      <c r="T2156" s="56"/>
      <c r="U2156" s="56"/>
      <c r="V2156" s="56"/>
      <c r="W2156" s="56"/>
      <c r="X2156" s="56"/>
      <c r="Y2156" s="56"/>
      <c r="Z2156" s="56"/>
      <c r="AA2156" s="56"/>
      <c r="AB2156" s="56"/>
    </row>
    <row r="2157" ht="15.75" customHeight="1">
      <c r="A2157" s="169"/>
      <c r="B2157" s="69"/>
      <c r="C2157" s="22" t="s">
        <v>4119</v>
      </c>
      <c r="D2157" s="38"/>
      <c r="E2157" s="38"/>
      <c r="F2157" s="65"/>
      <c r="G2157" s="66"/>
      <c r="H2157" s="38"/>
      <c r="I2157" s="38"/>
      <c r="J2157" s="38"/>
      <c r="K2157" s="38"/>
      <c r="L2157" s="38"/>
      <c r="M2157" s="56"/>
      <c r="N2157" s="56" t="b">
        <v>0</v>
      </c>
      <c r="O2157" s="56" t="b">
        <v>0</v>
      </c>
      <c r="P2157" s="56"/>
      <c r="Q2157" s="56"/>
      <c r="R2157" s="56"/>
      <c r="S2157" s="56"/>
      <c r="T2157" s="56"/>
      <c r="U2157" s="56"/>
      <c r="V2157" s="56"/>
      <c r="W2157" s="56"/>
      <c r="X2157" s="56"/>
      <c r="Y2157" s="56"/>
      <c r="Z2157" s="56"/>
      <c r="AA2157" s="56"/>
      <c r="AB2157" s="56"/>
    </row>
    <row r="2158" ht="15.75" customHeight="1">
      <c r="A2158" s="169"/>
      <c r="B2158" s="320" t="s">
        <v>6848</v>
      </c>
      <c r="C2158" s="22" t="s">
        <v>131</v>
      </c>
      <c r="D2158" s="227" t="s">
        <v>89</v>
      </c>
      <c r="E2158" s="60" t="s">
        <v>562</v>
      </c>
      <c r="F2158" s="60" t="s">
        <v>563</v>
      </c>
      <c r="G2158" s="73" t="s">
        <v>4851</v>
      </c>
      <c r="H2158" s="62" t="s">
        <v>4828</v>
      </c>
      <c r="I2158" s="62" t="s">
        <v>6890</v>
      </c>
      <c r="J2158" s="242" t="s">
        <v>567</v>
      </c>
      <c r="K2158" s="38"/>
      <c r="L2158" s="38"/>
      <c r="M2158" s="56"/>
      <c r="N2158" s="56" t="b">
        <v>0</v>
      </c>
      <c r="O2158" s="56" t="b">
        <v>0</v>
      </c>
      <c r="P2158" s="56"/>
      <c r="Q2158" s="56"/>
      <c r="R2158" s="56"/>
      <c r="S2158" s="56"/>
      <c r="T2158" s="56"/>
      <c r="U2158" s="56"/>
      <c r="V2158" s="56"/>
      <c r="W2158" s="56"/>
      <c r="X2158" s="56"/>
      <c r="Y2158" s="56"/>
      <c r="Z2158" s="56"/>
      <c r="AA2158" s="56"/>
      <c r="AB2158" s="56"/>
    </row>
    <row r="2159" ht="15.75" customHeight="1">
      <c r="A2159" s="169"/>
      <c r="B2159" s="63"/>
      <c r="C2159" s="22" t="s">
        <v>131</v>
      </c>
      <c r="D2159" s="227" t="s">
        <v>89</v>
      </c>
      <c r="E2159" s="242" t="s">
        <v>1971</v>
      </c>
      <c r="F2159" s="242" t="s">
        <v>1972</v>
      </c>
      <c r="G2159" s="332">
        <v>0.5416666666666666</v>
      </c>
      <c r="H2159" s="62" t="s">
        <v>6891</v>
      </c>
      <c r="I2159" s="62" t="s">
        <v>6892</v>
      </c>
      <c r="J2159" s="242" t="s">
        <v>1974</v>
      </c>
      <c r="K2159" s="38"/>
      <c r="L2159" s="38"/>
      <c r="M2159" s="56"/>
      <c r="N2159" s="56" t="b">
        <v>0</v>
      </c>
      <c r="O2159" s="56" t="b">
        <v>0</v>
      </c>
      <c r="P2159" s="56"/>
      <c r="Q2159" s="56"/>
      <c r="R2159" s="56"/>
      <c r="S2159" s="56"/>
      <c r="T2159" s="56"/>
      <c r="U2159" s="56"/>
      <c r="V2159" s="56"/>
      <c r="W2159" s="56"/>
      <c r="X2159" s="56"/>
      <c r="Y2159" s="56"/>
      <c r="Z2159" s="56"/>
      <c r="AA2159" s="56"/>
      <c r="AB2159" s="56"/>
    </row>
    <row r="2160" ht="15.75" customHeight="1">
      <c r="A2160" s="169"/>
      <c r="B2160" s="63"/>
      <c r="C2160" s="22" t="s">
        <v>131</v>
      </c>
      <c r="D2160" s="227" t="s">
        <v>89</v>
      </c>
      <c r="E2160" s="60" t="s">
        <v>864</v>
      </c>
      <c r="F2160" s="60" t="s">
        <v>865</v>
      </c>
      <c r="G2160" s="73" t="s">
        <v>5160</v>
      </c>
      <c r="H2160" s="62" t="s">
        <v>6755</v>
      </c>
      <c r="I2160" s="62" t="s">
        <v>6893</v>
      </c>
      <c r="J2160" s="242" t="s">
        <v>867</v>
      </c>
      <c r="K2160" s="38"/>
      <c r="L2160" s="38"/>
      <c r="M2160" s="56"/>
      <c r="N2160" s="56" t="b">
        <v>0</v>
      </c>
      <c r="O2160" s="56" t="b">
        <v>0</v>
      </c>
      <c r="P2160" s="56"/>
      <c r="Q2160" s="56"/>
      <c r="R2160" s="56"/>
      <c r="S2160" s="56"/>
      <c r="T2160" s="56"/>
      <c r="U2160" s="56"/>
      <c r="V2160" s="56"/>
      <c r="W2160" s="56"/>
      <c r="X2160" s="56"/>
      <c r="Y2160" s="56"/>
      <c r="Z2160" s="56"/>
      <c r="AA2160" s="56"/>
      <c r="AB2160" s="56"/>
    </row>
    <row r="2161" ht="15.75" customHeight="1">
      <c r="A2161" s="169"/>
      <c r="B2161" s="63"/>
      <c r="C2161" s="22" t="s">
        <v>131</v>
      </c>
      <c r="D2161" s="227" t="s">
        <v>89</v>
      </c>
      <c r="E2161" s="60" t="s">
        <v>2522</v>
      </c>
      <c r="F2161" s="60" t="s">
        <v>2523</v>
      </c>
      <c r="G2161" s="73" t="s">
        <v>4858</v>
      </c>
      <c r="H2161" s="62" t="s">
        <v>6894</v>
      </c>
      <c r="I2161" s="62" t="s">
        <v>6895</v>
      </c>
      <c r="J2161" s="242" t="s">
        <v>2525</v>
      </c>
      <c r="K2161" s="38"/>
      <c r="L2161" s="38"/>
      <c r="M2161" s="56"/>
      <c r="N2161" s="56" t="b">
        <v>0</v>
      </c>
      <c r="O2161" s="56" t="b">
        <v>0</v>
      </c>
      <c r="P2161" s="56"/>
      <c r="Q2161" s="56"/>
      <c r="R2161" s="56"/>
      <c r="S2161" s="56"/>
      <c r="T2161" s="56"/>
      <c r="U2161" s="56"/>
      <c r="V2161" s="56"/>
      <c r="W2161" s="56"/>
      <c r="X2161" s="56"/>
      <c r="Y2161" s="56"/>
      <c r="Z2161" s="56"/>
      <c r="AA2161" s="56"/>
      <c r="AB2161" s="56"/>
    </row>
    <row r="2162" ht="15.75" customHeight="1">
      <c r="A2162" s="169"/>
      <c r="B2162" s="63"/>
      <c r="C2162" s="22" t="s">
        <v>131</v>
      </c>
      <c r="D2162" s="23"/>
      <c r="E2162" s="67"/>
      <c r="F2162" s="67"/>
      <c r="G2162" s="66"/>
      <c r="H2162" s="38"/>
      <c r="I2162" s="38"/>
      <c r="J2162" s="67"/>
      <c r="K2162" s="38"/>
      <c r="L2162" s="38"/>
      <c r="M2162" s="56"/>
      <c r="N2162" s="56" t="b">
        <v>0</v>
      </c>
      <c r="O2162" s="56" t="b">
        <v>0</v>
      </c>
      <c r="P2162" s="56"/>
      <c r="Q2162" s="56"/>
      <c r="R2162" s="56"/>
      <c r="S2162" s="56"/>
      <c r="T2162" s="56"/>
      <c r="U2162" s="56"/>
      <c r="V2162" s="56"/>
      <c r="W2162" s="56"/>
      <c r="X2162" s="56"/>
      <c r="Y2162" s="56"/>
      <c r="Z2162" s="56"/>
      <c r="AA2162" s="56"/>
      <c r="AB2162" s="56"/>
    </row>
    <row r="2163" ht="15.75" customHeight="1">
      <c r="A2163" s="169"/>
      <c r="B2163" s="63"/>
      <c r="C2163" s="22" t="s">
        <v>131</v>
      </c>
      <c r="D2163" s="172" t="s">
        <v>89</v>
      </c>
      <c r="E2163" s="77" t="s">
        <v>4490</v>
      </c>
      <c r="F2163" s="77" t="s">
        <v>4491</v>
      </c>
      <c r="G2163" s="82" t="s">
        <v>5134</v>
      </c>
      <c r="H2163" s="76" t="s">
        <v>6896</v>
      </c>
      <c r="I2163" s="76" t="s">
        <v>6897</v>
      </c>
      <c r="J2163" s="77" t="s">
        <v>4493</v>
      </c>
      <c r="K2163" s="38" t="s">
        <v>6898</v>
      </c>
      <c r="L2163" s="38"/>
      <c r="M2163" s="56"/>
      <c r="N2163" s="56" t="b">
        <v>0</v>
      </c>
      <c r="O2163" s="56" t="b">
        <v>0</v>
      </c>
      <c r="P2163" s="56"/>
      <c r="Q2163" s="56"/>
      <c r="R2163" s="56"/>
      <c r="S2163" s="56"/>
      <c r="T2163" s="56"/>
      <c r="U2163" s="56"/>
      <c r="V2163" s="56"/>
      <c r="W2163" s="56"/>
      <c r="X2163" s="56"/>
      <c r="Y2163" s="56"/>
      <c r="Z2163" s="56"/>
      <c r="AA2163" s="56"/>
      <c r="AB2163" s="56"/>
    </row>
    <row r="2164" ht="15.75" customHeight="1">
      <c r="A2164" s="169"/>
      <c r="B2164" s="69"/>
      <c r="C2164" s="22" t="s">
        <v>131</v>
      </c>
      <c r="D2164" s="76" t="s">
        <v>367</v>
      </c>
      <c r="E2164" s="77" t="s">
        <v>2144</v>
      </c>
      <c r="F2164" s="77" t="s">
        <v>2145</v>
      </c>
      <c r="G2164" s="82" t="s">
        <v>5602</v>
      </c>
      <c r="H2164" s="76" t="s">
        <v>6899</v>
      </c>
      <c r="I2164" s="76" t="s">
        <v>6900</v>
      </c>
      <c r="J2164" s="76" t="s">
        <v>2147</v>
      </c>
      <c r="K2164" s="38" t="s">
        <v>6898</v>
      </c>
      <c r="L2164" s="38"/>
      <c r="M2164" s="56"/>
      <c r="N2164" s="56" t="b">
        <v>0</v>
      </c>
      <c r="O2164" s="56" t="b">
        <v>0</v>
      </c>
      <c r="P2164" s="56"/>
      <c r="Q2164" s="56"/>
      <c r="R2164" s="56"/>
      <c r="S2164" s="56"/>
      <c r="T2164" s="56"/>
      <c r="U2164" s="56"/>
      <c r="V2164" s="56"/>
      <c r="W2164" s="56"/>
      <c r="X2164" s="56"/>
      <c r="Y2164" s="56"/>
      <c r="Z2164" s="56"/>
      <c r="AA2164" s="56"/>
      <c r="AB2164" s="56"/>
    </row>
    <row r="2165" ht="15.75" customHeight="1">
      <c r="A2165" s="169"/>
      <c r="B2165" s="299"/>
      <c r="C2165" s="220">
        <v>44637.0</v>
      </c>
      <c r="D2165" s="172" t="s">
        <v>89</v>
      </c>
      <c r="E2165" s="77" t="s">
        <v>2925</v>
      </c>
      <c r="F2165" s="77" t="s">
        <v>2926</v>
      </c>
      <c r="G2165" s="82" t="s">
        <v>4896</v>
      </c>
      <c r="H2165" s="76" t="s">
        <v>6901</v>
      </c>
      <c r="I2165" s="76" t="s">
        <v>6902</v>
      </c>
      <c r="J2165" s="77" t="s">
        <v>2928</v>
      </c>
      <c r="K2165" s="38" t="s">
        <v>6898</v>
      </c>
      <c r="L2165" s="38"/>
      <c r="M2165" s="56"/>
      <c r="N2165" s="56" t="b">
        <v>0</v>
      </c>
      <c r="O2165" s="56" t="b">
        <v>0</v>
      </c>
      <c r="P2165" s="56"/>
      <c r="Q2165" s="56"/>
      <c r="R2165" s="56"/>
      <c r="S2165" s="56"/>
      <c r="T2165" s="56"/>
      <c r="U2165" s="56"/>
      <c r="V2165" s="56"/>
      <c r="W2165" s="56"/>
      <c r="X2165" s="56"/>
      <c r="Y2165" s="56"/>
      <c r="Z2165" s="56"/>
      <c r="AA2165" s="56"/>
      <c r="AB2165" s="56"/>
    </row>
    <row r="2166" ht="15.75" customHeight="1">
      <c r="A2166" s="169"/>
      <c r="B2166" s="320" t="s">
        <v>6168</v>
      </c>
      <c r="C2166" s="22" t="s">
        <v>66</v>
      </c>
      <c r="D2166" s="38"/>
      <c r="E2166" s="38"/>
      <c r="F2166" s="65"/>
      <c r="G2166" s="66"/>
      <c r="H2166" s="38"/>
      <c r="I2166" s="38"/>
      <c r="J2166" s="38"/>
      <c r="K2166" s="38"/>
      <c r="L2166" s="38"/>
      <c r="M2166" s="56"/>
      <c r="N2166" s="56" t="b">
        <v>0</v>
      </c>
      <c r="O2166" s="56" t="b">
        <v>0</v>
      </c>
      <c r="P2166" s="56"/>
      <c r="Q2166" s="56"/>
      <c r="R2166" s="56"/>
      <c r="S2166" s="56"/>
      <c r="T2166" s="56"/>
      <c r="U2166" s="56"/>
      <c r="V2166" s="56"/>
      <c r="W2166" s="56"/>
      <c r="X2166" s="56"/>
      <c r="Y2166" s="56"/>
      <c r="Z2166" s="56"/>
      <c r="AA2166" s="56"/>
      <c r="AB2166" s="56"/>
    </row>
    <row r="2167" ht="15.75" customHeight="1">
      <c r="A2167" s="169"/>
      <c r="B2167" s="63"/>
      <c r="C2167" s="22" t="s">
        <v>66</v>
      </c>
      <c r="D2167" s="71" t="s">
        <v>329</v>
      </c>
      <c r="E2167" s="242" t="s">
        <v>641</v>
      </c>
      <c r="F2167" s="242" t="s">
        <v>642</v>
      </c>
      <c r="G2167" s="73" t="s">
        <v>4851</v>
      </c>
      <c r="H2167" s="62" t="s">
        <v>5228</v>
      </c>
      <c r="I2167" s="62" t="s">
        <v>6903</v>
      </c>
      <c r="J2167" s="242" t="s">
        <v>644</v>
      </c>
      <c r="K2167" s="38"/>
      <c r="L2167" s="38"/>
      <c r="M2167" s="56"/>
      <c r="N2167" s="56" t="b">
        <v>0</v>
      </c>
      <c r="O2167" s="56" t="b">
        <v>0</v>
      </c>
      <c r="P2167" s="56"/>
      <c r="Q2167" s="56"/>
      <c r="R2167" s="56"/>
      <c r="S2167" s="56"/>
      <c r="T2167" s="56"/>
      <c r="U2167" s="56"/>
      <c r="V2167" s="56"/>
      <c r="W2167" s="56"/>
      <c r="X2167" s="56"/>
      <c r="Y2167" s="56"/>
      <c r="Z2167" s="56"/>
      <c r="AA2167" s="56"/>
      <c r="AB2167" s="56"/>
    </row>
    <row r="2168" ht="15.75" customHeight="1">
      <c r="A2168" s="169"/>
      <c r="B2168" s="63"/>
      <c r="C2168" s="22" t="s">
        <v>66</v>
      </c>
      <c r="D2168" s="71" t="s">
        <v>329</v>
      </c>
      <c r="E2168" s="242" t="s">
        <v>2693</v>
      </c>
      <c r="F2168" s="242" t="s">
        <v>2694</v>
      </c>
      <c r="G2168" s="73" t="s">
        <v>5134</v>
      </c>
      <c r="H2168" s="62" t="s">
        <v>5342</v>
      </c>
      <c r="I2168" s="62" t="s">
        <v>6904</v>
      </c>
      <c r="J2168" s="62" t="s">
        <v>2696</v>
      </c>
      <c r="K2168" s="38"/>
      <c r="L2168" s="38"/>
      <c r="M2168" s="56"/>
      <c r="N2168" s="56" t="b">
        <v>0</v>
      </c>
      <c r="O2168" s="56" t="b">
        <v>0</v>
      </c>
      <c r="P2168" s="56"/>
      <c r="Q2168" s="56"/>
      <c r="R2168" s="56"/>
      <c r="S2168" s="56"/>
      <c r="T2168" s="56"/>
      <c r="U2168" s="56"/>
      <c r="V2168" s="56"/>
      <c r="W2168" s="56"/>
      <c r="X2168" s="56"/>
      <c r="Y2168" s="56"/>
      <c r="Z2168" s="56"/>
      <c r="AA2168" s="56"/>
      <c r="AB2168" s="56"/>
    </row>
    <row r="2169" ht="15.75" customHeight="1">
      <c r="A2169" s="169"/>
      <c r="B2169" s="63"/>
      <c r="C2169" s="22" t="s">
        <v>66</v>
      </c>
      <c r="D2169" s="71" t="s">
        <v>329</v>
      </c>
      <c r="E2169" s="242" t="s">
        <v>3334</v>
      </c>
      <c r="F2169" s="242" t="s">
        <v>3335</v>
      </c>
      <c r="G2169" s="73" t="s">
        <v>4856</v>
      </c>
      <c r="H2169" s="62" t="s">
        <v>6905</v>
      </c>
      <c r="I2169" s="62" t="s">
        <v>6906</v>
      </c>
      <c r="J2169" s="242" t="s">
        <v>3337</v>
      </c>
      <c r="K2169" s="38" t="s">
        <v>6907</v>
      </c>
      <c r="L2169" s="38"/>
      <c r="M2169" s="56"/>
      <c r="N2169" s="56" t="b">
        <v>0</v>
      </c>
      <c r="O2169" s="56" t="b">
        <v>0</v>
      </c>
      <c r="P2169" s="56"/>
      <c r="Q2169" s="56"/>
      <c r="R2169" s="56"/>
      <c r="S2169" s="56"/>
      <c r="T2169" s="56"/>
      <c r="U2169" s="56"/>
      <c r="V2169" s="56"/>
      <c r="W2169" s="56"/>
      <c r="X2169" s="56"/>
      <c r="Y2169" s="56"/>
      <c r="Z2169" s="56"/>
      <c r="AA2169" s="56"/>
      <c r="AB2169" s="56"/>
    </row>
    <row r="2170" ht="15.75" customHeight="1">
      <c r="A2170" s="169"/>
      <c r="B2170" s="63"/>
      <c r="C2170" s="22" t="s">
        <v>66</v>
      </c>
      <c r="D2170" s="71" t="s">
        <v>329</v>
      </c>
      <c r="E2170" s="242" t="s">
        <v>3872</v>
      </c>
      <c r="F2170" s="242" t="s">
        <v>3873</v>
      </c>
      <c r="G2170" s="73" t="s">
        <v>4858</v>
      </c>
      <c r="H2170" s="62" t="s">
        <v>5807</v>
      </c>
      <c r="I2170" s="62" t="s">
        <v>5808</v>
      </c>
      <c r="J2170" s="242" t="s">
        <v>3875</v>
      </c>
      <c r="K2170" s="38" t="s">
        <v>6907</v>
      </c>
      <c r="L2170" s="38"/>
      <c r="M2170" s="56"/>
      <c r="N2170" s="56" t="b">
        <v>0</v>
      </c>
      <c r="O2170" s="56" t="b">
        <v>0</v>
      </c>
      <c r="P2170" s="56"/>
      <c r="Q2170" s="56"/>
      <c r="R2170" s="56"/>
      <c r="S2170" s="56"/>
      <c r="T2170" s="56"/>
      <c r="U2170" s="56"/>
      <c r="V2170" s="56"/>
      <c r="W2170" s="56"/>
      <c r="X2170" s="56"/>
      <c r="Y2170" s="56"/>
      <c r="Z2170" s="56"/>
      <c r="AA2170" s="56"/>
      <c r="AB2170" s="56"/>
    </row>
    <row r="2171" ht="15.75" customHeight="1">
      <c r="A2171" s="169"/>
      <c r="B2171" s="69"/>
      <c r="C2171" s="22" t="s">
        <v>66</v>
      </c>
      <c r="D2171" s="38"/>
      <c r="E2171" s="38"/>
      <c r="F2171" s="65"/>
      <c r="G2171" s="66"/>
      <c r="H2171" s="38"/>
      <c r="I2171" s="38"/>
      <c r="J2171" s="38"/>
      <c r="K2171" s="38"/>
      <c r="L2171" s="38"/>
      <c r="M2171" s="56"/>
      <c r="N2171" s="56" t="b">
        <v>0</v>
      </c>
      <c r="O2171" s="56" t="b">
        <v>0</v>
      </c>
      <c r="P2171" s="56"/>
      <c r="Q2171" s="56"/>
      <c r="R2171" s="56"/>
      <c r="S2171" s="56"/>
      <c r="T2171" s="56"/>
      <c r="U2171" s="56"/>
      <c r="V2171" s="56"/>
      <c r="W2171" s="56"/>
      <c r="X2171" s="56"/>
      <c r="Y2171" s="56"/>
      <c r="Z2171" s="56"/>
      <c r="AA2171" s="56"/>
      <c r="AB2171" s="56"/>
    </row>
    <row r="2172" ht="15.75" customHeight="1">
      <c r="A2172" s="169"/>
      <c r="B2172" s="320" t="s">
        <v>6848</v>
      </c>
      <c r="C2172" s="22"/>
      <c r="D2172" s="38"/>
      <c r="E2172" s="38"/>
      <c r="F2172" s="65"/>
      <c r="G2172" s="66"/>
      <c r="H2172" s="38"/>
      <c r="I2172" s="38"/>
      <c r="J2172" s="38"/>
      <c r="K2172" s="38"/>
      <c r="L2172" s="38"/>
      <c r="M2172" s="56"/>
      <c r="N2172" s="56" t="b">
        <v>0</v>
      </c>
      <c r="O2172" s="56" t="b">
        <v>0</v>
      </c>
      <c r="P2172" s="56"/>
      <c r="Q2172" s="56"/>
      <c r="R2172" s="56"/>
      <c r="S2172" s="56"/>
      <c r="T2172" s="56"/>
      <c r="U2172" s="56"/>
      <c r="V2172" s="56"/>
      <c r="W2172" s="56"/>
      <c r="X2172" s="56"/>
      <c r="Y2172" s="56"/>
      <c r="Z2172" s="56"/>
      <c r="AA2172" s="56"/>
      <c r="AB2172" s="56"/>
    </row>
    <row r="2173" ht="15.75" customHeight="1">
      <c r="A2173" s="169"/>
      <c r="B2173" s="63"/>
      <c r="C2173" s="22" t="s">
        <v>131</v>
      </c>
      <c r="D2173" s="38"/>
      <c r="E2173" s="162" t="s">
        <v>5784</v>
      </c>
      <c r="F2173" s="155"/>
      <c r="G2173" s="66"/>
      <c r="H2173" s="38"/>
      <c r="I2173" s="38"/>
      <c r="J2173" s="38"/>
      <c r="K2173" s="38"/>
      <c r="L2173" s="38"/>
      <c r="M2173" s="56"/>
      <c r="N2173" s="56" t="b">
        <v>0</v>
      </c>
      <c r="O2173" s="56" t="b">
        <v>0</v>
      </c>
      <c r="P2173" s="56"/>
      <c r="Q2173" s="56"/>
      <c r="R2173" s="56"/>
      <c r="S2173" s="56"/>
      <c r="T2173" s="56"/>
      <c r="U2173" s="56"/>
      <c r="V2173" s="56"/>
      <c r="W2173" s="56"/>
      <c r="X2173" s="56"/>
      <c r="Y2173" s="56"/>
      <c r="Z2173" s="56"/>
      <c r="AA2173" s="56"/>
      <c r="AB2173" s="56"/>
    </row>
    <row r="2174" ht="15.75" customHeight="1">
      <c r="A2174" s="169"/>
      <c r="B2174" s="63"/>
      <c r="C2174" s="22" t="s">
        <v>131</v>
      </c>
      <c r="D2174" s="38"/>
      <c r="E2174" s="156"/>
      <c r="F2174" s="157"/>
      <c r="G2174" s="66"/>
      <c r="H2174" s="38"/>
      <c r="I2174" s="38"/>
      <c r="J2174" s="38"/>
      <c r="K2174" s="38"/>
      <c r="L2174" s="38"/>
      <c r="M2174" s="56"/>
      <c r="N2174" s="56" t="b">
        <v>0</v>
      </c>
      <c r="O2174" s="56" t="b">
        <v>0</v>
      </c>
      <c r="P2174" s="56"/>
      <c r="Q2174" s="56"/>
      <c r="R2174" s="56"/>
      <c r="S2174" s="56"/>
      <c r="T2174" s="56"/>
      <c r="U2174" s="56"/>
      <c r="V2174" s="56"/>
      <c r="W2174" s="56"/>
      <c r="X2174" s="56"/>
      <c r="Y2174" s="56"/>
      <c r="Z2174" s="56"/>
      <c r="AA2174" s="56"/>
      <c r="AB2174" s="56"/>
    </row>
    <row r="2175" ht="15.75" customHeight="1">
      <c r="A2175" s="169"/>
      <c r="B2175" s="63"/>
      <c r="C2175" s="22" t="s">
        <v>131</v>
      </c>
      <c r="D2175" s="38"/>
      <c r="E2175" s="158"/>
      <c r="F2175" s="159"/>
      <c r="G2175" s="66"/>
      <c r="H2175" s="38"/>
      <c r="I2175" s="38"/>
      <c r="J2175" s="38"/>
      <c r="K2175" s="38"/>
      <c r="L2175" s="38"/>
      <c r="M2175" s="56"/>
      <c r="N2175" s="56" t="b">
        <v>0</v>
      </c>
      <c r="O2175" s="56" t="b">
        <v>0</v>
      </c>
      <c r="P2175" s="56"/>
      <c r="Q2175" s="56"/>
      <c r="R2175" s="56"/>
      <c r="S2175" s="56"/>
      <c r="T2175" s="56"/>
      <c r="U2175" s="56"/>
      <c r="V2175" s="56"/>
      <c r="W2175" s="56"/>
      <c r="X2175" s="56"/>
      <c r="Y2175" s="56"/>
      <c r="Z2175" s="56"/>
      <c r="AA2175" s="56"/>
      <c r="AB2175" s="56"/>
    </row>
    <row r="2176" ht="15.75" customHeight="1">
      <c r="A2176" s="169"/>
      <c r="B2176" s="63"/>
      <c r="C2176" s="22" t="s">
        <v>131</v>
      </c>
      <c r="D2176" s="38"/>
      <c r="E2176" s="38"/>
      <c r="F2176" s="65"/>
      <c r="G2176" s="66"/>
      <c r="H2176" s="38"/>
      <c r="I2176" s="38"/>
      <c r="J2176" s="38"/>
      <c r="K2176" s="38"/>
      <c r="L2176" s="38"/>
      <c r="M2176" s="56"/>
      <c r="N2176" s="56" t="b">
        <v>0</v>
      </c>
      <c r="O2176" s="56" t="b">
        <v>0</v>
      </c>
      <c r="P2176" s="56"/>
      <c r="Q2176" s="56"/>
      <c r="R2176" s="56"/>
      <c r="S2176" s="56"/>
      <c r="T2176" s="56"/>
      <c r="U2176" s="56"/>
      <c r="V2176" s="56"/>
      <c r="W2176" s="56"/>
      <c r="X2176" s="56"/>
      <c r="Y2176" s="56"/>
      <c r="Z2176" s="56"/>
      <c r="AA2176" s="56"/>
      <c r="AB2176" s="56"/>
    </row>
    <row r="2177" ht="15.75" customHeight="1">
      <c r="A2177" s="169"/>
      <c r="B2177" s="63"/>
      <c r="C2177" s="22" t="s">
        <v>131</v>
      </c>
      <c r="D2177" s="38"/>
      <c r="E2177" s="38"/>
      <c r="F2177" s="65"/>
      <c r="G2177" s="66"/>
      <c r="H2177" s="38"/>
      <c r="I2177" s="38"/>
      <c r="J2177" s="38"/>
      <c r="K2177" s="38"/>
      <c r="L2177" s="38"/>
      <c r="M2177" s="56"/>
      <c r="N2177" s="56" t="b">
        <v>0</v>
      </c>
      <c r="O2177" s="56" t="b">
        <v>0</v>
      </c>
      <c r="P2177" s="56"/>
      <c r="Q2177" s="56"/>
      <c r="R2177" s="56"/>
      <c r="S2177" s="56"/>
      <c r="T2177" s="56"/>
      <c r="U2177" s="56"/>
      <c r="V2177" s="56"/>
      <c r="W2177" s="56"/>
      <c r="X2177" s="56"/>
      <c r="Y2177" s="56"/>
      <c r="Z2177" s="56"/>
      <c r="AA2177" s="56"/>
      <c r="AB2177" s="56"/>
    </row>
    <row r="2178" ht="15.75" customHeight="1">
      <c r="A2178" s="169"/>
      <c r="B2178" s="69"/>
      <c r="C2178" s="22" t="s">
        <v>131</v>
      </c>
      <c r="D2178" s="38"/>
      <c r="E2178" s="38"/>
      <c r="F2178" s="65"/>
      <c r="G2178" s="66"/>
      <c r="H2178" s="38"/>
      <c r="I2178" s="38"/>
      <c r="J2178" s="38"/>
      <c r="K2178" s="38"/>
      <c r="L2178" s="38"/>
      <c r="M2178" s="56"/>
      <c r="N2178" s="56" t="b">
        <v>0</v>
      </c>
      <c r="O2178" s="56" t="b">
        <v>0</v>
      </c>
      <c r="P2178" s="56"/>
      <c r="Q2178" s="56"/>
      <c r="R2178" s="56"/>
      <c r="S2178" s="56"/>
      <c r="T2178" s="56"/>
      <c r="U2178" s="56"/>
      <c r="V2178" s="56"/>
      <c r="W2178" s="56"/>
      <c r="X2178" s="56"/>
      <c r="Y2178" s="56"/>
      <c r="Z2178" s="56"/>
      <c r="AA2178" s="56"/>
      <c r="AB2178" s="56"/>
    </row>
    <row r="2179" ht="15.75" customHeight="1">
      <c r="A2179" s="169"/>
      <c r="B2179" s="299"/>
      <c r="C2179" s="220">
        <v>44638.0</v>
      </c>
      <c r="D2179" s="38"/>
      <c r="E2179" s="38"/>
      <c r="F2179" s="65"/>
      <c r="G2179" s="66"/>
      <c r="H2179" s="38"/>
      <c r="I2179" s="38"/>
      <c r="J2179" s="38"/>
      <c r="K2179" s="38"/>
      <c r="L2179" s="38"/>
      <c r="M2179" s="56"/>
      <c r="N2179" s="56" t="b">
        <v>0</v>
      </c>
      <c r="O2179" s="56" t="b">
        <v>0</v>
      </c>
      <c r="P2179" s="56"/>
      <c r="Q2179" s="56"/>
      <c r="R2179" s="56"/>
      <c r="S2179" s="56"/>
      <c r="T2179" s="56"/>
      <c r="U2179" s="56"/>
      <c r="V2179" s="56"/>
      <c r="W2179" s="56"/>
      <c r="X2179" s="56"/>
      <c r="Y2179" s="56"/>
      <c r="Z2179" s="56"/>
      <c r="AA2179" s="56"/>
      <c r="AB2179" s="56"/>
    </row>
    <row r="2180" ht="15.75" customHeight="1">
      <c r="A2180" s="169"/>
      <c r="B2180" s="320" t="s">
        <v>6168</v>
      </c>
      <c r="C2180" s="22" t="s">
        <v>66</v>
      </c>
      <c r="D2180" s="71" t="s">
        <v>329</v>
      </c>
      <c r="E2180" s="242" t="s">
        <v>2474</v>
      </c>
      <c r="F2180" s="242" t="s">
        <v>2475</v>
      </c>
      <c r="G2180" s="73" t="s">
        <v>5827</v>
      </c>
      <c r="H2180" s="62" t="s">
        <v>4876</v>
      </c>
      <c r="I2180" s="62" t="s">
        <v>6908</v>
      </c>
      <c r="J2180" s="242" t="s">
        <v>2477</v>
      </c>
      <c r="K2180" s="38"/>
      <c r="L2180" s="38"/>
      <c r="M2180" s="56"/>
      <c r="N2180" s="56" t="b">
        <v>0</v>
      </c>
      <c r="O2180" s="56" t="b">
        <v>0</v>
      </c>
      <c r="P2180" s="56"/>
      <c r="Q2180" s="56"/>
      <c r="R2180" s="56"/>
      <c r="S2180" s="56"/>
      <c r="T2180" s="56"/>
      <c r="U2180" s="56"/>
      <c r="V2180" s="56"/>
      <c r="W2180" s="56"/>
      <c r="X2180" s="56"/>
      <c r="Y2180" s="56"/>
      <c r="Z2180" s="56"/>
      <c r="AA2180" s="56"/>
      <c r="AB2180" s="56"/>
    </row>
    <row r="2181" ht="15.75" customHeight="1">
      <c r="A2181" s="169"/>
      <c r="B2181" s="63"/>
      <c r="C2181" s="22" t="s">
        <v>66</v>
      </c>
      <c r="D2181" s="71" t="s">
        <v>329</v>
      </c>
      <c r="E2181" s="242" t="s">
        <v>1014</v>
      </c>
      <c r="F2181" s="242" t="s">
        <v>1015</v>
      </c>
      <c r="G2181" s="73" t="s">
        <v>4887</v>
      </c>
      <c r="H2181" s="62" t="s">
        <v>4876</v>
      </c>
      <c r="I2181" s="62" t="s">
        <v>6909</v>
      </c>
      <c r="J2181" s="242" t="s">
        <v>1017</v>
      </c>
      <c r="K2181" s="38"/>
      <c r="L2181" s="38"/>
      <c r="M2181" s="56"/>
      <c r="N2181" s="56" t="b">
        <v>0</v>
      </c>
      <c r="O2181" s="56" t="b">
        <v>0</v>
      </c>
      <c r="P2181" s="56"/>
      <c r="Q2181" s="56"/>
      <c r="R2181" s="56"/>
      <c r="S2181" s="56"/>
      <c r="T2181" s="56"/>
      <c r="U2181" s="56"/>
      <c r="V2181" s="56"/>
      <c r="W2181" s="56"/>
      <c r="X2181" s="56"/>
      <c r="Y2181" s="56"/>
      <c r="Z2181" s="56"/>
      <c r="AA2181" s="56"/>
      <c r="AB2181" s="56"/>
    </row>
    <row r="2182" ht="15.75" customHeight="1">
      <c r="A2182" s="169"/>
      <c r="B2182" s="63"/>
      <c r="C2182" s="22" t="s">
        <v>66</v>
      </c>
      <c r="D2182" s="160" t="s">
        <v>329</v>
      </c>
      <c r="E2182" s="203" t="s">
        <v>4096</v>
      </c>
      <c r="F2182" s="203" t="s">
        <v>4097</v>
      </c>
      <c r="G2182" s="82" t="s">
        <v>4892</v>
      </c>
      <c r="H2182" s="76" t="s">
        <v>4880</v>
      </c>
      <c r="I2182" s="76" t="s">
        <v>6910</v>
      </c>
      <c r="J2182" s="203" t="s">
        <v>4099</v>
      </c>
      <c r="K2182" s="38" t="s">
        <v>6911</v>
      </c>
      <c r="L2182" s="38"/>
      <c r="M2182" s="56"/>
      <c r="N2182" s="56" t="b">
        <v>0</v>
      </c>
      <c r="O2182" s="56" t="b">
        <v>0</v>
      </c>
      <c r="P2182" s="56"/>
      <c r="Q2182" s="56"/>
      <c r="R2182" s="56"/>
      <c r="S2182" s="56"/>
      <c r="T2182" s="56"/>
      <c r="U2182" s="56"/>
      <c r="V2182" s="56"/>
      <c r="W2182" s="56"/>
      <c r="X2182" s="56"/>
      <c r="Y2182" s="56"/>
      <c r="Z2182" s="56"/>
      <c r="AA2182" s="56"/>
      <c r="AB2182" s="56"/>
    </row>
    <row r="2183" ht="15.75" customHeight="1">
      <c r="A2183" s="169"/>
      <c r="B2183" s="63"/>
      <c r="C2183" s="22" t="s">
        <v>66</v>
      </c>
      <c r="D2183" s="296" t="s">
        <v>87</v>
      </c>
      <c r="E2183" s="203" t="s">
        <v>2267</v>
      </c>
      <c r="F2183" s="203" t="s">
        <v>2268</v>
      </c>
      <c r="G2183" s="82" t="s">
        <v>4967</v>
      </c>
      <c r="H2183" s="224" t="s">
        <v>4884</v>
      </c>
      <c r="I2183" s="76" t="s">
        <v>6912</v>
      </c>
      <c r="J2183" s="263" t="s">
        <v>2270</v>
      </c>
      <c r="K2183" s="38" t="s">
        <v>6913</v>
      </c>
      <c r="L2183" s="38"/>
      <c r="M2183" s="56"/>
      <c r="N2183" s="56" t="b">
        <v>0</v>
      </c>
      <c r="O2183" s="56" t="b">
        <v>0</v>
      </c>
      <c r="P2183" s="56"/>
      <c r="Q2183" s="56"/>
      <c r="R2183" s="56"/>
      <c r="S2183" s="56"/>
      <c r="T2183" s="56"/>
      <c r="U2183" s="56"/>
      <c r="V2183" s="56"/>
      <c r="W2183" s="56"/>
      <c r="X2183" s="56"/>
      <c r="Y2183" s="56"/>
      <c r="Z2183" s="56"/>
      <c r="AA2183" s="56"/>
      <c r="AB2183" s="56"/>
    </row>
    <row r="2184" ht="15.75" customHeight="1">
      <c r="A2184" s="169"/>
      <c r="B2184" s="63"/>
      <c r="C2184" s="22" t="s">
        <v>66</v>
      </c>
      <c r="D2184" s="38"/>
      <c r="E2184" s="38"/>
      <c r="F2184" s="65"/>
      <c r="G2184" s="66"/>
      <c r="H2184" s="38"/>
      <c r="I2184" s="38"/>
      <c r="J2184" s="38"/>
      <c r="K2184" s="38"/>
      <c r="L2184" s="38"/>
      <c r="M2184" s="56"/>
      <c r="N2184" s="56" t="b">
        <v>0</v>
      </c>
      <c r="O2184" s="56" t="b">
        <v>0</v>
      </c>
      <c r="P2184" s="56"/>
      <c r="Q2184" s="56"/>
      <c r="R2184" s="56"/>
      <c r="S2184" s="56"/>
      <c r="T2184" s="56"/>
      <c r="U2184" s="56"/>
      <c r="V2184" s="56"/>
      <c r="W2184" s="56"/>
      <c r="X2184" s="56"/>
      <c r="Y2184" s="56"/>
      <c r="Z2184" s="56"/>
      <c r="AA2184" s="56"/>
      <c r="AB2184" s="56"/>
    </row>
    <row r="2185" ht="15.75" customHeight="1">
      <c r="A2185" s="169"/>
      <c r="B2185" s="69"/>
      <c r="C2185" s="22" t="s">
        <v>66</v>
      </c>
      <c r="D2185" s="38"/>
      <c r="E2185" s="38"/>
      <c r="F2185" s="65"/>
      <c r="G2185" s="66"/>
      <c r="H2185" s="38"/>
      <c r="I2185" s="38"/>
      <c r="J2185" s="38"/>
      <c r="K2185" s="38"/>
      <c r="L2185" s="38"/>
      <c r="M2185" s="56"/>
      <c r="N2185" s="56" t="b">
        <v>0</v>
      </c>
      <c r="O2185" s="56" t="b">
        <v>0</v>
      </c>
      <c r="P2185" s="56"/>
      <c r="Q2185" s="56"/>
      <c r="R2185" s="56"/>
      <c r="S2185" s="56"/>
      <c r="T2185" s="56"/>
      <c r="U2185" s="56"/>
      <c r="V2185" s="56"/>
      <c r="W2185" s="56"/>
      <c r="X2185" s="56"/>
      <c r="Y2185" s="56"/>
      <c r="Z2185" s="56"/>
      <c r="AA2185" s="56"/>
      <c r="AB2185" s="56"/>
    </row>
    <row r="2186" ht="15.75" customHeight="1">
      <c r="A2186" s="169"/>
      <c r="B2186" s="320" t="s">
        <v>6848</v>
      </c>
      <c r="C2186" s="22"/>
      <c r="D2186" s="38"/>
      <c r="E2186" s="38"/>
      <c r="F2186" s="65"/>
      <c r="G2186" s="66"/>
      <c r="H2186" s="38"/>
      <c r="I2186" s="38"/>
      <c r="J2186" s="38"/>
      <c r="K2186" s="38"/>
      <c r="L2186" s="38"/>
      <c r="M2186" s="56"/>
      <c r="N2186" s="56" t="b">
        <v>0</v>
      </c>
      <c r="O2186" s="56" t="b">
        <v>0</v>
      </c>
      <c r="P2186" s="56"/>
      <c r="Q2186" s="56"/>
      <c r="R2186" s="56"/>
      <c r="S2186" s="56"/>
      <c r="T2186" s="56"/>
      <c r="U2186" s="56"/>
      <c r="V2186" s="56"/>
      <c r="W2186" s="56"/>
      <c r="X2186" s="56"/>
      <c r="Y2186" s="56"/>
      <c r="Z2186" s="56"/>
      <c r="AA2186" s="56"/>
      <c r="AB2186" s="56"/>
    </row>
    <row r="2187" ht="15.75" customHeight="1">
      <c r="A2187" s="169"/>
      <c r="B2187" s="63"/>
      <c r="C2187" s="22" t="s">
        <v>131</v>
      </c>
      <c r="D2187" s="38"/>
      <c r="E2187" s="38"/>
      <c r="F2187" s="65"/>
      <c r="G2187" s="66"/>
      <c r="H2187" s="38"/>
      <c r="I2187" s="38"/>
      <c r="J2187" s="38"/>
      <c r="K2187" s="38"/>
      <c r="L2187" s="38"/>
      <c r="M2187" s="56"/>
      <c r="N2187" s="56" t="b">
        <v>0</v>
      </c>
      <c r="O2187" s="56" t="b">
        <v>0</v>
      </c>
      <c r="P2187" s="56"/>
      <c r="Q2187" s="56"/>
      <c r="R2187" s="56"/>
      <c r="S2187" s="56"/>
      <c r="T2187" s="56"/>
      <c r="U2187" s="56"/>
      <c r="V2187" s="56"/>
      <c r="W2187" s="56"/>
      <c r="X2187" s="56"/>
      <c r="Y2187" s="56"/>
      <c r="Z2187" s="56"/>
      <c r="AA2187" s="56"/>
      <c r="AB2187" s="56"/>
    </row>
    <row r="2188" ht="15.75" customHeight="1">
      <c r="A2188" s="169"/>
      <c r="B2188" s="63"/>
      <c r="C2188" s="22" t="s">
        <v>131</v>
      </c>
      <c r="D2188" s="38"/>
      <c r="E2188" s="162" t="s">
        <v>5784</v>
      </c>
      <c r="F2188" s="155"/>
      <c r="G2188" s="66"/>
      <c r="H2188" s="38"/>
      <c r="I2188" s="38"/>
      <c r="J2188" s="38"/>
      <c r="K2188" s="38"/>
      <c r="L2188" s="38"/>
      <c r="M2188" s="56"/>
      <c r="N2188" s="56" t="b">
        <v>0</v>
      </c>
      <c r="O2188" s="56" t="b">
        <v>0</v>
      </c>
      <c r="P2188" s="56"/>
      <c r="Q2188" s="56"/>
      <c r="R2188" s="56"/>
      <c r="S2188" s="56"/>
      <c r="T2188" s="56"/>
      <c r="U2188" s="56"/>
      <c r="V2188" s="56"/>
      <c r="W2188" s="56"/>
      <c r="X2188" s="56"/>
      <c r="Y2188" s="56"/>
      <c r="Z2188" s="56"/>
      <c r="AA2188" s="56"/>
      <c r="AB2188" s="56"/>
    </row>
    <row r="2189" ht="15.75" customHeight="1">
      <c r="A2189" s="169"/>
      <c r="B2189" s="63"/>
      <c r="C2189" s="22" t="s">
        <v>131</v>
      </c>
      <c r="D2189" s="38"/>
      <c r="E2189" s="156"/>
      <c r="F2189" s="157"/>
      <c r="G2189" s="66"/>
      <c r="H2189" s="38"/>
      <c r="I2189" s="38"/>
      <c r="J2189" s="38"/>
      <c r="K2189" s="38"/>
      <c r="L2189" s="38"/>
      <c r="M2189" s="56"/>
      <c r="N2189" s="56" t="b">
        <v>0</v>
      </c>
      <c r="O2189" s="56" t="b">
        <v>0</v>
      </c>
      <c r="P2189" s="56"/>
      <c r="Q2189" s="56"/>
      <c r="R2189" s="56"/>
      <c r="S2189" s="56"/>
      <c r="T2189" s="56"/>
      <c r="U2189" s="56"/>
      <c r="V2189" s="56"/>
      <c r="W2189" s="56"/>
      <c r="X2189" s="56"/>
      <c r="Y2189" s="56"/>
      <c r="Z2189" s="56"/>
      <c r="AA2189" s="56"/>
      <c r="AB2189" s="56"/>
    </row>
    <row r="2190" ht="15.75" customHeight="1">
      <c r="A2190" s="169"/>
      <c r="B2190" s="63"/>
      <c r="C2190" s="22" t="s">
        <v>131</v>
      </c>
      <c r="D2190" s="38"/>
      <c r="E2190" s="158"/>
      <c r="F2190" s="159"/>
      <c r="G2190" s="66"/>
      <c r="H2190" s="38"/>
      <c r="I2190" s="38"/>
      <c r="J2190" s="38"/>
      <c r="K2190" s="38"/>
      <c r="L2190" s="38"/>
      <c r="M2190" s="56"/>
      <c r="N2190" s="56" t="b">
        <v>0</v>
      </c>
      <c r="O2190" s="56" t="b">
        <v>0</v>
      </c>
      <c r="P2190" s="56"/>
      <c r="Q2190" s="56"/>
      <c r="R2190" s="56"/>
      <c r="S2190" s="56"/>
      <c r="T2190" s="56"/>
      <c r="U2190" s="56"/>
      <c r="V2190" s="56"/>
      <c r="W2190" s="56"/>
      <c r="X2190" s="56"/>
      <c r="Y2190" s="56"/>
      <c r="Z2190" s="56"/>
      <c r="AA2190" s="56"/>
      <c r="AB2190" s="56"/>
    </row>
    <row r="2191" ht="15.75" customHeight="1">
      <c r="A2191" s="169"/>
      <c r="B2191" s="63"/>
      <c r="C2191" s="22" t="s">
        <v>131</v>
      </c>
      <c r="D2191" s="38"/>
      <c r="E2191" s="38"/>
      <c r="F2191" s="65"/>
      <c r="G2191" s="66"/>
      <c r="H2191" s="38"/>
      <c r="I2191" s="38"/>
      <c r="J2191" s="38"/>
      <c r="K2191" s="38"/>
      <c r="L2191" s="38"/>
      <c r="M2191" s="56"/>
      <c r="N2191" s="56" t="b">
        <v>0</v>
      </c>
      <c r="O2191" s="56" t="b">
        <v>0</v>
      </c>
      <c r="P2191" s="56"/>
      <c r="Q2191" s="56"/>
      <c r="R2191" s="56"/>
      <c r="S2191" s="56"/>
      <c r="T2191" s="56"/>
      <c r="U2191" s="56"/>
      <c r="V2191" s="56"/>
      <c r="W2191" s="56"/>
      <c r="X2191" s="56"/>
      <c r="Y2191" s="56"/>
      <c r="Z2191" s="56"/>
      <c r="AA2191" s="56"/>
      <c r="AB2191" s="56"/>
    </row>
    <row r="2192" ht="15.75" customHeight="1">
      <c r="A2192" s="169"/>
      <c r="B2192" s="69"/>
      <c r="C2192" s="22" t="s">
        <v>131</v>
      </c>
      <c r="D2192" s="38"/>
      <c r="E2192" s="38"/>
      <c r="F2192" s="65"/>
      <c r="G2192" s="66"/>
      <c r="H2192" s="38"/>
      <c r="I2192" s="38"/>
      <c r="J2192" s="38"/>
      <c r="K2192" s="38"/>
      <c r="L2192" s="38"/>
      <c r="M2192" s="56"/>
      <c r="N2192" s="56" t="b">
        <v>0</v>
      </c>
      <c r="O2192" s="56" t="b">
        <v>0</v>
      </c>
      <c r="P2192" s="56"/>
      <c r="Q2192" s="56"/>
      <c r="R2192" s="56"/>
      <c r="S2192" s="56"/>
      <c r="T2192" s="56"/>
      <c r="U2192" s="56"/>
      <c r="V2192" s="56"/>
      <c r="W2192" s="56"/>
      <c r="X2192" s="56"/>
      <c r="Y2192" s="56"/>
      <c r="Z2192" s="56"/>
      <c r="AA2192" s="56"/>
      <c r="AB2192" s="56"/>
    </row>
    <row r="2193" ht="15.75" customHeight="1">
      <c r="A2193" s="169"/>
      <c r="B2193" s="299"/>
      <c r="C2193" s="220">
        <v>44641.0</v>
      </c>
      <c r="D2193" s="38"/>
      <c r="E2193" s="38"/>
      <c r="F2193" s="65"/>
      <c r="G2193" s="66"/>
      <c r="H2193" s="38"/>
      <c r="I2193" s="38"/>
      <c r="J2193" s="38"/>
      <c r="K2193" s="38"/>
      <c r="L2193" s="38"/>
      <c r="M2193" s="56"/>
      <c r="N2193" s="56" t="b">
        <v>0</v>
      </c>
      <c r="O2193" s="56" t="b">
        <v>0</v>
      </c>
      <c r="P2193" s="56"/>
      <c r="Q2193" s="56"/>
      <c r="R2193" s="56"/>
      <c r="S2193" s="56"/>
      <c r="T2193" s="56"/>
      <c r="U2193" s="56"/>
      <c r="V2193" s="56"/>
      <c r="W2193" s="56"/>
      <c r="X2193" s="56"/>
      <c r="Y2193" s="56"/>
      <c r="Z2193" s="56"/>
      <c r="AA2193" s="56"/>
      <c r="AB2193" s="56"/>
    </row>
    <row r="2194" ht="15.75" customHeight="1">
      <c r="A2194" s="169"/>
      <c r="B2194" s="320" t="s">
        <v>6168</v>
      </c>
      <c r="C2194" s="22" t="s">
        <v>66</v>
      </c>
      <c r="D2194" s="38"/>
      <c r="E2194" s="38"/>
      <c r="F2194" s="65"/>
      <c r="G2194" s="66"/>
      <c r="H2194" s="38"/>
      <c r="I2194" s="38"/>
      <c r="J2194" s="38"/>
      <c r="K2194" s="38"/>
      <c r="L2194" s="38"/>
      <c r="M2194" s="56"/>
      <c r="N2194" s="56" t="b">
        <v>0</v>
      </c>
      <c r="O2194" s="56" t="b">
        <v>0</v>
      </c>
      <c r="P2194" s="56"/>
      <c r="Q2194" s="56"/>
      <c r="R2194" s="56"/>
      <c r="S2194" s="56"/>
      <c r="T2194" s="56"/>
      <c r="U2194" s="56"/>
      <c r="V2194" s="56"/>
      <c r="W2194" s="56"/>
      <c r="X2194" s="56"/>
      <c r="Y2194" s="56"/>
      <c r="Z2194" s="56"/>
      <c r="AA2194" s="56"/>
      <c r="AB2194" s="56"/>
    </row>
    <row r="2195" ht="15.75" customHeight="1">
      <c r="A2195" s="169"/>
      <c r="B2195" s="63"/>
      <c r="C2195" s="22" t="s">
        <v>66</v>
      </c>
      <c r="D2195" s="38"/>
      <c r="E2195" s="38"/>
      <c r="F2195" s="65"/>
      <c r="G2195" s="66"/>
      <c r="H2195" s="38"/>
      <c r="I2195" s="38"/>
      <c r="J2195" s="38"/>
      <c r="K2195" s="38"/>
      <c r="L2195" s="38"/>
      <c r="M2195" s="56"/>
      <c r="N2195" s="56" t="b">
        <v>0</v>
      </c>
      <c r="O2195" s="56" t="b">
        <v>0</v>
      </c>
      <c r="P2195" s="56"/>
      <c r="Q2195" s="56"/>
      <c r="R2195" s="56"/>
      <c r="S2195" s="56"/>
      <c r="T2195" s="56"/>
      <c r="U2195" s="56"/>
      <c r="V2195" s="56"/>
      <c r="W2195" s="56"/>
      <c r="X2195" s="56"/>
      <c r="Y2195" s="56"/>
      <c r="Z2195" s="56"/>
      <c r="AA2195" s="56"/>
      <c r="AB2195" s="56"/>
    </row>
    <row r="2196" ht="15.75" customHeight="1">
      <c r="A2196" s="169"/>
      <c r="B2196" s="63"/>
      <c r="C2196" s="22" t="s">
        <v>66</v>
      </c>
      <c r="D2196" s="38"/>
      <c r="E2196" s="38"/>
      <c r="F2196" s="162" t="s">
        <v>5784</v>
      </c>
      <c r="G2196" s="155"/>
      <c r="H2196" s="38"/>
      <c r="I2196" s="38"/>
      <c r="J2196" s="38"/>
      <c r="K2196" s="38"/>
      <c r="L2196" s="38"/>
      <c r="M2196" s="56"/>
      <c r="N2196" s="56" t="b">
        <v>0</v>
      </c>
      <c r="O2196" s="56" t="b">
        <v>0</v>
      </c>
      <c r="P2196" s="56"/>
      <c r="Q2196" s="56"/>
      <c r="R2196" s="56"/>
      <c r="S2196" s="56"/>
      <c r="T2196" s="56"/>
      <c r="U2196" s="56"/>
      <c r="V2196" s="56"/>
      <c r="W2196" s="56"/>
      <c r="X2196" s="56"/>
      <c r="Y2196" s="56"/>
      <c r="Z2196" s="56"/>
      <c r="AA2196" s="56"/>
      <c r="AB2196" s="56"/>
    </row>
    <row r="2197" ht="15.75" customHeight="1">
      <c r="A2197" s="169"/>
      <c r="B2197" s="63"/>
      <c r="C2197" s="22" t="s">
        <v>66</v>
      </c>
      <c r="D2197" s="38"/>
      <c r="E2197" s="38"/>
      <c r="F2197" s="156"/>
      <c r="G2197" s="157"/>
      <c r="H2197" s="38"/>
      <c r="I2197" s="38"/>
      <c r="J2197" s="38"/>
      <c r="K2197" s="38"/>
      <c r="L2197" s="38"/>
      <c r="M2197" s="56"/>
      <c r="N2197" s="56" t="b">
        <v>0</v>
      </c>
      <c r="O2197" s="56" t="b">
        <v>0</v>
      </c>
      <c r="P2197" s="56"/>
      <c r="Q2197" s="56"/>
      <c r="R2197" s="56"/>
      <c r="S2197" s="56"/>
      <c r="T2197" s="56"/>
      <c r="U2197" s="56"/>
      <c r="V2197" s="56"/>
      <c r="W2197" s="56"/>
      <c r="X2197" s="56"/>
      <c r="Y2197" s="56"/>
      <c r="Z2197" s="56"/>
      <c r="AA2197" s="56"/>
      <c r="AB2197" s="56"/>
    </row>
    <row r="2198" ht="15.75" customHeight="1">
      <c r="A2198" s="169"/>
      <c r="B2198" s="63"/>
      <c r="C2198" s="22" t="s">
        <v>66</v>
      </c>
      <c r="D2198" s="38"/>
      <c r="E2198" s="38"/>
      <c r="F2198" s="158"/>
      <c r="G2198" s="159"/>
      <c r="H2198" s="38"/>
      <c r="I2198" s="38"/>
      <c r="J2198" s="38"/>
      <c r="K2198" s="38"/>
      <c r="L2198" s="38"/>
      <c r="M2198" s="56"/>
      <c r="N2198" s="56" t="b">
        <v>0</v>
      </c>
      <c r="O2198" s="56" t="b">
        <v>0</v>
      </c>
      <c r="P2198" s="56"/>
      <c r="Q2198" s="56"/>
      <c r="R2198" s="56"/>
      <c r="S2198" s="56"/>
      <c r="T2198" s="56"/>
      <c r="U2198" s="56"/>
      <c r="V2198" s="56"/>
      <c r="W2198" s="56"/>
      <c r="X2198" s="56"/>
      <c r="Y2198" s="56"/>
      <c r="Z2198" s="56"/>
      <c r="AA2198" s="56"/>
      <c r="AB2198" s="56"/>
    </row>
    <row r="2199" ht="15.75" customHeight="1">
      <c r="A2199" s="169"/>
      <c r="B2199" s="69"/>
      <c r="C2199" s="22" t="s">
        <v>66</v>
      </c>
      <c r="D2199" s="38"/>
      <c r="E2199" s="38"/>
      <c r="F2199" s="65"/>
      <c r="G2199" s="66"/>
      <c r="H2199" s="38"/>
      <c r="I2199" s="38"/>
      <c r="J2199" s="38"/>
      <c r="K2199" s="38"/>
      <c r="L2199" s="38"/>
      <c r="M2199" s="56"/>
      <c r="N2199" s="56" t="b">
        <v>0</v>
      </c>
      <c r="O2199" s="56" t="b">
        <v>0</v>
      </c>
      <c r="P2199" s="56"/>
      <c r="Q2199" s="56"/>
      <c r="R2199" s="56"/>
      <c r="S2199" s="56"/>
      <c r="T2199" s="56"/>
      <c r="U2199" s="56"/>
      <c r="V2199" s="56"/>
      <c r="W2199" s="56"/>
      <c r="X2199" s="56"/>
      <c r="Y2199" s="56"/>
      <c r="Z2199" s="56"/>
      <c r="AA2199" s="56"/>
      <c r="AB2199" s="56"/>
    </row>
    <row r="2200" ht="15.75" customHeight="1">
      <c r="A2200" s="169"/>
      <c r="B2200" s="320" t="s">
        <v>6848</v>
      </c>
      <c r="C2200" s="22"/>
      <c r="D2200" s="38"/>
      <c r="E2200" s="330" t="s">
        <v>6862</v>
      </c>
      <c r="F2200" s="55"/>
      <c r="G2200" s="66"/>
      <c r="H2200" s="38"/>
      <c r="I2200" s="38"/>
      <c r="J2200" s="38"/>
      <c r="K2200" s="38"/>
      <c r="L2200" s="38"/>
      <c r="M2200" s="56"/>
      <c r="N2200" s="56" t="b">
        <v>0</v>
      </c>
      <c r="O2200" s="56" t="b">
        <v>0</v>
      </c>
      <c r="P2200" s="56"/>
      <c r="Q2200" s="56"/>
      <c r="R2200" s="56"/>
      <c r="S2200" s="56"/>
      <c r="T2200" s="56"/>
      <c r="U2200" s="56"/>
      <c r="V2200" s="56"/>
      <c r="W2200" s="56"/>
      <c r="X2200" s="56"/>
      <c r="Y2200" s="56"/>
      <c r="Z2200" s="56"/>
      <c r="AA2200" s="56"/>
      <c r="AB2200" s="56"/>
    </row>
    <row r="2201" ht="15.75" customHeight="1">
      <c r="A2201" s="169"/>
      <c r="B2201" s="63"/>
      <c r="C2201" s="22" t="s">
        <v>131</v>
      </c>
      <c r="D2201" s="160" t="s">
        <v>329</v>
      </c>
      <c r="E2201" s="333" t="s">
        <v>1508</v>
      </c>
      <c r="F2201" s="77" t="s">
        <v>1509</v>
      </c>
      <c r="G2201" s="82" t="s">
        <v>4851</v>
      </c>
      <c r="H2201" s="76" t="s">
        <v>5342</v>
      </c>
      <c r="I2201" s="76" t="s">
        <v>6914</v>
      </c>
      <c r="J2201" s="334" t="s">
        <v>1511</v>
      </c>
      <c r="K2201" s="38" t="s">
        <v>6907</v>
      </c>
      <c r="L2201" s="38" t="s">
        <v>6915</v>
      </c>
      <c r="M2201" s="56"/>
      <c r="N2201" s="56" t="b">
        <v>0</v>
      </c>
      <c r="O2201" s="56" t="b">
        <v>0</v>
      </c>
      <c r="P2201" s="56"/>
      <c r="Q2201" s="56"/>
      <c r="R2201" s="56"/>
      <c r="S2201" s="56"/>
      <c r="T2201" s="56"/>
      <c r="U2201" s="56"/>
      <c r="V2201" s="56"/>
      <c r="W2201" s="56"/>
      <c r="X2201" s="56"/>
      <c r="Y2201" s="56"/>
      <c r="Z2201" s="56"/>
      <c r="AA2201" s="56"/>
      <c r="AB2201" s="56"/>
    </row>
    <row r="2202" ht="15.75" customHeight="1">
      <c r="A2202" s="169"/>
      <c r="B2202" s="63"/>
      <c r="C2202" s="22" t="s">
        <v>131</v>
      </c>
      <c r="D2202" s="160" t="s">
        <v>329</v>
      </c>
      <c r="E2202" s="333" t="s">
        <v>1087</v>
      </c>
      <c r="F2202" s="77" t="s">
        <v>1088</v>
      </c>
      <c r="G2202" s="82" t="s">
        <v>4887</v>
      </c>
      <c r="H2202" s="76" t="s">
        <v>6916</v>
      </c>
      <c r="I2202" s="76" t="s">
        <v>6917</v>
      </c>
      <c r="J2202" s="334" t="s">
        <v>1091</v>
      </c>
      <c r="K2202" s="38" t="s">
        <v>6918</v>
      </c>
      <c r="L2202" s="38"/>
      <c r="M2202" s="56"/>
      <c r="N2202" s="56" t="b">
        <v>0</v>
      </c>
      <c r="O2202" s="56" t="b">
        <v>0</v>
      </c>
      <c r="P2202" s="56"/>
      <c r="Q2202" s="56"/>
      <c r="R2202" s="56"/>
      <c r="S2202" s="56"/>
      <c r="T2202" s="56"/>
      <c r="U2202" s="56"/>
      <c r="V2202" s="56"/>
      <c r="W2202" s="56"/>
      <c r="X2202" s="56"/>
      <c r="Y2202" s="56"/>
      <c r="Z2202" s="56"/>
      <c r="AA2202" s="56"/>
      <c r="AB2202" s="56"/>
    </row>
    <row r="2203" ht="15.75" customHeight="1">
      <c r="A2203" s="169"/>
      <c r="B2203" s="63"/>
      <c r="C2203" s="22" t="s">
        <v>131</v>
      </c>
      <c r="D2203" s="160" t="s">
        <v>329</v>
      </c>
      <c r="E2203" s="333" t="s">
        <v>713</v>
      </c>
      <c r="F2203" s="77" t="s">
        <v>714</v>
      </c>
      <c r="G2203" s="82" t="s">
        <v>4892</v>
      </c>
      <c r="H2203" s="76" t="s">
        <v>5344</v>
      </c>
      <c r="I2203" s="77" t="s">
        <v>6919</v>
      </c>
      <c r="J2203" s="334" t="s">
        <v>717</v>
      </c>
      <c r="K2203" s="38" t="s">
        <v>6920</v>
      </c>
      <c r="L2203" s="38"/>
      <c r="M2203" s="56"/>
      <c r="N2203" s="56" t="b">
        <v>0</v>
      </c>
      <c r="O2203" s="56" t="b">
        <v>0</v>
      </c>
      <c r="P2203" s="56"/>
      <c r="Q2203" s="56"/>
      <c r="R2203" s="56"/>
      <c r="S2203" s="56"/>
      <c r="T2203" s="56"/>
      <c r="U2203" s="56"/>
      <c r="V2203" s="56"/>
      <c r="W2203" s="56"/>
      <c r="X2203" s="56"/>
      <c r="Y2203" s="56"/>
      <c r="Z2203" s="56"/>
      <c r="AA2203" s="56"/>
      <c r="AB2203" s="56"/>
    </row>
    <row r="2204" ht="15.75" customHeight="1">
      <c r="A2204" s="169"/>
      <c r="B2204" s="63"/>
      <c r="C2204" s="22" t="s">
        <v>131</v>
      </c>
      <c r="D2204" s="71" t="s">
        <v>329</v>
      </c>
      <c r="E2204" s="335" t="s">
        <v>1003</v>
      </c>
      <c r="F2204" s="60" t="s">
        <v>1004</v>
      </c>
      <c r="G2204" s="73" t="s">
        <v>4899</v>
      </c>
      <c r="H2204" s="62" t="s">
        <v>5228</v>
      </c>
      <c r="I2204" s="62" t="s">
        <v>6921</v>
      </c>
      <c r="J2204" s="336" t="s">
        <v>1006</v>
      </c>
      <c r="K2204" s="38" t="s">
        <v>6907</v>
      </c>
      <c r="L2204" s="38"/>
      <c r="M2204" s="56"/>
      <c r="N2204" s="56" t="b">
        <v>0</v>
      </c>
      <c r="O2204" s="56" t="b">
        <v>0</v>
      </c>
      <c r="P2204" s="56"/>
      <c r="Q2204" s="56"/>
      <c r="R2204" s="56"/>
      <c r="S2204" s="56"/>
      <c r="T2204" s="56"/>
      <c r="U2204" s="56"/>
      <c r="V2204" s="56"/>
      <c r="W2204" s="56"/>
      <c r="X2204" s="56"/>
      <c r="Y2204" s="56"/>
      <c r="Z2204" s="56"/>
      <c r="AA2204" s="56"/>
      <c r="AB2204" s="56"/>
    </row>
    <row r="2205" ht="15.75" customHeight="1">
      <c r="A2205" s="169"/>
      <c r="B2205" s="63"/>
      <c r="C2205" s="22" t="s">
        <v>131</v>
      </c>
      <c r="D2205" s="137"/>
      <c r="E2205" s="38"/>
      <c r="F2205" s="65"/>
      <c r="G2205" s="66"/>
      <c r="H2205" s="38"/>
      <c r="I2205" s="38"/>
      <c r="J2205" s="38"/>
      <c r="K2205" s="38"/>
      <c r="L2205" s="38"/>
      <c r="M2205" s="56"/>
      <c r="N2205" s="56" t="b">
        <v>0</v>
      </c>
      <c r="O2205" s="56" t="b">
        <v>0</v>
      </c>
      <c r="P2205" s="56"/>
      <c r="Q2205" s="56"/>
      <c r="R2205" s="56"/>
      <c r="S2205" s="56"/>
      <c r="T2205" s="56"/>
      <c r="U2205" s="56"/>
      <c r="V2205" s="56"/>
      <c r="W2205" s="56"/>
      <c r="X2205" s="56"/>
      <c r="Y2205" s="56"/>
      <c r="Z2205" s="56"/>
      <c r="AA2205" s="56"/>
      <c r="AB2205" s="56"/>
    </row>
    <row r="2206" ht="15.75" customHeight="1">
      <c r="A2206" s="169"/>
      <c r="B2206" s="69"/>
      <c r="C2206" s="22" t="s">
        <v>131</v>
      </c>
      <c r="D2206" s="38"/>
      <c r="E2206" s="38"/>
      <c r="F2206" s="65"/>
      <c r="G2206" s="66"/>
      <c r="H2206" s="38"/>
      <c r="I2206" s="38"/>
      <c r="J2206" s="38"/>
      <c r="K2206" s="38"/>
      <c r="L2206" s="38"/>
      <c r="M2206" s="56"/>
      <c r="N2206" s="56" t="b">
        <v>0</v>
      </c>
      <c r="O2206" s="56" t="b">
        <v>0</v>
      </c>
      <c r="P2206" s="56"/>
      <c r="Q2206" s="56"/>
      <c r="R2206" s="56"/>
      <c r="S2206" s="56"/>
      <c r="T2206" s="56"/>
      <c r="U2206" s="56"/>
      <c r="V2206" s="56"/>
      <c r="W2206" s="56"/>
      <c r="X2206" s="56"/>
      <c r="Y2206" s="56"/>
      <c r="Z2206" s="56"/>
      <c r="AA2206" s="56"/>
      <c r="AB2206" s="56"/>
    </row>
    <row r="2207" ht="15.75" customHeight="1">
      <c r="A2207" s="169"/>
      <c r="B2207" s="299"/>
      <c r="C2207" s="220">
        <v>44642.0</v>
      </c>
      <c r="D2207" s="38"/>
      <c r="E2207" s="38"/>
      <c r="F2207" s="65"/>
      <c r="G2207" s="66"/>
      <c r="H2207" s="38"/>
      <c r="I2207" s="38"/>
      <c r="J2207" s="38"/>
      <c r="K2207" s="38"/>
      <c r="L2207" s="38"/>
      <c r="M2207" s="56"/>
      <c r="N2207" s="56" t="b">
        <v>0</v>
      </c>
      <c r="O2207" s="56" t="b">
        <v>0</v>
      </c>
      <c r="P2207" s="56"/>
      <c r="Q2207" s="56"/>
      <c r="R2207" s="56"/>
      <c r="S2207" s="56"/>
      <c r="T2207" s="56"/>
      <c r="U2207" s="56"/>
      <c r="V2207" s="56"/>
      <c r="W2207" s="56"/>
      <c r="X2207" s="56"/>
      <c r="Y2207" s="56"/>
      <c r="Z2207" s="56"/>
      <c r="AA2207" s="56"/>
      <c r="AB2207" s="56"/>
    </row>
    <row r="2208" ht="15.75" customHeight="1">
      <c r="A2208" s="169"/>
      <c r="B2208" s="320" t="s">
        <v>6168</v>
      </c>
      <c r="C2208" s="22" t="s">
        <v>66</v>
      </c>
      <c r="D2208" s="38"/>
      <c r="E2208" s="38" t="s">
        <v>6922</v>
      </c>
      <c r="F2208" s="65"/>
      <c r="G2208" s="66"/>
      <c r="H2208" s="38"/>
      <c r="I2208" s="38"/>
      <c r="J2208" s="38"/>
      <c r="K2208" s="38"/>
      <c r="L2208" s="38"/>
      <c r="M2208" s="56"/>
      <c r="N2208" s="56" t="b">
        <v>0</v>
      </c>
      <c r="O2208" s="56" t="b">
        <v>0</v>
      </c>
      <c r="P2208" s="56"/>
      <c r="Q2208" s="56"/>
      <c r="R2208" s="56"/>
      <c r="S2208" s="56"/>
      <c r="T2208" s="56"/>
      <c r="U2208" s="56"/>
      <c r="V2208" s="56"/>
      <c r="W2208" s="56"/>
      <c r="X2208" s="56"/>
      <c r="Y2208" s="56"/>
      <c r="Z2208" s="56"/>
      <c r="AA2208" s="56"/>
      <c r="AB2208" s="56"/>
    </row>
    <row r="2209" ht="15.75" customHeight="1">
      <c r="A2209" s="169"/>
      <c r="B2209" s="63"/>
      <c r="C2209" s="22" t="s">
        <v>66</v>
      </c>
      <c r="D2209" s="38"/>
      <c r="E2209" s="38"/>
      <c r="F2209" s="65"/>
      <c r="G2209" s="66"/>
      <c r="H2209" s="38"/>
      <c r="I2209" s="38"/>
      <c r="J2209" s="38"/>
      <c r="K2209" s="38"/>
      <c r="L2209" s="38"/>
      <c r="M2209" s="56"/>
      <c r="N2209" s="56" t="b">
        <v>0</v>
      </c>
      <c r="O2209" s="56" t="b">
        <v>0</v>
      </c>
      <c r="P2209" s="56"/>
      <c r="Q2209" s="56"/>
      <c r="R2209" s="56"/>
      <c r="S2209" s="56"/>
      <c r="T2209" s="56"/>
      <c r="U2209" s="56"/>
      <c r="V2209" s="56"/>
      <c r="W2209" s="56"/>
      <c r="X2209" s="56"/>
      <c r="Y2209" s="56"/>
      <c r="Z2209" s="56"/>
      <c r="AA2209" s="56"/>
      <c r="AB2209" s="56"/>
    </row>
    <row r="2210" ht="15.75" customHeight="1">
      <c r="A2210" s="169"/>
      <c r="B2210" s="63"/>
      <c r="C2210" s="22" t="s">
        <v>66</v>
      </c>
      <c r="D2210" s="227" t="s">
        <v>89</v>
      </c>
      <c r="E2210" s="60" t="s">
        <v>2205</v>
      </c>
      <c r="F2210" s="60" t="s">
        <v>2206</v>
      </c>
      <c r="G2210" s="73" t="s">
        <v>5134</v>
      </c>
      <c r="H2210" s="170" t="s">
        <v>6300</v>
      </c>
      <c r="I2210" s="170" t="s">
        <v>6923</v>
      </c>
      <c r="J2210" s="242" t="s">
        <v>2209</v>
      </c>
      <c r="K2210" s="38"/>
      <c r="L2210" s="38"/>
      <c r="M2210" s="56"/>
      <c r="N2210" s="56" t="b">
        <v>0</v>
      </c>
      <c r="O2210" s="56" t="b">
        <v>0</v>
      </c>
      <c r="P2210" s="56"/>
      <c r="Q2210" s="56"/>
      <c r="R2210" s="56"/>
      <c r="S2210" s="56"/>
      <c r="T2210" s="56"/>
      <c r="U2210" s="56"/>
      <c r="V2210" s="56"/>
      <c r="W2210" s="56"/>
      <c r="X2210" s="56"/>
      <c r="Y2210" s="56"/>
      <c r="Z2210" s="56"/>
      <c r="AA2210" s="56"/>
      <c r="AB2210" s="56"/>
    </row>
    <row r="2211" ht="15.75" customHeight="1">
      <c r="A2211" s="169"/>
      <c r="B2211" s="63"/>
      <c r="C2211" s="22" t="s">
        <v>66</v>
      </c>
      <c r="D2211" s="227" t="s">
        <v>89</v>
      </c>
      <c r="E2211" s="60" t="s">
        <v>807</v>
      </c>
      <c r="F2211" s="60" t="s">
        <v>808</v>
      </c>
      <c r="G2211" s="73" t="s">
        <v>5602</v>
      </c>
      <c r="H2211" s="62" t="s">
        <v>6924</v>
      </c>
      <c r="I2211" s="337" t="s">
        <v>6925</v>
      </c>
      <c r="J2211" s="242" t="s">
        <v>811</v>
      </c>
      <c r="K2211" s="38"/>
      <c r="L2211" s="38"/>
      <c r="M2211" s="56"/>
      <c r="N2211" s="56" t="b">
        <v>0</v>
      </c>
      <c r="O2211" s="56" t="b">
        <v>0</v>
      </c>
      <c r="P2211" s="56"/>
      <c r="Q2211" s="56"/>
      <c r="R2211" s="56"/>
      <c r="S2211" s="56"/>
      <c r="T2211" s="56"/>
      <c r="U2211" s="56"/>
      <c r="V2211" s="56"/>
      <c r="W2211" s="56"/>
      <c r="X2211" s="56"/>
      <c r="Y2211" s="56"/>
      <c r="Z2211" s="56"/>
      <c r="AA2211" s="56"/>
      <c r="AB2211" s="56"/>
    </row>
    <row r="2212" ht="15.75" customHeight="1">
      <c r="A2212" s="169"/>
      <c r="B2212" s="63"/>
      <c r="C2212" s="22" t="s">
        <v>66</v>
      </c>
      <c r="D2212" s="227" t="s">
        <v>89</v>
      </c>
      <c r="E2212" s="60" t="s">
        <v>2518</v>
      </c>
      <c r="F2212" s="60" t="s">
        <v>2519</v>
      </c>
      <c r="G2212" s="73" t="s">
        <v>4858</v>
      </c>
      <c r="H2212" s="62" t="s">
        <v>6571</v>
      </c>
      <c r="I2212" s="62" t="s">
        <v>6926</v>
      </c>
      <c r="J2212" s="242" t="s">
        <v>2521</v>
      </c>
      <c r="K2212" s="38" t="s">
        <v>6927</v>
      </c>
      <c r="L2212" s="38"/>
      <c r="M2212" s="56"/>
      <c r="N2212" s="56" t="b">
        <v>0</v>
      </c>
      <c r="O2212" s="56" t="b">
        <v>0</v>
      </c>
      <c r="P2212" s="56"/>
      <c r="Q2212" s="56"/>
      <c r="R2212" s="56"/>
      <c r="S2212" s="56"/>
      <c r="T2212" s="56"/>
      <c r="U2212" s="56"/>
      <c r="V2212" s="56"/>
      <c r="W2212" s="56"/>
      <c r="X2212" s="56"/>
      <c r="Y2212" s="56"/>
      <c r="Z2212" s="56"/>
      <c r="AA2212" s="56"/>
      <c r="AB2212" s="56"/>
    </row>
    <row r="2213" ht="15.75" customHeight="1">
      <c r="A2213" s="169"/>
      <c r="B2213" s="69"/>
      <c r="C2213" s="22" t="s">
        <v>66</v>
      </c>
      <c r="D2213" s="173" t="s">
        <v>87</v>
      </c>
      <c r="E2213" s="77" t="s">
        <v>2267</v>
      </c>
      <c r="F2213" s="77" t="s">
        <v>2268</v>
      </c>
      <c r="G2213" s="82" t="s">
        <v>4980</v>
      </c>
      <c r="H2213" s="88" t="s">
        <v>4884</v>
      </c>
      <c r="I2213" s="76" t="s">
        <v>6912</v>
      </c>
      <c r="J2213" s="97" t="s">
        <v>2270</v>
      </c>
      <c r="K2213" s="38"/>
      <c r="L2213" s="38"/>
      <c r="M2213" s="56"/>
      <c r="N2213" s="56" t="b">
        <v>0</v>
      </c>
      <c r="O2213" s="56" t="b">
        <v>0</v>
      </c>
      <c r="P2213" s="56"/>
      <c r="Q2213" s="56"/>
      <c r="R2213" s="56"/>
      <c r="S2213" s="56"/>
      <c r="T2213" s="56"/>
      <c r="U2213" s="56"/>
      <c r="V2213" s="56"/>
      <c r="W2213" s="56"/>
      <c r="X2213" s="56"/>
      <c r="Y2213" s="56"/>
      <c r="Z2213" s="56"/>
      <c r="AA2213" s="56"/>
      <c r="AB2213" s="56"/>
    </row>
    <row r="2214" ht="15.75" customHeight="1">
      <c r="A2214" s="169"/>
      <c r="B2214" s="320" t="s">
        <v>6848</v>
      </c>
      <c r="C2214" s="22"/>
      <c r="D2214" s="38"/>
      <c r="E2214" s="38"/>
      <c r="F2214" s="65"/>
      <c r="G2214" s="66"/>
      <c r="H2214" s="38"/>
      <c r="I2214" s="38"/>
      <c r="J2214" s="38"/>
      <c r="K2214" s="38"/>
      <c r="L2214" s="38"/>
      <c r="M2214" s="56"/>
      <c r="N2214" s="56" t="b">
        <v>0</v>
      </c>
      <c r="O2214" s="56" t="b">
        <v>0</v>
      </c>
      <c r="P2214" s="56"/>
      <c r="Q2214" s="56"/>
      <c r="R2214" s="56"/>
      <c r="S2214" s="56"/>
      <c r="T2214" s="56"/>
      <c r="U2214" s="56"/>
      <c r="V2214" s="56"/>
      <c r="W2214" s="56"/>
      <c r="X2214" s="56"/>
      <c r="Y2214" s="56"/>
      <c r="Z2214" s="56"/>
      <c r="AA2214" s="56"/>
      <c r="AB2214" s="56"/>
    </row>
    <row r="2215" ht="15.75" customHeight="1">
      <c r="A2215" s="169"/>
      <c r="B2215" s="63"/>
      <c r="C2215" s="22" t="s">
        <v>131</v>
      </c>
      <c r="D2215" s="38"/>
      <c r="E2215" s="38"/>
      <c r="F2215" s="65"/>
      <c r="G2215" s="66"/>
      <c r="H2215" s="38"/>
      <c r="I2215" s="38"/>
      <c r="J2215" s="38"/>
      <c r="K2215" s="38"/>
      <c r="L2215" s="38"/>
      <c r="M2215" s="56"/>
      <c r="N2215" s="56" t="b">
        <v>0</v>
      </c>
      <c r="O2215" s="56" t="b">
        <v>0</v>
      </c>
      <c r="P2215" s="56"/>
      <c r="Q2215" s="56"/>
      <c r="R2215" s="56"/>
      <c r="S2215" s="56"/>
      <c r="T2215" s="56"/>
      <c r="U2215" s="56"/>
      <c r="V2215" s="56"/>
      <c r="W2215" s="56"/>
      <c r="X2215" s="56"/>
      <c r="Y2215" s="56"/>
      <c r="Z2215" s="56"/>
      <c r="AA2215" s="56"/>
      <c r="AB2215" s="56"/>
    </row>
    <row r="2216" ht="15.75" customHeight="1">
      <c r="A2216" s="169"/>
      <c r="B2216" s="63"/>
      <c r="C2216" s="22" t="s">
        <v>131</v>
      </c>
      <c r="D2216" s="38"/>
      <c r="E2216" s="162" t="s">
        <v>5784</v>
      </c>
      <c r="F2216" s="155"/>
      <c r="G2216" s="164"/>
      <c r="H2216" s="38"/>
      <c r="I2216" s="38"/>
      <c r="J2216" s="38"/>
      <c r="K2216" s="38"/>
      <c r="L2216" s="38"/>
      <c r="M2216" s="56"/>
      <c r="N2216" s="56" t="b">
        <v>0</v>
      </c>
      <c r="O2216" s="56" t="b">
        <v>0</v>
      </c>
      <c r="P2216" s="56"/>
      <c r="Q2216" s="56"/>
      <c r="R2216" s="56"/>
      <c r="S2216" s="56"/>
      <c r="T2216" s="56"/>
      <c r="U2216" s="56"/>
      <c r="V2216" s="56"/>
      <c r="W2216" s="56"/>
      <c r="X2216" s="56"/>
      <c r="Y2216" s="56"/>
      <c r="Z2216" s="56"/>
      <c r="AA2216" s="56"/>
      <c r="AB2216" s="56"/>
    </row>
    <row r="2217" ht="15.75" customHeight="1">
      <c r="A2217" s="169"/>
      <c r="B2217" s="63"/>
      <c r="C2217" s="22" t="s">
        <v>131</v>
      </c>
      <c r="D2217" s="38"/>
      <c r="E2217" s="156"/>
      <c r="F2217" s="157"/>
      <c r="G2217" s="164"/>
      <c r="H2217" s="38"/>
      <c r="I2217" s="38"/>
      <c r="J2217" s="38"/>
      <c r="K2217" s="38"/>
      <c r="L2217" s="38"/>
      <c r="M2217" s="56"/>
      <c r="N2217" s="56" t="b">
        <v>0</v>
      </c>
      <c r="O2217" s="56" t="b">
        <v>0</v>
      </c>
      <c r="P2217" s="56"/>
      <c r="Q2217" s="56"/>
      <c r="R2217" s="56"/>
      <c r="S2217" s="56"/>
      <c r="T2217" s="56"/>
      <c r="U2217" s="56"/>
      <c r="V2217" s="56"/>
      <c r="W2217" s="56"/>
      <c r="X2217" s="56"/>
      <c r="Y2217" s="56"/>
      <c r="Z2217" s="56"/>
      <c r="AA2217" s="56"/>
      <c r="AB2217" s="56"/>
    </row>
    <row r="2218" ht="15.75" customHeight="1">
      <c r="A2218" s="169"/>
      <c r="B2218" s="63"/>
      <c r="C2218" s="22" t="s">
        <v>131</v>
      </c>
      <c r="D2218" s="38"/>
      <c r="E2218" s="158"/>
      <c r="F2218" s="159"/>
      <c r="G2218" s="164"/>
      <c r="H2218" s="38"/>
      <c r="I2218" s="38"/>
      <c r="J2218" s="38"/>
      <c r="K2218" s="38"/>
      <c r="L2218" s="38"/>
      <c r="M2218" s="56"/>
      <c r="N2218" s="56" t="b">
        <v>0</v>
      </c>
      <c r="O2218" s="56" t="b">
        <v>0</v>
      </c>
      <c r="P2218" s="56"/>
      <c r="Q2218" s="56"/>
      <c r="R2218" s="56"/>
      <c r="S2218" s="56"/>
      <c r="T2218" s="56"/>
      <c r="U2218" s="56"/>
      <c r="V2218" s="56"/>
      <c r="W2218" s="56"/>
      <c r="X2218" s="56"/>
      <c r="Y2218" s="56"/>
      <c r="Z2218" s="56"/>
      <c r="AA2218" s="56"/>
      <c r="AB2218" s="56"/>
    </row>
    <row r="2219" ht="15.75" customHeight="1">
      <c r="A2219" s="169"/>
      <c r="B2219" s="63"/>
      <c r="C2219" s="22" t="s">
        <v>131</v>
      </c>
      <c r="D2219" s="38"/>
      <c r="E2219" s="38"/>
      <c r="F2219" s="65"/>
      <c r="G2219" s="66"/>
      <c r="H2219" s="38"/>
      <c r="I2219" s="38"/>
      <c r="J2219" s="38"/>
      <c r="K2219" s="38"/>
      <c r="L2219" s="38"/>
      <c r="M2219" s="56"/>
      <c r="N2219" s="56" t="b">
        <v>0</v>
      </c>
      <c r="O2219" s="56" t="b">
        <v>0</v>
      </c>
      <c r="P2219" s="56"/>
      <c r="Q2219" s="56"/>
      <c r="R2219" s="56"/>
      <c r="S2219" s="56"/>
      <c r="T2219" s="56"/>
      <c r="U2219" s="56"/>
      <c r="V2219" s="56"/>
      <c r="W2219" s="56"/>
      <c r="X2219" s="56"/>
      <c r="Y2219" s="56"/>
      <c r="Z2219" s="56"/>
      <c r="AA2219" s="56"/>
      <c r="AB2219" s="56"/>
    </row>
    <row r="2220" ht="15.75" customHeight="1">
      <c r="A2220" s="169"/>
      <c r="B2220" s="69"/>
      <c r="C2220" s="22" t="s">
        <v>131</v>
      </c>
      <c r="D2220" s="38"/>
      <c r="E2220" s="38"/>
      <c r="F2220" s="65"/>
      <c r="G2220" s="66"/>
      <c r="H2220" s="38"/>
      <c r="I2220" s="38"/>
      <c r="J2220" s="38"/>
      <c r="K2220" s="38"/>
      <c r="L2220" s="38"/>
      <c r="M2220" s="56"/>
      <c r="N2220" s="56" t="b">
        <v>0</v>
      </c>
      <c r="O2220" s="56" t="b">
        <v>0</v>
      </c>
      <c r="P2220" s="56"/>
      <c r="Q2220" s="56"/>
      <c r="R2220" s="56"/>
      <c r="S2220" s="56"/>
      <c r="T2220" s="56"/>
      <c r="U2220" s="56"/>
      <c r="V2220" s="56"/>
      <c r="W2220" s="56"/>
      <c r="X2220" s="56"/>
      <c r="Y2220" s="56"/>
      <c r="Z2220" s="56"/>
      <c r="AA2220" s="56"/>
      <c r="AB2220" s="56"/>
    </row>
    <row r="2221" ht="15.75" customHeight="1">
      <c r="A2221" s="169"/>
      <c r="B2221" s="299"/>
      <c r="C2221" s="220">
        <v>44643.0</v>
      </c>
      <c r="D2221" s="38"/>
      <c r="E2221" s="38"/>
      <c r="F2221" s="65"/>
      <c r="G2221" s="66"/>
      <c r="H2221" s="38"/>
      <c r="I2221" s="38"/>
      <c r="J2221" s="38"/>
      <c r="K2221" s="38"/>
      <c r="L2221" s="38"/>
      <c r="M2221" s="56"/>
      <c r="N2221" s="56" t="b">
        <v>0</v>
      </c>
      <c r="O2221" s="56" t="b">
        <v>0</v>
      </c>
      <c r="P2221" s="56"/>
      <c r="Q2221" s="56"/>
      <c r="R2221" s="56"/>
      <c r="S2221" s="56"/>
      <c r="T2221" s="56"/>
      <c r="U2221" s="56"/>
      <c r="V2221" s="56"/>
      <c r="W2221" s="56"/>
      <c r="X2221" s="56"/>
      <c r="Y2221" s="56"/>
      <c r="Z2221" s="56"/>
      <c r="AA2221" s="56"/>
      <c r="AB2221" s="56"/>
    </row>
    <row r="2222" ht="15.75" customHeight="1">
      <c r="A2222" s="169"/>
      <c r="B2222" s="320" t="s">
        <v>6168</v>
      </c>
      <c r="C2222" s="22" t="s">
        <v>66</v>
      </c>
      <c r="D2222" s="38"/>
      <c r="E2222" s="38"/>
      <c r="F2222" s="65"/>
      <c r="G2222" s="66"/>
      <c r="H2222" s="38"/>
      <c r="I2222" s="38"/>
      <c r="J2222" s="38"/>
      <c r="K2222" s="38"/>
      <c r="L2222" s="38"/>
      <c r="M2222" s="56"/>
      <c r="N2222" s="56" t="b">
        <v>0</v>
      </c>
      <c r="O2222" s="56" t="b">
        <v>0</v>
      </c>
      <c r="P2222" s="56"/>
      <c r="Q2222" s="56"/>
      <c r="R2222" s="56"/>
      <c r="S2222" s="56"/>
      <c r="T2222" s="56"/>
      <c r="U2222" s="56"/>
      <c r="V2222" s="56"/>
      <c r="W2222" s="56"/>
      <c r="X2222" s="56"/>
      <c r="Y2222" s="56"/>
      <c r="Z2222" s="56"/>
      <c r="AA2222" s="56"/>
      <c r="AB2222" s="56"/>
    </row>
    <row r="2223" ht="15.75" customHeight="1">
      <c r="A2223" s="169"/>
      <c r="B2223" s="63"/>
      <c r="C2223" s="22" t="s">
        <v>66</v>
      </c>
      <c r="D2223" s="38"/>
      <c r="E2223" s="38"/>
      <c r="F2223" s="65"/>
      <c r="G2223" s="66"/>
      <c r="H2223" s="38"/>
      <c r="I2223" s="38"/>
      <c r="J2223" s="38"/>
      <c r="K2223" s="38"/>
      <c r="L2223" s="38"/>
      <c r="M2223" s="56"/>
      <c r="N2223" s="56" t="b">
        <v>0</v>
      </c>
      <c r="O2223" s="56" t="b">
        <v>0</v>
      </c>
      <c r="P2223" s="56"/>
      <c r="Q2223" s="56"/>
      <c r="R2223" s="56"/>
      <c r="S2223" s="56"/>
      <c r="T2223" s="56"/>
      <c r="U2223" s="56"/>
      <c r="V2223" s="56"/>
      <c r="W2223" s="56"/>
      <c r="X2223" s="56"/>
      <c r="Y2223" s="56"/>
      <c r="Z2223" s="56"/>
      <c r="AA2223" s="56"/>
      <c r="AB2223" s="56"/>
    </row>
    <row r="2224" ht="15.75" customHeight="1">
      <c r="A2224" s="169"/>
      <c r="B2224" s="63"/>
      <c r="C2224" s="22" t="s">
        <v>66</v>
      </c>
      <c r="D2224" s="38"/>
      <c r="E2224" s="162" t="s">
        <v>5784</v>
      </c>
      <c r="F2224" s="155"/>
      <c r="G2224" s="66"/>
      <c r="H2224" s="38"/>
      <c r="I2224" s="38"/>
      <c r="J2224" s="38"/>
      <c r="K2224" s="38"/>
      <c r="L2224" s="38"/>
      <c r="M2224" s="56"/>
      <c r="N2224" s="56" t="b">
        <v>0</v>
      </c>
      <c r="O2224" s="56" t="b">
        <v>0</v>
      </c>
      <c r="P2224" s="56"/>
      <c r="Q2224" s="56"/>
      <c r="R2224" s="56"/>
      <c r="S2224" s="56"/>
      <c r="T2224" s="56"/>
      <c r="U2224" s="56"/>
      <c r="V2224" s="56"/>
      <c r="W2224" s="56"/>
      <c r="X2224" s="56"/>
      <c r="Y2224" s="56"/>
      <c r="Z2224" s="56"/>
      <c r="AA2224" s="56"/>
      <c r="AB2224" s="56"/>
    </row>
    <row r="2225" ht="15.75" customHeight="1">
      <c r="A2225" s="169"/>
      <c r="B2225" s="63"/>
      <c r="C2225" s="22" t="s">
        <v>66</v>
      </c>
      <c r="D2225" s="38"/>
      <c r="E2225" s="156"/>
      <c r="F2225" s="157"/>
      <c r="G2225" s="66"/>
      <c r="H2225" s="38"/>
      <c r="I2225" s="38"/>
      <c r="J2225" s="38"/>
      <c r="K2225" s="38"/>
      <c r="L2225" s="38"/>
      <c r="M2225" s="56"/>
      <c r="N2225" s="56" t="b">
        <v>0</v>
      </c>
      <c r="O2225" s="56" t="b">
        <v>0</v>
      </c>
      <c r="P2225" s="56"/>
      <c r="Q2225" s="56"/>
      <c r="R2225" s="56"/>
      <c r="S2225" s="56"/>
      <c r="T2225" s="56"/>
      <c r="U2225" s="56"/>
      <c r="V2225" s="56"/>
      <c r="W2225" s="56"/>
      <c r="X2225" s="56"/>
      <c r="Y2225" s="56"/>
      <c r="Z2225" s="56"/>
      <c r="AA2225" s="56"/>
      <c r="AB2225" s="56"/>
    </row>
    <row r="2226" ht="15.75" customHeight="1">
      <c r="A2226" s="169"/>
      <c r="B2226" s="63"/>
      <c r="C2226" s="22" t="s">
        <v>66</v>
      </c>
      <c r="D2226" s="38"/>
      <c r="E2226" s="158"/>
      <c r="F2226" s="159"/>
      <c r="G2226" s="66"/>
      <c r="H2226" s="38"/>
      <c r="I2226" s="38"/>
      <c r="J2226" s="38"/>
      <c r="K2226" s="38"/>
      <c r="L2226" s="38"/>
      <c r="M2226" s="56"/>
      <c r="N2226" s="56" t="b">
        <v>0</v>
      </c>
      <c r="O2226" s="56" t="b">
        <v>0</v>
      </c>
      <c r="P2226" s="56"/>
      <c r="Q2226" s="56"/>
      <c r="R2226" s="56"/>
      <c r="S2226" s="56"/>
      <c r="T2226" s="56"/>
      <c r="U2226" s="56"/>
      <c r="V2226" s="56"/>
      <c r="W2226" s="56"/>
      <c r="X2226" s="56"/>
      <c r="Y2226" s="56"/>
      <c r="Z2226" s="56"/>
      <c r="AA2226" s="56"/>
      <c r="AB2226" s="56"/>
    </row>
    <row r="2227" ht="15.75" customHeight="1">
      <c r="A2227" s="169"/>
      <c r="B2227" s="69"/>
      <c r="C2227" s="22" t="s">
        <v>66</v>
      </c>
      <c r="D2227" s="38"/>
      <c r="E2227" s="38"/>
      <c r="F2227" s="65"/>
      <c r="G2227" s="66"/>
      <c r="H2227" s="38"/>
      <c r="I2227" s="38"/>
      <c r="J2227" s="38"/>
      <c r="K2227" s="38"/>
      <c r="L2227" s="38"/>
      <c r="M2227" s="56"/>
      <c r="N2227" s="56" t="b">
        <v>0</v>
      </c>
      <c r="O2227" s="56" t="b">
        <v>0</v>
      </c>
      <c r="P2227" s="56"/>
      <c r="Q2227" s="56"/>
      <c r="R2227" s="56"/>
      <c r="S2227" s="56"/>
      <c r="T2227" s="56"/>
      <c r="U2227" s="56"/>
      <c r="V2227" s="56"/>
      <c r="W2227" s="56"/>
      <c r="X2227" s="56"/>
      <c r="Y2227" s="56"/>
      <c r="Z2227" s="56"/>
      <c r="AA2227" s="56"/>
      <c r="AB2227" s="56"/>
    </row>
    <row r="2228" ht="15.75" customHeight="1">
      <c r="A2228" s="169"/>
      <c r="B2228" s="320" t="s">
        <v>6848</v>
      </c>
      <c r="C2228" s="22"/>
      <c r="D2228" s="38"/>
      <c r="E2228" s="330" t="s">
        <v>6862</v>
      </c>
      <c r="F2228" s="55"/>
      <c r="G2228" s="66"/>
      <c r="H2228" s="38"/>
      <c r="I2228" s="38"/>
      <c r="J2228" s="38"/>
      <c r="K2228" s="38"/>
      <c r="L2228" s="38"/>
      <c r="M2228" s="56"/>
      <c r="N2228" s="56" t="b">
        <v>0</v>
      </c>
      <c r="O2228" s="56" t="b">
        <v>0</v>
      </c>
      <c r="P2228" s="56"/>
      <c r="Q2228" s="56"/>
      <c r="R2228" s="56"/>
      <c r="S2228" s="56"/>
      <c r="T2228" s="56"/>
      <c r="U2228" s="56"/>
      <c r="V2228" s="56"/>
      <c r="W2228" s="56"/>
      <c r="X2228" s="56"/>
      <c r="Y2228" s="56"/>
      <c r="Z2228" s="56"/>
      <c r="AA2228" s="56"/>
      <c r="AB2228" s="56"/>
    </row>
    <row r="2229" ht="15.75" customHeight="1">
      <c r="A2229" s="169"/>
      <c r="B2229" s="63"/>
      <c r="C2229" s="22" t="s">
        <v>131</v>
      </c>
      <c r="D2229" s="62" t="s">
        <v>52</v>
      </c>
      <c r="E2229" s="242" t="s">
        <v>3598</v>
      </c>
      <c r="F2229" s="242" t="s">
        <v>3599</v>
      </c>
      <c r="G2229" s="73" t="s">
        <v>5827</v>
      </c>
      <c r="H2229" s="62" t="s">
        <v>4910</v>
      </c>
      <c r="I2229" s="62" t="s">
        <v>6928</v>
      </c>
      <c r="J2229" s="242" t="s">
        <v>3601</v>
      </c>
      <c r="K2229" s="38"/>
      <c r="L2229" s="38"/>
      <c r="M2229" s="56"/>
      <c r="N2229" s="56" t="b">
        <v>0</v>
      </c>
      <c r="O2229" s="56" t="b">
        <v>0</v>
      </c>
      <c r="P2229" s="56"/>
      <c r="Q2229" s="56"/>
      <c r="R2229" s="56"/>
      <c r="S2229" s="56"/>
      <c r="T2229" s="56"/>
      <c r="U2229" s="56"/>
      <c r="V2229" s="56"/>
      <c r="W2229" s="56"/>
      <c r="X2229" s="56"/>
      <c r="Y2229" s="56"/>
      <c r="Z2229" s="56"/>
      <c r="AA2229" s="56"/>
      <c r="AB2229" s="56"/>
    </row>
    <row r="2230" ht="15.75" customHeight="1">
      <c r="A2230" s="169"/>
      <c r="B2230" s="63"/>
      <c r="C2230" s="22" t="s">
        <v>131</v>
      </c>
      <c r="D2230" s="227" t="s">
        <v>89</v>
      </c>
      <c r="E2230" s="60" t="s">
        <v>562</v>
      </c>
      <c r="F2230" s="60" t="s">
        <v>563</v>
      </c>
      <c r="G2230" s="73" t="s">
        <v>4851</v>
      </c>
      <c r="H2230" s="62" t="s">
        <v>6929</v>
      </c>
      <c r="I2230" s="62" t="s">
        <v>6930</v>
      </c>
      <c r="J2230" s="242" t="s">
        <v>567</v>
      </c>
      <c r="K2230" s="38"/>
      <c r="L2230" s="38"/>
      <c r="M2230" s="56"/>
      <c r="N2230" s="56" t="b">
        <v>0</v>
      </c>
      <c r="O2230" s="56" t="b">
        <v>0</v>
      </c>
      <c r="P2230" s="56"/>
      <c r="Q2230" s="56"/>
      <c r="R2230" s="56"/>
      <c r="S2230" s="56"/>
      <c r="T2230" s="56"/>
      <c r="U2230" s="56"/>
      <c r="V2230" s="56"/>
      <c r="W2230" s="56"/>
      <c r="X2230" s="56"/>
      <c r="Y2230" s="56"/>
      <c r="Z2230" s="56"/>
      <c r="AA2230" s="56"/>
      <c r="AB2230" s="56"/>
    </row>
    <row r="2231" ht="15.75" customHeight="1">
      <c r="A2231" s="169"/>
      <c r="B2231" s="63"/>
      <c r="C2231" s="22" t="s">
        <v>131</v>
      </c>
      <c r="D2231" s="62" t="s">
        <v>52</v>
      </c>
      <c r="E2231" s="60" t="s">
        <v>3913</v>
      </c>
      <c r="F2231" s="60" t="s">
        <v>3914</v>
      </c>
      <c r="G2231" s="73" t="s">
        <v>4887</v>
      </c>
      <c r="H2231" s="62" t="s">
        <v>5017</v>
      </c>
      <c r="I2231" s="62" t="s">
        <v>6931</v>
      </c>
      <c r="J2231" s="338" t="s">
        <v>6932</v>
      </c>
      <c r="K2231" s="38"/>
      <c r="L2231" s="38"/>
      <c r="M2231" s="56"/>
      <c r="N2231" s="56" t="b">
        <v>0</v>
      </c>
      <c r="O2231" s="56" t="b">
        <v>0</v>
      </c>
      <c r="P2231" s="56"/>
      <c r="Q2231" s="56"/>
      <c r="R2231" s="56"/>
      <c r="S2231" s="56"/>
      <c r="T2231" s="56"/>
      <c r="U2231" s="56"/>
      <c r="V2231" s="56"/>
      <c r="W2231" s="56"/>
      <c r="X2231" s="56"/>
      <c r="Y2231" s="56"/>
      <c r="Z2231" s="56"/>
      <c r="AA2231" s="56"/>
      <c r="AB2231" s="56"/>
    </row>
    <row r="2232" ht="15.75" customHeight="1">
      <c r="A2232" s="169"/>
      <c r="B2232" s="63"/>
      <c r="C2232" s="22" t="s">
        <v>131</v>
      </c>
      <c r="D2232" s="62" t="s">
        <v>52</v>
      </c>
      <c r="E2232" s="60" t="s">
        <v>4687</v>
      </c>
      <c r="F2232" s="60" t="s">
        <v>4688</v>
      </c>
      <c r="G2232" s="73" t="s">
        <v>4892</v>
      </c>
      <c r="H2232" s="62" t="s">
        <v>5014</v>
      </c>
      <c r="I2232" s="62" t="s">
        <v>6933</v>
      </c>
      <c r="J2232" s="242" t="s">
        <v>4690</v>
      </c>
      <c r="K2232" s="38"/>
      <c r="L2232" s="38"/>
      <c r="M2232" s="56"/>
      <c r="N2232" s="56" t="b">
        <v>0</v>
      </c>
      <c r="O2232" s="56" t="b">
        <v>0</v>
      </c>
      <c r="P2232" s="56"/>
      <c r="Q2232" s="56"/>
      <c r="R2232" s="56"/>
      <c r="S2232" s="56"/>
      <c r="T2232" s="56"/>
      <c r="U2232" s="56"/>
      <c r="V2232" s="56"/>
      <c r="W2232" s="56"/>
      <c r="X2232" s="56"/>
      <c r="Y2232" s="56"/>
      <c r="Z2232" s="56"/>
      <c r="AA2232" s="56"/>
      <c r="AB2232" s="56"/>
    </row>
    <row r="2233" ht="15.75" customHeight="1">
      <c r="A2233" s="169"/>
      <c r="B2233" s="63"/>
      <c r="C2233" s="22" t="s">
        <v>131</v>
      </c>
      <c r="D2233" s="38"/>
      <c r="E2233" s="38"/>
      <c r="F2233" s="65"/>
      <c r="G2233" s="66"/>
      <c r="H2233" s="38"/>
      <c r="I2233" s="38"/>
      <c r="J2233" s="38"/>
      <c r="K2233" s="38"/>
      <c r="L2233" s="38"/>
      <c r="M2233" s="56"/>
      <c r="N2233" s="56" t="b">
        <v>0</v>
      </c>
      <c r="O2233" s="56" t="b">
        <v>0</v>
      </c>
      <c r="P2233" s="56"/>
      <c r="Q2233" s="56"/>
      <c r="R2233" s="56"/>
      <c r="S2233" s="56"/>
      <c r="T2233" s="56"/>
      <c r="U2233" s="56"/>
      <c r="V2233" s="56"/>
      <c r="W2233" s="56"/>
      <c r="X2233" s="56"/>
      <c r="Y2233" s="56"/>
      <c r="Z2233" s="56"/>
      <c r="AA2233" s="56"/>
      <c r="AB2233" s="56"/>
    </row>
    <row r="2234" ht="15.75" customHeight="1">
      <c r="A2234" s="169"/>
      <c r="B2234" s="69"/>
      <c r="C2234" s="22" t="s">
        <v>131</v>
      </c>
      <c r="D2234" s="38"/>
      <c r="E2234" s="38"/>
      <c r="F2234" s="65"/>
      <c r="G2234" s="66"/>
      <c r="H2234" s="38"/>
      <c r="I2234" s="38"/>
      <c r="J2234" s="38"/>
      <c r="K2234" s="38"/>
      <c r="L2234" s="38"/>
      <c r="M2234" s="56"/>
      <c r="N2234" s="56" t="b">
        <v>0</v>
      </c>
      <c r="O2234" s="56" t="b">
        <v>0</v>
      </c>
      <c r="P2234" s="56"/>
      <c r="Q2234" s="56"/>
      <c r="R2234" s="56"/>
      <c r="S2234" s="56"/>
      <c r="T2234" s="56"/>
      <c r="U2234" s="56"/>
      <c r="V2234" s="56"/>
      <c r="W2234" s="56"/>
      <c r="X2234" s="56"/>
      <c r="Y2234" s="56"/>
      <c r="Z2234" s="56"/>
      <c r="AA2234" s="56"/>
      <c r="AB2234" s="56"/>
    </row>
    <row r="2235" ht="15.75" customHeight="1">
      <c r="A2235" s="169"/>
      <c r="B2235" s="299"/>
      <c r="C2235" s="220">
        <v>44644.0</v>
      </c>
      <c r="D2235" s="318"/>
      <c r="E2235" s="67"/>
      <c r="F2235" s="67"/>
      <c r="G2235" s="66"/>
      <c r="H2235" s="38"/>
      <c r="I2235" s="38"/>
      <c r="J2235" s="38"/>
      <c r="K2235" s="38"/>
      <c r="L2235" s="38"/>
      <c r="M2235" s="56"/>
      <c r="N2235" s="56" t="b">
        <v>0</v>
      </c>
      <c r="O2235" s="56" t="b">
        <v>0</v>
      </c>
      <c r="P2235" s="56"/>
      <c r="Q2235" s="56"/>
      <c r="R2235" s="56"/>
      <c r="S2235" s="56"/>
      <c r="T2235" s="56"/>
      <c r="U2235" s="56"/>
      <c r="V2235" s="56"/>
      <c r="W2235" s="56"/>
      <c r="X2235" s="56"/>
      <c r="Y2235" s="56"/>
      <c r="Z2235" s="56"/>
      <c r="AA2235" s="56"/>
      <c r="AB2235" s="56"/>
    </row>
    <row r="2236" ht="15.75" customHeight="1">
      <c r="A2236" s="169"/>
      <c r="B2236" s="320" t="s">
        <v>6168</v>
      </c>
      <c r="C2236" s="22" t="s">
        <v>66</v>
      </c>
      <c r="D2236" s="160" t="s">
        <v>329</v>
      </c>
      <c r="E2236" s="77" t="s">
        <v>3771</v>
      </c>
      <c r="F2236" s="77" t="s">
        <v>3772</v>
      </c>
      <c r="G2236" s="82" t="s">
        <v>5134</v>
      </c>
      <c r="H2236" s="76" t="s">
        <v>5807</v>
      </c>
      <c r="I2236" s="76" t="s">
        <v>6934</v>
      </c>
      <c r="J2236" s="203" t="s">
        <v>3774</v>
      </c>
      <c r="K2236" s="38" t="s">
        <v>6935</v>
      </c>
      <c r="L2236" s="38"/>
      <c r="M2236" s="56"/>
      <c r="N2236" s="56" t="b">
        <v>0</v>
      </c>
      <c r="O2236" s="56" t="b">
        <v>0</v>
      </c>
      <c r="P2236" s="56"/>
      <c r="Q2236" s="56"/>
      <c r="R2236" s="56"/>
      <c r="S2236" s="56"/>
      <c r="T2236" s="56"/>
      <c r="U2236" s="56"/>
      <c r="V2236" s="56"/>
      <c r="W2236" s="56"/>
      <c r="X2236" s="56"/>
      <c r="Y2236" s="56"/>
      <c r="Z2236" s="56"/>
      <c r="AA2236" s="56"/>
      <c r="AB2236" s="56"/>
    </row>
    <row r="2237" ht="15.75" customHeight="1">
      <c r="A2237" s="169"/>
      <c r="B2237" s="63"/>
      <c r="C2237" s="22" t="s">
        <v>66</v>
      </c>
      <c r="D2237" s="160" t="s">
        <v>329</v>
      </c>
      <c r="E2237" s="77" t="s">
        <v>4096</v>
      </c>
      <c r="F2237" s="77" t="s">
        <v>4097</v>
      </c>
      <c r="G2237" s="82" t="s">
        <v>5160</v>
      </c>
      <c r="H2237" s="76" t="s">
        <v>4880</v>
      </c>
      <c r="I2237" s="76" t="s">
        <v>6910</v>
      </c>
      <c r="J2237" s="203" t="s">
        <v>4099</v>
      </c>
      <c r="K2237" s="38" t="s">
        <v>6936</v>
      </c>
      <c r="L2237" s="38"/>
      <c r="M2237" s="56"/>
      <c r="N2237" s="56" t="b">
        <v>0</v>
      </c>
      <c r="O2237" s="56" t="b">
        <v>0</v>
      </c>
      <c r="P2237" s="56"/>
      <c r="Q2237" s="56"/>
      <c r="R2237" s="56"/>
      <c r="S2237" s="56"/>
      <c r="T2237" s="56"/>
      <c r="U2237" s="56"/>
      <c r="V2237" s="56"/>
      <c r="W2237" s="56"/>
      <c r="X2237" s="56"/>
      <c r="Y2237" s="56"/>
      <c r="Z2237" s="56"/>
      <c r="AA2237" s="56"/>
      <c r="AB2237" s="56"/>
    </row>
    <row r="2238" ht="15.75" customHeight="1">
      <c r="A2238" s="169"/>
      <c r="B2238" s="63"/>
      <c r="C2238" s="22" t="s">
        <v>66</v>
      </c>
      <c r="D2238" s="71" t="s">
        <v>329</v>
      </c>
      <c r="E2238" s="60" t="s">
        <v>4657</v>
      </c>
      <c r="F2238" s="60" t="s">
        <v>4658</v>
      </c>
      <c r="G2238" s="73" t="s">
        <v>4858</v>
      </c>
      <c r="H2238" s="62" t="s">
        <v>4884</v>
      </c>
      <c r="I2238" s="62" t="s">
        <v>6937</v>
      </c>
      <c r="J2238" s="62" t="s">
        <v>4660</v>
      </c>
      <c r="K2238" s="38"/>
      <c r="L2238" s="38"/>
      <c r="M2238" s="56"/>
      <c r="N2238" s="56" t="b">
        <v>0</v>
      </c>
      <c r="O2238" s="56" t="b">
        <v>0</v>
      </c>
      <c r="P2238" s="56"/>
      <c r="Q2238" s="56"/>
      <c r="R2238" s="56"/>
      <c r="S2238" s="56"/>
      <c r="T2238" s="56"/>
      <c r="U2238" s="56"/>
      <c r="V2238" s="56"/>
      <c r="W2238" s="56"/>
      <c r="X2238" s="56"/>
      <c r="Y2238" s="56"/>
      <c r="Z2238" s="56"/>
      <c r="AA2238" s="56"/>
      <c r="AB2238" s="56"/>
    </row>
    <row r="2239" ht="15.75" customHeight="1">
      <c r="A2239" s="169"/>
      <c r="B2239" s="63"/>
      <c r="C2239" s="22" t="s">
        <v>66</v>
      </c>
      <c r="D2239" s="160" t="s">
        <v>329</v>
      </c>
      <c r="E2239" s="203" t="s">
        <v>2340</v>
      </c>
      <c r="F2239" s="203" t="s">
        <v>2341</v>
      </c>
      <c r="G2239" s="82" t="s">
        <v>5089</v>
      </c>
      <c r="H2239" s="76" t="s">
        <v>5619</v>
      </c>
      <c r="I2239" s="76" t="s">
        <v>6938</v>
      </c>
      <c r="J2239" s="203" t="s">
        <v>2343</v>
      </c>
      <c r="K2239" s="38" t="s">
        <v>6939</v>
      </c>
      <c r="L2239" s="38"/>
      <c r="M2239" s="56"/>
      <c r="N2239" s="56" t="b">
        <v>0</v>
      </c>
      <c r="O2239" s="56" t="b">
        <v>0</v>
      </c>
      <c r="P2239" s="56"/>
      <c r="Q2239" s="56"/>
      <c r="R2239" s="56"/>
      <c r="S2239" s="56"/>
      <c r="T2239" s="56"/>
      <c r="U2239" s="56"/>
      <c r="V2239" s="56"/>
      <c r="W2239" s="56"/>
      <c r="X2239" s="56"/>
      <c r="Y2239" s="56"/>
      <c r="Z2239" s="56"/>
      <c r="AA2239" s="56"/>
      <c r="AB2239" s="56"/>
    </row>
    <row r="2240" ht="15.75" customHeight="1">
      <c r="A2240" s="169"/>
      <c r="B2240" s="63"/>
      <c r="C2240" s="22" t="s">
        <v>66</v>
      </c>
      <c r="D2240" s="38"/>
      <c r="E2240" s="38"/>
      <c r="F2240" s="65"/>
      <c r="G2240" s="66"/>
      <c r="H2240" s="38"/>
      <c r="I2240" s="38"/>
      <c r="J2240" s="38"/>
      <c r="K2240" s="38"/>
      <c r="L2240" s="38"/>
      <c r="M2240" s="56"/>
      <c r="N2240" s="56" t="b">
        <v>0</v>
      </c>
      <c r="O2240" s="56" t="b">
        <v>0</v>
      </c>
      <c r="P2240" s="56"/>
      <c r="Q2240" s="56"/>
      <c r="R2240" s="56"/>
      <c r="S2240" s="56"/>
      <c r="T2240" s="56"/>
      <c r="U2240" s="56"/>
      <c r="V2240" s="56"/>
      <c r="W2240" s="56"/>
      <c r="X2240" s="56"/>
      <c r="Y2240" s="56"/>
      <c r="Z2240" s="56"/>
      <c r="AA2240" s="56"/>
      <c r="AB2240" s="56"/>
    </row>
    <row r="2241" ht="15.75" customHeight="1">
      <c r="A2241" s="169"/>
      <c r="B2241" s="69"/>
      <c r="C2241" s="22" t="s">
        <v>66</v>
      </c>
      <c r="D2241" s="38"/>
      <c r="E2241" s="38"/>
      <c r="F2241" s="65"/>
      <c r="G2241" s="66"/>
      <c r="H2241" s="38"/>
      <c r="I2241" s="38"/>
      <c r="J2241" s="38"/>
      <c r="K2241" s="38"/>
      <c r="L2241" s="38"/>
      <c r="M2241" s="56"/>
      <c r="N2241" s="56" t="b">
        <v>0</v>
      </c>
      <c r="O2241" s="56" t="b">
        <v>0</v>
      </c>
      <c r="P2241" s="56"/>
      <c r="Q2241" s="56"/>
      <c r="R2241" s="56"/>
      <c r="S2241" s="56"/>
      <c r="T2241" s="56"/>
      <c r="U2241" s="56"/>
      <c r="V2241" s="56"/>
      <c r="W2241" s="56"/>
      <c r="X2241" s="56"/>
      <c r="Y2241" s="56"/>
      <c r="Z2241" s="56"/>
      <c r="AA2241" s="56"/>
      <c r="AB2241" s="56"/>
    </row>
    <row r="2242" ht="15.75" customHeight="1">
      <c r="A2242" s="169"/>
      <c r="B2242" s="320" t="s">
        <v>6848</v>
      </c>
      <c r="C2242" s="22"/>
      <c r="D2242" s="38"/>
      <c r="E2242" s="38"/>
      <c r="F2242" s="65"/>
      <c r="G2242" s="66"/>
      <c r="H2242" s="38"/>
      <c r="I2242" s="38"/>
      <c r="J2242" s="38"/>
      <c r="K2242" s="38"/>
      <c r="L2242" s="38"/>
      <c r="M2242" s="56"/>
      <c r="N2242" s="56" t="b">
        <v>0</v>
      </c>
      <c r="O2242" s="56" t="b">
        <v>0</v>
      </c>
      <c r="P2242" s="56"/>
      <c r="Q2242" s="56"/>
      <c r="R2242" s="56"/>
      <c r="S2242" s="56"/>
      <c r="T2242" s="56"/>
      <c r="U2242" s="56"/>
      <c r="V2242" s="56"/>
      <c r="W2242" s="56"/>
      <c r="X2242" s="56"/>
      <c r="Y2242" s="56"/>
      <c r="Z2242" s="56"/>
      <c r="AA2242" s="56"/>
      <c r="AB2242" s="56"/>
    </row>
    <row r="2243" ht="15.75" customHeight="1">
      <c r="A2243" s="169"/>
      <c r="B2243" s="63"/>
      <c r="C2243" s="22" t="s">
        <v>131</v>
      </c>
      <c r="D2243" s="38"/>
      <c r="E2243" s="38"/>
      <c r="F2243" s="65"/>
      <c r="G2243" s="66"/>
      <c r="H2243" s="38"/>
      <c r="I2243" s="38"/>
      <c r="J2243" s="38"/>
      <c r="K2243" s="38"/>
      <c r="L2243" s="38"/>
      <c r="M2243" s="56"/>
      <c r="N2243" s="56" t="b">
        <v>0</v>
      </c>
      <c r="O2243" s="56" t="b">
        <v>0</v>
      </c>
      <c r="P2243" s="56"/>
      <c r="Q2243" s="56"/>
      <c r="R2243" s="56"/>
      <c r="S2243" s="56"/>
      <c r="T2243" s="56"/>
      <c r="U2243" s="56"/>
      <c r="V2243" s="56"/>
      <c r="W2243" s="56"/>
      <c r="X2243" s="56"/>
      <c r="Y2243" s="56"/>
      <c r="Z2243" s="56"/>
      <c r="AA2243" s="56"/>
      <c r="AB2243" s="56"/>
    </row>
    <row r="2244" ht="15.75" customHeight="1">
      <c r="A2244" s="169"/>
      <c r="B2244" s="63"/>
      <c r="C2244" s="22" t="s">
        <v>131</v>
      </c>
      <c r="D2244" s="38"/>
      <c r="E2244" s="162" t="s">
        <v>5784</v>
      </c>
      <c r="F2244" s="339"/>
      <c r="G2244" s="155"/>
      <c r="H2244" s="38"/>
      <c r="I2244" s="38"/>
      <c r="J2244" s="38"/>
      <c r="K2244" s="38"/>
      <c r="L2244" s="38"/>
      <c r="M2244" s="56"/>
      <c r="N2244" s="56" t="b">
        <v>0</v>
      </c>
      <c r="O2244" s="56" t="b">
        <v>0</v>
      </c>
      <c r="P2244" s="56"/>
      <c r="Q2244" s="56"/>
      <c r="R2244" s="56"/>
      <c r="S2244" s="56"/>
      <c r="T2244" s="56"/>
      <c r="U2244" s="56"/>
      <c r="V2244" s="56"/>
      <c r="W2244" s="56"/>
      <c r="X2244" s="56"/>
      <c r="Y2244" s="56"/>
      <c r="Z2244" s="56"/>
      <c r="AA2244" s="56"/>
      <c r="AB2244" s="56"/>
    </row>
    <row r="2245" ht="15.75" customHeight="1">
      <c r="A2245" s="169"/>
      <c r="B2245" s="63"/>
      <c r="C2245" s="22" t="s">
        <v>131</v>
      </c>
      <c r="D2245" s="38"/>
      <c r="E2245" s="156"/>
      <c r="G2245" s="157"/>
      <c r="H2245" s="38"/>
      <c r="I2245" s="38"/>
      <c r="J2245" s="38"/>
      <c r="K2245" s="38"/>
      <c r="L2245" s="38"/>
      <c r="M2245" s="56"/>
      <c r="N2245" s="56" t="b">
        <v>0</v>
      </c>
      <c r="O2245" s="56" t="b">
        <v>0</v>
      </c>
      <c r="P2245" s="56"/>
      <c r="Q2245" s="56"/>
      <c r="R2245" s="56"/>
      <c r="S2245" s="56"/>
      <c r="T2245" s="56"/>
      <c r="U2245" s="56"/>
      <c r="V2245" s="56"/>
      <c r="W2245" s="56"/>
      <c r="X2245" s="56"/>
      <c r="Y2245" s="56"/>
      <c r="Z2245" s="56"/>
      <c r="AA2245" s="56"/>
      <c r="AB2245" s="56"/>
    </row>
    <row r="2246" ht="15.75" customHeight="1">
      <c r="A2246" s="169"/>
      <c r="B2246" s="63"/>
      <c r="C2246" s="22" t="s">
        <v>131</v>
      </c>
      <c r="D2246" s="38"/>
      <c r="E2246" s="158"/>
      <c r="F2246" s="340"/>
      <c r="G2246" s="159"/>
      <c r="H2246" s="38"/>
      <c r="I2246" s="38"/>
      <c r="J2246" s="38"/>
      <c r="K2246" s="38"/>
      <c r="L2246" s="38"/>
      <c r="M2246" s="56"/>
      <c r="N2246" s="56" t="b">
        <v>0</v>
      </c>
      <c r="O2246" s="56" t="b">
        <v>0</v>
      </c>
      <c r="P2246" s="56"/>
      <c r="Q2246" s="56"/>
      <c r="R2246" s="56"/>
      <c r="S2246" s="56"/>
      <c r="T2246" s="56"/>
      <c r="U2246" s="56"/>
      <c r="V2246" s="56"/>
      <c r="W2246" s="56"/>
      <c r="X2246" s="56"/>
      <c r="Y2246" s="56"/>
      <c r="Z2246" s="56"/>
      <c r="AA2246" s="56"/>
      <c r="AB2246" s="56"/>
    </row>
    <row r="2247" ht="15.75" customHeight="1">
      <c r="A2247" s="169"/>
      <c r="B2247" s="63"/>
      <c r="C2247" s="22" t="s">
        <v>131</v>
      </c>
      <c r="D2247" s="38"/>
      <c r="E2247" s="38"/>
      <c r="F2247" s="65"/>
      <c r="G2247" s="66"/>
      <c r="H2247" s="38"/>
      <c r="I2247" s="38"/>
      <c r="J2247" s="38"/>
      <c r="K2247" s="38"/>
      <c r="L2247" s="38"/>
      <c r="M2247" s="56"/>
      <c r="N2247" s="56" t="b">
        <v>0</v>
      </c>
      <c r="O2247" s="56" t="b">
        <v>0</v>
      </c>
      <c r="P2247" s="56"/>
      <c r="Q2247" s="56"/>
      <c r="R2247" s="56"/>
      <c r="S2247" s="56"/>
      <c r="T2247" s="56"/>
      <c r="U2247" s="56"/>
      <c r="V2247" s="56"/>
      <c r="W2247" s="56"/>
      <c r="X2247" s="56"/>
      <c r="Y2247" s="56"/>
      <c r="Z2247" s="56"/>
      <c r="AA2247" s="56"/>
      <c r="AB2247" s="56"/>
    </row>
    <row r="2248" ht="15.75" customHeight="1">
      <c r="A2248" s="169"/>
      <c r="B2248" s="69"/>
      <c r="C2248" s="22" t="s">
        <v>131</v>
      </c>
      <c r="D2248" s="38"/>
      <c r="E2248" s="38"/>
      <c r="F2248" s="65"/>
      <c r="G2248" s="66"/>
      <c r="H2248" s="38"/>
      <c r="I2248" s="38"/>
      <c r="J2248" s="38"/>
      <c r="K2248" s="38"/>
      <c r="L2248" s="38"/>
      <c r="M2248" s="56"/>
      <c r="N2248" s="56" t="b">
        <v>0</v>
      </c>
      <c r="O2248" s="56" t="b">
        <v>0</v>
      </c>
      <c r="P2248" s="56"/>
      <c r="Q2248" s="56"/>
      <c r="R2248" s="56"/>
      <c r="S2248" s="56"/>
      <c r="T2248" s="56"/>
      <c r="U2248" s="56"/>
      <c r="V2248" s="56"/>
      <c r="W2248" s="56"/>
      <c r="X2248" s="56"/>
      <c r="Y2248" s="56"/>
      <c r="Z2248" s="56"/>
      <c r="AA2248" s="56"/>
      <c r="AB2248" s="56"/>
    </row>
    <row r="2249" ht="15.75" customHeight="1">
      <c r="A2249" s="169"/>
      <c r="B2249" s="299"/>
      <c r="C2249" s="220">
        <v>44645.0</v>
      </c>
      <c r="D2249" s="38"/>
      <c r="E2249" s="38"/>
      <c r="F2249" s="341" t="s">
        <v>6940</v>
      </c>
      <c r="G2249" s="342"/>
      <c r="H2249" s="343"/>
      <c r="I2249" s="38"/>
      <c r="J2249" s="38"/>
      <c r="K2249" s="38"/>
      <c r="L2249" s="38"/>
      <c r="M2249" s="56"/>
      <c r="N2249" s="56" t="b">
        <v>0</v>
      </c>
      <c r="O2249" s="56" t="b">
        <v>0</v>
      </c>
      <c r="P2249" s="56"/>
      <c r="Q2249" s="56"/>
      <c r="R2249" s="56"/>
      <c r="S2249" s="56"/>
      <c r="T2249" s="56"/>
      <c r="U2249" s="56"/>
      <c r="V2249" s="56"/>
      <c r="W2249" s="56"/>
      <c r="X2249" s="56"/>
      <c r="Y2249" s="56"/>
      <c r="Z2249" s="56"/>
      <c r="AA2249" s="56"/>
      <c r="AB2249" s="56"/>
    </row>
    <row r="2250" ht="15.75" customHeight="1">
      <c r="A2250" s="169"/>
      <c r="B2250" s="320" t="s">
        <v>6168</v>
      </c>
      <c r="C2250" s="22" t="s">
        <v>66</v>
      </c>
      <c r="D2250" s="160" t="s">
        <v>329</v>
      </c>
      <c r="E2250" s="76" t="s">
        <v>6941</v>
      </c>
      <c r="F2250" s="160" t="s">
        <v>6942</v>
      </c>
      <c r="G2250" s="82" t="s">
        <v>4851</v>
      </c>
      <c r="H2250" s="76" t="s">
        <v>6943</v>
      </c>
      <c r="I2250" s="76" t="s">
        <v>6944</v>
      </c>
      <c r="J2250" s="76" t="s">
        <v>6945</v>
      </c>
      <c r="K2250" s="38"/>
      <c r="L2250" s="38"/>
      <c r="M2250" s="56"/>
      <c r="N2250" s="56" t="b">
        <v>0</v>
      </c>
      <c r="O2250" s="56" t="b">
        <v>0</v>
      </c>
      <c r="P2250" s="56"/>
      <c r="Q2250" s="56"/>
      <c r="R2250" s="56"/>
      <c r="S2250" s="56"/>
      <c r="T2250" s="56"/>
      <c r="U2250" s="56"/>
      <c r="V2250" s="56"/>
      <c r="W2250" s="56"/>
      <c r="X2250" s="56"/>
      <c r="Y2250" s="56"/>
      <c r="Z2250" s="56"/>
      <c r="AA2250" s="56"/>
      <c r="AB2250" s="56"/>
    </row>
    <row r="2251" ht="15.75" customHeight="1">
      <c r="A2251" s="169"/>
      <c r="B2251" s="63"/>
      <c r="C2251" s="22" t="s">
        <v>66</v>
      </c>
      <c r="D2251" s="76" t="s">
        <v>267</v>
      </c>
      <c r="E2251" s="77" t="s">
        <v>3148</v>
      </c>
      <c r="F2251" s="203" t="s">
        <v>3149</v>
      </c>
      <c r="G2251" s="82" t="s">
        <v>4887</v>
      </c>
      <c r="H2251" s="203" t="s">
        <v>5548</v>
      </c>
      <c r="I2251" s="77" t="s">
        <v>6946</v>
      </c>
      <c r="J2251" s="203" t="s">
        <v>3151</v>
      </c>
      <c r="K2251" s="38" t="s">
        <v>6947</v>
      </c>
      <c r="L2251" s="38"/>
      <c r="M2251" s="56"/>
      <c r="N2251" s="56" t="b">
        <v>0</v>
      </c>
      <c r="O2251" s="56" t="b">
        <v>0</v>
      </c>
      <c r="P2251" s="56"/>
      <c r="Q2251" s="56"/>
      <c r="R2251" s="56"/>
      <c r="S2251" s="56"/>
      <c r="T2251" s="56"/>
      <c r="U2251" s="56"/>
      <c r="V2251" s="56"/>
      <c r="W2251" s="56"/>
      <c r="X2251" s="56"/>
      <c r="Y2251" s="56"/>
      <c r="Z2251" s="56"/>
      <c r="AA2251" s="56"/>
      <c r="AB2251" s="56"/>
    </row>
    <row r="2252" ht="15.75" customHeight="1">
      <c r="A2252" s="169"/>
      <c r="B2252" s="63"/>
      <c r="C2252" s="22" t="s">
        <v>66</v>
      </c>
      <c r="D2252" s="76" t="s">
        <v>267</v>
      </c>
      <c r="E2252" s="77" t="s">
        <v>1280</v>
      </c>
      <c r="F2252" s="77" t="s">
        <v>1281</v>
      </c>
      <c r="G2252" s="82" t="s">
        <v>4896</v>
      </c>
      <c r="H2252" s="77" t="s">
        <v>4984</v>
      </c>
      <c r="I2252" s="77" t="s">
        <v>6948</v>
      </c>
      <c r="J2252" s="77" t="s">
        <v>1284</v>
      </c>
      <c r="K2252" s="38" t="s">
        <v>6949</v>
      </c>
      <c r="L2252" s="38"/>
      <c r="M2252" s="56"/>
      <c r="N2252" s="56" t="b">
        <v>0</v>
      </c>
      <c r="O2252" s="56" t="b">
        <v>0</v>
      </c>
      <c r="P2252" s="56"/>
      <c r="Q2252" s="56"/>
      <c r="R2252" s="56"/>
      <c r="S2252" s="56"/>
      <c r="T2252" s="56"/>
      <c r="U2252" s="56"/>
      <c r="V2252" s="56"/>
      <c r="W2252" s="56"/>
      <c r="X2252" s="56"/>
      <c r="Y2252" s="56"/>
      <c r="Z2252" s="56"/>
      <c r="AA2252" s="56"/>
      <c r="AB2252" s="56"/>
    </row>
    <row r="2253" ht="15.75" customHeight="1">
      <c r="A2253" s="169"/>
      <c r="B2253" s="63"/>
      <c r="C2253" s="22" t="s">
        <v>66</v>
      </c>
      <c r="D2253" s="76" t="s">
        <v>267</v>
      </c>
      <c r="E2253" s="203" t="s">
        <v>3051</v>
      </c>
      <c r="F2253" s="77" t="s">
        <v>3052</v>
      </c>
      <c r="G2253" s="82" t="s">
        <v>4899</v>
      </c>
      <c r="H2253" s="203" t="s">
        <v>5548</v>
      </c>
      <c r="I2253" s="77" t="s">
        <v>6950</v>
      </c>
      <c r="J2253" s="203" t="s">
        <v>3054</v>
      </c>
      <c r="K2253" s="38" t="s">
        <v>6951</v>
      </c>
      <c r="L2253" s="38"/>
      <c r="M2253" s="56"/>
      <c r="N2253" s="56" t="b">
        <v>0</v>
      </c>
      <c r="O2253" s="56" t="b">
        <v>0</v>
      </c>
      <c r="P2253" s="56"/>
      <c r="Q2253" s="56"/>
      <c r="R2253" s="56"/>
      <c r="S2253" s="56"/>
      <c r="T2253" s="56"/>
      <c r="U2253" s="56"/>
      <c r="V2253" s="56"/>
      <c r="W2253" s="56"/>
      <c r="X2253" s="56"/>
      <c r="Y2253" s="56"/>
      <c r="Z2253" s="56"/>
      <c r="AA2253" s="56"/>
      <c r="AB2253" s="56"/>
    </row>
    <row r="2254" ht="15.75" customHeight="1">
      <c r="A2254" s="169"/>
      <c r="B2254" s="63"/>
      <c r="C2254" s="22" t="s">
        <v>66</v>
      </c>
      <c r="D2254" s="38"/>
      <c r="E2254" s="38"/>
      <c r="F2254" s="65"/>
      <c r="G2254" s="66"/>
      <c r="H2254" s="38"/>
      <c r="I2254" s="38"/>
      <c r="J2254" s="38"/>
      <c r="K2254" s="38"/>
      <c r="L2254" s="38"/>
      <c r="M2254" s="56"/>
      <c r="N2254" s="56" t="b">
        <v>0</v>
      </c>
      <c r="O2254" s="56" t="b">
        <v>0</v>
      </c>
      <c r="P2254" s="56"/>
      <c r="Q2254" s="56"/>
      <c r="R2254" s="56"/>
      <c r="S2254" s="56"/>
      <c r="T2254" s="56"/>
      <c r="U2254" s="56"/>
      <c r="V2254" s="56"/>
      <c r="W2254" s="56"/>
      <c r="X2254" s="56"/>
      <c r="Y2254" s="56"/>
      <c r="Z2254" s="56"/>
      <c r="AA2254" s="56"/>
      <c r="AB2254" s="56"/>
    </row>
    <row r="2255" ht="15.75" customHeight="1">
      <c r="A2255" s="169"/>
      <c r="B2255" s="69"/>
      <c r="C2255" s="22" t="s">
        <v>66</v>
      </c>
      <c r="D2255" s="38"/>
      <c r="E2255" s="38"/>
      <c r="F2255" s="65"/>
      <c r="G2255" s="66"/>
      <c r="H2255" s="38"/>
      <c r="I2255" s="38"/>
      <c r="J2255" s="38"/>
      <c r="K2255" s="38"/>
      <c r="L2255" s="38"/>
      <c r="M2255" s="56"/>
      <c r="N2255" s="56" t="b">
        <v>0</v>
      </c>
      <c r="O2255" s="56" t="b">
        <v>0</v>
      </c>
      <c r="P2255" s="56"/>
      <c r="Q2255" s="56"/>
      <c r="R2255" s="56"/>
      <c r="S2255" s="56"/>
      <c r="T2255" s="56"/>
      <c r="U2255" s="56"/>
      <c r="V2255" s="56"/>
      <c r="W2255" s="56"/>
      <c r="X2255" s="56"/>
      <c r="Y2255" s="56"/>
      <c r="Z2255" s="56"/>
      <c r="AA2255" s="56"/>
      <c r="AB2255" s="56"/>
    </row>
    <row r="2256" ht="15.75" customHeight="1">
      <c r="A2256" s="169"/>
      <c r="B2256" s="320" t="s">
        <v>6848</v>
      </c>
      <c r="C2256" s="22"/>
      <c r="D2256" s="38"/>
      <c r="E2256" s="38"/>
      <c r="F2256" s="65"/>
      <c r="G2256" s="66"/>
      <c r="H2256" s="38"/>
      <c r="I2256" s="38"/>
      <c r="J2256" s="38"/>
      <c r="K2256" s="38"/>
      <c r="L2256" s="38"/>
      <c r="M2256" s="56"/>
      <c r="N2256" s="56" t="b">
        <v>0</v>
      </c>
      <c r="O2256" s="56" t="b">
        <v>0</v>
      </c>
      <c r="P2256" s="56"/>
      <c r="Q2256" s="56"/>
      <c r="R2256" s="56"/>
      <c r="S2256" s="56"/>
      <c r="T2256" s="56"/>
      <c r="U2256" s="56"/>
      <c r="V2256" s="56"/>
      <c r="W2256" s="56"/>
      <c r="X2256" s="56"/>
      <c r="Y2256" s="56"/>
      <c r="Z2256" s="56"/>
      <c r="AA2256" s="56"/>
      <c r="AB2256" s="56"/>
    </row>
    <row r="2257" ht="15.75" customHeight="1">
      <c r="A2257" s="169"/>
      <c r="B2257" s="63"/>
      <c r="C2257" s="22" t="s">
        <v>131</v>
      </c>
      <c r="D2257" s="38"/>
      <c r="E2257" s="330" t="s">
        <v>6862</v>
      </c>
      <c r="F2257" s="55"/>
      <c r="G2257" s="344" t="s">
        <v>6952</v>
      </c>
      <c r="H2257" s="38"/>
      <c r="I2257" s="38"/>
      <c r="J2257" s="38"/>
      <c r="K2257" s="38"/>
      <c r="L2257" s="38"/>
      <c r="M2257" s="56"/>
      <c r="N2257" s="56" t="b">
        <v>0</v>
      </c>
      <c r="O2257" s="56" t="b">
        <v>0</v>
      </c>
      <c r="P2257" s="56"/>
      <c r="Q2257" s="56"/>
      <c r="R2257" s="56"/>
      <c r="S2257" s="56"/>
      <c r="T2257" s="56"/>
      <c r="U2257" s="56"/>
      <c r="V2257" s="56"/>
      <c r="W2257" s="56"/>
      <c r="X2257" s="56"/>
      <c r="Y2257" s="56"/>
      <c r="Z2257" s="56"/>
      <c r="AA2257" s="56"/>
      <c r="AB2257" s="56"/>
    </row>
    <row r="2258" ht="15.75" customHeight="1">
      <c r="A2258" s="169"/>
      <c r="B2258" s="63"/>
      <c r="C2258" s="22" t="s">
        <v>131</v>
      </c>
      <c r="D2258" s="38"/>
      <c r="E2258" s="38"/>
      <c r="F2258" s="65"/>
      <c r="G2258" s="66"/>
      <c r="H2258" s="38"/>
      <c r="I2258" s="38"/>
      <c r="J2258" s="38"/>
      <c r="K2258" s="38"/>
      <c r="L2258" s="38"/>
      <c r="M2258" s="56"/>
      <c r="N2258" s="56" t="b">
        <v>0</v>
      </c>
      <c r="O2258" s="56" t="b">
        <v>0</v>
      </c>
      <c r="P2258" s="56"/>
      <c r="Q2258" s="56"/>
      <c r="R2258" s="56"/>
      <c r="S2258" s="56"/>
      <c r="T2258" s="56"/>
      <c r="U2258" s="56"/>
      <c r="V2258" s="56"/>
      <c r="W2258" s="56"/>
      <c r="X2258" s="56"/>
      <c r="Y2258" s="56"/>
      <c r="Z2258" s="56"/>
      <c r="AA2258" s="56"/>
      <c r="AB2258" s="56"/>
    </row>
    <row r="2259" ht="15.75" customHeight="1">
      <c r="A2259" s="169"/>
      <c r="B2259" s="63"/>
      <c r="C2259" s="22" t="s">
        <v>131</v>
      </c>
      <c r="D2259" s="62" t="s">
        <v>367</v>
      </c>
      <c r="E2259" s="60" t="s">
        <v>2144</v>
      </c>
      <c r="F2259" s="60" t="s">
        <v>2145</v>
      </c>
      <c r="G2259" s="73" t="s">
        <v>4975</v>
      </c>
      <c r="H2259" s="62" t="s">
        <v>6899</v>
      </c>
      <c r="I2259" s="62" t="s">
        <v>6953</v>
      </c>
      <c r="J2259" s="62" t="s">
        <v>2147</v>
      </c>
      <c r="K2259" s="38"/>
      <c r="L2259" s="38"/>
      <c r="M2259" s="56"/>
      <c r="N2259" s="56" t="b">
        <v>0</v>
      </c>
      <c r="O2259" s="56" t="b">
        <v>0</v>
      </c>
      <c r="P2259" s="56"/>
      <c r="Q2259" s="56"/>
      <c r="R2259" s="56"/>
      <c r="S2259" s="56"/>
      <c r="T2259" s="56"/>
      <c r="U2259" s="56"/>
      <c r="V2259" s="56"/>
      <c r="W2259" s="56"/>
      <c r="X2259" s="56"/>
      <c r="Y2259" s="56"/>
      <c r="Z2259" s="56"/>
      <c r="AA2259" s="56"/>
      <c r="AB2259" s="56"/>
    </row>
    <row r="2260" ht="15.75" customHeight="1">
      <c r="A2260" s="169"/>
      <c r="B2260" s="63"/>
      <c r="C2260" s="22" t="s">
        <v>131</v>
      </c>
      <c r="D2260" s="62" t="s">
        <v>367</v>
      </c>
      <c r="E2260" s="60" t="s">
        <v>2925</v>
      </c>
      <c r="F2260" s="60" t="s">
        <v>2926</v>
      </c>
      <c r="G2260" s="73" t="s">
        <v>5870</v>
      </c>
      <c r="H2260" s="62" t="s">
        <v>6901</v>
      </c>
      <c r="I2260" s="62" t="s">
        <v>6902</v>
      </c>
      <c r="J2260" s="60" t="s">
        <v>2928</v>
      </c>
      <c r="K2260" s="38"/>
      <c r="L2260" s="38"/>
      <c r="M2260" s="56"/>
      <c r="N2260" s="56" t="b">
        <v>0</v>
      </c>
      <c r="O2260" s="56" t="b">
        <v>0</v>
      </c>
      <c r="P2260" s="56"/>
      <c r="Q2260" s="56"/>
      <c r="R2260" s="56"/>
      <c r="S2260" s="56"/>
      <c r="T2260" s="56"/>
      <c r="U2260" s="56"/>
      <c r="V2260" s="56"/>
      <c r="W2260" s="56"/>
      <c r="X2260" s="56"/>
      <c r="Y2260" s="56"/>
      <c r="Z2260" s="56"/>
      <c r="AA2260" s="56"/>
      <c r="AB2260" s="56"/>
    </row>
    <row r="2261" ht="15.75" customHeight="1">
      <c r="A2261" s="169"/>
      <c r="B2261" s="69"/>
      <c r="C2261" s="22" t="s">
        <v>131</v>
      </c>
      <c r="D2261" s="62" t="s">
        <v>367</v>
      </c>
      <c r="E2261" s="60" t="s">
        <v>4490</v>
      </c>
      <c r="F2261" s="60" t="s">
        <v>4491</v>
      </c>
      <c r="G2261" s="73" t="s">
        <v>5461</v>
      </c>
      <c r="H2261" s="62" t="s">
        <v>6896</v>
      </c>
      <c r="I2261" s="62" t="s">
        <v>6897</v>
      </c>
      <c r="J2261" s="60" t="s">
        <v>4493</v>
      </c>
      <c r="K2261" s="38"/>
      <c r="L2261" s="38"/>
      <c r="M2261" s="56"/>
      <c r="N2261" s="56" t="b">
        <v>0</v>
      </c>
      <c r="O2261" s="56" t="b">
        <v>0</v>
      </c>
      <c r="P2261" s="56"/>
      <c r="Q2261" s="56"/>
      <c r="R2261" s="56"/>
      <c r="S2261" s="56"/>
      <c r="T2261" s="56"/>
      <c r="U2261" s="56"/>
      <c r="V2261" s="56"/>
      <c r="W2261" s="56"/>
      <c r="X2261" s="56"/>
      <c r="Y2261" s="56"/>
      <c r="Z2261" s="56"/>
      <c r="AA2261" s="56"/>
      <c r="AB2261" s="56"/>
    </row>
    <row r="2262" ht="15.75" customHeight="1">
      <c r="A2262" s="169"/>
      <c r="B2262" s="299"/>
      <c r="C2262" s="220">
        <v>44649.0</v>
      </c>
      <c r="D2262" s="38"/>
      <c r="E2262" s="38"/>
      <c r="F2262" s="65"/>
      <c r="G2262" s="66"/>
      <c r="H2262" s="38"/>
      <c r="I2262" s="38"/>
      <c r="J2262" s="38"/>
      <c r="K2262" s="38"/>
      <c r="L2262" s="38"/>
      <c r="M2262" s="56"/>
      <c r="N2262" s="56" t="b">
        <v>0</v>
      </c>
      <c r="O2262" s="56" t="b">
        <v>0</v>
      </c>
      <c r="P2262" s="56"/>
      <c r="Q2262" s="56"/>
      <c r="R2262" s="56"/>
      <c r="S2262" s="56"/>
      <c r="T2262" s="56"/>
      <c r="U2262" s="56"/>
      <c r="V2262" s="56"/>
      <c r="W2262" s="56"/>
      <c r="X2262" s="56"/>
      <c r="Y2262" s="56"/>
      <c r="Z2262" s="56"/>
      <c r="AA2262" s="56"/>
      <c r="AB2262" s="56"/>
    </row>
    <row r="2263" ht="15.75" customHeight="1">
      <c r="A2263" s="169"/>
      <c r="B2263" s="320" t="s">
        <v>6168</v>
      </c>
      <c r="C2263" s="22" t="s">
        <v>66</v>
      </c>
      <c r="D2263" s="38"/>
      <c r="E2263" s="38"/>
      <c r="F2263" s="65"/>
      <c r="G2263" s="66"/>
      <c r="H2263" s="38"/>
      <c r="I2263" s="38"/>
      <c r="J2263" s="38"/>
      <c r="K2263" s="38"/>
      <c r="L2263" s="38"/>
      <c r="M2263" s="56"/>
      <c r="N2263" s="56" t="b">
        <v>0</v>
      </c>
      <c r="O2263" s="56" t="b">
        <v>0</v>
      </c>
      <c r="P2263" s="56"/>
      <c r="Q2263" s="56"/>
      <c r="R2263" s="56"/>
      <c r="S2263" s="56"/>
      <c r="T2263" s="56"/>
      <c r="U2263" s="56"/>
      <c r="V2263" s="56"/>
      <c r="W2263" s="56"/>
      <c r="X2263" s="56"/>
      <c r="Y2263" s="56"/>
      <c r="Z2263" s="56"/>
      <c r="AA2263" s="56"/>
      <c r="AB2263" s="56"/>
    </row>
    <row r="2264" ht="15.75" customHeight="1">
      <c r="A2264" s="169"/>
      <c r="B2264" s="63"/>
      <c r="C2264" s="22" t="s">
        <v>66</v>
      </c>
      <c r="D2264" s="71" t="s">
        <v>329</v>
      </c>
      <c r="E2264" s="242" t="s">
        <v>3677</v>
      </c>
      <c r="F2264" s="242" t="s">
        <v>3678</v>
      </c>
      <c r="G2264" s="73" t="s">
        <v>4851</v>
      </c>
      <c r="H2264" s="62" t="s">
        <v>4880</v>
      </c>
      <c r="I2264" s="62" t="s">
        <v>6954</v>
      </c>
      <c r="J2264" s="242" t="s">
        <v>3680</v>
      </c>
      <c r="K2264" s="38"/>
      <c r="L2264" s="38"/>
      <c r="M2264" s="56"/>
      <c r="N2264" s="56" t="b">
        <v>0</v>
      </c>
      <c r="O2264" s="56" t="b">
        <v>0</v>
      </c>
      <c r="P2264" s="56"/>
      <c r="Q2264" s="56"/>
      <c r="R2264" s="56"/>
      <c r="S2264" s="56"/>
      <c r="T2264" s="56"/>
      <c r="U2264" s="56"/>
      <c r="V2264" s="56"/>
      <c r="W2264" s="56"/>
      <c r="X2264" s="56"/>
      <c r="Y2264" s="56"/>
      <c r="Z2264" s="56"/>
      <c r="AA2264" s="56"/>
      <c r="AB2264" s="56"/>
    </row>
    <row r="2265" ht="15.75" customHeight="1">
      <c r="A2265" s="169"/>
      <c r="B2265" s="63"/>
      <c r="C2265" s="22" t="s">
        <v>66</v>
      </c>
      <c r="D2265" s="71" t="s">
        <v>329</v>
      </c>
      <c r="E2265" s="242" t="s">
        <v>1022</v>
      </c>
      <c r="F2265" s="242" t="s">
        <v>1023</v>
      </c>
      <c r="G2265" s="73" t="s">
        <v>4960</v>
      </c>
      <c r="H2265" s="62" t="s">
        <v>5342</v>
      </c>
      <c r="I2265" s="62" t="s">
        <v>6955</v>
      </c>
      <c r="J2265" s="242" t="s">
        <v>1025</v>
      </c>
      <c r="K2265" s="142"/>
      <c r="L2265" s="38"/>
      <c r="M2265" s="56"/>
      <c r="N2265" s="56" t="b">
        <v>0</v>
      </c>
      <c r="O2265" s="56" t="b">
        <v>0</v>
      </c>
      <c r="P2265" s="56"/>
      <c r="Q2265" s="56"/>
      <c r="R2265" s="56"/>
      <c r="S2265" s="56"/>
      <c r="T2265" s="56"/>
      <c r="U2265" s="56"/>
      <c r="V2265" s="56"/>
      <c r="W2265" s="56"/>
      <c r="X2265" s="56"/>
      <c r="Y2265" s="56"/>
      <c r="Z2265" s="56"/>
      <c r="AA2265" s="56"/>
      <c r="AB2265" s="56"/>
    </row>
    <row r="2266" ht="15.75" customHeight="1">
      <c r="A2266" s="169"/>
      <c r="B2266" s="63"/>
      <c r="C2266" s="22" t="s">
        <v>66</v>
      </c>
      <c r="D2266" s="160" t="s">
        <v>329</v>
      </c>
      <c r="E2266" s="203" t="s">
        <v>636</v>
      </c>
      <c r="F2266" s="203" t="s">
        <v>637</v>
      </c>
      <c r="G2266" s="82" t="s">
        <v>4892</v>
      </c>
      <c r="H2266" s="76" t="s">
        <v>5295</v>
      </c>
      <c r="I2266" s="76" t="s">
        <v>6956</v>
      </c>
      <c r="J2266" s="203" t="s">
        <v>639</v>
      </c>
      <c r="K2266" s="38" t="s">
        <v>6957</v>
      </c>
      <c r="L2266" s="38"/>
      <c r="M2266" s="56"/>
      <c r="N2266" s="56" t="b">
        <v>0</v>
      </c>
      <c r="O2266" s="56" t="b">
        <v>0</v>
      </c>
      <c r="P2266" s="56"/>
      <c r="Q2266" s="56"/>
      <c r="R2266" s="56"/>
      <c r="S2266" s="56"/>
      <c r="T2266" s="56"/>
      <c r="U2266" s="56"/>
      <c r="V2266" s="56"/>
      <c r="W2266" s="56"/>
      <c r="X2266" s="56"/>
      <c r="Y2266" s="56"/>
      <c r="Z2266" s="56"/>
      <c r="AA2266" s="56"/>
      <c r="AB2266" s="56"/>
    </row>
    <row r="2267" ht="15.75" customHeight="1">
      <c r="A2267" s="169"/>
      <c r="B2267" s="63"/>
      <c r="C2267" s="22" t="s">
        <v>66</v>
      </c>
      <c r="D2267" s="71" t="s">
        <v>329</v>
      </c>
      <c r="E2267" s="242" t="s">
        <v>4035</v>
      </c>
      <c r="F2267" s="242" t="s">
        <v>4036</v>
      </c>
      <c r="G2267" s="73" t="s">
        <v>4899</v>
      </c>
      <c r="H2267" s="62" t="s">
        <v>6860</v>
      </c>
      <c r="I2267" s="62" t="s">
        <v>6958</v>
      </c>
      <c r="J2267" s="242" t="s">
        <v>4038</v>
      </c>
      <c r="K2267" s="38"/>
      <c r="L2267" s="38"/>
      <c r="M2267" s="56"/>
      <c r="N2267" s="56" t="b">
        <v>0</v>
      </c>
      <c r="O2267" s="56" t="b">
        <v>0</v>
      </c>
      <c r="P2267" s="56"/>
      <c r="Q2267" s="56"/>
      <c r="R2267" s="56"/>
      <c r="S2267" s="56"/>
      <c r="T2267" s="56"/>
      <c r="U2267" s="56"/>
      <c r="V2267" s="56"/>
      <c r="W2267" s="56"/>
      <c r="X2267" s="56"/>
      <c r="Y2267" s="56"/>
      <c r="Z2267" s="56"/>
      <c r="AA2267" s="56"/>
      <c r="AB2267" s="56"/>
    </row>
    <row r="2268" ht="15.75" customHeight="1">
      <c r="A2268" s="169"/>
      <c r="B2268" s="69"/>
      <c r="C2268" s="22" t="s">
        <v>66</v>
      </c>
      <c r="D2268" s="38"/>
      <c r="E2268" s="38"/>
      <c r="F2268" s="65"/>
      <c r="G2268" s="66"/>
      <c r="H2268" s="38"/>
      <c r="I2268" s="38"/>
      <c r="J2268" s="38"/>
      <c r="K2268" s="38"/>
      <c r="L2268" s="38"/>
      <c r="M2268" s="56"/>
      <c r="N2268" s="56" t="b">
        <v>0</v>
      </c>
      <c r="O2268" s="56" t="b">
        <v>0</v>
      </c>
      <c r="P2268" s="56"/>
      <c r="Q2268" s="56"/>
      <c r="R2268" s="56"/>
      <c r="S2268" s="56"/>
      <c r="T2268" s="56"/>
      <c r="U2268" s="56"/>
      <c r="V2268" s="56"/>
      <c r="W2268" s="56"/>
      <c r="X2268" s="56"/>
      <c r="Y2268" s="56"/>
      <c r="Z2268" s="56"/>
      <c r="AA2268" s="56"/>
      <c r="AB2268" s="56"/>
    </row>
    <row r="2269" ht="15.75" customHeight="1">
      <c r="A2269" s="169"/>
      <c r="B2269" s="320" t="s">
        <v>6959</v>
      </c>
      <c r="C2269" s="22"/>
      <c r="D2269" s="38"/>
      <c r="E2269" s="38"/>
      <c r="F2269" s="65"/>
      <c r="G2269" s="66"/>
      <c r="H2269" s="38"/>
      <c r="I2269" s="38"/>
      <c r="J2269" s="38"/>
      <c r="K2269" s="38"/>
      <c r="L2269" s="38"/>
      <c r="M2269" s="56"/>
      <c r="N2269" s="56" t="b">
        <v>0</v>
      </c>
      <c r="O2269" s="56" t="b">
        <v>0</v>
      </c>
      <c r="P2269" s="56"/>
      <c r="Q2269" s="56"/>
      <c r="R2269" s="56"/>
      <c r="S2269" s="56"/>
      <c r="T2269" s="56"/>
      <c r="U2269" s="56"/>
      <c r="V2269" s="56"/>
      <c r="W2269" s="56"/>
      <c r="X2269" s="56"/>
      <c r="Y2269" s="56"/>
      <c r="Z2269" s="56"/>
      <c r="AA2269" s="56"/>
      <c r="AB2269" s="56"/>
    </row>
    <row r="2270" ht="15.75" customHeight="1">
      <c r="A2270" s="169"/>
      <c r="B2270" s="63"/>
      <c r="C2270" s="22" t="s">
        <v>131</v>
      </c>
      <c r="D2270" s="38"/>
      <c r="E2270" s="38" t="s">
        <v>6960</v>
      </c>
      <c r="F2270" s="330" t="s">
        <v>6961</v>
      </c>
      <c r="G2270" s="55"/>
      <c r="H2270" s="38" t="s">
        <v>6962</v>
      </c>
      <c r="I2270" s="38"/>
      <c r="J2270" s="38"/>
      <c r="K2270" s="38"/>
      <c r="L2270" s="38"/>
      <c r="M2270" s="56"/>
      <c r="N2270" s="56" t="b">
        <v>0</v>
      </c>
      <c r="O2270" s="56" t="b">
        <v>0</v>
      </c>
      <c r="P2270" s="56"/>
      <c r="Q2270" s="56"/>
      <c r="R2270" s="56"/>
      <c r="S2270" s="56"/>
      <c r="T2270" s="56"/>
      <c r="U2270" s="56"/>
      <c r="V2270" s="56"/>
      <c r="W2270" s="56"/>
      <c r="X2270" s="56"/>
      <c r="Y2270" s="56"/>
      <c r="Z2270" s="56"/>
      <c r="AA2270" s="56"/>
      <c r="AB2270" s="56"/>
    </row>
    <row r="2271" ht="15.75" customHeight="1">
      <c r="A2271" s="169"/>
      <c r="B2271" s="63"/>
      <c r="C2271" s="22" t="s">
        <v>131</v>
      </c>
      <c r="D2271" s="71" t="s">
        <v>329</v>
      </c>
      <c r="E2271" s="62" t="s">
        <v>6941</v>
      </c>
      <c r="F2271" s="71" t="s">
        <v>6942</v>
      </c>
      <c r="G2271" s="73" t="s">
        <v>5004</v>
      </c>
      <c r="H2271" s="62" t="s">
        <v>6943</v>
      </c>
      <c r="I2271" s="62" t="s">
        <v>6944</v>
      </c>
      <c r="J2271" s="62" t="s">
        <v>6945</v>
      </c>
      <c r="K2271" s="38"/>
      <c r="L2271" s="38"/>
      <c r="M2271" s="56"/>
      <c r="N2271" s="56" t="b">
        <v>0</v>
      </c>
      <c r="O2271" s="56" t="b">
        <v>0</v>
      </c>
      <c r="P2271" s="56"/>
      <c r="Q2271" s="56"/>
      <c r="R2271" s="56"/>
      <c r="S2271" s="56"/>
      <c r="T2271" s="56"/>
      <c r="U2271" s="56"/>
      <c r="V2271" s="56"/>
      <c r="W2271" s="56"/>
      <c r="X2271" s="56"/>
      <c r="Y2271" s="56"/>
      <c r="Z2271" s="56"/>
      <c r="AA2271" s="56"/>
      <c r="AB2271" s="56"/>
    </row>
    <row r="2272" ht="15.75" customHeight="1">
      <c r="A2272" s="169"/>
      <c r="B2272" s="63"/>
      <c r="C2272" s="22" t="s">
        <v>131</v>
      </c>
      <c r="D2272" s="71" t="s">
        <v>329</v>
      </c>
      <c r="E2272" s="242" t="s">
        <v>1544</v>
      </c>
      <c r="F2272" s="242" t="s">
        <v>1545</v>
      </c>
      <c r="G2272" s="73" t="s">
        <v>4851</v>
      </c>
      <c r="H2272" s="62" t="s">
        <v>6334</v>
      </c>
      <c r="I2272" s="62" t="s">
        <v>6963</v>
      </c>
      <c r="J2272" s="242" t="s">
        <v>1547</v>
      </c>
      <c r="K2272" s="38"/>
      <c r="L2272" s="38"/>
      <c r="M2272" s="56"/>
      <c r="N2272" s="56" t="b">
        <v>0</v>
      </c>
      <c r="O2272" s="56" t="b">
        <v>0</v>
      </c>
      <c r="P2272" s="56"/>
      <c r="Q2272" s="56"/>
      <c r="R2272" s="56"/>
      <c r="S2272" s="56"/>
      <c r="T2272" s="56"/>
      <c r="U2272" s="56"/>
      <c r="V2272" s="56"/>
      <c r="W2272" s="56"/>
      <c r="X2272" s="56"/>
      <c r="Y2272" s="56"/>
      <c r="Z2272" s="56"/>
      <c r="AA2272" s="56"/>
      <c r="AB2272" s="56"/>
    </row>
    <row r="2273" ht="15.75" customHeight="1">
      <c r="A2273" s="169"/>
      <c r="B2273" s="63"/>
      <c r="C2273" s="22" t="s">
        <v>131</v>
      </c>
      <c r="D2273" s="71" t="s">
        <v>329</v>
      </c>
      <c r="E2273" s="242" t="s">
        <v>1500</v>
      </c>
      <c r="F2273" s="242" t="s">
        <v>1501</v>
      </c>
      <c r="G2273" s="73" t="s">
        <v>4887</v>
      </c>
      <c r="H2273" s="62" t="s">
        <v>6334</v>
      </c>
      <c r="I2273" s="62" t="s">
        <v>6964</v>
      </c>
      <c r="J2273" s="242" t="s">
        <v>1503</v>
      </c>
      <c r="K2273" s="38"/>
      <c r="L2273" s="38"/>
      <c r="M2273" s="56"/>
      <c r="N2273" s="56" t="b">
        <v>0</v>
      </c>
      <c r="O2273" s="56" t="b">
        <v>0</v>
      </c>
      <c r="P2273" s="56"/>
      <c r="Q2273" s="56"/>
      <c r="R2273" s="56"/>
      <c r="S2273" s="56"/>
      <c r="T2273" s="56"/>
      <c r="U2273" s="56"/>
      <c r="V2273" s="56"/>
      <c r="W2273" s="56"/>
      <c r="X2273" s="56"/>
      <c r="Y2273" s="56"/>
      <c r="Z2273" s="56"/>
      <c r="AA2273" s="56"/>
      <c r="AB2273" s="56"/>
    </row>
    <row r="2274" ht="15.75" customHeight="1">
      <c r="A2274" s="169"/>
      <c r="B2274" s="63"/>
      <c r="C2274" s="22" t="s">
        <v>131</v>
      </c>
      <c r="D2274" s="71" t="s">
        <v>329</v>
      </c>
      <c r="E2274" s="242" t="s">
        <v>763</v>
      </c>
      <c r="F2274" s="242" t="s">
        <v>764</v>
      </c>
      <c r="G2274" s="73" t="s">
        <v>4892</v>
      </c>
      <c r="H2274" s="242" t="s">
        <v>4994</v>
      </c>
      <c r="I2274" s="60" t="s">
        <v>6965</v>
      </c>
      <c r="J2274" s="242" t="s">
        <v>766</v>
      </c>
      <c r="K2274" s="38" t="s">
        <v>6966</v>
      </c>
      <c r="L2274" s="38"/>
      <c r="M2274" s="56"/>
      <c r="N2274" s="56" t="b">
        <v>0</v>
      </c>
      <c r="O2274" s="56" t="b">
        <v>0</v>
      </c>
      <c r="P2274" s="56"/>
      <c r="Q2274" s="56"/>
      <c r="R2274" s="56"/>
      <c r="S2274" s="56"/>
      <c r="T2274" s="56"/>
      <c r="U2274" s="56"/>
      <c r="V2274" s="56"/>
      <c r="W2274" s="56"/>
      <c r="X2274" s="56"/>
      <c r="Y2274" s="56"/>
      <c r="Z2274" s="56"/>
      <c r="AA2274" s="56"/>
      <c r="AB2274" s="56"/>
    </row>
    <row r="2275" ht="15.75" customHeight="1">
      <c r="A2275" s="169"/>
      <c r="B2275" s="63"/>
      <c r="C2275" s="22" t="s">
        <v>131</v>
      </c>
      <c r="D2275" s="62" t="s">
        <v>267</v>
      </c>
      <c r="E2275" s="242" t="s">
        <v>3051</v>
      </c>
      <c r="F2275" s="60" t="s">
        <v>3052</v>
      </c>
      <c r="G2275" s="73" t="s">
        <v>5036</v>
      </c>
      <c r="H2275" s="242" t="s">
        <v>5548</v>
      </c>
      <c r="I2275" s="60" t="s">
        <v>6950</v>
      </c>
      <c r="J2275" s="242" t="s">
        <v>3054</v>
      </c>
      <c r="K2275" s="38"/>
      <c r="L2275" s="38"/>
      <c r="M2275" s="56"/>
      <c r="N2275" s="56" t="b">
        <v>0</v>
      </c>
      <c r="O2275" s="56" t="b">
        <v>0</v>
      </c>
      <c r="P2275" s="56"/>
      <c r="Q2275" s="56"/>
      <c r="R2275" s="56"/>
      <c r="S2275" s="56"/>
      <c r="T2275" s="56"/>
      <c r="U2275" s="56"/>
      <c r="V2275" s="56"/>
      <c r="W2275" s="56"/>
      <c r="X2275" s="56"/>
      <c r="Y2275" s="56"/>
      <c r="Z2275" s="56"/>
      <c r="AA2275" s="56"/>
      <c r="AB2275" s="56"/>
    </row>
    <row r="2276" ht="15.75" customHeight="1">
      <c r="A2276" s="169"/>
      <c r="B2276" s="63"/>
      <c r="C2276" s="22" t="s">
        <v>131</v>
      </c>
      <c r="D2276" s="38"/>
      <c r="E2276" s="38"/>
      <c r="F2276" s="65"/>
      <c r="G2276" s="66"/>
      <c r="H2276" s="38"/>
      <c r="I2276" s="38"/>
      <c r="J2276" s="38"/>
      <c r="K2276" s="38"/>
      <c r="L2276" s="38"/>
      <c r="M2276" s="56"/>
      <c r="N2276" s="56" t="b">
        <v>0</v>
      </c>
      <c r="O2276" s="56" t="b">
        <v>0</v>
      </c>
      <c r="P2276" s="56"/>
      <c r="Q2276" s="56"/>
      <c r="R2276" s="56"/>
      <c r="S2276" s="56"/>
      <c r="T2276" s="56"/>
      <c r="U2276" s="56"/>
      <c r="V2276" s="56"/>
      <c r="W2276" s="56"/>
      <c r="X2276" s="56"/>
      <c r="Y2276" s="56"/>
      <c r="Z2276" s="56"/>
      <c r="AA2276" s="56"/>
      <c r="AB2276" s="56"/>
    </row>
    <row r="2277" ht="15.75" customHeight="1">
      <c r="A2277" s="169"/>
      <c r="B2277" s="69"/>
      <c r="C2277" s="22" t="s">
        <v>131</v>
      </c>
      <c r="D2277" s="38"/>
      <c r="E2277" s="38"/>
      <c r="F2277" s="65"/>
      <c r="G2277" s="66"/>
      <c r="H2277" s="38"/>
      <c r="I2277" s="38"/>
      <c r="J2277" s="38"/>
      <c r="K2277" s="38"/>
      <c r="L2277" s="38"/>
      <c r="M2277" s="56"/>
      <c r="N2277" s="56" t="b">
        <v>0</v>
      </c>
      <c r="O2277" s="56" t="b">
        <v>0</v>
      </c>
      <c r="P2277" s="56"/>
      <c r="Q2277" s="56"/>
      <c r="R2277" s="56"/>
      <c r="S2277" s="56"/>
      <c r="T2277" s="56"/>
      <c r="U2277" s="56"/>
      <c r="V2277" s="56"/>
      <c r="W2277" s="56"/>
      <c r="X2277" s="56"/>
      <c r="Y2277" s="56"/>
      <c r="Z2277" s="56"/>
      <c r="AA2277" s="56"/>
      <c r="AB2277" s="56"/>
    </row>
    <row r="2278" ht="15.75" customHeight="1">
      <c r="A2278" s="169"/>
      <c r="B2278" s="299"/>
      <c r="C2278" s="220">
        <v>44650.0</v>
      </c>
      <c r="D2278" s="38"/>
      <c r="E2278" s="38"/>
      <c r="F2278" s="65"/>
      <c r="G2278" s="66"/>
      <c r="H2278" s="38"/>
      <c r="I2278" s="38"/>
      <c r="J2278" s="38"/>
      <c r="K2278" s="38"/>
      <c r="L2278" s="38"/>
      <c r="M2278" s="56"/>
      <c r="N2278" s="56" t="b">
        <v>0</v>
      </c>
      <c r="O2278" s="56" t="b">
        <v>0</v>
      </c>
      <c r="P2278" s="56"/>
      <c r="Q2278" s="56"/>
      <c r="R2278" s="56"/>
      <c r="S2278" s="56"/>
      <c r="T2278" s="56"/>
      <c r="U2278" s="56"/>
      <c r="V2278" s="56"/>
      <c r="W2278" s="56"/>
      <c r="X2278" s="56"/>
      <c r="Y2278" s="56"/>
      <c r="Z2278" s="56"/>
      <c r="AA2278" s="56"/>
      <c r="AB2278" s="56"/>
    </row>
    <row r="2279" ht="15.75" customHeight="1">
      <c r="A2279" s="169"/>
      <c r="B2279" s="320" t="s">
        <v>6168</v>
      </c>
      <c r="C2279" s="22" t="s">
        <v>66</v>
      </c>
      <c r="D2279" s="38"/>
      <c r="E2279" s="38"/>
      <c r="F2279" s="65"/>
      <c r="G2279" s="66"/>
      <c r="H2279" s="38"/>
      <c r="I2279" s="38"/>
      <c r="J2279" s="38"/>
      <c r="K2279" s="38"/>
      <c r="L2279" s="38"/>
      <c r="M2279" s="56"/>
      <c r="N2279" s="56" t="b">
        <v>0</v>
      </c>
      <c r="O2279" s="56" t="b">
        <v>0</v>
      </c>
      <c r="P2279" s="56"/>
      <c r="Q2279" s="56"/>
      <c r="R2279" s="56"/>
      <c r="S2279" s="56"/>
      <c r="T2279" s="56"/>
      <c r="U2279" s="56"/>
      <c r="V2279" s="56"/>
      <c r="W2279" s="56"/>
      <c r="X2279" s="56"/>
      <c r="Y2279" s="56"/>
      <c r="Z2279" s="56"/>
      <c r="AA2279" s="56"/>
      <c r="AB2279" s="56"/>
    </row>
    <row r="2280" ht="15.75" customHeight="1">
      <c r="A2280" s="169"/>
      <c r="B2280" s="63"/>
      <c r="C2280" s="22" t="s">
        <v>66</v>
      </c>
      <c r="D2280" s="38"/>
      <c r="E2280" s="162" t="s">
        <v>5784</v>
      </c>
      <c r="F2280" s="339"/>
      <c r="G2280" s="155"/>
      <c r="H2280" s="38"/>
      <c r="I2280" s="38"/>
      <c r="J2280" s="38"/>
      <c r="K2280" s="38"/>
      <c r="L2280" s="38"/>
      <c r="M2280" s="56"/>
      <c r="N2280" s="56" t="b">
        <v>0</v>
      </c>
      <c r="O2280" s="56" t="b">
        <v>0</v>
      </c>
      <c r="P2280" s="56"/>
      <c r="Q2280" s="56"/>
      <c r="R2280" s="56"/>
      <c r="S2280" s="56"/>
      <c r="T2280" s="56"/>
      <c r="U2280" s="56"/>
      <c r="V2280" s="56"/>
      <c r="W2280" s="56"/>
      <c r="X2280" s="56"/>
      <c r="Y2280" s="56"/>
      <c r="Z2280" s="56"/>
      <c r="AA2280" s="56"/>
      <c r="AB2280" s="56"/>
    </row>
    <row r="2281" ht="15.75" customHeight="1">
      <c r="A2281" s="169"/>
      <c r="B2281" s="63"/>
      <c r="C2281" s="22" t="s">
        <v>66</v>
      </c>
      <c r="D2281" s="38"/>
      <c r="E2281" s="156"/>
      <c r="G2281" s="157"/>
      <c r="H2281" s="38"/>
      <c r="I2281" s="38"/>
      <c r="J2281" s="38"/>
      <c r="K2281" s="38"/>
      <c r="L2281" s="38"/>
      <c r="M2281" s="56"/>
      <c r="N2281" s="56" t="b">
        <v>0</v>
      </c>
      <c r="O2281" s="56" t="b">
        <v>0</v>
      </c>
      <c r="P2281" s="56"/>
      <c r="Q2281" s="56"/>
      <c r="R2281" s="56"/>
      <c r="S2281" s="56"/>
      <c r="T2281" s="56"/>
      <c r="U2281" s="56"/>
      <c r="V2281" s="56"/>
      <c r="W2281" s="56"/>
      <c r="X2281" s="56"/>
      <c r="Y2281" s="56"/>
      <c r="Z2281" s="56"/>
      <c r="AA2281" s="56"/>
      <c r="AB2281" s="56"/>
    </row>
    <row r="2282" ht="15.75" customHeight="1">
      <c r="A2282" s="169"/>
      <c r="B2282" s="63"/>
      <c r="C2282" s="22" t="s">
        <v>66</v>
      </c>
      <c r="D2282" s="38"/>
      <c r="E2282" s="158"/>
      <c r="F2282" s="340"/>
      <c r="G2282" s="159"/>
      <c r="H2282" s="38"/>
      <c r="I2282" s="38"/>
      <c r="J2282" s="38"/>
      <c r="K2282" s="38"/>
      <c r="L2282" s="38"/>
      <c r="M2282" s="56"/>
      <c r="N2282" s="56" t="b">
        <v>0</v>
      </c>
      <c r="O2282" s="56" t="b">
        <v>0</v>
      </c>
      <c r="P2282" s="56"/>
      <c r="Q2282" s="56"/>
      <c r="R2282" s="56"/>
      <c r="S2282" s="56"/>
      <c r="T2282" s="56"/>
      <c r="U2282" s="56"/>
      <c r="V2282" s="56"/>
      <c r="W2282" s="56"/>
      <c r="X2282" s="56"/>
      <c r="Y2282" s="56"/>
      <c r="Z2282" s="56"/>
      <c r="AA2282" s="56"/>
      <c r="AB2282" s="56"/>
    </row>
    <row r="2283" ht="15.75" customHeight="1">
      <c r="A2283" s="169"/>
      <c r="B2283" s="63"/>
      <c r="C2283" s="22" t="s">
        <v>66</v>
      </c>
      <c r="D2283" s="38"/>
      <c r="E2283" s="38"/>
      <c r="F2283" s="65"/>
      <c r="G2283" s="66"/>
      <c r="H2283" s="38"/>
      <c r="I2283" s="38"/>
      <c r="J2283" s="38"/>
      <c r="K2283" s="38"/>
      <c r="L2283" s="38"/>
      <c r="M2283" s="56"/>
      <c r="N2283" s="56" t="b">
        <v>0</v>
      </c>
      <c r="O2283" s="56" t="b">
        <v>0</v>
      </c>
      <c r="P2283" s="56"/>
      <c r="Q2283" s="56"/>
      <c r="R2283" s="56"/>
      <c r="S2283" s="56"/>
      <c r="T2283" s="56"/>
      <c r="U2283" s="56"/>
      <c r="V2283" s="56"/>
      <c r="W2283" s="56"/>
      <c r="X2283" s="56"/>
      <c r="Y2283" s="56"/>
      <c r="Z2283" s="56"/>
      <c r="AA2283" s="56"/>
      <c r="AB2283" s="56"/>
    </row>
    <row r="2284" ht="15.75" customHeight="1">
      <c r="A2284" s="169"/>
      <c r="B2284" s="69"/>
      <c r="C2284" s="22" t="s">
        <v>66</v>
      </c>
      <c r="D2284" s="38"/>
      <c r="E2284" s="38"/>
      <c r="F2284" s="65"/>
      <c r="G2284" s="66"/>
      <c r="H2284" s="38"/>
      <c r="I2284" s="38"/>
      <c r="J2284" s="38"/>
      <c r="K2284" s="38"/>
      <c r="L2284" s="38"/>
      <c r="M2284" s="56"/>
      <c r="N2284" s="56" t="b">
        <v>0</v>
      </c>
      <c r="O2284" s="56" t="b">
        <v>0</v>
      </c>
      <c r="P2284" s="56"/>
      <c r="Q2284" s="56"/>
      <c r="R2284" s="56"/>
      <c r="S2284" s="56"/>
      <c r="T2284" s="56"/>
      <c r="U2284" s="56"/>
      <c r="V2284" s="56"/>
      <c r="W2284" s="56"/>
      <c r="X2284" s="56"/>
      <c r="Y2284" s="56"/>
      <c r="Z2284" s="56"/>
      <c r="AA2284" s="56"/>
      <c r="AB2284" s="56"/>
    </row>
    <row r="2285" ht="15.75" customHeight="1">
      <c r="A2285" s="169"/>
      <c r="B2285" s="320" t="s">
        <v>6967</v>
      </c>
      <c r="C2285" s="22"/>
      <c r="D2285" s="38"/>
      <c r="E2285" s="38"/>
      <c r="F2285" s="65"/>
      <c r="G2285" s="66"/>
      <c r="H2285" s="38"/>
      <c r="I2285" s="38"/>
      <c r="J2285" s="38"/>
      <c r="K2285" s="38"/>
      <c r="L2285" s="38"/>
      <c r="M2285" s="56"/>
      <c r="N2285" s="56" t="b">
        <v>0</v>
      </c>
      <c r="O2285" s="56" t="b">
        <v>0</v>
      </c>
      <c r="P2285" s="56"/>
      <c r="Q2285" s="56"/>
      <c r="R2285" s="56"/>
      <c r="S2285" s="56"/>
      <c r="T2285" s="56"/>
      <c r="U2285" s="56"/>
      <c r="V2285" s="56"/>
      <c r="W2285" s="56"/>
      <c r="X2285" s="56"/>
      <c r="Y2285" s="56"/>
      <c r="Z2285" s="56"/>
      <c r="AA2285" s="56"/>
      <c r="AB2285" s="56"/>
    </row>
    <row r="2286" ht="15.75" customHeight="1">
      <c r="A2286" s="169"/>
      <c r="B2286" s="63"/>
      <c r="C2286" s="22" t="s">
        <v>131</v>
      </c>
      <c r="D2286" s="38"/>
      <c r="E2286" s="38" t="s">
        <v>6960</v>
      </c>
      <c r="F2286" s="330" t="s">
        <v>6862</v>
      </c>
      <c r="G2286" s="55"/>
      <c r="H2286" s="38" t="s">
        <v>6968</v>
      </c>
      <c r="I2286" s="38"/>
      <c r="J2286" s="38"/>
      <c r="K2286" s="38"/>
      <c r="L2286" s="38"/>
      <c r="M2286" s="56"/>
      <c r="N2286" s="56" t="b">
        <v>0</v>
      </c>
      <c r="O2286" s="56" t="b">
        <v>0</v>
      </c>
      <c r="P2286" s="56"/>
      <c r="Q2286" s="56"/>
      <c r="R2286" s="56"/>
      <c r="S2286" s="56"/>
      <c r="T2286" s="56"/>
      <c r="U2286" s="56"/>
      <c r="V2286" s="56"/>
      <c r="W2286" s="56"/>
      <c r="X2286" s="56"/>
      <c r="Y2286" s="56"/>
      <c r="Z2286" s="56"/>
      <c r="AA2286" s="56"/>
      <c r="AB2286" s="56"/>
    </row>
    <row r="2287" ht="15.75" customHeight="1">
      <c r="A2287" s="169"/>
      <c r="B2287" s="63"/>
      <c r="C2287" s="31" t="s">
        <v>131</v>
      </c>
      <c r="D2287" s="38"/>
      <c r="E2287" s="38"/>
      <c r="F2287" s="65"/>
      <c r="G2287" s="66"/>
      <c r="H2287" s="38"/>
      <c r="I2287" s="38"/>
      <c r="J2287" s="38"/>
      <c r="K2287" s="38"/>
      <c r="L2287" s="38"/>
      <c r="M2287" s="56"/>
      <c r="N2287" s="56" t="b">
        <v>0</v>
      </c>
      <c r="O2287" s="56" t="b">
        <v>0</v>
      </c>
      <c r="P2287" s="56"/>
      <c r="Q2287" s="56"/>
      <c r="R2287" s="56"/>
      <c r="S2287" s="56"/>
      <c r="T2287" s="56"/>
      <c r="U2287" s="56"/>
      <c r="V2287" s="56"/>
      <c r="W2287" s="56"/>
      <c r="X2287" s="56"/>
      <c r="Y2287" s="56"/>
      <c r="Z2287" s="56"/>
      <c r="AA2287" s="56"/>
      <c r="AB2287" s="56"/>
    </row>
    <row r="2288" ht="15.75" customHeight="1">
      <c r="A2288" s="169"/>
      <c r="B2288" s="63"/>
      <c r="C2288" s="31" t="s">
        <v>131</v>
      </c>
      <c r="D2288" s="38"/>
      <c r="E2288" s="38"/>
      <c r="F2288" s="65"/>
      <c r="G2288" s="66"/>
      <c r="H2288" s="38"/>
      <c r="I2288" s="38"/>
      <c r="J2288" s="38"/>
      <c r="K2288" s="38"/>
      <c r="L2288" s="38"/>
      <c r="M2288" s="56"/>
      <c r="N2288" s="56" t="b">
        <v>0</v>
      </c>
      <c r="O2288" s="56" t="b">
        <v>0</v>
      </c>
      <c r="P2288" s="56"/>
      <c r="Q2288" s="56"/>
      <c r="R2288" s="56"/>
      <c r="S2288" s="56"/>
      <c r="T2288" s="56"/>
      <c r="U2288" s="56"/>
      <c r="V2288" s="56"/>
      <c r="W2288" s="56"/>
      <c r="X2288" s="56"/>
      <c r="Y2288" s="56"/>
      <c r="Z2288" s="56"/>
      <c r="AA2288" s="56"/>
      <c r="AB2288" s="56"/>
    </row>
    <row r="2289" ht="15.75" customHeight="1">
      <c r="A2289" s="169"/>
      <c r="B2289" s="63"/>
      <c r="C2289" s="31" t="s">
        <v>131</v>
      </c>
      <c r="D2289" s="227" t="s">
        <v>89</v>
      </c>
      <c r="E2289" s="60" t="s">
        <v>1751</v>
      </c>
      <c r="F2289" s="60" t="s">
        <v>1752</v>
      </c>
      <c r="G2289" s="73" t="s">
        <v>5134</v>
      </c>
      <c r="H2289" s="62" t="s">
        <v>6969</v>
      </c>
      <c r="I2289" s="62" t="s">
        <v>6970</v>
      </c>
      <c r="J2289" s="60" t="s">
        <v>1754</v>
      </c>
      <c r="K2289" s="38"/>
      <c r="L2289" s="38"/>
      <c r="M2289" s="56"/>
      <c r="N2289" s="56" t="b">
        <v>0</v>
      </c>
      <c r="O2289" s="56" t="b">
        <v>0</v>
      </c>
      <c r="P2289" s="56"/>
      <c r="Q2289" s="56"/>
      <c r="R2289" s="56"/>
      <c r="S2289" s="56"/>
      <c r="T2289" s="56"/>
      <c r="U2289" s="56"/>
      <c r="V2289" s="56"/>
      <c r="W2289" s="56"/>
      <c r="X2289" s="56"/>
      <c r="Y2289" s="56"/>
      <c r="Z2289" s="56"/>
      <c r="AA2289" s="56"/>
      <c r="AB2289" s="56"/>
    </row>
    <row r="2290" ht="15.75" customHeight="1">
      <c r="A2290" s="169"/>
      <c r="B2290" s="63"/>
      <c r="C2290" s="31" t="s">
        <v>131</v>
      </c>
      <c r="D2290" s="227" t="s">
        <v>89</v>
      </c>
      <c r="E2290" s="60" t="s">
        <v>3387</v>
      </c>
      <c r="F2290" s="60" t="s">
        <v>3388</v>
      </c>
      <c r="G2290" s="73" t="s">
        <v>4856</v>
      </c>
      <c r="H2290" s="62" t="s">
        <v>6755</v>
      </c>
      <c r="I2290" s="62" t="s">
        <v>6971</v>
      </c>
      <c r="J2290" s="60" t="s">
        <v>3390</v>
      </c>
      <c r="K2290" s="38" t="s">
        <v>2008</v>
      </c>
      <c r="L2290" s="38"/>
      <c r="M2290" s="56"/>
      <c r="N2290" s="56" t="b">
        <v>0</v>
      </c>
      <c r="O2290" s="56" t="b">
        <v>0</v>
      </c>
      <c r="P2290" s="56"/>
      <c r="Q2290" s="56"/>
      <c r="R2290" s="56"/>
      <c r="S2290" s="56"/>
      <c r="T2290" s="56"/>
      <c r="U2290" s="56"/>
      <c r="V2290" s="56"/>
      <c r="W2290" s="56"/>
      <c r="X2290" s="56"/>
      <c r="Y2290" s="56"/>
      <c r="Z2290" s="56"/>
      <c r="AA2290" s="56"/>
      <c r="AB2290" s="56"/>
    </row>
    <row r="2291" ht="15.75" customHeight="1">
      <c r="A2291" s="169"/>
      <c r="B2291" s="63"/>
      <c r="C2291" s="31" t="s">
        <v>131</v>
      </c>
      <c r="D2291" s="227" t="s">
        <v>89</v>
      </c>
      <c r="E2291" s="242" t="s">
        <v>4607</v>
      </c>
      <c r="F2291" s="242" t="s">
        <v>4608</v>
      </c>
      <c r="G2291" s="73" t="s">
        <v>4892</v>
      </c>
      <c r="H2291" s="62" t="s">
        <v>6755</v>
      </c>
      <c r="I2291" s="62" t="s">
        <v>6972</v>
      </c>
      <c r="J2291" s="242" t="s">
        <v>4609</v>
      </c>
      <c r="K2291" s="38"/>
      <c r="L2291" s="38"/>
      <c r="M2291" s="56"/>
      <c r="N2291" s="56" t="b">
        <v>0</v>
      </c>
      <c r="O2291" s="56" t="b">
        <v>0</v>
      </c>
      <c r="P2291" s="56"/>
      <c r="Q2291" s="56"/>
      <c r="R2291" s="56"/>
      <c r="S2291" s="56"/>
      <c r="T2291" s="56"/>
      <c r="U2291" s="56"/>
      <c r="V2291" s="56"/>
      <c r="W2291" s="56"/>
      <c r="X2291" s="56"/>
      <c r="Y2291" s="56"/>
      <c r="Z2291" s="56"/>
      <c r="AA2291" s="56"/>
      <c r="AB2291" s="56"/>
    </row>
    <row r="2292" ht="15.75" customHeight="1">
      <c r="A2292" s="169"/>
      <c r="B2292" s="63"/>
      <c r="C2292" s="31" t="s">
        <v>131</v>
      </c>
      <c r="D2292" s="227" t="s">
        <v>89</v>
      </c>
      <c r="E2292" s="60" t="s">
        <v>1031</v>
      </c>
      <c r="F2292" s="60" t="s">
        <v>1032</v>
      </c>
      <c r="G2292" s="73" t="s">
        <v>4858</v>
      </c>
      <c r="H2292" s="62" t="s">
        <v>6973</v>
      </c>
      <c r="I2292" s="62" t="s">
        <v>6974</v>
      </c>
      <c r="J2292" s="60" t="s">
        <v>1034</v>
      </c>
      <c r="K2292" s="38"/>
      <c r="L2292" s="38"/>
      <c r="M2292" s="56"/>
      <c r="N2292" s="56" t="b">
        <v>0</v>
      </c>
      <c r="O2292" s="56" t="b">
        <v>0</v>
      </c>
      <c r="P2292" s="56"/>
      <c r="Q2292" s="56"/>
      <c r="R2292" s="56"/>
      <c r="S2292" s="56"/>
      <c r="T2292" s="56"/>
      <c r="U2292" s="56"/>
      <c r="V2292" s="56"/>
      <c r="W2292" s="56"/>
      <c r="X2292" s="56"/>
      <c r="Y2292" s="56"/>
      <c r="Z2292" s="56"/>
      <c r="AA2292" s="56"/>
      <c r="AB2292" s="56"/>
    </row>
    <row r="2293" ht="15.75" customHeight="1">
      <c r="A2293" s="169"/>
      <c r="B2293" s="69"/>
      <c r="C2293" s="31" t="s">
        <v>131</v>
      </c>
      <c r="D2293" s="38"/>
      <c r="E2293" s="38"/>
      <c r="F2293" s="65"/>
      <c r="G2293" s="66"/>
      <c r="H2293" s="38"/>
      <c r="I2293" s="38"/>
      <c r="J2293" s="38"/>
      <c r="K2293" s="38"/>
      <c r="L2293" s="38"/>
      <c r="M2293" s="56"/>
      <c r="N2293" s="56" t="b">
        <v>0</v>
      </c>
      <c r="O2293" s="56" t="b">
        <v>0</v>
      </c>
      <c r="P2293" s="56"/>
      <c r="Q2293" s="56"/>
      <c r="R2293" s="56"/>
      <c r="S2293" s="56"/>
      <c r="T2293" s="56"/>
      <c r="U2293" s="56"/>
      <c r="V2293" s="56"/>
      <c r="W2293" s="56"/>
      <c r="X2293" s="56"/>
      <c r="Y2293" s="56"/>
      <c r="Z2293" s="56"/>
      <c r="AA2293" s="56"/>
      <c r="AB2293" s="56"/>
    </row>
    <row r="2294" ht="15.75" customHeight="1">
      <c r="A2294" s="169"/>
      <c r="B2294" s="299"/>
      <c r="C2294" s="300">
        <v>44651.0</v>
      </c>
      <c r="D2294" s="38"/>
      <c r="E2294" s="38"/>
      <c r="F2294" s="65"/>
      <c r="G2294" s="66"/>
      <c r="H2294" s="38"/>
      <c r="I2294" s="38"/>
      <c r="J2294" s="38"/>
      <c r="K2294" s="38"/>
      <c r="L2294" s="38"/>
      <c r="M2294" s="56"/>
      <c r="N2294" s="56" t="b">
        <v>0</v>
      </c>
      <c r="O2294" s="56" t="b">
        <v>0</v>
      </c>
      <c r="P2294" s="56"/>
      <c r="Q2294" s="56"/>
      <c r="R2294" s="56"/>
      <c r="S2294" s="56"/>
      <c r="T2294" s="56"/>
      <c r="U2294" s="56"/>
      <c r="V2294" s="56"/>
      <c r="W2294" s="56"/>
      <c r="X2294" s="56"/>
      <c r="Y2294" s="56"/>
      <c r="Z2294" s="56"/>
      <c r="AA2294" s="56"/>
      <c r="AB2294" s="56"/>
    </row>
    <row r="2295" ht="15.75" customHeight="1">
      <c r="A2295" s="169"/>
      <c r="B2295" s="320" t="s">
        <v>6168</v>
      </c>
      <c r="C2295" s="22" t="s">
        <v>66</v>
      </c>
      <c r="D2295" s="38"/>
      <c r="E2295" s="38" t="s">
        <v>6960</v>
      </c>
      <c r="F2295" s="65"/>
      <c r="G2295" s="66"/>
      <c r="H2295" s="38"/>
      <c r="I2295" s="38"/>
      <c r="J2295" s="38"/>
      <c r="K2295" s="38"/>
      <c r="L2295" s="38"/>
      <c r="M2295" s="56"/>
      <c r="N2295" s="56" t="b">
        <v>0</v>
      </c>
      <c r="O2295" s="56" t="b">
        <v>0</v>
      </c>
      <c r="P2295" s="56"/>
      <c r="Q2295" s="56"/>
      <c r="R2295" s="56"/>
      <c r="S2295" s="56"/>
      <c r="T2295" s="56"/>
      <c r="U2295" s="56"/>
      <c r="V2295" s="56"/>
      <c r="W2295" s="56"/>
      <c r="X2295" s="56"/>
      <c r="Y2295" s="56"/>
      <c r="Z2295" s="56"/>
      <c r="AA2295" s="56"/>
      <c r="AB2295" s="56"/>
    </row>
    <row r="2296" ht="15.75" customHeight="1">
      <c r="A2296" s="169"/>
      <c r="B2296" s="63"/>
      <c r="C2296" s="22" t="s">
        <v>66</v>
      </c>
      <c r="D2296" s="76" t="s">
        <v>267</v>
      </c>
      <c r="E2296" s="77" t="s">
        <v>1280</v>
      </c>
      <c r="F2296" s="77" t="s">
        <v>1281</v>
      </c>
      <c r="G2296" s="82" t="s">
        <v>4851</v>
      </c>
      <c r="H2296" s="77" t="s">
        <v>4984</v>
      </c>
      <c r="I2296" s="77" t="s">
        <v>6948</v>
      </c>
      <c r="J2296" s="77" t="s">
        <v>1284</v>
      </c>
      <c r="K2296" s="38" t="s">
        <v>6443</v>
      </c>
      <c r="L2296" s="38"/>
      <c r="M2296" s="56"/>
      <c r="N2296" s="56" t="b">
        <v>0</v>
      </c>
      <c r="O2296" s="56" t="b">
        <v>0</v>
      </c>
      <c r="P2296" s="56"/>
      <c r="Q2296" s="56"/>
      <c r="R2296" s="56"/>
      <c r="S2296" s="56"/>
      <c r="T2296" s="56"/>
      <c r="U2296" s="56"/>
      <c r="V2296" s="56"/>
      <c r="W2296" s="56"/>
      <c r="X2296" s="56"/>
      <c r="Y2296" s="56"/>
      <c r="Z2296" s="56"/>
      <c r="AA2296" s="56"/>
      <c r="AB2296" s="56"/>
    </row>
    <row r="2297" ht="15.75" customHeight="1">
      <c r="A2297" s="169"/>
      <c r="B2297" s="63"/>
      <c r="C2297" s="22" t="s">
        <v>66</v>
      </c>
      <c r="D2297" s="227" t="s">
        <v>89</v>
      </c>
      <c r="E2297" s="242" t="s">
        <v>2009</v>
      </c>
      <c r="F2297" s="242" t="s">
        <v>2010</v>
      </c>
      <c r="G2297" s="345">
        <v>0.5416666666666666</v>
      </c>
      <c r="H2297" s="62" t="s">
        <v>6819</v>
      </c>
      <c r="I2297" s="62" t="s">
        <v>6975</v>
      </c>
      <c r="J2297" s="242" t="s">
        <v>2012</v>
      </c>
      <c r="K2297" s="38"/>
      <c r="L2297" s="38"/>
      <c r="M2297" s="56"/>
      <c r="N2297" s="56" t="b">
        <v>0</v>
      </c>
      <c r="O2297" s="56" t="b">
        <v>0</v>
      </c>
      <c r="P2297" s="56"/>
      <c r="Q2297" s="56"/>
      <c r="R2297" s="56"/>
      <c r="S2297" s="56"/>
      <c r="T2297" s="56"/>
      <c r="U2297" s="56"/>
      <c r="V2297" s="56"/>
      <c r="W2297" s="56"/>
      <c r="X2297" s="56"/>
      <c r="Y2297" s="56"/>
      <c r="Z2297" s="56"/>
      <c r="AA2297" s="56"/>
      <c r="AB2297" s="56"/>
    </row>
    <row r="2298" ht="15.75" customHeight="1">
      <c r="A2298" s="169"/>
      <c r="B2298" s="63"/>
      <c r="C2298" s="22" t="s">
        <v>66</v>
      </c>
      <c r="D2298" s="227" t="s">
        <v>89</v>
      </c>
      <c r="E2298" s="242" t="s">
        <v>2315</v>
      </c>
      <c r="F2298" s="242" t="s">
        <v>2316</v>
      </c>
      <c r="G2298" s="73" t="s">
        <v>4892</v>
      </c>
      <c r="H2298" s="62" t="s">
        <v>6976</v>
      </c>
      <c r="I2298" s="62" t="s">
        <v>6977</v>
      </c>
      <c r="J2298" s="242" t="s">
        <v>2318</v>
      </c>
      <c r="K2298" s="38"/>
      <c r="L2298" s="38"/>
      <c r="M2298" s="56"/>
      <c r="N2298" s="56" t="b">
        <v>0</v>
      </c>
      <c r="O2298" s="56" t="b">
        <v>0</v>
      </c>
      <c r="P2298" s="56"/>
      <c r="Q2298" s="56"/>
      <c r="R2298" s="56"/>
      <c r="S2298" s="56"/>
      <c r="T2298" s="56"/>
      <c r="U2298" s="56"/>
      <c r="V2298" s="56"/>
      <c r="W2298" s="56"/>
      <c r="X2298" s="56"/>
      <c r="Y2298" s="56"/>
      <c r="Z2298" s="56"/>
      <c r="AA2298" s="56"/>
      <c r="AB2298" s="56"/>
    </row>
    <row r="2299" ht="15.75" customHeight="1">
      <c r="A2299" s="169"/>
      <c r="B2299" s="63"/>
      <c r="C2299" s="22" t="s">
        <v>66</v>
      </c>
      <c r="D2299" s="227" t="s">
        <v>89</v>
      </c>
      <c r="E2299" s="242" t="s">
        <v>4291</v>
      </c>
      <c r="F2299" s="242" t="s">
        <v>4292</v>
      </c>
      <c r="G2299" s="73" t="s">
        <v>5036</v>
      </c>
      <c r="H2299" s="62" t="s">
        <v>6976</v>
      </c>
      <c r="I2299" s="62" t="s">
        <v>6977</v>
      </c>
      <c r="J2299" s="242" t="s">
        <v>2318</v>
      </c>
      <c r="K2299" s="38"/>
      <c r="L2299" s="38"/>
      <c r="M2299" s="56"/>
      <c r="N2299" s="56" t="b">
        <v>0</v>
      </c>
      <c r="O2299" s="56" t="b">
        <v>0</v>
      </c>
      <c r="P2299" s="56"/>
      <c r="Q2299" s="56"/>
      <c r="R2299" s="56"/>
      <c r="S2299" s="56"/>
      <c r="T2299" s="56"/>
      <c r="U2299" s="56"/>
      <c r="V2299" s="56"/>
      <c r="W2299" s="56"/>
      <c r="X2299" s="56"/>
      <c r="Y2299" s="56"/>
      <c r="Z2299" s="56"/>
      <c r="AA2299" s="56"/>
      <c r="AB2299" s="56"/>
    </row>
    <row r="2300" ht="15.75" customHeight="1">
      <c r="A2300" s="169"/>
      <c r="B2300" s="69"/>
      <c r="C2300" s="22" t="s">
        <v>66</v>
      </c>
      <c r="D2300" s="172" t="s">
        <v>89</v>
      </c>
      <c r="E2300" s="203" t="s">
        <v>460</v>
      </c>
      <c r="F2300" s="203" t="s">
        <v>461</v>
      </c>
      <c r="G2300" s="82" t="s">
        <v>5089</v>
      </c>
      <c r="H2300" s="76" t="s">
        <v>6978</v>
      </c>
      <c r="I2300" s="76" t="s">
        <v>6979</v>
      </c>
      <c r="J2300" s="203" t="s">
        <v>464</v>
      </c>
      <c r="K2300" s="38" t="s">
        <v>6980</v>
      </c>
      <c r="L2300" s="38"/>
      <c r="M2300" s="56"/>
      <c r="N2300" s="56" t="b">
        <v>0</v>
      </c>
      <c r="O2300" s="56" t="b">
        <v>0</v>
      </c>
      <c r="P2300" s="56"/>
      <c r="Q2300" s="56"/>
      <c r="R2300" s="56"/>
      <c r="S2300" s="56"/>
      <c r="T2300" s="56"/>
      <c r="U2300" s="56"/>
      <c r="V2300" s="56"/>
      <c r="W2300" s="56"/>
      <c r="X2300" s="56"/>
      <c r="Y2300" s="56"/>
      <c r="Z2300" s="56"/>
      <c r="AA2300" s="56"/>
      <c r="AB2300" s="56"/>
    </row>
    <row r="2301" ht="15.75" customHeight="1">
      <c r="A2301" s="169"/>
      <c r="B2301" s="320" t="s">
        <v>6848</v>
      </c>
      <c r="C2301" s="22"/>
      <c r="D2301" s="38"/>
      <c r="E2301" s="38"/>
      <c r="F2301" s="65"/>
      <c r="G2301" s="66"/>
      <c r="H2301" s="38"/>
      <c r="I2301" s="38"/>
      <c r="J2301" s="38"/>
      <c r="K2301" s="38"/>
      <c r="L2301" s="38"/>
      <c r="M2301" s="56"/>
      <c r="N2301" s="56" t="b">
        <v>0</v>
      </c>
      <c r="O2301" s="56" t="b">
        <v>0</v>
      </c>
      <c r="P2301" s="56"/>
      <c r="Q2301" s="56"/>
      <c r="R2301" s="56"/>
      <c r="S2301" s="56"/>
      <c r="T2301" s="56"/>
      <c r="U2301" s="56"/>
      <c r="V2301" s="56"/>
      <c r="W2301" s="56"/>
      <c r="X2301" s="56"/>
      <c r="Y2301" s="56"/>
      <c r="Z2301" s="56"/>
      <c r="AA2301" s="56"/>
      <c r="AB2301" s="56"/>
    </row>
    <row r="2302" ht="15.75" customHeight="1">
      <c r="A2302" s="169"/>
      <c r="B2302" s="63"/>
      <c r="C2302" s="22" t="s">
        <v>131</v>
      </c>
      <c r="D2302" s="38"/>
      <c r="E2302" s="162" t="s">
        <v>5784</v>
      </c>
      <c r="F2302" s="339"/>
      <c r="G2302" s="155"/>
      <c r="H2302" s="38"/>
      <c r="I2302" s="38"/>
      <c r="J2302" s="38"/>
      <c r="K2302" s="38"/>
      <c r="L2302" s="38"/>
      <c r="M2302" s="56"/>
      <c r="N2302" s="56" t="b">
        <v>0</v>
      </c>
      <c r="O2302" s="56" t="b">
        <v>0</v>
      </c>
      <c r="P2302" s="56"/>
      <c r="Q2302" s="56"/>
      <c r="R2302" s="56"/>
      <c r="S2302" s="56"/>
      <c r="T2302" s="56"/>
      <c r="U2302" s="56"/>
      <c r="V2302" s="56"/>
      <c r="W2302" s="56"/>
      <c r="X2302" s="56"/>
      <c r="Y2302" s="56"/>
      <c r="Z2302" s="56"/>
      <c r="AA2302" s="56"/>
      <c r="AB2302" s="56"/>
    </row>
    <row r="2303" ht="15.75" customHeight="1">
      <c r="A2303" s="169"/>
      <c r="B2303" s="63"/>
      <c r="C2303" s="22" t="s">
        <v>131</v>
      </c>
      <c r="D2303" s="38"/>
      <c r="E2303" s="156"/>
      <c r="G2303" s="157"/>
      <c r="H2303" s="38"/>
      <c r="I2303" s="38"/>
      <c r="J2303" s="38"/>
      <c r="K2303" s="38"/>
      <c r="L2303" s="38"/>
      <c r="M2303" s="56"/>
      <c r="N2303" s="56" t="b">
        <v>0</v>
      </c>
      <c r="O2303" s="56" t="b">
        <v>0</v>
      </c>
      <c r="P2303" s="56"/>
      <c r="Q2303" s="56"/>
      <c r="R2303" s="56"/>
      <c r="S2303" s="56"/>
      <c r="T2303" s="56"/>
      <c r="U2303" s="56"/>
      <c r="V2303" s="56"/>
      <c r="W2303" s="56"/>
      <c r="X2303" s="56"/>
      <c r="Y2303" s="56"/>
      <c r="Z2303" s="56"/>
      <c r="AA2303" s="56"/>
      <c r="AB2303" s="56"/>
    </row>
    <row r="2304" ht="15.75" customHeight="1">
      <c r="A2304" s="169"/>
      <c r="B2304" s="63"/>
      <c r="C2304" s="22" t="s">
        <v>131</v>
      </c>
      <c r="D2304" s="38"/>
      <c r="E2304" s="158"/>
      <c r="F2304" s="340"/>
      <c r="G2304" s="159"/>
      <c r="H2304" s="38"/>
      <c r="I2304" s="38"/>
      <c r="J2304" s="38"/>
      <c r="K2304" s="38"/>
      <c r="L2304" s="38"/>
      <c r="M2304" s="56"/>
      <c r="N2304" s="56" t="b">
        <v>0</v>
      </c>
      <c r="O2304" s="56" t="b">
        <v>0</v>
      </c>
      <c r="P2304" s="56"/>
      <c r="Q2304" s="56"/>
      <c r="R2304" s="56"/>
      <c r="S2304" s="56"/>
      <c r="T2304" s="56"/>
      <c r="U2304" s="56"/>
      <c r="V2304" s="56"/>
      <c r="W2304" s="56"/>
      <c r="X2304" s="56"/>
      <c r="Y2304" s="56"/>
      <c r="Z2304" s="56"/>
      <c r="AA2304" s="56"/>
      <c r="AB2304" s="56"/>
    </row>
    <row r="2305" ht="15.75" customHeight="1">
      <c r="A2305" s="169"/>
      <c r="B2305" s="63"/>
      <c r="C2305" s="22" t="s">
        <v>131</v>
      </c>
      <c r="D2305" s="38"/>
      <c r="E2305" s="38"/>
      <c r="F2305" s="65"/>
      <c r="G2305" s="66"/>
      <c r="H2305" s="38"/>
      <c r="I2305" s="38"/>
      <c r="J2305" s="38"/>
      <c r="K2305" s="38"/>
      <c r="L2305" s="38"/>
      <c r="M2305" s="56"/>
      <c r="N2305" s="56" t="b">
        <v>0</v>
      </c>
      <c r="O2305" s="56" t="b">
        <v>0</v>
      </c>
      <c r="P2305" s="56"/>
      <c r="Q2305" s="56"/>
      <c r="R2305" s="56"/>
      <c r="S2305" s="56"/>
      <c r="T2305" s="56"/>
      <c r="U2305" s="56"/>
      <c r="V2305" s="56"/>
      <c r="W2305" s="56"/>
      <c r="X2305" s="56"/>
      <c r="Y2305" s="56"/>
      <c r="Z2305" s="56"/>
      <c r="AA2305" s="56"/>
      <c r="AB2305" s="56"/>
    </row>
    <row r="2306" ht="15.75" customHeight="1">
      <c r="A2306" s="169"/>
      <c r="B2306" s="63"/>
      <c r="C2306" s="22" t="s">
        <v>131</v>
      </c>
      <c r="D2306" s="38"/>
      <c r="E2306" s="38"/>
      <c r="F2306" s="65"/>
      <c r="G2306" s="66"/>
      <c r="H2306" s="38"/>
      <c r="I2306" s="38"/>
      <c r="J2306" s="38"/>
      <c r="K2306" s="38"/>
      <c r="L2306" s="38"/>
      <c r="M2306" s="56"/>
      <c r="N2306" s="56" t="b">
        <v>0</v>
      </c>
      <c r="O2306" s="56" t="b">
        <v>0</v>
      </c>
      <c r="P2306" s="56"/>
      <c r="Q2306" s="56"/>
      <c r="R2306" s="56"/>
      <c r="S2306" s="56"/>
      <c r="T2306" s="56"/>
      <c r="U2306" s="56"/>
      <c r="V2306" s="56"/>
      <c r="W2306" s="56"/>
      <c r="X2306" s="56"/>
      <c r="Y2306" s="56"/>
      <c r="Z2306" s="56"/>
      <c r="AA2306" s="56"/>
      <c r="AB2306" s="56"/>
    </row>
    <row r="2307" ht="15.75" customHeight="1">
      <c r="A2307" s="169"/>
      <c r="B2307" s="63"/>
      <c r="C2307" s="22" t="s">
        <v>131</v>
      </c>
      <c r="D2307" s="38"/>
      <c r="E2307" s="38"/>
      <c r="F2307" s="65"/>
      <c r="G2307" s="66"/>
      <c r="H2307" s="38"/>
      <c r="I2307" s="38"/>
      <c r="J2307" s="38"/>
      <c r="K2307" s="38"/>
      <c r="L2307" s="38"/>
      <c r="M2307" s="56"/>
      <c r="N2307" s="56" t="b">
        <v>0</v>
      </c>
      <c r="O2307" s="56" t="b">
        <v>0</v>
      </c>
      <c r="P2307" s="56"/>
      <c r="Q2307" s="56"/>
      <c r="R2307" s="56"/>
      <c r="S2307" s="56"/>
      <c r="T2307" s="56"/>
      <c r="U2307" s="56"/>
      <c r="V2307" s="56"/>
      <c r="W2307" s="56"/>
      <c r="X2307" s="56"/>
      <c r="Y2307" s="56"/>
      <c r="Z2307" s="56"/>
      <c r="AA2307" s="56"/>
      <c r="AB2307" s="56"/>
    </row>
    <row r="2308" ht="15.75" customHeight="1">
      <c r="A2308" s="169"/>
      <c r="B2308" s="69"/>
      <c r="C2308" s="22" t="s">
        <v>131</v>
      </c>
      <c r="D2308" s="38"/>
      <c r="E2308" s="38"/>
      <c r="F2308" s="65"/>
      <c r="G2308" s="66"/>
      <c r="H2308" s="38"/>
      <c r="I2308" s="38"/>
      <c r="J2308" s="38"/>
      <c r="K2308" s="38"/>
      <c r="L2308" s="38"/>
      <c r="M2308" s="56"/>
      <c r="N2308" s="56" t="b">
        <v>0</v>
      </c>
      <c r="O2308" s="56" t="b">
        <v>0</v>
      </c>
      <c r="P2308" s="56"/>
      <c r="Q2308" s="56"/>
      <c r="R2308" s="56"/>
      <c r="S2308" s="56"/>
      <c r="T2308" s="56"/>
      <c r="U2308" s="56"/>
      <c r="V2308" s="56"/>
      <c r="W2308" s="56"/>
      <c r="X2308" s="56"/>
      <c r="Y2308" s="56"/>
      <c r="Z2308" s="56"/>
      <c r="AA2308" s="56"/>
      <c r="AB2308" s="56"/>
    </row>
    <row r="2309" ht="15.75" customHeight="1">
      <c r="A2309" s="169"/>
      <c r="B2309" s="299"/>
      <c r="C2309" s="220">
        <v>44652.0</v>
      </c>
      <c r="D2309" s="38"/>
      <c r="E2309" s="38"/>
      <c r="F2309" s="65"/>
      <c r="G2309" s="66"/>
      <c r="H2309" s="38"/>
      <c r="I2309" s="38"/>
      <c r="J2309" s="38"/>
      <c r="K2309" s="38"/>
      <c r="L2309" s="38"/>
      <c r="M2309" s="56"/>
      <c r="N2309" s="56" t="b">
        <v>0</v>
      </c>
      <c r="O2309" s="56" t="b">
        <v>0</v>
      </c>
      <c r="P2309" s="56"/>
      <c r="Q2309" s="56"/>
      <c r="R2309" s="56"/>
      <c r="S2309" s="56"/>
      <c r="T2309" s="56"/>
      <c r="U2309" s="56"/>
      <c r="V2309" s="56"/>
      <c r="W2309" s="56"/>
      <c r="X2309" s="56"/>
      <c r="Y2309" s="56"/>
      <c r="Z2309" s="56"/>
      <c r="AA2309" s="56"/>
      <c r="AB2309" s="56"/>
    </row>
    <row r="2310" ht="15.75" customHeight="1">
      <c r="A2310" s="169"/>
      <c r="B2310" s="320" t="s">
        <v>6168</v>
      </c>
      <c r="C2310" s="22" t="s">
        <v>66</v>
      </c>
      <c r="D2310" s="38"/>
      <c r="E2310" s="38"/>
      <c r="F2310" s="65"/>
      <c r="G2310" s="66"/>
      <c r="H2310" s="38"/>
      <c r="I2310" s="38"/>
      <c r="J2310" s="38"/>
      <c r="K2310" s="38"/>
      <c r="L2310" s="38"/>
      <c r="M2310" s="56"/>
      <c r="N2310" s="56" t="b">
        <v>0</v>
      </c>
      <c r="O2310" s="56" t="b">
        <v>0</v>
      </c>
      <c r="P2310" s="56"/>
      <c r="Q2310" s="56"/>
      <c r="R2310" s="56"/>
      <c r="S2310" s="56"/>
      <c r="T2310" s="56"/>
      <c r="U2310" s="56"/>
      <c r="V2310" s="56"/>
      <c r="W2310" s="56"/>
      <c r="X2310" s="56"/>
      <c r="Y2310" s="56"/>
      <c r="Z2310" s="56"/>
      <c r="AA2310" s="56"/>
      <c r="AB2310" s="56"/>
    </row>
    <row r="2311" ht="15.75" customHeight="1">
      <c r="A2311" s="169"/>
      <c r="B2311" s="63"/>
      <c r="C2311" s="22" t="s">
        <v>66</v>
      </c>
      <c r="D2311" s="38"/>
      <c r="E2311" s="38"/>
      <c r="F2311" s="162" t="s">
        <v>5784</v>
      </c>
      <c r="G2311" s="339"/>
      <c r="H2311" s="155"/>
      <c r="I2311" s="38"/>
      <c r="J2311" s="38"/>
      <c r="K2311" s="38"/>
      <c r="L2311" s="38"/>
      <c r="M2311" s="56"/>
      <c r="N2311" s="56" t="b">
        <v>0</v>
      </c>
      <c r="O2311" s="56" t="b">
        <v>0</v>
      </c>
      <c r="P2311" s="56"/>
      <c r="Q2311" s="56"/>
      <c r="R2311" s="56"/>
      <c r="S2311" s="56"/>
      <c r="T2311" s="56"/>
      <c r="U2311" s="56"/>
      <c r="V2311" s="56"/>
      <c r="W2311" s="56"/>
      <c r="X2311" s="56"/>
      <c r="Y2311" s="56"/>
      <c r="Z2311" s="56"/>
      <c r="AA2311" s="56"/>
      <c r="AB2311" s="56"/>
    </row>
    <row r="2312" ht="15.75" customHeight="1">
      <c r="A2312" s="169"/>
      <c r="B2312" s="63"/>
      <c r="C2312" s="22" t="s">
        <v>66</v>
      </c>
      <c r="D2312" s="38"/>
      <c r="E2312" s="38"/>
      <c r="F2312" s="156"/>
      <c r="H2312" s="157"/>
      <c r="I2312" s="38"/>
      <c r="J2312" s="38"/>
      <c r="K2312" s="38"/>
      <c r="L2312" s="38"/>
      <c r="M2312" s="56"/>
      <c r="N2312" s="56" t="b">
        <v>0</v>
      </c>
      <c r="O2312" s="56" t="b">
        <v>0</v>
      </c>
      <c r="P2312" s="56"/>
      <c r="Q2312" s="56"/>
      <c r="R2312" s="56"/>
      <c r="S2312" s="56"/>
      <c r="T2312" s="56"/>
      <c r="U2312" s="56"/>
      <c r="V2312" s="56"/>
      <c r="W2312" s="56"/>
      <c r="X2312" s="56"/>
      <c r="Y2312" s="56"/>
      <c r="Z2312" s="56"/>
      <c r="AA2312" s="56"/>
      <c r="AB2312" s="56"/>
    </row>
    <row r="2313" ht="15.75" customHeight="1">
      <c r="A2313" s="169"/>
      <c r="B2313" s="63"/>
      <c r="C2313" s="22" t="s">
        <v>66</v>
      </c>
      <c r="D2313" s="38"/>
      <c r="E2313" s="38"/>
      <c r="F2313" s="158"/>
      <c r="G2313" s="340"/>
      <c r="H2313" s="159"/>
      <c r="I2313" s="38"/>
      <c r="J2313" s="38"/>
      <c r="K2313" s="38"/>
      <c r="L2313" s="38"/>
      <c r="M2313" s="56"/>
      <c r="N2313" s="56" t="b">
        <v>0</v>
      </c>
      <c r="O2313" s="56" t="b">
        <v>0</v>
      </c>
      <c r="P2313" s="56"/>
      <c r="Q2313" s="56"/>
      <c r="R2313" s="56"/>
      <c r="S2313" s="56"/>
      <c r="T2313" s="56"/>
      <c r="U2313" s="56"/>
      <c r="V2313" s="56"/>
      <c r="W2313" s="56"/>
      <c r="X2313" s="56"/>
      <c r="Y2313" s="56"/>
      <c r="Z2313" s="56"/>
      <c r="AA2313" s="56"/>
      <c r="AB2313" s="56"/>
    </row>
    <row r="2314" ht="15.75" customHeight="1">
      <c r="A2314" s="169"/>
      <c r="B2314" s="63"/>
      <c r="C2314" s="22" t="s">
        <v>66</v>
      </c>
      <c r="D2314" s="38"/>
      <c r="E2314" s="38"/>
      <c r="F2314" s="65"/>
      <c r="G2314" s="66"/>
      <c r="H2314" s="38"/>
      <c r="I2314" s="38"/>
      <c r="J2314" s="38"/>
      <c r="K2314" s="38"/>
      <c r="L2314" s="38"/>
      <c r="M2314" s="56"/>
      <c r="N2314" s="56" t="b">
        <v>0</v>
      </c>
      <c r="O2314" s="56" t="b">
        <v>0</v>
      </c>
      <c r="P2314" s="56"/>
      <c r="Q2314" s="56"/>
      <c r="R2314" s="56"/>
      <c r="S2314" s="56"/>
      <c r="T2314" s="56"/>
      <c r="U2314" s="56"/>
      <c r="V2314" s="56"/>
      <c r="W2314" s="56"/>
      <c r="X2314" s="56"/>
      <c r="Y2314" s="56"/>
      <c r="Z2314" s="56"/>
      <c r="AA2314" s="56"/>
      <c r="AB2314" s="56"/>
    </row>
    <row r="2315" ht="15.75" customHeight="1">
      <c r="A2315" s="169"/>
      <c r="B2315" s="69"/>
      <c r="C2315" s="22" t="s">
        <v>66</v>
      </c>
      <c r="D2315" s="38"/>
      <c r="E2315" s="38"/>
      <c r="F2315" s="65"/>
      <c r="G2315" s="66"/>
      <c r="H2315" s="38"/>
      <c r="I2315" s="38"/>
      <c r="J2315" s="38"/>
      <c r="K2315" s="38"/>
      <c r="L2315" s="38"/>
      <c r="M2315" s="56"/>
      <c r="N2315" s="56" t="b">
        <v>0</v>
      </c>
      <c r="O2315" s="56" t="b">
        <v>0</v>
      </c>
      <c r="P2315" s="56"/>
      <c r="Q2315" s="56"/>
      <c r="R2315" s="56"/>
      <c r="S2315" s="56"/>
      <c r="T2315" s="56"/>
      <c r="U2315" s="56"/>
      <c r="V2315" s="56"/>
      <c r="W2315" s="56"/>
      <c r="X2315" s="56"/>
      <c r="Y2315" s="56"/>
      <c r="Z2315" s="56"/>
      <c r="AA2315" s="56"/>
      <c r="AB2315" s="56"/>
    </row>
    <row r="2316" ht="15.75" customHeight="1">
      <c r="A2316" s="169"/>
      <c r="B2316" s="320" t="s">
        <v>6981</v>
      </c>
      <c r="C2316" s="22"/>
      <c r="D2316" s="38"/>
      <c r="E2316" s="38"/>
      <c r="F2316" s="65"/>
      <c r="G2316" s="66"/>
      <c r="H2316" s="38"/>
      <c r="I2316" s="38"/>
      <c r="J2316" s="38"/>
      <c r="K2316" s="38"/>
      <c r="L2316" s="38"/>
      <c r="M2316" s="56"/>
      <c r="N2316" s="56" t="b">
        <v>0</v>
      </c>
      <c r="O2316" s="56" t="b">
        <v>0</v>
      </c>
      <c r="P2316" s="56"/>
      <c r="Q2316" s="56"/>
      <c r="R2316" s="56"/>
      <c r="S2316" s="56"/>
      <c r="T2316" s="56"/>
      <c r="U2316" s="56"/>
      <c r="V2316" s="56"/>
      <c r="W2316" s="56"/>
      <c r="X2316" s="56"/>
      <c r="Y2316" s="56"/>
      <c r="Z2316" s="56"/>
      <c r="AA2316" s="56"/>
      <c r="AB2316" s="56"/>
    </row>
    <row r="2317" ht="15.75" customHeight="1">
      <c r="A2317" s="169"/>
      <c r="B2317" s="63"/>
      <c r="C2317" s="22" t="s">
        <v>131</v>
      </c>
      <c r="D2317" s="38"/>
      <c r="E2317" s="38" t="s">
        <v>6960</v>
      </c>
      <c r="F2317" s="330" t="s">
        <v>6982</v>
      </c>
      <c r="G2317" s="55"/>
      <c r="H2317" s="38" t="s">
        <v>6968</v>
      </c>
      <c r="I2317" s="38"/>
      <c r="J2317" s="38"/>
      <c r="K2317" s="38"/>
      <c r="L2317" s="38"/>
      <c r="M2317" s="56"/>
      <c r="N2317" s="56" t="b">
        <v>0</v>
      </c>
      <c r="O2317" s="56" t="b">
        <v>0</v>
      </c>
      <c r="P2317" s="56"/>
      <c r="Q2317" s="56"/>
      <c r="R2317" s="56"/>
      <c r="S2317" s="56"/>
      <c r="T2317" s="56"/>
      <c r="U2317" s="56"/>
      <c r="V2317" s="56"/>
      <c r="W2317" s="56"/>
      <c r="X2317" s="56"/>
      <c r="Y2317" s="56"/>
      <c r="Z2317" s="56"/>
      <c r="AA2317" s="56"/>
      <c r="AB2317" s="56"/>
    </row>
    <row r="2318" ht="15.75" customHeight="1">
      <c r="A2318" s="169"/>
      <c r="B2318" s="63"/>
      <c r="C2318" s="22" t="s">
        <v>131</v>
      </c>
      <c r="D2318" s="38"/>
      <c r="E2318" s="38"/>
      <c r="F2318" s="65"/>
      <c r="G2318" s="66"/>
      <c r="H2318" s="38"/>
      <c r="I2318" s="38"/>
      <c r="J2318" s="38"/>
      <c r="K2318" s="38"/>
      <c r="L2318" s="38"/>
      <c r="M2318" s="56"/>
      <c r="N2318" s="56" t="b">
        <v>0</v>
      </c>
      <c r="O2318" s="56" t="b">
        <v>0</v>
      </c>
      <c r="P2318" s="56"/>
      <c r="Q2318" s="56"/>
      <c r="R2318" s="56"/>
      <c r="S2318" s="56"/>
      <c r="T2318" s="56"/>
      <c r="U2318" s="56"/>
      <c r="V2318" s="56"/>
      <c r="W2318" s="56"/>
      <c r="X2318" s="56"/>
      <c r="Y2318" s="56"/>
      <c r="Z2318" s="56"/>
      <c r="AA2318" s="56"/>
      <c r="AB2318" s="56"/>
    </row>
    <row r="2319" ht="15.75" customHeight="1">
      <c r="A2319" s="169"/>
      <c r="B2319" s="63"/>
      <c r="C2319" s="22" t="s">
        <v>131</v>
      </c>
      <c r="D2319" s="38"/>
      <c r="E2319" s="38"/>
      <c r="F2319" s="65"/>
      <c r="G2319" s="162" t="s">
        <v>5784</v>
      </c>
      <c r="H2319" s="339"/>
      <c r="I2319" s="155"/>
      <c r="J2319" s="38"/>
      <c r="K2319" s="38"/>
      <c r="L2319" s="38"/>
      <c r="M2319" s="56"/>
      <c r="N2319" s="56" t="b">
        <v>0</v>
      </c>
      <c r="O2319" s="56" t="b">
        <v>0</v>
      </c>
      <c r="P2319" s="56"/>
      <c r="Q2319" s="56"/>
      <c r="R2319" s="56"/>
      <c r="S2319" s="56"/>
      <c r="T2319" s="56"/>
      <c r="U2319" s="56"/>
      <c r="V2319" s="56"/>
      <c r="W2319" s="56"/>
      <c r="X2319" s="56"/>
      <c r="Y2319" s="56"/>
      <c r="Z2319" s="56"/>
      <c r="AA2319" s="56"/>
      <c r="AB2319" s="56"/>
    </row>
    <row r="2320" ht="15.75" customHeight="1">
      <c r="A2320" s="169"/>
      <c r="B2320" s="63"/>
      <c r="C2320" s="22" t="s">
        <v>131</v>
      </c>
      <c r="D2320" s="38"/>
      <c r="E2320" s="38"/>
      <c r="F2320" s="65"/>
      <c r="G2320" s="156"/>
      <c r="I2320" s="157"/>
      <c r="J2320" s="38"/>
      <c r="K2320" s="38"/>
      <c r="L2320" s="38"/>
      <c r="M2320" s="56"/>
      <c r="N2320" s="56" t="b">
        <v>0</v>
      </c>
      <c r="O2320" s="56" t="b">
        <v>0</v>
      </c>
      <c r="P2320" s="56"/>
      <c r="Q2320" s="56"/>
      <c r="R2320" s="56"/>
      <c r="S2320" s="56"/>
      <c r="T2320" s="56"/>
      <c r="U2320" s="56"/>
      <c r="V2320" s="56"/>
      <c r="W2320" s="56"/>
      <c r="X2320" s="56"/>
      <c r="Y2320" s="56"/>
      <c r="Z2320" s="56"/>
      <c r="AA2320" s="56"/>
      <c r="AB2320" s="56"/>
    </row>
    <row r="2321" ht="15.75" customHeight="1">
      <c r="A2321" s="169"/>
      <c r="B2321" s="63"/>
      <c r="C2321" s="22" t="s">
        <v>131</v>
      </c>
      <c r="D2321" s="76" t="s">
        <v>267</v>
      </c>
      <c r="E2321" s="77" t="s">
        <v>1280</v>
      </c>
      <c r="F2321" s="77" t="s">
        <v>1281</v>
      </c>
      <c r="G2321" s="158"/>
      <c r="H2321" s="340"/>
      <c r="I2321" s="159"/>
      <c r="J2321" s="77" t="s">
        <v>1284</v>
      </c>
      <c r="K2321" s="38" t="s">
        <v>6983</v>
      </c>
      <c r="L2321" s="38"/>
      <c r="M2321" s="56"/>
      <c r="N2321" s="56" t="b">
        <v>0</v>
      </c>
      <c r="O2321" s="56" t="b">
        <v>0</v>
      </c>
      <c r="P2321" s="56"/>
      <c r="Q2321" s="56"/>
      <c r="R2321" s="56"/>
      <c r="S2321" s="56"/>
      <c r="T2321" s="56"/>
      <c r="U2321" s="56"/>
      <c r="V2321" s="56"/>
      <c r="W2321" s="56"/>
      <c r="X2321" s="56"/>
      <c r="Y2321" s="56"/>
      <c r="Z2321" s="56"/>
      <c r="AA2321" s="56"/>
      <c r="AB2321" s="56"/>
    </row>
    <row r="2322" ht="15.75" customHeight="1">
      <c r="A2322" s="169"/>
      <c r="B2322" s="63"/>
      <c r="C2322" s="22" t="s">
        <v>131</v>
      </c>
      <c r="D2322" s="38"/>
      <c r="E2322" s="38"/>
      <c r="F2322" s="65"/>
      <c r="G2322" s="66"/>
      <c r="H2322" s="38"/>
      <c r="I2322" s="38"/>
      <c r="J2322" s="38"/>
      <c r="K2322" s="38"/>
      <c r="L2322" s="38"/>
      <c r="M2322" s="56"/>
      <c r="N2322" s="56" t="b">
        <v>0</v>
      </c>
      <c r="O2322" s="56" t="b">
        <v>0</v>
      </c>
      <c r="P2322" s="56"/>
      <c r="Q2322" s="56"/>
      <c r="R2322" s="56"/>
      <c r="S2322" s="56"/>
      <c r="T2322" s="56"/>
      <c r="U2322" s="56"/>
      <c r="V2322" s="56"/>
      <c r="W2322" s="56"/>
      <c r="X2322" s="56"/>
      <c r="Y2322" s="56"/>
      <c r="Z2322" s="56"/>
      <c r="AA2322" s="56"/>
      <c r="AB2322" s="56"/>
    </row>
    <row r="2323" ht="15.75" customHeight="1">
      <c r="A2323" s="169"/>
      <c r="B2323" s="69"/>
      <c r="C2323" s="22" t="s">
        <v>131</v>
      </c>
      <c r="D2323" s="38"/>
      <c r="E2323" s="38"/>
      <c r="F2323" s="65"/>
      <c r="G2323" s="66"/>
      <c r="H2323" s="38"/>
      <c r="I2323" s="38"/>
      <c r="J2323" s="38"/>
      <c r="K2323" s="38"/>
      <c r="L2323" s="38"/>
      <c r="M2323" s="56"/>
      <c r="N2323" s="56" t="b">
        <v>0</v>
      </c>
      <c r="O2323" s="56" t="b">
        <v>0</v>
      </c>
      <c r="P2323" s="56"/>
      <c r="Q2323" s="56"/>
      <c r="R2323" s="56"/>
      <c r="S2323" s="56"/>
      <c r="T2323" s="56"/>
      <c r="U2323" s="56"/>
      <c r="V2323" s="56"/>
      <c r="W2323" s="56"/>
      <c r="X2323" s="56"/>
      <c r="Y2323" s="56"/>
      <c r="Z2323" s="56"/>
      <c r="AA2323" s="56"/>
      <c r="AB2323" s="56"/>
    </row>
    <row r="2324" ht="15.75" customHeight="1">
      <c r="A2324" s="169"/>
      <c r="B2324" s="299"/>
      <c r="C2324" s="220">
        <v>44656.0</v>
      </c>
      <c r="D2324" s="38"/>
      <c r="E2324" s="38"/>
      <c r="F2324" s="65"/>
      <c r="G2324" s="66"/>
      <c r="H2324" s="38"/>
      <c r="I2324" s="38"/>
      <c r="J2324" s="38"/>
      <c r="K2324" s="38"/>
      <c r="L2324" s="38"/>
      <c r="M2324" s="56"/>
      <c r="N2324" s="56" t="b">
        <v>0</v>
      </c>
      <c r="O2324" s="56" t="b">
        <v>0</v>
      </c>
      <c r="P2324" s="56"/>
      <c r="Q2324" s="56"/>
      <c r="R2324" s="56"/>
      <c r="S2324" s="56"/>
      <c r="T2324" s="56"/>
      <c r="U2324" s="56"/>
      <c r="V2324" s="56"/>
      <c r="W2324" s="56"/>
      <c r="X2324" s="56"/>
      <c r="Y2324" s="56"/>
      <c r="Z2324" s="56"/>
      <c r="AA2324" s="56"/>
      <c r="AB2324" s="56"/>
    </row>
    <row r="2325" ht="15.75" customHeight="1">
      <c r="A2325" s="169"/>
      <c r="B2325" s="320" t="s">
        <v>6168</v>
      </c>
      <c r="C2325" s="22" t="s">
        <v>66</v>
      </c>
      <c r="D2325" s="38"/>
      <c r="E2325" s="162" t="s">
        <v>5784</v>
      </c>
      <c r="F2325" s="339"/>
      <c r="G2325" s="155"/>
      <c r="H2325" s="38"/>
      <c r="I2325" s="38"/>
      <c r="J2325" s="38"/>
      <c r="K2325" s="38"/>
      <c r="L2325" s="38"/>
      <c r="M2325" s="56"/>
      <c r="N2325" s="56" t="b">
        <v>0</v>
      </c>
      <c r="O2325" s="56" t="b">
        <v>0</v>
      </c>
      <c r="P2325" s="56"/>
      <c r="Q2325" s="56"/>
      <c r="R2325" s="56"/>
      <c r="S2325" s="56"/>
      <c r="T2325" s="56"/>
      <c r="U2325" s="56"/>
      <c r="V2325" s="56"/>
      <c r="W2325" s="56"/>
      <c r="X2325" s="56"/>
      <c r="Y2325" s="56"/>
      <c r="Z2325" s="56"/>
      <c r="AA2325" s="56"/>
      <c r="AB2325" s="56"/>
    </row>
    <row r="2326" ht="15.75" customHeight="1">
      <c r="A2326" s="169"/>
      <c r="B2326" s="63"/>
      <c r="C2326" s="22" t="s">
        <v>66</v>
      </c>
      <c r="D2326" s="38"/>
      <c r="E2326" s="156"/>
      <c r="G2326" s="157"/>
      <c r="H2326" s="38"/>
      <c r="I2326" s="38"/>
      <c r="J2326" s="38"/>
      <c r="K2326" s="38"/>
      <c r="L2326" s="38"/>
      <c r="M2326" s="56"/>
      <c r="N2326" s="56" t="b">
        <v>0</v>
      </c>
      <c r="O2326" s="56" t="b">
        <v>0</v>
      </c>
      <c r="P2326" s="56"/>
      <c r="Q2326" s="56"/>
      <c r="R2326" s="56"/>
      <c r="S2326" s="56"/>
      <c r="T2326" s="56"/>
      <c r="U2326" s="56"/>
      <c r="V2326" s="56"/>
      <c r="W2326" s="56"/>
      <c r="X2326" s="56"/>
      <c r="Y2326" s="56"/>
      <c r="Z2326" s="56"/>
      <c r="AA2326" s="56"/>
      <c r="AB2326" s="56"/>
    </row>
    <row r="2327" ht="15.75" customHeight="1">
      <c r="A2327" s="169"/>
      <c r="B2327" s="63"/>
      <c r="C2327" s="22" t="s">
        <v>66</v>
      </c>
      <c r="D2327" s="38"/>
      <c r="E2327" s="158"/>
      <c r="F2327" s="340"/>
      <c r="G2327" s="159"/>
      <c r="H2327" s="38"/>
      <c r="I2327" s="38"/>
      <c r="J2327" s="38"/>
      <c r="K2327" s="38"/>
      <c r="L2327" s="38"/>
      <c r="M2327" s="56"/>
      <c r="N2327" s="56" t="b">
        <v>0</v>
      </c>
      <c r="O2327" s="56" t="b">
        <v>0</v>
      </c>
      <c r="P2327" s="56"/>
      <c r="Q2327" s="56"/>
      <c r="R2327" s="56"/>
      <c r="S2327" s="56"/>
      <c r="T2327" s="56"/>
      <c r="U2327" s="56"/>
      <c r="V2327" s="56"/>
      <c r="W2327" s="56"/>
      <c r="X2327" s="56"/>
      <c r="Y2327" s="56"/>
      <c r="Z2327" s="56"/>
      <c r="AA2327" s="56"/>
      <c r="AB2327" s="56"/>
    </row>
    <row r="2328" ht="15.75" customHeight="1">
      <c r="A2328" s="169"/>
      <c r="B2328" s="63"/>
      <c r="C2328" s="22" t="s">
        <v>66</v>
      </c>
      <c r="D2328" s="38"/>
      <c r="E2328" s="38"/>
      <c r="F2328" s="65"/>
      <c r="G2328" s="66"/>
      <c r="H2328" s="38"/>
      <c r="I2328" s="38"/>
      <c r="J2328" s="38"/>
      <c r="K2328" s="38"/>
      <c r="L2328" s="38"/>
      <c r="M2328" s="56"/>
      <c r="N2328" s="56" t="b">
        <v>0</v>
      </c>
      <c r="O2328" s="56" t="b">
        <v>0</v>
      </c>
      <c r="P2328" s="56"/>
      <c r="Q2328" s="56"/>
      <c r="R2328" s="56"/>
      <c r="S2328" s="56"/>
      <c r="T2328" s="56"/>
      <c r="U2328" s="56"/>
      <c r="V2328" s="56"/>
      <c r="W2328" s="56"/>
      <c r="X2328" s="56"/>
      <c r="Y2328" s="56"/>
      <c r="Z2328" s="56"/>
      <c r="AA2328" s="56"/>
      <c r="AB2328" s="56"/>
    </row>
    <row r="2329" ht="15.75" customHeight="1">
      <c r="A2329" s="169"/>
      <c r="B2329" s="63"/>
      <c r="C2329" s="22" t="s">
        <v>66</v>
      </c>
      <c r="D2329" s="38"/>
      <c r="E2329" s="38"/>
      <c r="F2329" s="65"/>
      <c r="G2329" s="66"/>
      <c r="H2329" s="38"/>
      <c r="I2329" s="38"/>
      <c r="J2329" s="38"/>
      <c r="K2329" s="38"/>
      <c r="L2329" s="38"/>
      <c r="M2329" s="56"/>
      <c r="N2329" s="56" t="b">
        <v>0</v>
      </c>
      <c r="O2329" s="56" t="b">
        <v>0</v>
      </c>
      <c r="P2329" s="56"/>
      <c r="Q2329" s="56"/>
      <c r="R2329" s="56"/>
      <c r="S2329" s="56"/>
      <c r="T2329" s="56"/>
      <c r="U2329" s="56"/>
      <c r="V2329" s="56"/>
      <c r="W2329" s="56"/>
      <c r="X2329" s="56"/>
      <c r="Y2329" s="56"/>
      <c r="Z2329" s="56"/>
      <c r="AA2329" s="56"/>
      <c r="AB2329" s="56"/>
    </row>
    <row r="2330" ht="15.75" customHeight="1">
      <c r="A2330" s="169"/>
      <c r="B2330" s="69"/>
      <c r="C2330" s="22" t="s">
        <v>66</v>
      </c>
      <c r="D2330" s="38"/>
      <c r="E2330" s="38"/>
      <c r="F2330" s="65"/>
      <c r="G2330" s="66"/>
      <c r="H2330" s="38"/>
      <c r="I2330" s="38"/>
      <c r="J2330" s="38"/>
      <c r="K2330" s="38"/>
      <c r="L2330" s="38"/>
      <c r="M2330" s="56"/>
      <c r="N2330" s="56" t="b">
        <v>0</v>
      </c>
      <c r="O2330" s="56" t="b">
        <v>0</v>
      </c>
      <c r="P2330" s="56"/>
      <c r="Q2330" s="56"/>
      <c r="R2330" s="56"/>
      <c r="S2330" s="56"/>
      <c r="T2330" s="56"/>
      <c r="U2330" s="56"/>
      <c r="V2330" s="56"/>
      <c r="W2330" s="56"/>
      <c r="X2330" s="56"/>
      <c r="Y2330" s="56"/>
      <c r="Z2330" s="56"/>
      <c r="AA2330" s="56"/>
      <c r="AB2330" s="56"/>
    </row>
    <row r="2331" ht="15.75" customHeight="1">
      <c r="A2331" s="169"/>
      <c r="B2331" s="320" t="s">
        <v>6981</v>
      </c>
      <c r="C2331" s="22"/>
      <c r="D2331" s="38"/>
      <c r="E2331" s="38"/>
      <c r="F2331" s="65" t="s">
        <v>6984</v>
      </c>
      <c r="G2331" s="66"/>
      <c r="H2331" s="38"/>
      <c r="I2331" s="38"/>
      <c r="J2331" s="38"/>
      <c r="K2331" s="38"/>
      <c r="L2331" s="38"/>
      <c r="M2331" s="56"/>
      <c r="N2331" s="56" t="b">
        <v>0</v>
      </c>
      <c r="O2331" s="56" t="b">
        <v>0</v>
      </c>
      <c r="P2331" s="56"/>
      <c r="Q2331" s="56"/>
      <c r="R2331" s="56"/>
      <c r="S2331" s="56"/>
      <c r="T2331" s="56"/>
      <c r="U2331" s="56"/>
      <c r="V2331" s="56"/>
      <c r="W2331" s="56"/>
      <c r="X2331" s="56"/>
      <c r="Y2331" s="56"/>
      <c r="Z2331" s="56"/>
      <c r="AA2331" s="56"/>
      <c r="AB2331" s="56"/>
    </row>
    <row r="2332" ht="15.75" customHeight="1">
      <c r="A2332" s="169"/>
      <c r="B2332" s="63"/>
      <c r="C2332" s="22" t="s">
        <v>131</v>
      </c>
      <c r="D2332" s="38"/>
      <c r="E2332" s="38"/>
      <c r="F2332" s="65"/>
      <c r="G2332" s="66"/>
      <c r="H2332" s="38"/>
      <c r="I2332" s="38"/>
      <c r="J2332" s="38"/>
      <c r="K2332" s="38"/>
      <c r="L2332" s="38"/>
      <c r="M2332" s="56"/>
      <c r="N2332" s="56" t="b">
        <v>0</v>
      </c>
      <c r="O2332" s="56" t="b">
        <v>0</v>
      </c>
      <c r="P2332" s="56"/>
      <c r="Q2332" s="56"/>
      <c r="R2332" s="56"/>
      <c r="S2332" s="56"/>
      <c r="T2332" s="56"/>
      <c r="U2332" s="56"/>
      <c r="V2332" s="56"/>
      <c r="W2332" s="56"/>
      <c r="X2332" s="56"/>
      <c r="Y2332" s="56"/>
      <c r="Z2332" s="56"/>
      <c r="AA2332" s="56"/>
      <c r="AB2332" s="56"/>
    </row>
    <row r="2333" ht="15.75" customHeight="1">
      <c r="A2333" s="169"/>
      <c r="B2333" s="63"/>
      <c r="C2333" s="22" t="s">
        <v>131</v>
      </c>
      <c r="D2333" s="38"/>
      <c r="E2333" s="38"/>
      <c r="G2333" s="66"/>
      <c r="H2333" s="38"/>
      <c r="I2333" s="38"/>
      <c r="J2333" s="38"/>
      <c r="K2333" s="38"/>
      <c r="L2333" s="38"/>
      <c r="M2333" s="56"/>
      <c r="N2333" s="56" t="b">
        <v>0</v>
      </c>
      <c r="O2333" s="56" t="b">
        <v>0</v>
      </c>
      <c r="P2333" s="56"/>
      <c r="Q2333" s="56"/>
      <c r="R2333" s="56"/>
      <c r="S2333" s="56"/>
      <c r="T2333" s="56"/>
      <c r="U2333" s="56"/>
      <c r="V2333" s="56"/>
      <c r="W2333" s="56"/>
      <c r="X2333" s="56"/>
      <c r="Y2333" s="56"/>
      <c r="Z2333" s="56"/>
      <c r="AA2333" s="56"/>
      <c r="AB2333" s="56"/>
    </row>
    <row r="2334" ht="15.75" customHeight="1">
      <c r="A2334" s="169"/>
      <c r="B2334" s="63"/>
      <c r="C2334" s="22" t="s">
        <v>131</v>
      </c>
      <c r="D2334" s="38"/>
      <c r="E2334" s="38"/>
      <c r="F2334" s="65"/>
      <c r="G2334" s="66"/>
      <c r="H2334" s="38"/>
      <c r="I2334" s="38"/>
      <c r="J2334" s="38"/>
      <c r="K2334" s="38"/>
      <c r="L2334" s="38"/>
      <c r="M2334" s="56"/>
      <c r="N2334" s="56" t="b">
        <v>0</v>
      </c>
      <c r="O2334" s="56" t="b">
        <v>0</v>
      </c>
      <c r="P2334" s="56"/>
      <c r="Q2334" s="56"/>
      <c r="R2334" s="56"/>
      <c r="S2334" s="56"/>
      <c r="T2334" s="56"/>
      <c r="U2334" s="56"/>
      <c r="V2334" s="56"/>
      <c r="W2334" s="56"/>
      <c r="X2334" s="56"/>
      <c r="Y2334" s="56"/>
      <c r="Z2334" s="56"/>
      <c r="AA2334" s="56"/>
      <c r="AB2334" s="56"/>
    </row>
    <row r="2335" ht="15.75" customHeight="1">
      <c r="A2335" s="169"/>
      <c r="B2335" s="63"/>
      <c r="C2335" s="22" t="s">
        <v>131</v>
      </c>
      <c r="D2335" s="76" t="s">
        <v>133</v>
      </c>
      <c r="E2335" s="203" t="s">
        <v>2267</v>
      </c>
      <c r="F2335" s="203" t="s">
        <v>2268</v>
      </c>
      <c r="G2335" s="82" t="s">
        <v>4960</v>
      </c>
      <c r="H2335" s="76" t="s">
        <v>4968</v>
      </c>
      <c r="I2335" s="76" t="s">
        <v>6985</v>
      </c>
      <c r="J2335" s="76" t="s">
        <v>2270</v>
      </c>
      <c r="K2335" s="38" t="s">
        <v>6986</v>
      </c>
      <c r="M2335" s="56"/>
      <c r="N2335" s="56" t="b">
        <v>0</v>
      </c>
      <c r="O2335" s="56" t="b">
        <v>0</v>
      </c>
      <c r="P2335" s="56"/>
      <c r="Q2335" s="56"/>
      <c r="R2335" s="56"/>
      <c r="S2335" s="56"/>
      <c r="T2335" s="56"/>
      <c r="U2335" s="56"/>
      <c r="V2335" s="56"/>
      <c r="W2335" s="56"/>
      <c r="X2335" s="56"/>
      <c r="Y2335" s="56"/>
      <c r="Z2335" s="56"/>
      <c r="AA2335" s="56"/>
      <c r="AB2335" s="56"/>
    </row>
    <row r="2336" ht="15.75" customHeight="1">
      <c r="A2336" s="169"/>
      <c r="B2336" s="63"/>
      <c r="C2336" s="22" t="s">
        <v>131</v>
      </c>
      <c r="D2336" s="179" t="s">
        <v>89</v>
      </c>
      <c r="E2336" s="77" t="s">
        <v>471</v>
      </c>
      <c r="F2336" s="77" t="s">
        <v>472</v>
      </c>
      <c r="G2336" s="346">
        <v>0.6458333333333334</v>
      </c>
      <c r="H2336" s="76" t="s">
        <v>5863</v>
      </c>
      <c r="I2336" s="76" t="s">
        <v>6987</v>
      </c>
      <c r="J2336" s="203" t="s">
        <v>474</v>
      </c>
      <c r="K2336" s="137" t="s">
        <v>6988</v>
      </c>
      <c r="L2336" s="38"/>
      <c r="M2336" s="56"/>
      <c r="N2336" s="56" t="b">
        <v>0</v>
      </c>
      <c r="O2336" s="56" t="b">
        <v>0</v>
      </c>
      <c r="P2336" s="56"/>
      <c r="Q2336" s="56"/>
      <c r="R2336" s="56"/>
      <c r="S2336" s="56"/>
      <c r="T2336" s="56"/>
      <c r="U2336" s="56"/>
      <c r="V2336" s="56"/>
      <c r="W2336" s="56"/>
      <c r="X2336" s="56"/>
      <c r="Y2336" s="56"/>
      <c r="Z2336" s="56"/>
      <c r="AA2336" s="56"/>
      <c r="AB2336" s="56"/>
    </row>
    <row r="2337" ht="15.75" customHeight="1">
      <c r="A2337" s="169"/>
      <c r="B2337" s="63"/>
      <c r="C2337" s="22" t="s">
        <v>131</v>
      </c>
      <c r="D2337" s="62" t="s">
        <v>52</v>
      </c>
      <c r="E2337" s="62" t="s">
        <v>4704</v>
      </c>
      <c r="F2337" s="71" t="s">
        <v>6989</v>
      </c>
      <c r="G2337" s="73" t="s">
        <v>4899</v>
      </c>
      <c r="H2337" s="62" t="s">
        <v>5430</v>
      </c>
      <c r="I2337" s="62" t="s">
        <v>6990</v>
      </c>
      <c r="J2337" s="62" t="s">
        <v>6991</v>
      </c>
      <c r="K2337" s="38" t="s">
        <v>6992</v>
      </c>
      <c r="L2337" s="38"/>
      <c r="M2337" s="56"/>
      <c r="N2337" s="56" t="b">
        <v>0</v>
      </c>
      <c r="O2337" s="56" t="b">
        <v>0</v>
      </c>
      <c r="P2337" s="56"/>
      <c r="Q2337" s="56"/>
      <c r="R2337" s="56"/>
      <c r="S2337" s="56"/>
      <c r="T2337" s="56"/>
      <c r="U2337" s="56"/>
      <c r="V2337" s="56"/>
      <c r="W2337" s="56"/>
      <c r="X2337" s="56"/>
      <c r="Y2337" s="56"/>
      <c r="Z2337" s="56"/>
      <c r="AA2337" s="56"/>
      <c r="AB2337" s="56"/>
    </row>
    <row r="2338" ht="15.75" customHeight="1">
      <c r="A2338" s="169"/>
      <c r="B2338" s="69"/>
      <c r="C2338" s="22" t="s">
        <v>131</v>
      </c>
      <c r="D2338" s="62" t="s">
        <v>133</v>
      </c>
      <c r="E2338" s="242" t="s">
        <v>3225</v>
      </c>
      <c r="F2338" s="242" t="s">
        <v>3226</v>
      </c>
      <c r="G2338" s="73" t="s">
        <v>5089</v>
      </c>
      <c r="H2338" s="62" t="s">
        <v>4876</v>
      </c>
      <c r="I2338" s="62" t="s">
        <v>6993</v>
      </c>
      <c r="J2338" s="242" t="s">
        <v>421</v>
      </c>
      <c r="K2338" s="38"/>
      <c r="L2338" s="38"/>
      <c r="M2338" s="56"/>
      <c r="N2338" s="56" t="b">
        <v>0</v>
      </c>
      <c r="O2338" s="56" t="b">
        <v>0</v>
      </c>
      <c r="P2338" s="56"/>
      <c r="Q2338" s="56"/>
      <c r="R2338" s="56"/>
      <c r="S2338" s="56"/>
      <c r="T2338" s="56"/>
      <c r="U2338" s="56"/>
      <c r="V2338" s="56"/>
      <c r="W2338" s="56"/>
      <c r="X2338" s="56"/>
      <c r="Y2338" s="56"/>
      <c r="Z2338" s="56"/>
      <c r="AA2338" s="56"/>
      <c r="AB2338" s="56"/>
    </row>
    <row r="2339" ht="15.75" customHeight="1">
      <c r="A2339" s="169"/>
      <c r="B2339" s="299"/>
      <c r="C2339" s="220">
        <v>44658.0</v>
      </c>
      <c r="D2339" s="38"/>
      <c r="E2339" s="38"/>
      <c r="F2339" s="65"/>
      <c r="G2339" s="66"/>
      <c r="H2339" s="38"/>
      <c r="I2339" s="38"/>
      <c r="J2339" s="38"/>
      <c r="K2339" s="38"/>
      <c r="L2339" s="38"/>
      <c r="M2339" s="56"/>
      <c r="N2339" s="56" t="b">
        <v>0</v>
      </c>
      <c r="O2339" s="56" t="b">
        <v>0</v>
      </c>
      <c r="P2339" s="56"/>
      <c r="Q2339" s="56"/>
      <c r="R2339" s="56"/>
      <c r="S2339" s="56"/>
      <c r="T2339" s="56"/>
      <c r="U2339" s="56"/>
      <c r="V2339" s="56"/>
      <c r="W2339" s="56"/>
      <c r="X2339" s="56"/>
      <c r="Y2339" s="56"/>
      <c r="Z2339" s="56"/>
      <c r="AA2339" s="56"/>
      <c r="AB2339" s="56"/>
    </row>
    <row r="2340" ht="15.75" customHeight="1">
      <c r="A2340" s="169"/>
      <c r="B2340" s="320" t="s">
        <v>6168</v>
      </c>
      <c r="C2340" s="22" t="s">
        <v>66</v>
      </c>
      <c r="D2340" s="38"/>
      <c r="E2340" s="162" t="s">
        <v>5784</v>
      </c>
      <c r="F2340" s="339"/>
      <c r="G2340" s="155"/>
      <c r="H2340" s="38"/>
      <c r="I2340" s="38"/>
      <c r="J2340" s="38"/>
      <c r="K2340" s="38"/>
      <c r="L2340" s="38"/>
      <c r="M2340" s="56"/>
      <c r="N2340" s="56" t="b">
        <v>0</v>
      </c>
      <c r="O2340" s="56" t="b">
        <v>0</v>
      </c>
      <c r="P2340" s="56"/>
      <c r="Q2340" s="56"/>
      <c r="R2340" s="56"/>
      <c r="S2340" s="56"/>
      <c r="T2340" s="56"/>
      <c r="U2340" s="56"/>
      <c r="V2340" s="56"/>
      <c r="W2340" s="56"/>
      <c r="X2340" s="56"/>
      <c r="Y2340" s="56"/>
      <c r="Z2340" s="56"/>
      <c r="AA2340" s="56"/>
      <c r="AB2340" s="56"/>
    </row>
    <row r="2341" ht="15.75" customHeight="1">
      <c r="A2341" s="169"/>
      <c r="B2341" s="63"/>
      <c r="C2341" s="22" t="s">
        <v>66</v>
      </c>
      <c r="D2341" s="38"/>
      <c r="E2341" s="156"/>
      <c r="G2341" s="157"/>
      <c r="H2341" s="38"/>
      <c r="I2341" s="38"/>
      <c r="J2341" s="38"/>
      <c r="K2341" s="38"/>
      <c r="L2341" s="38"/>
      <c r="M2341" s="56"/>
      <c r="N2341" s="56" t="b">
        <v>0</v>
      </c>
      <c r="O2341" s="56" t="b">
        <v>0</v>
      </c>
      <c r="P2341" s="56"/>
      <c r="Q2341" s="56"/>
      <c r="R2341" s="56"/>
      <c r="S2341" s="56"/>
      <c r="T2341" s="56"/>
      <c r="U2341" s="56"/>
      <c r="V2341" s="56"/>
      <c r="W2341" s="56"/>
      <c r="X2341" s="56"/>
      <c r="Y2341" s="56"/>
      <c r="Z2341" s="56"/>
      <c r="AA2341" s="56"/>
      <c r="AB2341" s="56"/>
    </row>
    <row r="2342" ht="15.75" customHeight="1">
      <c r="A2342" s="169"/>
      <c r="B2342" s="63"/>
      <c r="C2342" s="22" t="s">
        <v>66</v>
      </c>
      <c r="D2342" s="38"/>
      <c r="E2342" s="158"/>
      <c r="F2342" s="340"/>
      <c r="G2342" s="159"/>
      <c r="H2342" s="38"/>
      <c r="I2342" s="38"/>
      <c r="J2342" s="38"/>
      <c r="K2342" s="38"/>
      <c r="L2342" s="38"/>
      <c r="M2342" s="56"/>
      <c r="N2342" s="56" t="b">
        <v>0</v>
      </c>
      <c r="O2342" s="56" t="b">
        <v>0</v>
      </c>
      <c r="P2342" s="56"/>
      <c r="Q2342" s="56"/>
      <c r="R2342" s="56"/>
      <c r="S2342" s="56"/>
      <c r="T2342" s="56"/>
      <c r="U2342" s="56"/>
      <c r="V2342" s="56"/>
      <c r="W2342" s="56"/>
      <c r="X2342" s="56"/>
      <c r="Y2342" s="56"/>
      <c r="Z2342" s="56"/>
      <c r="AA2342" s="56"/>
      <c r="AB2342" s="56"/>
    </row>
    <row r="2343" ht="15.75" customHeight="1">
      <c r="A2343" s="169"/>
      <c r="B2343" s="63"/>
      <c r="C2343" s="22" t="s">
        <v>66</v>
      </c>
      <c r="D2343" s="38"/>
      <c r="E2343" s="38"/>
      <c r="F2343" s="65"/>
      <c r="G2343" s="66"/>
      <c r="H2343" s="38"/>
      <c r="I2343" s="38"/>
      <c r="J2343" s="38"/>
      <c r="K2343" s="38"/>
      <c r="L2343" s="38"/>
      <c r="M2343" s="56"/>
      <c r="N2343" s="56" t="b">
        <v>0</v>
      </c>
      <c r="O2343" s="56" t="b">
        <v>0</v>
      </c>
      <c r="P2343" s="56"/>
      <c r="Q2343" s="56"/>
      <c r="R2343" s="56"/>
      <c r="S2343" s="56"/>
      <c r="T2343" s="56"/>
      <c r="U2343" s="56"/>
      <c r="V2343" s="56"/>
      <c r="W2343" s="56"/>
      <c r="X2343" s="56"/>
      <c r="Y2343" s="56"/>
      <c r="Z2343" s="56"/>
      <c r="AA2343" s="56"/>
      <c r="AB2343" s="56"/>
    </row>
    <row r="2344" ht="15.75" customHeight="1">
      <c r="A2344" s="169"/>
      <c r="B2344" s="63"/>
      <c r="C2344" s="22" t="s">
        <v>66</v>
      </c>
      <c r="D2344" s="38"/>
      <c r="E2344" s="38"/>
      <c r="F2344" s="65"/>
      <c r="G2344" s="66"/>
      <c r="H2344" s="38"/>
      <c r="I2344" s="38"/>
      <c r="J2344" s="38"/>
      <c r="K2344" s="38"/>
      <c r="L2344" s="38"/>
      <c r="M2344" s="56"/>
      <c r="N2344" s="56" t="b">
        <v>0</v>
      </c>
      <c r="O2344" s="56" t="b">
        <v>0</v>
      </c>
      <c r="P2344" s="56"/>
      <c r="Q2344" s="56"/>
      <c r="R2344" s="56"/>
      <c r="S2344" s="56"/>
      <c r="T2344" s="56"/>
      <c r="U2344" s="56"/>
      <c r="V2344" s="56"/>
      <c r="W2344" s="56"/>
      <c r="X2344" s="56"/>
      <c r="Y2344" s="56"/>
      <c r="Z2344" s="56"/>
      <c r="AA2344" s="56"/>
      <c r="AB2344" s="56"/>
    </row>
    <row r="2345" ht="15.75" customHeight="1">
      <c r="A2345" s="169"/>
      <c r="B2345" s="69"/>
      <c r="C2345" s="22" t="s">
        <v>66</v>
      </c>
      <c r="D2345" s="38"/>
      <c r="E2345" s="38"/>
      <c r="F2345" s="65"/>
      <c r="G2345" s="66"/>
      <c r="H2345" s="38"/>
      <c r="I2345" s="38"/>
      <c r="J2345" s="38"/>
      <c r="K2345" s="38"/>
      <c r="L2345" s="38"/>
      <c r="M2345" s="56"/>
      <c r="N2345" s="56" t="b">
        <v>0</v>
      </c>
      <c r="O2345" s="56" t="b">
        <v>0</v>
      </c>
      <c r="P2345" s="56"/>
      <c r="Q2345" s="56"/>
      <c r="R2345" s="56"/>
      <c r="S2345" s="56"/>
      <c r="T2345" s="56"/>
      <c r="U2345" s="56"/>
      <c r="V2345" s="56"/>
      <c r="W2345" s="56"/>
      <c r="X2345" s="56"/>
      <c r="Y2345" s="56"/>
      <c r="Z2345" s="56"/>
      <c r="AA2345" s="56"/>
      <c r="AB2345" s="56"/>
    </row>
    <row r="2346" ht="15.75" customHeight="1">
      <c r="A2346" s="169"/>
      <c r="B2346" s="320" t="s">
        <v>6981</v>
      </c>
      <c r="C2346" s="22"/>
      <c r="D2346" s="38"/>
      <c r="E2346" s="38"/>
      <c r="F2346" s="65"/>
      <c r="G2346" s="66"/>
      <c r="H2346" s="38"/>
      <c r="I2346" s="38"/>
      <c r="J2346" s="38"/>
      <c r="K2346" s="38"/>
      <c r="L2346" s="38"/>
      <c r="M2346" s="56"/>
      <c r="N2346" s="56" t="b">
        <v>0</v>
      </c>
      <c r="O2346" s="56" t="b">
        <v>0</v>
      </c>
      <c r="P2346" s="56"/>
      <c r="Q2346" s="56"/>
      <c r="R2346" s="56"/>
      <c r="S2346" s="56"/>
      <c r="T2346" s="56"/>
      <c r="U2346" s="56"/>
      <c r="V2346" s="56"/>
      <c r="W2346" s="56"/>
      <c r="X2346" s="56"/>
      <c r="Y2346" s="56"/>
      <c r="Z2346" s="56"/>
      <c r="AA2346" s="56"/>
      <c r="AB2346" s="56"/>
    </row>
    <row r="2347" ht="15.75" customHeight="1">
      <c r="A2347" s="169"/>
      <c r="B2347" s="63"/>
      <c r="C2347" s="22" t="s">
        <v>131</v>
      </c>
      <c r="D2347" s="38"/>
      <c r="E2347" s="38"/>
      <c r="F2347" s="65"/>
      <c r="G2347" s="66"/>
      <c r="H2347" s="38"/>
      <c r="I2347" s="38"/>
      <c r="J2347" s="38"/>
      <c r="K2347" s="38"/>
      <c r="L2347" s="38"/>
      <c r="M2347" s="56"/>
      <c r="N2347" s="56" t="b">
        <v>0</v>
      </c>
      <c r="O2347" s="56" t="b">
        <v>0</v>
      </c>
      <c r="P2347" s="56"/>
      <c r="Q2347" s="56"/>
      <c r="R2347" s="56"/>
      <c r="S2347" s="56"/>
      <c r="T2347" s="56"/>
      <c r="U2347" s="56"/>
      <c r="V2347" s="56"/>
      <c r="W2347" s="56"/>
      <c r="X2347" s="56"/>
      <c r="Y2347" s="56"/>
      <c r="Z2347" s="56"/>
      <c r="AA2347" s="56"/>
      <c r="AB2347" s="56"/>
    </row>
    <row r="2348" ht="15.75" customHeight="1">
      <c r="A2348" s="169"/>
      <c r="B2348" s="63"/>
      <c r="C2348" s="22" t="s">
        <v>131</v>
      </c>
      <c r="D2348" s="27" t="s">
        <v>329</v>
      </c>
      <c r="E2348" s="242" t="s">
        <v>2839</v>
      </c>
      <c r="F2348" s="242" t="s">
        <v>2840</v>
      </c>
      <c r="G2348" s="73" t="s">
        <v>4854</v>
      </c>
      <c r="H2348" s="62" t="s">
        <v>6309</v>
      </c>
      <c r="I2348" s="62" t="s">
        <v>6994</v>
      </c>
      <c r="J2348" s="242" t="s">
        <v>2842</v>
      </c>
      <c r="K2348" s="38"/>
      <c r="L2348" s="38"/>
      <c r="M2348" s="56"/>
      <c r="N2348" s="56" t="b">
        <v>0</v>
      </c>
      <c r="O2348" s="56" t="b">
        <v>0</v>
      </c>
      <c r="P2348" s="56"/>
      <c r="Q2348" s="56"/>
      <c r="R2348" s="56"/>
      <c r="S2348" s="56"/>
      <c r="T2348" s="56"/>
      <c r="U2348" s="56"/>
      <c r="V2348" s="56"/>
      <c r="W2348" s="56"/>
      <c r="X2348" s="56"/>
      <c r="Y2348" s="56"/>
      <c r="Z2348" s="56"/>
      <c r="AA2348" s="56"/>
      <c r="AB2348" s="56"/>
    </row>
    <row r="2349" ht="15.75" customHeight="1">
      <c r="A2349" s="169"/>
      <c r="B2349" s="63"/>
      <c r="C2349" s="22" t="s">
        <v>131</v>
      </c>
      <c r="D2349" s="27" t="s">
        <v>103</v>
      </c>
      <c r="E2349" s="242" t="s">
        <v>556</v>
      </c>
      <c r="F2349" s="242" t="s">
        <v>557</v>
      </c>
      <c r="G2349" s="73" t="s">
        <v>4856</v>
      </c>
      <c r="H2349" s="62" t="s">
        <v>6312</v>
      </c>
      <c r="I2349" s="62" t="s">
        <v>6995</v>
      </c>
      <c r="J2349" s="242" t="s">
        <v>561</v>
      </c>
      <c r="K2349" s="38"/>
      <c r="L2349" s="38"/>
      <c r="M2349" s="56"/>
      <c r="N2349" s="56" t="b">
        <v>0</v>
      </c>
      <c r="O2349" s="56" t="b">
        <v>0</v>
      </c>
      <c r="P2349" s="56"/>
      <c r="Q2349" s="56"/>
      <c r="R2349" s="56"/>
      <c r="S2349" s="56"/>
      <c r="T2349" s="56"/>
      <c r="U2349" s="56"/>
      <c r="V2349" s="56"/>
      <c r="W2349" s="56"/>
      <c r="X2349" s="56"/>
      <c r="Y2349" s="56"/>
      <c r="Z2349" s="56"/>
      <c r="AA2349" s="56"/>
      <c r="AB2349" s="56"/>
    </row>
    <row r="2350" ht="15.75" customHeight="1">
      <c r="A2350" s="169"/>
      <c r="B2350" s="63"/>
      <c r="C2350" s="22" t="s">
        <v>131</v>
      </c>
      <c r="D2350" s="202" t="s">
        <v>103</v>
      </c>
      <c r="E2350" s="203" t="s">
        <v>4269</v>
      </c>
      <c r="F2350" s="203" t="s">
        <v>4270</v>
      </c>
      <c r="G2350" s="82" t="s">
        <v>5036</v>
      </c>
      <c r="H2350" s="76" t="s">
        <v>6996</v>
      </c>
      <c r="I2350" s="76" t="s">
        <v>6997</v>
      </c>
      <c r="J2350" s="203" t="s">
        <v>4272</v>
      </c>
      <c r="K2350" s="38" t="s">
        <v>6998</v>
      </c>
      <c r="L2350" s="38"/>
      <c r="M2350" s="56"/>
      <c r="N2350" s="56" t="b">
        <v>0</v>
      </c>
      <c r="O2350" s="56" t="b">
        <v>0</v>
      </c>
      <c r="P2350" s="56"/>
      <c r="Q2350" s="56"/>
      <c r="R2350" s="56"/>
      <c r="S2350" s="56"/>
      <c r="T2350" s="56"/>
      <c r="U2350" s="56"/>
      <c r="V2350" s="56"/>
      <c r="W2350" s="56"/>
      <c r="X2350" s="56"/>
      <c r="Y2350" s="56"/>
      <c r="Z2350" s="56"/>
      <c r="AA2350" s="56"/>
      <c r="AB2350" s="56"/>
    </row>
    <row r="2351" ht="15.75" customHeight="1">
      <c r="A2351" s="169"/>
      <c r="B2351" s="63"/>
      <c r="C2351" s="22" t="s">
        <v>131</v>
      </c>
      <c r="D2351" s="202" t="s">
        <v>329</v>
      </c>
      <c r="E2351" s="203" t="s">
        <v>1630</v>
      </c>
      <c r="F2351" s="203" t="s">
        <v>1631</v>
      </c>
      <c r="G2351" s="82" t="s">
        <v>5089</v>
      </c>
      <c r="H2351" s="76" t="s">
        <v>6152</v>
      </c>
      <c r="I2351" s="76" t="s">
        <v>6999</v>
      </c>
      <c r="J2351" s="203" t="s">
        <v>1633</v>
      </c>
      <c r="K2351" s="38" t="s">
        <v>7000</v>
      </c>
      <c r="L2351" s="38"/>
      <c r="M2351" s="56"/>
      <c r="N2351" s="56" t="b">
        <v>0</v>
      </c>
      <c r="O2351" s="56" t="b">
        <v>0</v>
      </c>
      <c r="P2351" s="56"/>
      <c r="Q2351" s="56"/>
      <c r="R2351" s="56"/>
      <c r="S2351" s="56"/>
      <c r="T2351" s="56"/>
      <c r="U2351" s="56"/>
      <c r="V2351" s="56"/>
      <c r="W2351" s="56"/>
      <c r="X2351" s="56"/>
      <c r="Y2351" s="56"/>
      <c r="Z2351" s="56"/>
      <c r="AA2351" s="56"/>
      <c r="AB2351" s="56"/>
    </row>
    <row r="2352" ht="15.75" customHeight="1">
      <c r="A2352" s="169"/>
      <c r="B2352" s="63"/>
      <c r="C2352" s="22" t="s">
        <v>131</v>
      </c>
      <c r="D2352" s="38"/>
      <c r="E2352" s="38"/>
      <c r="F2352" s="65"/>
      <c r="G2352" s="66"/>
      <c r="H2352" s="38"/>
      <c r="I2352" s="38"/>
      <c r="J2352" s="38"/>
      <c r="K2352" s="38"/>
      <c r="L2352" s="38"/>
      <c r="M2352" s="56"/>
      <c r="N2352" s="56" t="b">
        <v>0</v>
      </c>
      <c r="O2352" s="56" t="b">
        <v>0</v>
      </c>
      <c r="P2352" s="56"/>
      <c r="Q2352" s="56"/>
      <c r="R2352" s="56"/>
      <c r="S2352" s="56"/>
      <c r="T2352" s="56"/>
      <c r="U2352" s="56"/>
      <c r="V2352" s="56"/>
      <c r="W2352" s="56"/>
      <c r="X2352" s="56"/>
      <c r="Y2352" s="56"/>
      <c r="Z2352" s="56"/>
      <c r="AA2352" s="56"/>
      <c r="AB2352" s="56"/>
    </row>
    <row r="2353" ht="15.75" customHeight="1">
      <c r="A2353" s="169"/>
      <c r="B2353" s="69"/>
      <c r="C2353" s="22" t="s">
        <v>131</v>
      </c>
      <c r="D2353" s="38"/>
      <c r="E2353" s="38"/>
      <c r="F2353" s="65"/>
      <c r="G2353" s="66"/>
      <c r="H2353" s="38"/>
      <c r="I2353" s="38"/>
      <c r="J2353" s="38"/>
      <c r="K2353" s="38"/>
      <c r="L2353" s="38"/>
      <c r="M2353" s="56"/>
      <c r="N2353" s="56" t="b">
        <v>0</v>
      </c>
      <c r="O2353" s="56" t="b">
        <v>0</v>
      </c>
      <c r="P2353" s="56"/>
      <c r="Q2353" s="56"/>
      <c r="R2353" s="56"/>
      <c r="S2353" s="56"/>
      <c r="T2353" s="56"/>
      <c r="U2353" s="56"/>
      <c r="V2353" s="56"/>
      <c r="W2353" s="56"/>
      <c r="X2353" s="56"/>
      <c r="Y2353" s="56"/>
      <c r="Z2353" s="56"/>
      <c r="AA2353" s="56"/>
      <c r="AB2353" s="56"/>
    </row>
    <row r="2354" ht="15.75" customHeight="1">
      <c r="A2354" s="169"/>
      <c r="B2354" s="299"/>
      <c r="C2354" s="220">
        <v>44662.0</v>
      </c>
      <c r="D2354" s="38"/>
      <c r="E2354" s="38"/>
      <c r="F2354" s="65"/>
      <c r="G2354" s="66"/>
      <c r="H2354" s="38"/>
      <c r="I2354" s="38"/>
      <c r="J2354" s="38"/>
      <c r="K2354" s="38"/>
      <c r="L2354" s="38"/>
      <c r="M2354" s="56"/>
      <c r="N2354" s="56" t="b">
        <v>0</v>
      </c>
      <c r="O2354" s="56" t="b">
        <v>0</v>
      </c>
      <c r="P2354" s="56"/>
      <c r="Q2354" s="56"/>
      <c r="R2354" s="56"/>
      <c r="S2354" s="56"/>
      <c r="T2354" s="56"/>
      <c r="U2354" s="56"/>
      <c r="V2354" s="56"/>
      <c r="W2354" s="56"/>
      <c r="X2354" s="56"/>
      <c r="Y2354" s="56"/>
      <c r="Z2354" s="56"/>
      <c r="AA2354" s="56"/>
      <c r="AB2354" s="56"/>
    </row>
    <row r="2355" ht="15.75" customHeight="1">
      <c r="A2355" s="169"/>
      <c r="B2355" s="320" t="s">
        <v>6981</v>
      </c>
      <c r="C2355" s="22"/>
      <c r="D2355" s="38"/>
      <c r="E2355" s="38"/>
      <c r="F2355" s="65"/>
      <c r="G2355" s="66"/>
      <c r="H2355" s="38"/>
      <c r="I2355" s="38"/>
      <c r="J2355" s="38"/>
      <c r="K2355" s="38"/>
      <c r="L2355" s="38"/>
      <c r="M2355" s="56"/>
      <c r="N2355" s="56" t="b">
        <v>0</v>
      </c>
      <c r="O2355" s="56" t="b">
        <v>0</v>
      </c>
      <c r="P2355" s="56"/>
      <c r="Q2355" s="56"/>
      <c r="R2355" s="56"/>
      <c r="S2355" s="56"/>
      <c r="T2355" s="56"/>
      <c r="U2355" s="56"/>
      <c r="V2355" s="56"/>
      <c r="W2355" s="56"/>
      <c r="X2355" s="56"/>
      <c r="Y2355" s="56"/>
      <c r="Z2355" s="56"/>
      <c r="AA2355" s="56"/>
      <c r="AB2355" s="56"/>
    </row>
    <row r="2356" ht="15.75" customHeight="1">
      <c r="A2356" s="169"/>
      <c r="B2356" s="63"/>
      <c r="C2356" s="22" t="s">
        <v>131</v>
      </c>
      <c r="D2356" s="38"/>
      <c r="E2356" s="38"/>
      <c r="F2356" s="65"/>
      <c r="G2356" s="66"/>
      <c r="H2356" s="38"/>
      <c r="I2356" s="38"/>
      <c r="J2356" s="38"/>
      <c r="K2356" s="38"/>
      <c r="L2356" s="38"/>
      <c r="M2356" s="56"/>
      <c r="N2356" s="56" t="b">
        <v>0</v>
      </c>
      <c r="O2356" s="56" t="b">
        <v>0</v>
      </c>
      <c r="P2356" s="56"/>
      <c r="Q2356" s="56"/>
      <c r="R2356" s="56"/>
      <c r="S2356" s="56"/>
      <c r="T2356" s="56"/>
      <c r="U2356" s="56"/>
      <c r="V2356" s="56"/>
      <c r="W2356" s="56"/>
      <c r="X2356" s="56"/>
      <c r="Y2356" s="56"/>
      <c r="Z2356" s="56"/>
      <c r="AA2356" s="56"/>
      <c r="AB2356" s="56"/>
    </row>
    <row r="2357" ht="15.75" customHeight="1">
      <c r="A2357" s="169"/>
      <c r="B2357" s="63"/>
      <c r="C2357" s="22" t="s">
        <v>131</v>
      </c>
      <c r="D2357" s="62" t="s">
        <v>133</v>
      </c>
      <c r="E2357" s="242" t="s">
        <v>2267</v>
      </c>
      <c r="F2357" s="242" t="s">
        <v>2268</v>
      </c>
      <c r="G2357" s="73" t="s">
        <v>4960</v>
      </c>
      <c r="H2357" s="62" t="s">
        <v>4968</v>
      </c>
      <c r="I2357" s="62" t="s">
        <v>6985</v>
      </c>
      <c r="J2357" s="62" t="s">
        <v>2270</v>
      </c>
      <c r="K2357" s="38"/>
      <c r="L2357" s="38"/>
      <c r="M2357" s="56"/>
      <c r="N2357" s="56" t="b">
        <v>0</v>
      </c>
      <c r="O2357" s="56" t="b">
        <v>0</v>
      </c>
      <c r="P2357" s="56"/>
      <c r="Q2357" s="56"/>
      <c r="R2357" s="56"/>
      <c r="S2357" s="56"/>
      <c r="T2357" s="56"/>
      <c r="U2357" s="56"/>
      <c r="V2357" s="56"/>
      <c r="W2357" s="56"/>
      <c r="X2357" s="56"/>
      <c r="Y2357" s="56"/>
      <c r="Z2357" s="56"/>
      <c r="AA2357" s="56"/>
      <c r="AB2357" s="56"/>
    </row>
    <row r="2358" ht="15.75" customHeight="1">
      <c r="A2358" s="169"/>
      <c r="B2358" s="63"/>
      <c r="C2358" s="22" t="s">
        <v>131</v>
      </c>
      <c r="D2358" s="277" t="s">
        <v>89</v>
      </c>
      <c r="E2358" s="60" t="s">
        <v>471</v>
      </c>
      <c r="F2358" s="60" t="s">
        <v>472</v>
      </c>
      <c r="G2358" s="347">
        <v>0.625</v>
      </c>
      <c r="H2358" s="62" t="s">
        <v>5863</v>
      </c>
      <c r="I2358" s="62" t="s">
        <v>6987</v>
      </c>
      <c r="J2358" s="242" t="s">
        <v>474</v>
      </c>
      <c r="K2358" s="38"/>
      <c r="L2358" s="38"/>
      <c r="M2358" s="56"/>
      <c r="N2358" s="56" t="b">
        <v>0</v>
      </c>
      <c r="O2358" s="56" t="b">
        <v>0</v>
      </c>
      <c r="P2358" s="56"/>
      <c r="Q2358" s="56"/>
      <c r="R2358" s="56"/>
      <c r="S2358" s="56"/>
      <c r="T2358" s="56"/>
      <c r="U2358" s="56"/>
      <c r="V2358" s="56"/>
      <c r="W2358" s="56"/>
      <c r="X2358" s="56"/>
      <c r="Y2358" s="56"/>
      <c r="Z2358" s="56"/>
      <c r="AA2358" s="56"/>
      <c r="AB2358" s="56"/>
    </row>
    <row r="2359" ht="15.75" customHeight="1">
      <c r="A2359" s="169"/>
      <c r="B2359" s="63"/>
      <c r="C2359" s="22" t="s">
        <v>131</v>
      </c>
      <c r="D2359" s="179" t="s">
        <v>89</v>
      </c>
      <c r="E2359" s="77" t="s">
        <v>125</v>
      </c>
      <c r="F2359" s="77" t="s">
        <v>126</v>
      </c>
      <c r="G2359" s="82" t="s">
        <v>5036</v>
      </c>
      <c r="H2359" s="76" t="s">
        <v>5342</v>
      </c>
      <c r="I2359" s="76" t="s">
        <v>5343</v>
      </c>
      <c r="J2359" s="77" t="s">
        <v>129</v>
      </c>
      <c r="K2359" s="38" t="s">
        <v>7001</v>
      </c>
      <c r="L2359" s="38"/>
      <c r="M2359" s="56"/>
      <c r="N2359" s="56" t="b">
        <v>0</v>
      </c>
      <c r="O2359" s="56" t="b">
        <v>0</v>
      </c>
      <c r="P2359" s="56"/>
      <c r="Q2359" s="56"/>
      <c r="R2359" s="56"/>
      <c r="S2359" s="56"/>
      <c r="T2359" s="56"/>
      <c r="U2359" s="56"/>
      <c r="V2359" s="56"/>
      <c r="W2359" s="56"/>
      <c r="X2359" s="56"/>
      <c r="Y2359" s="56"/>
      <c r="Z2359" s="56"/>
      <c r="AA2359" s="56"/>
      <c r="AB2359" s="56"/>
    </row>
    <row r="2360" ht="15.75" customHeight="1">
      <c r="A2360" s="169"/>
      <c r="B2360" s="63"/>
      <c r="C2360" s="22" t="s">
        <v>131</v>
      </c>
      <c r="D2360" s="227" t="s">
        <v>89</v>
      </c>
      <c r="E2360" s="242" t="s">
        <v>1985</v>
      </c>
      <c r="F2360" s="242" t="s">
        <v>1986</v>
      </c>
      <c r="G2360" s="73" t="s">
        <v>5089</v>
      </c>
      <c r="H2360" s="62" t="s">
        <v>6571</v>
      </c>
      <c r="I2360" s="62" t="s">
        <v>7002</v>
      </c>
      <c r="J2360" s="242" t="s">
        <v>1988</v>
      </c>
      <c r="K2360" s="38"/>
      <c r="L2360" s="38"/>
      <c r="M2360" s="56"/>
      <c r="N2360" s="56" t="b">
        <v>0</v>
      </c>
      <c r="O2360" s="56" t="b">
        <v>0</v>
      </c>
      <c r="P2360" s="56"/>
      <c r="Q2360" s="56"/>
      <c r="R2360" s="56"/>
      <c r="S2360" s="56"/>
      <c r="T2360" s="56"/>
      <c r="U2360" s="56"/>
      <c r="V2360" s="56"/>
      <c r="W2360" s="56"/>
      <c r="X2360" s="56"/>
      <c r="Y2360" s="56"/>
      <c r="Z2360" s="56"/>
      <c r="AA2360" s="56"/>
      <c r="AB2360" s="56"/>
    </row>
    <row r="2361" ht="15.75" customHeight="1">
      <c r="A2361" s="169"/>
      <c r="B2361" s="63"/>
      <c r="C2361" s="22" t="s">
        <v>131</v>
      </c>
      <c r="D2361" s="38"/>
      <c r="E2361" s="38"/>
      <c r="F2361" s="65"/>
      <c r="G2361" s="66"/>
      <c r="H2361" s="38"/>
      <c r="I2361" s="38"/>
      <c r="J2361" s="38"/>
      <c r="K2361" s="38"/>
      <c r="L2361" s="38"/>
      <c r="M2361" s="56"/>
      <c r="N2361" s="56" t="b">
        <v>0</v>
      </c>
      <c r="O2361" s="56" t="b">
        <v>0</v>
      </c>
      <c r="P2361" s="56"/>
      <c r="Q2361" s="56"/>
      <c r="R2361" s="56"/>
      <c r="S2361" s="56"/>
      <c r="T2361" s="56"/>
      <c r="U2361" s="56"/>
      <c r="V2361" s="56"/>
      <c r="W2361" s="56"/>
      <c r="X2361" s="56"/>
      <c r="Y2361" s="56"/>
      <c r="Z2361" s="56"/>
      <c r="AA2361" s="56"/>
      <c r="AB2361" s="56"/>
    </row>
    <row r="2362" ht="15.75" customHeight="1">
      <c r="A2362" s="169"/>
      <c r="B2362" s="69"/>
      <c r="C2362" s="22" t="s">
        <v>131</v>
      </c>
      <c r="D2362" s="38"/>
      <c r="E2362" s="38"/>
      <c r="F2362" s="65"/>
      <c r="G2362" s="66"/>
      <c r="H2362" s="38"/>
      <c r="I2362" s="38"/>
      <c r="J2362" s="38"/>
      <c r="K2362" s="38"/>
      <c r="L2362" s="38"/>
      <c r="M2362" s="56"/>
      <c r="N2362" s="56" t="b">
        <v>0</v>
      </c>
      <c r="O2362" s="56" t="b">
        <v>0</v>
      </c>
      <c r="P2362" s="56"/>
      <c r="Q2362" s="56"/>
      <c r="R2362" s="56"/>
      <c r="S2362" s="56"/>
      <c r="T2362" s="56"/>
      <c r="U2362" s="56"/>
      <c r="V2362" s="56"/>
      <c r="W2362" s="56"/>
      <c r="X2362" s="56"/>
      <c r="Y2362" s="56"/>
      <c r="Z2362" s="56"/>
      <c r="AA2362" s="56"/>
      <c r="AB2362" s="56"/>
    </row>
    <row r="2363" ht="15.75" customHeight="1">
      <c r="A2363" s="169"/>
      <c r="B2363" s="299"/>
      <c r="C2363" s="220">
        <v>44664.0</v>
      </c>
      <c r="D2363" s="38"/>
      <c r="E2363" s="38"/>
      <c r="F2363" s="65"/>
      <c r="G2363" s="66"/>
      <c r="H2363" s="38"/>
      <c r="I2363" s="38"/>
      <c r="J2363" s="38"/>
      <c r="K2363" s="38"/>
      <c r="L2363" s="38"/>
      <c r="M2363" s="56"/>
      <c r="N2363" s="56" t="b">
        <v>0</v>
      </c>
      <c r="O2363" s="56" t="b">
        <v>0</v>
      </c>
      <c r="P2363" s="56"/>
      <c r="Q2363" s="56"/>
      <c r="R2363" s="56"/>
      <c r="S2363" s="56"/>
      <c r="T2363" s="56"/>
      <c r="U2363" s="56"/>
      <c r="V2363" s="56"/>
      <c r="W2363" s="56"/>
      <c r="X2363" s="56"/>
      <c r="Y2363" s="56"/>
      <c r="Z2363" s="56"/>
      <c r="AA2363" s="56"/>
      <c r="AB2363" s="56"/>
    </row>
    <row r="2364" ht="15.75" customHeight="1">
      <c r="A2364" s="169"/>
      <c r="B2364" s="320" t="s">
        <v>6168</v>
      </c>
      <c r="C2364" s="22" t="s">
        <v>66</v>
      </c>
      <c r="D2364" s="38"/>
      <c r="E2364" s="38" t="s">
        <v>7003</v>
      </c>
      <c r="F2364" s="65"/>
      <c r="G2364" s="66"/>
      <c r="H2364" s="38"/>
      <c r="I2364" s="38"/>
      <c r="J2364" s="38"/>
      <c r="K2364" s="38"/>
      <c r="L2364" s="38"/>
      <c r="M2364" s="56"/>
      <c r="N2364" s="56" t="b">
        <v>0</v>
      </c>
      <c r="O2364" s="56" t="b">
        <v>0</v>
      </c>
      <c r="P2364" s="56"/>
      <c r="Q2364" s="56"/>
      <c r="R2364" s="56"/>
      <c r="S2364" s="56"/>
      <c r="T2364" s="56"/>
      <c r="U2364" s="56"/>
      <c r="V2364" s="56"/>
      <c r="W2364" s="56"/>
      <c r="X2364" s="56"/>
      <c r="Y2364" s="56"/>
      <c r="Z2364" s="56"/>
      <c r="AA2364" s="56"/>
      <c r="AB2364" s="56"/>
    </row>
    <row r="2365" ht="15.75" customHeight="1">
      <c r="A2365" s="169"/>
      <c r="B2365" s="63"/>
      <c r="C2365" s="22" t="s">
        <v>66</v>
      </c>
      <c r="D2365" s="38"/>
      <c r="E2365" s="38"/>
      <c r="F2365" s="65"/>
      <c r="G2365" s="66"/>
      <c r="H2365" s="38"/>
      <c r="I2365" s="38"/>
      <c r="J2365" s="38"/>
      <c r="K2365" s="38"/>
      <c r="L2365" s="38"/>
      <c r="M2365" s="56"/>
      <c r="N2365" s="56" t="b">
        <v>0</v>
      </c>
      <c r="O2365" s="56" t="b">
        <v>0</v>
      </c>
      <c r="P2365" s="56"/>
      <c r="Q2365" s="56"/>
      <c r="R2365" s="56"/>
      <c r="S2365" s="56"/>
      <c r="T2365" s="56"/>
      <c r="U2365" s="56"/>
      <c r="V2365" s="56"/>
      <c r="W2365" s="56"/>
      <c r="X2365" s="56"/>
      <c r="Y2365" s="56"/>
      <c r="Z2365" s="56"/>
      <c r="AA2365" s="56"/>
      <c r="AB2365" s="56"/>
    </row>
    <row r="2366" ht="15.75" customHeight="1">
      <c r="A2366" s="169"/>
      <c r="B2366" s="63"/>
      <c r="C2366" s="22" t="s">
        <v>66</v>
      </c>
      <c r="D2366" s="38"/>
      <c r="E2366" s="38"/>
      <c r="F2366" s="65"/>
      <c r="G2366" s="66"/>
      <c r="H2366" s="38"/>
      <c r="I2366" s="38"/>
      <c r="J2366" s="38"/>
      <c r="K2366" s="38"/>
      <c r="L2366" s="38"/>
      <c r="M2366" s="56"/>
      <c r="N2366" s="56" t="b">
        <v>0</v>
      </c>
      <c r="O2366" s="56" t="b">
        <v>0</v>
      </c>
      <c r="P2366" s="56"/>
      <c r="Q2366" s="56"/>
      <c r="R2366" s="56"/>
      <c r="S2366" s="56"/>
      <c r="T2366" s="56"/>
      <c r="U2366" s="56"/>
      <c r="V2366" s="56"/>
      <c r="W2366" s="56"/>
      <c r="X2366" s="56"/>
      <c r="Y2366" s="56"/>
      <c r="Z2366" s="56"/>
      <c r="AA2366" s="56"/>
      <c r="AB2366" s="56"/>
    </row>
    <row r="2367" ht="15.75" customHeight="1">
      <c r="A2367" s="169"/>
      <c r="B2367" s="63"/>
      <c r="C2367" s="22" t="s">
        <v>66</v>
      </c>
      <c r="D2367" s="38"/>
      <c r="E2367" s="38"/>
      <c r="F2367" s="65"/>
      <c r="G2367" s="66"/>
      <c r="H2367" s="38"/>
      <c r="I2367" s="38"/>
      <c r="J2367" s="38"/>
      <c r="K2367" s="38"/>
      <c r="L2367" s="38"/>
      <c r="M2367" s="56"/>
      <c r="N2367" s="56" t="b">
        <v>0</v>
      </c>
      <c r="O2367" s="56" t="b">
        <v>0</v>
      </c>
      <c r="P2367" s="56"/>
      <c r="Q2367" s="56"/>
      <c r="R2367" s="56"/>
      <c r="S2367" s="56"/>
      <c r="T2367" s="56"/>
      <c r="U2367" s="56"/>
      <c r="V2367" s="56"/>
      <c r="W2367" s="56"/>
      <c r="X2367" s="56"/>
      <c r="Y2367" s="56"/>
      <c r="Z2367" s="56"/>
      <c r="AA2367" s="56"/>
      <c r="AB2367" s="56"/>
    </row>
    <row r="2368" ht="15.75" customHeight="1">
      <c r="A2368" s="169"/>
      <c r="B2368" s="63"/>
      <c r="C2368" s="22" t="s">
        <v>66</v>
      </c>
      <c r="D2368" s="38"/>
      <c r="E2368" s="38"/>
      <c r="F2368" s="65"/>
      <c r="G2368" s="66"/>
      <c r="H2368" s="38"/>
      <c r="I2368" s="38"/>
      <c r="J2368" s="38"/>
      <c r="K2368" s="38"/>
      <c r="L2368" s="38"/>
      <c r="M2368" s="56"/>
      <c r="N2368" s="56" t="b">
        <v>0</v>
      </c>
      <c r="O2368" s="56" t="b">
        <v>0</v>
      </c>
      <c r="P2368" s="56"/>
      <c r="Q2368" s="56"/>
      <c r="R2368" s="56"/>
      <c r="S2368" s="56"/>
      <c r="T2368" s="56"/>
      <c r="U2368" s="56"/>
      <c r="V2368" s="56"/>
      <c r="W2368" s="56"/>
      <c r="X2368" s="56"/>
      <c r="Y2368" s="56"/>
      <c r="Z2368" s="56"/>
      <c r="AA2368" s="56"/>
      <c r="AB2368" s="56"/>
    </row>
    <row r="2369" ht="15.75" customHeight="1">
      <c r="A2369" s="169"/>
      <c r="B2369" s="69"/>
      <c r="C2369" s="22" t="s">
        <v>66</v>
      </c>
      <c r="D2369" s="38"/>
      <c r="E2369" s="38"/>
      <c r="F2369" s="65"/>
      <c r="G2369" s="66"/>
      <c r="H2369" s="38"/>
      <c r="I2369" s="38"/>
      <c r="J2369" s="38"/>
      <c r="K2369" s="38"/>
      <c r="L2369" s="38"/>
      <c r="M2369" s="56"/>
      <c r="N2369" s="56" t="b">
        <v>0</v>
      </c>
      <c r="O2369" s="56" t="b">
        <v>0</v>
      </c>
      <c r="P2369" s="56"/>
      <c r="Q2369" s="56"/>
      <c r="R2369" s="56"/>
      <c r="S2369" s="56"/>
      <c r="T2369" s="56"/>
      <c r="U2369" s="56"/>
      <c r="V2369" s="56"/>
      <c r="W2369" s="56"/>
      <c r="X2369" s="56"/>
      <c r="Y2369" s="56"/>
      <c r="Z2369" s="56"/>
      <c r="AA2369" s="56"/>
      <c r="AB2369" s="56"/>
    </row>
    <row r="2370" ht="15.75" customHeight="1">
      <c r="A2370" s="169"/>
      <c r="B2370" s="320" t="s">
        <v>6848</v>
      </c>
      <c r="C2370" s="22"/>
      <c r="D2370" s="38"/>
      <c r="E2370" s="38"/>
      <c r="F2370" s="65"/>
      <c r="G2370" s="66"/>
      <c r="H2370" s="38"/>
      <c r="I2370" s="38"/>
      <c r="J2370" s="38"/>
      <c r="K2370" s="38"/>
      <c r="L2370" s="38"/>
      <c r="M2370" s="56"/>
      <c r="N2370" s="56" t="b">
        <v>0</v>
      </c>
      <c r="O2370" s="56" t="b">
        <v>0</v>
      </c>
      <c r="P2370" s="56"/>
      <c r="Q2370" s="56"/>
      <c r="R2370" s="56"/>
      <c r="S2370" s="56"/>
      <c r="T2370" s="56"/>
      <c r="U2370" s="56"/>
      <c r="V2370" s="56"/>
      <c r="W2370" s="56"/>
      <c r="X2370" s="56"/>
      <c r="Y2370" s="56"/>
      <c r="Z2370" s="56"/>
      <c r="AA2370" s="56"/>
      <c r="AB2370" s="56"/>
    </row>
    <row r="2371" ht="15.75" customHeight="1">
      <c r="A2371" s="169"/>
      <c r="B2371" s="63"/>
      <c r="C2371" s="22" t="s">
        <v>131</v>
      </c>
      <c r="D2371" s="38"/>
      <c r="E2371" s="162" t="s">
        <v>5784</v>
      </c>
      <c r="F2371" s="339"/>
      <c r="G2371" s="155"/>
      <c r="H2371" s="38"/>
      <c r="I2371" s="38"/>
      <c r="J2371" s="38"/>
      <c r="K2371" s="38"/>
      <c r="L2371" s="38"/>
      <c r="M2371" s="56"/>
      <c r="N2371" s="56" t="b">
        <v>0</v>
      </c>
      <c r="O2371" s="56" t="b">
        <v>0</v>
      </c>
      <c r="P2371" s="56"/>
      <c r="Q2371" s="56"/>
      <c r="R2371" s="56"/>
      <c r="S2371" s="56"/>
      <c r="T2371" s="56"/>
      <c r="U2371" s="56"/>
      <c r="V2371" s="56"/>
      <c r="W2371" s="56"/>
      <c r="X2371" s="56"/>
      <c r="Y2371" s="56"/>
      <c r="Z2371" s="56"/>
      <c r="AA2371" s="56"/>
      <c r="AB2371" s="56"/>
    </row>
    <row r="2372" ht="15.75" customHeight="1">
      <c r="A2372" s="169"/>
      <c r="B2372" s="63"/>
      <c r="C2372" s="22" t="s">
        <v>131</v>
      </c>
      <c r="D2372" s="38"/>
      <c r="E2372" s="156"/>
      <c r="G2372" s="157"/>
      <c r="H2372" s="38"/>
      <c r="I2372" s="38"/>
      <c r="J2372" s="38"/>
      <c r="K2372" s="38"/>
      <c r="L2372" s="38"/>
      <c r="M2372" s="56"/>
      <c r="N2372" s="56" t="b">
        <v>0</v>
      </c>
      <c r="O2372" s="56" t="b">
        <v>0</v>
      </c>
      <c r="P2372" s="56"/>
      <c r="Q2372" s="56"/>
      <c r="R2372" s="56"/>
      <c r="S2372" s="56"/>
      <c r="T2372" s="56"/>
      <c r="U2372" s="56"/>
      <c r="V2372" s="56"/>
      <c r="W2372" s="56"/>
      <c r="X2372" s="56"/>
      <c r="Y2372" s="56"/>
      <c r="Z2372" s="56"/>
      <c r="AA2372" s="56"/>
      <c r="AB2372" s="56"/>
    </row>
    <row r="2373" ht="15.75" customHeight="1">
      <c r="A2373" s="169"/>
      <c r="B2373" s="63"/>
      <c r="C2373" s="22" t="s">
        <v>131</v>
      </c>
      <c r="D2373" s="38"/>
      <c r="E2373" s="158"/>
      <c r="F2373" s="340"/>
      <c r="G2373" s="159"/>
      <c r="H2373" s="38"/>
      <c r="I2373" s="38"/>
      <c r="J2373" s="38"/>
      <c r="K2373" s="38"/>
      <c r="L2373" s="38"/>
      <c r="M2373" s="56"/>
      <c r="N2373" s="56" t="b">
        <v>0</v>
      </c>
      <c r="O2373" s="56" t="b">
        <v>0</v>
      </c>
      <c r="P2373" s="56"/>
      <c r="Q2373" s="56"/>
      <c r="R2373" s="56"/>
      <c r="S2373" s="56"/>
      <c r="T2373" s="56"/>
      <c r="U2373" s="56"/>
      <c r="V2373" s="56"/>
      <c r="W2373" s="56"/>
      <c r="X2373" s="56"/>
      <c r="Y2373" s="56"/>
      <c r="Z2373" s="56"/>
      <c r="AA2373" s="56"/>
      <c r="AB2373" s="56"/>
    </row>
    <row r="2374" ht="15.75" customHeight="1">
      <c r="A2374" s="169"/>
      <c r="B2374" s="63"/>
      <c r="C2374" s="22" t="s">
        <v>131</v>
      </c>
      <c r="D2374" s="38"/>
      <c r="E2374" s="38"/>
      <c r="F2374" s="65"/>
      <c r="G2374" s="66"/>
      <c r="H2374" s="38"/>
      <c r="I2374" s="38"/>
      <c r="J2374" s="38"/>
      <c r="K2374" s="38"/>
      <c r="L2374" s="38"/>
      <c r="M2374" s="56"/>
      <c r="N2374" s="56" t="b">
        <v>0</v>
      </c>
      <c r="O2374" s="56" t="b">
        <v>0</v>
      </c>
      <c r="P2374" s="56"/>
      <c r="Q2374" s="56"/>
      <c r="R2374" s="56"/>
      <c r="S2374" s="56"/>
      <c r="T2374" s="56"/>
      <c r="U2374" s="56"/>
      <c r="V2374" s="56"/>
      <c r="W2374" s="56"/>
      <c r="X2374" s="56"/>
      <c r="Y2374" s="56"/>
      <c r="Z2374" s="56"/>
      <c r="AA2374" s="56"/>
      <c r="AB2374" s="56"/>
    </row>
    <row r="2375" ht="15.75" customHeight="1">
      <c r="A2375" s="169"/>
      <c r="B2375" s="63"/>
      <c r="C2375" s="22" t="s">
        <v>131</v>
      </c>
      <c r="D2375" s="202" t="s">
        <v>329</v>
      </c>
      <c r="E2375" s="203" t="s">
        <v>1630</v>
      </c>
      <c r="F2375" s="203" t="s">
        <v>1631</v>
      </c>
      <c r="G2375" s="82" t="s">
        <v>4899</v>
      </c>
      <c r="H2375" s="76" t="s">
        <v>6152</v>
      </c>
      <c r="I2375" s="76" t="s">
        <v>6999</v>
      </c>
      <c r="J2375" s="203" t="s">
        <v>1633</v>
      </c>
      <c r="K2375" s="38" t="s">
        <v>7004</v>
      </c>
      <c r="L2375" s="38"/>
      <c r="M2375" s="56"/>
      <c r="N2375" s="56" t="b">
        <v>0</v>
      </c>
      <c r="O2375" s="56" t="b">
        <v>0</v>
      </c>
      <c r="P2375" s="56"/>
      <c r="Q2375" s="56"/>
      <c r="R2375" s="56"/>
      <c r="S2375" s="56"/>
      <c r="T2375" s="56"/>
      <c r="U2375" s="56"/>
      <c r="V2375" s="56"/>
      <c r="W2375" s="56"/>
      <c r="X2375" s="56"/>
      <c r="Y2375" s="56"/>
      <c r="Z2375" s="56"/>
      <c r="AA2375" s="56"/>
      <c r="AB2375" s="56"/>
    </row>
    <row r="2376" ht="15.75" customHeight="1">
      <c r="A2376" s="169"/>
      <c r="B2376" s="69"/>
      <c r="C2376" s="22" t="s">
        <v>131</v>
      </c>
      <c r="D2376" s="38"/>
      <c r="E2376" s="38"/>
      <c r="F2376" s="65"/>
      <c r="G2376" s="66"/>
      <c r="H2376" s="38"/>
      <c r="I2376" s="38"/>
      <c r="J2376" s="38"/>
      <c r="K2376" s="38"/>
      <c r="L2376" s="38"/>
      <c r="M2376" s="56"/>
      <c r="N2376" s="56" t="b">
        <v>0</v>
      </c>
      <c r="O2376" s="56" t="b">
        <v>0</v>
      </c>
      <c r="P2376" s="56"/>
      <c r="Q2376" s="56"/>
      <c r="R2376" s="56"/>
      <c r="S2376" s="56"/>
      <c r="T2376" s="56"/>
      <c r="U2376" s="56"/>
      <c r="V2376" s="56"/>
      <c r="W2376" s="56"/>
      <c r="X2376" s="56"/>
      <c r="Y2376" s="56"/>
      <c r="Z2376" s="56"/>
      <c r="AA2376" s="56"/>
      <c r="AB2376" s="56"/>
    </row>
    <row r="2377" ht="15.75" customHeight="1">
      <c r="A2377" s="169"/>
      <c r="B2377" s="299"/>
      <c r="C2377" s="220">
        <v>44672.0</v>
      </c>
      <c r="D2377" s="38"/>
      <c r="E2377" s="38"/>
      <c r="F2377" s="65"/>
      <c r="G2377" s="66"/>
      <c r="H2377" s="38"/>
      <c r="I2377" s="38"/>
      <c r="J2377" s="38"/>
      <c r="K2377" s="38"/>
      <c r="L2377" s="38"/>
      <c r="M2377" s="56"/>
      <c r="N2377" s="56" t="b">
        <v>0</v>
      </c>
      <c r="O2377" s="56" t="b">
        <v>0</v>
      </c>
      <c r="P2377" s="56"/>
      <c r="Q2377" s="56"/>
      <c r="R2377" s="56"/>
      <c r="S2377" s="56"/>
      <c r="T2377" s="56"/>
      <c r="U2377" s="56"/>
      <c r="V2377" s="56"/>
      <c r="W2377" s="56"/>
      <c r="X2377" s="56"/>
      <c r="Y2377" s="56"/>
      <c r="Z2377" s="56"/>
      <c r="AA2377" s="56"/>
      <c r="AB2377" s="56"/>
    </row>
    <row r="2378" ht="15.75" customHeight="1">
      <c r="A2378" s="169"/>
      <c r="B2378" s="320" t="s">
        <v>6848</v>
      </c>
      <c r="C2378" s="22"/>
      <c r="D2378" s="38"/>
      <c r="E2378" s="38"/>
      <c r="F2378" s="65"/>
      <c r="G2378" s="66"/>
      <c r="H2378" s="38"/>
      <c r="I2378" s="38"/>
      <c r="J2378" s="38"/>
      <c r="K2378" s="38"/>
      <c r="L2378" s="38"/>
      <c r="M2378" s="56"/>
      <c r="N2378" s="56" t="b">
        <v>0</v>
      </c>
      <c r="O2378" s="56" t="b">
        <v>0</v>
      </c>
      <c r="P2378" s="56"/>
      <c r="Q2378" s="56"/>
      <c r="R2378" s="56"/>
      <c r="S2378" s="56"/>
      <c r="T2378" s="56"/>
      <c r="U2378" s="56"/>
      <c r="V2378" s="56"/>
      <c r="W2378" s="56"/>
      <c r="X2378" s="56"/>
      <c r="Y2378" s="56"/>
      <c r="Z2378" s="56"/>
      <c r="AA2378" s="56"/>
      <c r="AB2378" s="56"/>
    </row>
    <row r="2379" ht="15.75" customHeight="1">
      <c r="A2379" s="169"/>
      <c r="B2379" s="63"/>
      <c r="C2379" s="22" t="s">
        <v>131</v>
      </c>
      <c r="D2379" s="227" t="s">
        <v>87</v>
      </c>
      <c r="E2379" s="348" t="s">
        <v>4742</v>
      </c>
      <c r="F2379" s="348" t="s">
        <v>4743</v>
      </c>
      <c r="G2379" s="73" t="s">
        <v>4926</v>
      </c>
      <c r="H2379" s="75" t="s">
        <v>7005</v>
      </c>
      <c r="I2379" s="62" t="s">
        <v>7006</v>
      </c>
      <c r="J2379" s="83" t="s">
        <v>4745</v>
      </c>
      <c r="K2379" s="38"/>
      <c r="L2379" s="38"/>
      <c r="M2379" s="56"/>
      <c r="N2379" s="56" t="b">
        <v>0</v>
      </c>
      <c r="O2379" s="56" t="b">
        <v>0</v>
      </c>
      <c r="P2379" s="56"/>
      <c r="Q2379" s="56"/>
      <c r="R2379" s="56"/>
      <c r="S2379" s="56"/>
      <c r="T2379" s="56"/>
      <c r="U2379" s="56"/>
      <c r="V2379" s="56"/>
      <c r="W2379" s="56"/>
      <c r="X2379" s="56"/>
      <c r="Y2379" s="56"/>
      <c r="Z2379" s="56"/>
      <c r="AA2379" s="56"/>
      <c r="AB2379" s="56"/>
    </row>
    <row r="2380" ht="15.75" customHeight="1">
      <c r="A2380" s="169"/>
      <c r="B2380" s="63"/>
      <c r="C2380" s="22" t="s">
        <v>131</v>
      </c>
      <c r="D2380" s="227" t="s">
        <v>87</v>
      </c>
      <c r="E2380" s="348" t="s">
        <v>1610</v>
      </c>
      <c r="F2380" s="348" t="s">
        <v>1611</v>
      </c>
      <c r="G2380" s="73" t="s">
        <v>4938</v>
      </c>
      <c r="H2380" s="75" t="s">
        <v>7007</v>
      </c>
      <c r="I2380" s="62" t="s">
        <v>7008</v>
      </c>
      <c r="J2380" s="83" t="s">
        <v>1614</v>
      </c>
      <c r="K2380" s="38"/>
      <c r="L2380" s="38"/>
      <c r="M2380" s="56"/>
      <c r="N2380" s="56" t="b">
        <v>0</v>
      </c>
      <c r="O2380" s="56" t="b">
        <v>0</v>
      </c>
      <c r="P2380" s="56"/>
      <c r="Q2380" s="56"/>
      <c r="R2380" s="56"/>
      <c r="S2380" s="56"/>
      <c r="T2380" s="56"/>
      <c r="U2380" s="56"/>
      <c r="V2380" s="56"/>
      <c r="W2380" s="56"/>
      <c r="X2380" s="56"/>
      <c r="Y2380" s="56"/>
      <c r="Z2380" s="56"/>
      <c r="AA2380" s="56"/>
      <c r="AB2380" s="56"/>
    </row>
    <row r="2381" ht="15.75" customHeight="1">
      <c r="A2381" s="169"/>
      <c r="B2381" s="63"/>
      <c r="C2381" s="22" t="s">
        <v>131</v>
      </c>
      <c r="D2381" s="62" t="s">
        <v>52</v>
      </c>
      <c r="E2381" s="60" t="s">
        <v>2821</v>
      </c>
      <c r="F2381" s="60" t="s">
        <v>2822</v>
      </c>
      <c r="G2381" s="73" t="s">
        <v>4892</v>
      </c>
      <c r="H2381" s="62" t="s">
        <v>7009</v>
      </c>
      <c r="I2381" s="62" t="s">
        <v>7010</v>
      </c>
      <c r="J2381" s="60" t="s">
        <v>2824</v>
      </c>
      <c r="K2381" s="38" t="s">
        <v>7011</v>
      </c>
      <c r="L2381" s="38"/>
      <c r="M2381" s="56"/>
      <c r="N2381" s="56" t="b">
        <v>0</v>
      </c>
      <c r="O2381" s="56" t="b">
        <v>0</v>
      </c>
      <c r="P2381" s="56"/>
      <c r="Q2381" s="56"/>
      <c r="R2381" s="56"/>
      <c r="S2381" s="56"/>
      <c r="T2381" s="56"/>
      <c r="U2381" s="56"/>
      <c r="V2381" s="56"/>
      <c r="W2381" s="56"/>
      <c r="X2381" s="56"/>
      <c r="Y2381" s="56"/>
      <c r="Z2381" s="56"/>
      <c r="AA2381" s="56"/>
      <c r="AB2381" s="56"/>
    </row>
    <row r="2382" ht="15.75" customHeight="1">
      <c r="A2382" s="169"/>
      <c r="B2382" s="63"/>
      <c r="C2382" s="22" t="s">
        <v>131</v>
      </c>
      <c r="D2382" s="227" t="s">
        <v>52</v>
      </c>
      <c r="E2382" s="60" t="s">
        <v>1630</v>
      </c>
      <c r="F2382" s="60" t="s">
        <v>1631</v>
      </c>
      <c r="G2382" s="73" t="s">
        <v>4899</v>
      </c>
      <c r="H2382" s="62" t="s">
        <v>6152</v>
      </c>
      <c r="I2382" s="62" t="s">
        <v>6999</v>
      </c>
      <c r="J2382" s="60" t="s">
        <v>1633</v>
      </c>
      <c r="K2382" s="38"/>
      <c r="L2382" s="38"/>
      <c r="M2382" s="56"/>
      <c r="N2382" s="56" t="b">
        <v>0</v>
      </c>
      <c r="O2382" s="56" t="b">
        <v>0</v>
      </c>
      <c r="P2382" s="56"/>
      <c r="Q2382" s="56"/>
      <c r="R2382" s="56"/>
      <c r="S2382" s="56"/>
      <c r="T2382" s="56"/>
      <c r="U2382" s="56"/>
      <c r="V2382" s="56"/>
      <c r="W2382" s="56"/>
      <c r="X2382" s="56"/>
      <c r="Y2382" s="56"/>
      <c r="Z2382" s="56"/>
      <c r="AA2382" s="56"/>
      <c r="AB2382" s="56"/>
    </row>
    <row r="2383" ht="15.75" customHeight="1">
      <c r="A2383" s="169"/>
      <c r="B2383" s="63"/>
      <c r="C2383" s="22" t="s">
        <v>131</v>
      </c>
      <c r="D2383" s="27" t="s">
        <v>89</v>
      </c>
      <c r="E2383" s="349" t="s">
        <v>501</v>
      </c>
      <c r="F2383" s="349" t="s">
        <v>502</v>
      </c>
      <c r="G2383" s="73" t="s">
        <v>4997</v>
      </c>
      <c r="H2383" s="62" t="s">
        <v>7012</v>
      </c>
      <c r="I2383" s="62" t="s">
        <v>7013</v>
      </c>
      <c r="J2383" s="349" t="s">
        <v>505</v>
      </c>
      <c r="K2383" s="38"/>
      <c r="L2383" s="38"/>
      <c r="M2383" s="56"/>
      <c r="N2383" s="56" t="b">
        <v>0</v>
      </c>
      <c r="O2383" s="56" t="b">
        <v>0</v>
      </c>
      <c r="P2383" s="56"/>
      <c r="Q2383" s="56"/>
      <c r="R2383" s="56"/>
      <c r="S2383" s="56"/>
      <c r="T2383" s="56"/>
      <c r="U2383" s="56"/>
      <c r="V2383" s="56"/>
      <c r="W2383" s="56"/>
      <c r="X2383" s="56"/>
      <c r="Y2383" s="56"/>
      <c r="Z2383" s="56"/>
      <c r="AA2383" s="56"/>
      <c r="AB2383" s="56"/>
    </row>
    <row r="2384" ht="15.75" customHeight="1">
      <c r="A2384" s="169"/>
      <c r="B2384" s="69"/>
      <c r="C2384" s="22" t="s">
        <v>131</v>
      </c>
      <c r="D2384" s="38"/>
      <c r="E2384" s="38"/>
      <c r="F2384" s="65"/>
      <c r="G2384" s="66"/>
      <c r="H2384" s="38"/>
      <c r="I2384" s="38"/>
      <c r="J2384" s="38"/>
      <c r="K2384" s="38"/>
      <c r="L2384" s="38"/>
      <c r="M2384" s="56"/>
      <c r="N2384" s="56" t="b">
        <v>0</v>
      </c>
      <c r="O2384" s="56" t="b">
        <v>0</v>
      </c>
      <c r="P2384" s="56"/>
      <c r="Q2384" s="56"/>
      <c r="R2384" s="56"/>
      <c r="S2384" s="56"/>
      <c r="T2384" s="56"/>
      <c r="U2384" s="56"/>
      <c r="V2384" s="56"/>
      <c r="W2384" s="56"/>
      <c r="X2384" s="56"/>
      <c r="Y2384" s="56"/>
      <c r="Z2384" s="56"/>
      <c r="AA2384" s="56"/>
      <c r="AB2384" s="56"/>
    </row>
    <row r="2385" ht="15.75" customHeight="1">
      <c r="A2385" s="169"/>
      <c r="B2385" s="118"/>
      <c r="C2385" s="38"/>
      <c r="D2385" s="38"/>
      <c r="E2385" s="38"/>
      <c r="F2385" s="65"/>
      <c r="G2385" s="66"/>
      <c r="H2385" s="38"/>
      <c r="I2385" s="38"/>
      <c r="J2385" s="38"/>
      <c r="K2385" s="38"/>
      <c r="L2385" s="38"/>
      <c r="M2385" s="56"/>
      <c r="N2385" s="56" t="b">
        <v>0</v>
      </c>
      <c r="O2385" s="56" t="b">
        <v>0</v>
      </c>
      <c r="P2385" s="56"/>
      <c r="Q2385" s="56"/>
      <c r="R2385" s="56"/>
      <c r="S2385" s="56"/>
      <c r="T2385" s="56"/>
      <c r="U2385" s="56"/>
      <c r="V2385" s="56"/>
      <c r="W2385" s="56"/>
      <c r="X2385" s="56"/>
      <c r="Y2385" s="56"/>
      <c r="Z2385" s="56"/>
      <c r="AA2385" s="56"/>
      <c r="AB2385" s="56"/>
    </row>
    <row r="2386" ht="15.75" customHeight="1">
      <c r="A2386" s="169"/>
      <c r="B2386" s="350"/>
      <c r="C2386" s="351">
        <v>44695.0</v>
      </c>
      <c r="D2386" s="38"/>
      <c r="E2386" s="38"/>
      <c r="F2386" s="65"/>
      <c r="G2386" s="66"/>
      <c r="H2386" s="38"/>
      <c r="I2386" s="38"/>
      <c r="J2386" s="38"/>
      <c r="K2386" s="38"/>
      <c r="L2386" s="38"/>
      <c r="M2386" s="56"/>
      <c r="N2386" s="56" t="b">
        <v>0</v>
      </c>
      <c r="O2386" s="56" t="b">
        <v>0</v>
      </c>
      <c r="P2386" s="56"/>
      <c r="Q2386" s="56"/>
      <c r="R2386" s="56"/>
      <c r="S2386" s="56"/>
      <c r="T2386" s="56"/>
      <c r="U2386" s="56"/>
      <c r="V2386" s="56"/>
      <c r="W2386" s="56"/>
      <c r="X2386" s="56"/>
      <c r="Y2386" s="56"/>
      <c r="Z2386" s="56"/>
      <c r="AA2386" s="56"/>
      <c r="AB2386" s="56"/>
    </row>
    <row r="2387" ht="15.75" customHeight="1">
      <c r="A2387" s="169"/>
      <c r="B2387" s="219" t="s">
        <v>7014</v>
      </c>
      <c r="C2387" s="25" t="s">
        <v>368</v>
      </c>
      <c r="D2387" s="227" t="s">
        <v>89</v>
      </c>
      <c r="E2387" s="242" t="s">
        <v>4163</v>
      </c>
      <c r="F2387" s="242" t="s">
        <v>4164</v>
      </c>
      <c r="G2387" s="352">
        <v>0.4166666666666667</v>
      </c>
      <c r="H2387" s="62" t="s">
        <v>7015</v>
      </c>
      <c r="I2387" s="170" t="s">
        <v>7016</v>
      </c>
      <c r="J2387" s="242" t="s">
        <v>4166</v>
      </c>
      <c r="K2387" s="38"/>
      <c r="L2387" s="38"/>
      <c r="M2387" s="56"/>
      <c r="N2387" s="56" t="b">
        <v>0</v>
      </c>
      <c r="O2387" s="56" t="b">
        <v>0</v>
      </c>
      <c r="P2387" s="56"/>
      <c r="Q2387" s="56"/>
      <c r="R2387" s="56"/>
      <c r="S2387" s="56"/>
      <c r="T2387" s="56"/>
      <c r="U2387" s="56"/>
      <c r="V2387" s="56"/>
      <c r="W2387" s="56"/>
      <c r="X2387" s="56"/>
      <c r="Y2387" s="56"/>
      <c r="Z2387" s="56"/>
      <c r="AA2387" s="56"/>
      <c r="AB2387" s="56"/>
    </row>
    <row r="2388" ht="15.75" customHeight="1">
      <c r="A2388" s="169"/>
      <c r="B2388" s="63"/>
      <c r="C2388" s="25" t="s">
        <v>368</v>
      </c>
      <c r="D2388" s="227" t="s">
        <v>89</v>
      </c>
      <c r="E2388" s="60" t="s">
        <v>4539</v>
      </c>
      <c r="F2388" s="60" t="s">
        <v>4540</v>
      </c>
      <c r="G2388" s="73" t="s">
        <v>7017</v>
      </c>
      <c r="H2388" s="62" t="s">
        <v>7018</v>
      </c>
      <c r="I2388" s="62" t="s">
        <v>7019</v>
      </c>
      <c r="J2388" s="60" t="s">
        <v>4542</v>
      </c>
      <c r="L2388" s="38"/>
      <c r="M2388" s="56"/>
      <c r="N2388" s="56" t="b">
        <v>0</v>
      </c>
      <c r="O2388" s="56" t="b">
        <v>0</v>
      </c>
      <c r="P2388" s="56"/>
      <c r="Q2388" s="56"/>
      <c r="R2388" s="56"/>
      <c r="S2388" s="56"/>
      <c r="T2388" s="56"/>
      <c r="U2388" s="56"/>
      <c r="V2388" s="56"/>
      <c r="W2388" s="56"/>
      <c r="X2388" s="56"/>
      <c r="Y2388" s="56"/>
      <c r="Z2388" s="56"/>
      <c r="AA2388" s="56"/>
      <c r="AB2388" s="56"/>
    </row>
    <row r="2389" ht="15.75" customHeight="1">
      <c r="A2389" s="169"/>
      <c r="B2389" s="63"/>
      <c r="C2389" s="25" t="s">
        <v>368</v>
      </c>
      <c r="D2389" s="62" t="s">
        <v>7020</v>
      </c>
      <c r="E2389" s="60" t="s">
        <v>361</v>
      </c>
      <c r="F2389" s="60" t="s">
        <v>362</v>
      </c>
      <c r="G2389" s="73" t="s">
        <v>7021</v>
      </c>
      <c r="H2389" s="62" t="s">
        <v>7022</v>
      </c>
      <c r="I2389" s="62" t="s">
        <v>7023</v>
      </c>
      <c r="J2389" s="60" t="s">
        <v>366</v>
      </c>
      <c r="K2389" s="38" t="s">
        <v>369</v>
      </c>
      <c r="L2389" s="38"/>
      <c r="M2389" s="56"/>
      <c r="N2389" s="56" t="b">
        <v>0</v>
      </c>
      <c r="O2389" s="56" t="b">
        <v>0</v>
      </c>
      <c r="P2389" s="56"/>
      <c r="Q2389" s="56"/>
      <c r="R2389" s="56"/>
      <c r="S2389" s="56"/>
      <c r="T2389" s="56"/>
      <c r="U2389" s="56"/>
      <c r="V2389" s="56"/>
      <c r="W2389" s="56"/>
      <c r="X2389" s="56"/>
      <c r="Y2389" s="56"/>
      <c r="Z2389" s="56"/>
      <c r="AA2389" s="56"/>
      <c r="AB2389" s="56"/>
    </row>
    <row r="2390" ht="15.75" customHeight="1">
      <c r="A2390" s="169"/>
      <c r="B2390" s="63"/>
      <c r="C2390" s="25" t="s">
        <v>368</v>
      </c>
      <c r="D2390" s="62" t="s">
        <v>7020</v>
      </c>
      <c r="E2390" s="60" t="s">
        <v>1650</v>
      </c>
      <c r="F2390" s="60" t="s">
        <v>1651</v>
      </c>
      <c r="G2390" s="73" t="s">
        <v>7024</v>
      </c>
      <c r="H2390" s="62" t="s">
        <v>7025</v>
      </c>
      <c r="I2390" s="62" t="s">
        <v>7026</v>
      </c>
      <c r="J2390" s="62" t="s">
        <v>1653</v>
      </c>
      <c r="K2390" s="38"/>
      <c r="L2390" s="38"/>
      <c r="M2390" s="56"/>
      <c r="N2390" s="56" t="b">
        <v>0</v>
      </c>
      <c r="O2390" s="56" t="b">
        <v>0</v>
      </c>
      <c r="P2390" s="56"/>
      <c r="Q2390" s="56"/>
      <c r="R2390" s="56"/>
      <c r="S2390" s="56"/>
      <c r="T2390" s="56"/>
      <c r="U2390" s="56"/>
      <c r="V2390" s="56"/>
      <c r="W2390" s="56"/>
      <c r="X2390" s="56"/>
      <c r="Y2390" s="56"/>
      <c r="Z2390" s="56"/>
      <c r="AA2390" s="56"/>
      <c r="AB2390" s="56"/>
    </row>
    <row r="2391" ht="15.75" customHeight="1">
      <c r="A2391" s="169"/>
      <c r="B2391" s="63"/>
      <c r="C2391" s="25" t="s">
        <v>368</v>
      </c>
      <c r="D2391" s="62" t="s">
        <v>7020</v>
      </c>
      <c r="E2391" s="60" t="s">
        <v>2759</v>
      </c>
      <c r="F2391" s="60" t="s">
        <v>2760</v>
      </c>
      <c r="G2391" s="73" t="s">
        <v>7027</v>
      </c>
      <c r="H2391" s="62" t="s">
        <v>7028</v>
      </c>
      <c r="I2391" s="62" t="s">
        <v>7029</v>
      </c>
      <c r="J2391" s="62" t="s">
        <v>2762</v>
      </c>
      <c r="K2391" s="38"/>
      <c r="L2391" s="38"/>
      <c r="M2391" s="56"/>
      <c r="N2391" s="56" t="b">
        <v>0</v>
      </c>
      <c r="O2391" s="56" t="b">
        <v>0</v>
      </c>
      <c r="P2391" s="56"/>
      <c r="Q2391" s="56"/>
      <c r="R2391" s="56"/>
      <c r="S2391" s="56"/>
      <c r="T2391" s="56"/>
      <c r="U2391" s="56"/>
      <c r="V2391" s="56"/>
      <c r="W2391" s="56"/>
      <c r="X2391" s="56"/>
      <c r="Y2391" s="56"/>
      <c r="Z2391" s="56"/>
      <c r="AA2391" s="56"/>
      <c r="AB2391" s="56"/>
    </row>
    <row r="2392" ht="15.75" customHeight="1">
      <c r="A2392" s="169"/>
      <c r="B2392" s="63"/>
      <c r="C2392" s="25" t="s">
        <v>368</v>
      </c>
      <c r="D2392" s="172" t="s">
        <v>89</v>
      </c>
      <c r="E2392" s="77" t="s">
        <v>3281</v>
      </c>
      <c r="F2392" s="77" t="s">
        <v>3278</v>
      </c>
      <c r="G2392" s="82" t="s">
        <v>7030</v>
      </c>
      <c r="H2392" s="76" t="s">
        <v>7028</v>
      </c>
      <c r="I2392" s="76" t="s">
        <v>7031</v>
      </c>
      <c r="J2392" s="77" t="s">
        <v>3280</v>
      </c>
      <c r="K2392" s="38" t="s">
        <v>7032</v>
      </c>
      <c r="L2392" s="38"/>
      <c r="M2392" s="56"/>
      <c r="N2392" s="56" t="b">
        <v>0</v>
      </c>
      <c r="O2392" s="56" t="b">
        <v>0</v>
      </c>
      <c r="P2392" s="56"/>
      <c r="Q2392" s="56"/>
      <c r="R2392" s="56"/>
      <c r="S2392" s="56"/>
      <c r="T2392" s="56"/>
      <c r="U2392" s="56"/>
      <c r="V2392" s="56"/>
      <c r="W2392" s="56"/>
      <c r="X2392" s="56"/>
      <c r="Y2392" s="56"/>
      <c r="Z2392" s="56"/>
      <c r="AA2392" s="56"/>
      <c r="AB2392" s="56"/>
    </row>
    <row r="2393" ht="15.75" customHeight="1">
      <c r="A2393" s="169"/>
      <c r="B2393" s="63"/>
      <c r="C2393" s="25" t="s">
        <v>368</v>
      </c>
      <c r="D2393" s="62" t="s">
        <v>7020</v>
      </c>
      <c r="E2393" s="60" t="s">
        <v>3297</v>
      </c>
      <c r="F2393" s="60" t="s">
        <v>3298</v>
      </c>
      <c r="G2393" s="73" t="s">
        <v>7030</v>
      </c>
      <c r="H2393" s="62" t="s">
        <v>7033</v>
      </c>
      <c r="I2393" s="62" t="s">
        <v>7034</v>
      </c>
      <c r="J2393" s="60" t="s">
        <v>3300</v>
      </c>
      <c r="K2393" s="38"/>
      <c r="L2393" s="38"/>
      <c r="M2393" s="56"/>
      <c r="N2393" s="56" t="b">
        <v>0</v>
      </c>
      <c r="O2393" s="56" t="b">
        <v>0</v>
      </c>
      <c r="P2393" s="56"/>
      <c r="Q2393" s="56"/>
      <c r="R2393" s="56"/>
      <c r="S2393" s="56"/>
      <c r="T2393" s="56"/>
      <c r="U2393" s="56"/>
      <c r="V2393" s="56"/>
      <c r="W2393" s="56"/>
      <c r="X2393" s="56"/>
      <c r="Y2393" s="56"/>
      <c r="Z2393" s="56"/>
      <c r="AA2393" s="56"/>
      <c r="AB2393" s="56"/>
    </row>
    <row r="2394" ht="15.75" customHeight="1">
      <c r="A2394" s="169"/>
      <c r="B2394" s="63"/>
      <c r="C2394" s="25" t="s">
        <v>368</v>
      </c>
      <c r="D2394" s="62" t="s">
        <v>7020</v>
      </c>
      <c r="E2394" s="60" t="s">
        <v>4595</v>
      </c>
      <c r="F2394" s="60" t="s">
        <v>4596</v>
      </c>
      <c r="G2394" s="73" t="s">
        <v>7035</v>
      </c>
      <c r="H2394" s="62" t="s">
        <v>7028</v>
      </c>
      <c r="I2394" s="62" t="s">
        <v>7036</v>
      </c>
      <c r="J2394" s="60" t="s">
        <v>4598</v>
      </c>
      <c r="K2394" s="38"/>
      <c r="L2394" s="38"/>
      <c r="M2394" s="56"/>
      <c r="N2394" s="56" t="b">
        <v>0</v>
      </c>
      <c r="O2394" s="56" t="b">
        <v>0</v>
      </c>
      <c r="P2394" s="56"/>
      <c r="Q2394" s="56"/>
      <c r="R2394" s="56"/>
      <c r="S2394" s="56"/>
      <c r="T2394" s="56"/>
      <c r="U2394" s="56"/>
      <c r="V2394" s="56"/>
      <c r="W2394" s="56"/>
      <c r="X2394" s="56"/>
      <c r="Y2394" s="56"/>
      <c r="Z2394" s="56"/>
      <c r="AA2394" s="56"/>
      <c r="AB2394" s="56"/>
    </row>
    <row r="2395" ht="15.75" customHeight="1">
      <c r="A2395" s="169"/>
      <c r="B2395" s="69"/>
      <c r="C2395" s="25" t="s">
        <v>368</v>
      </c>
      <c r="D2395" s="38"/>
      <c r="E2395" s="38"/>
      <c r="F2395" s="65"/>
      <c r="G2395" s="66"/>
      <c r="H2395" s="38"/>
      <c r="I2395" s="38"/>
      <c r="J2395" s="38"/>
      <c r="K2395" s="38"/>
      <c r="L2395" s="38"/>
      <c r="M2395" s="56"/>
      <c r="N2395" s="56" t="b">
        <v>0</v>
      </c>
      <c r="O2395" s="56" t="b">
        <v>0</v>
      </c>
      <c r="P2395" s="56"/>
      <c r="Q2395" s="56"/>
      <c r="R2395" s="56"/>
      <c r="S2395" s="56"/>
      <c r="T2395" s="56"/>
      <c r="U2395" s="56"/>
      <c r="V2395" s="56"/>
      <c r="W2395" s="56"/>
      <c r="X2395" s="56"/>
      <c r="Y2395" s="56"/>
      <c r="Z2395" s="56"/>
      <c r="AA2395" s="56"/>
      <c r="AB2395" s="56"/>
    </row>
    <row r="2396" ht="15.75" customHeight="1">
      <c r="A2396" s="169"/>
      <c r="B2396" s="118"/>
      <c r="C2396" s="38"/>
      <c r="D2396" s="38"/>
      <c r="E2396" s="38"/>
      <c r="F2396" s="65"/>
      <c r="G2396" s="66"/>
      <c r="H2396" s="38"/>
      <c r="I2396" s="38"/>
      <c r="J2396" s="38"/>
      <c r="K2396" s="38"/>
      <c r="L2396" s="38"/>
      <c r="M2396" s="56"/>
      <c r="N2396" s="56" t="b">
        <v>0</v>
      </c>
      <c r="O2396" s="56" t="b">
        <v>0</v>
      </c>
      <c r="P2396" s="56"/>
      <c r="Q2396" s="56"/>
      <c r="R2396" s="56"/>
      <c r="S2396" s="56"/>
      <c r="T2396" s="56"/>
      <c r="U2396" s="56"/>
      <c r="V2396" s="56"/>
      <c r="W2396" s="56"/>
      <c r="X2396" s="56"/>
      <c r="Y2396" s="56"/>
      <c r="Z2396" s="56"/>
      <c r="AA2396" s="56"/>
      <c r="AB2396" s="56"/>
    </row>
    <row r="2397" ht="15.75" customHeight="1">
      <c r="A2397" s="169"/>
      <c r="B2397" s="118"/>
      <c r="C2397" s="38"/>
      <c r="D2397" s="38"/>
      <c r="E2397" s="38"/>
      <c r="F2397" s="65"/>
      <c r="G2397" s="66"/>
      <c r="H2397" s="38"/>
      <c r="I2397" s="38"/>
      <c r="J2397" s="38"/>
      <c r="K2397" s="38"/>
      <c r="L2397" s="38"/>
      <c r="M2397" s="56"/>
      <c r="N2397" s="56" t="b">
        <v>0</v>
      </c>
      <c r="O2397" s="56" t="b">
        <v>0</v>
      </c>
      <c r="P2397" s="56"/>
      <c r="Q2397" s="56"/>
      <c r="R2397" s="56"/>
      <c r="S2397" s="56"/>
      <c r="T2397" s="56"/>
      <c r="U2397" s="56"/>
      <c r="V2397" s="56"/>
      <c r="W2397" s="56"/>
      <c r="X2397" s="56"/>
      <c r="Y2397" s="56"/>
      <c r="Z2397" s="56"/>
      <c r="AA2397" s="56"/>
      <c r="AB2397" s="56"/>
    </row>
    <row r="2398" ht="15.75" customHeight="1">
      <c r="A2398" s="169"/>
      <c r="B2398" s="118"/>
      <c r="C2398" s="38"/>
      <c r="D2398" s="38"/>
      <c r="E2398" s="38"/>
      <c r="F2398" s="65"/>
      <c r="G2398" s="66"/>
      <c r="H2398" s="38"/>
      <c r="I2398" s="38"/>
      <c r="J2398" s="38"/>
      <c r="K2398" s="38"/>
      <c r="L2398" s="38"/>
      <c r="M2398" s="56"/>
      <c r="N2398" s="56" t="b">
        <v>0</v>
      </c>
      <c r="O2398" s="56" t="b">
        <v>0</v>
      </c>
      <c r="P2398" s="56"/>
      <c r="Q2398" s="56"/>
      <c r="R2398" s="56"/>
      <c r="S2398" s="56"/>
      <c r="T2398" s="56"/>
      <c r="U2398" s="56"/>
      <c r="V2398" s="56"/>
      <c r="W2398" s="56"/>
      <c r="X2398" s="56"/>
      <c r="Y2398" s="56"/>
      <c r="Z2398" s="56"/>
      <c r="AA2398" s="56"/>
      <c r="AB2398" s="56"/>
    </row>
    <row r="2399" ht="15.75" customHeight="1">
      <c r="A2399" s="169"/>
      <c r="B2399" s="118"/>
      <c r="C2399" s="38"/>
      <c r="D2399" s="38"/>
      <c r="E2399" s="38"/>
      <c r="F2399" s="65"/>
      <c r="G2399" s="66"/>
      <c r="H2399" s="38"/>
      <c r="I2399" s="38"/>
      <c r="J2399" s="38"/>
      <c r="K2399" s="38"/>
      <c r="L2399" s="38"/>
      <c r="M2399" s="56"/>
      <c r="N2399" s="56" t="b">
        <v>0</v>
      </c>
      <c r="O2399" s="56" t="b">
        <v>0</v>
      </c>
      <c r="P2399" s="56"/>
      <c r="Q2399" s="56"/>
      <c r="R2399" s="56"/>
      <c r="S2399" s="56"/>
      <c r="T2399" s="56"/>
      <c r="U2399" s="56"/>
      <c r="V2399" s="56"/>
      <c r="W2399" s="56"/>
      <c r="X2399" s="56"/>
      <c r="Y2399" s="56"/>
      <c r="Z2399" s="56"/>
      <c r="AA2399" s="56"/>
      <c r="AB2399" s="56"/>
    </row>
    <row r="2400" ht="15.75" customHeight="1">
      <c r="A2400" s="169"/>
      <c r="B2400" s="118"/>
      <c r="C2400" s="38"/>
      <c r="D2400" s="38"/>
      <c r="E2400" s="38"/>
      <c r="F2400" s="65"/>
      <c r="G2400" s="66"/>
      <c r="H2400" s="38"/>
      <c r="I2400" s="38"/>
      <c r="J2400" s="38"/>
      <c r="K2400" s="38"/>
      <c r="L2400" s="38"/>
      <c r="M2400" s="56"/>
      <c r="N2400" s="56" t="b">
        <v>0</v>
      </c>
      <c r="O2400" s="56" t="b">
        <v>0</v>
      </c>
      <c r="P2400" s="56"/>
      <c r="Q2400" s="56"/>
      <c r="R2400" s="56"/>
      <c r="S2400" s="56"/>
      <c r="T2400" s="56"/>
      <c r="U2400" s="56"/>
      <c r="V2400" s="56"/>
      <c r="W2400" s="56"/>
      <c r="X2400" s="56"/>
      <c r="Y2400" s="56"/>
      <c r="Z2400" s="56"/>
      <c r="AA2400" s="56"/>
      <c r="AB2400" s="56"/>
    </row>
    <row r="2401" ht="15.75" customHeight="1">
      <c r="A2401" s="169"/>
      <c r="B2401" s="118"/>
      <c r="C2401" s="38"/>
      <c r="D2401" s="38"/>
      <c r="E2401" s="38"/>
      <c r="F2401" s="65"/>
      <c r="G2401" s="66"/>
      <c r="H2401" s="38"/>
      <c r="I2401" s="38"/>
      <c r="J2401" s="38"/>
      <c r="K2401" s="38"/>
      <c r="L2401" s="38"/>
      <c r="M2401" s="56"/>
      <c r="N2401" s="56" t="b">
        <v>0</v>
      </c>
      <c r="O2401" s="56" t="b">
        <v>0</v>
      </c>
      <c r="P2401" s="56"/>
      <c r="Q2401" s="56"/>
      <c r="R2401" s="56"/>
      <c r="S2401" s="56"/>
      <c r="T2401" s="56"/>
      <c r="U2401" s="56"/>
      <c r="V2401" s="56"/>
      <c r="W2401" s="56"/>
      <c r="X2401" s="56"/>
      <c r="Y2401" s="56"/>
      <c r="Z2401" s="56"/>
      <c r="AA2401" s="56"/>
      <c r="AB2401" s="56"/>
    </row>
    <row r="2402" ht="15.75" customHeight="1">
      <c r="A2402" s="169"/>
      <c r="B2402" s="118"/>
      <c r="C2402" s="38"/>
      <c r="D2402" s="38"/>
      <c r="E2402" s="38"/>
      <c r="F2402" s="65"/>
      <c r="G2402" s="66"/>
      <c r="H2402" s="38"/>
      <c r="I2402" s="38"/>
      <c r="J2402" s="38"/>
      <c r="K2402" s="38"/>
      <c r="L2402" s="38"/>
      <c r="M2402" s="56"/>
      <c r="N2402" s="56" t="b">
        <v>0</v>
      </c>
      <c r="O2402" s="56" t="b">
        <v>0</v>
      </c>
      <c r="P2402" s="56"/>
      <c r="Q2402" s="56"/>
      <c r="R2402" s="56"/>
      <c r="S2402" s="56"/>
      <c r="T2402" s="56"/>
      <c r="U2402" s="56"/>
      <c r="V2402" s="56"/>
      <c r="W2402" s="56"/>
      <c r="X2402" s="56"/>
      <c r="Y2402" s="56"/>
      <c r="Z2402" s="56"/>
      <c r="AA2402" s="56"/>
      <c r="AB2402" s="56"/>
    </row>
    <row r="2403" ht="15.75" customHeight="1">
      <c r="A2403" s="169"/>
      <c r="B2403" s="118"/>
      <c r="C2403" s="38"/>
      <c r="D2403" s="38"/>
      <c r="E2403" s="38"/>
      <c r="F2403" s="65"/>
      <c r="G2403" s="66"/>
      <c r="H2403" s="38"/>
      <c r="I2403" s="38"/>
      <c r="J2403" s="38"/>
      <c r="K2403" s="38"/>
      <c r="L2403" s="38"/>
      <c r="M2403" s="56"/>
      <c r="N2403" s="56" t="b">
        <v>0</v>
      </c>
      <c r="O2403" s="56" t="b">
        <v>0</v>
      </c>
      <c r="P2403" s="56"/>
      <c r="Q2403" s="56"/>
      <c r="R2403" s="56"/>
      <c r="S2403" s="56"/>
      <c r="T2403" s="56"/>
      <c r="U2403" s="56"/>
      <c r="V2403" s="56"/>
      <c r="W2403" s="56"/>
      <c r="X2403" s="56"/>
      <c r="Y2403" s="56"/>
      <c r="Z2403" s="56"/>
      <c r="AA2403" s="56"/>
      <c r="AB2403" s="56"/>
    </row>
    <row r="2404" ht="15.75" customHeight="1">
      <c r="A2404" s="169"/>
      <c r="B2404" s="118"/>
      <c r="C2404" s="38"/>
      <c r="D2404" s="38"/>
      <c r="E2404" s="38"/>
      <c r="F2404" s="65"/>
      <c r="G2404" s="66"/>
      <c r="H2404" s="38"/>
      <c r="I2404" s="38"/>
      <c r="J2404" s="38"/>
      <c r="K2404" s="38"/>
      <c r="L2404" s="38"/>
      <c r="M2404" s="56"/>
      <c r="N2404" s="56" t="b">
        <v>0</v>
      </c>
      <c r="O2404" s="56" t="b">
        <v>0</v>
      </c>
      <c r="P2404" s="56"/>
      <c r="Q2404" s="56"/>
      <c r="R2404" s="56"/>
      <c r="S2404" s="56"/>
      <c r="T2404" s="56"/>
      <c r="U2404" s="56"/>
      <c r="V2404" s="56"/>
      <c r="W2404" s="56"/>
      <c r="X2404" s="56"/>
      <c r="Y2404" s="56"/>
      <c r="Z2404" s="56"/>
      <c r="AA2404" s="56"/>
      <c r="AB2404" s="56"/>
    </row>
    <row r="2405" ht="15.75" customHeight="1">
      <c r="A2405" s="169"/>
      <c r="B2405" s="118"/>
      <c r="C2405" s="38"/>
      <c r="D2405" s="38"/>
      <c r="E2405" s="38"/>
      <c r="F2405" s="65"/>
      <c r="G2405" s="66"/>
      <c r="H2405" s="38"/>
      <c r="I2405" s="38"/>
      <c r="J2405" s="38"/>
      <c r="K2405" s="38"/>
      <c r="L2405" s="38"/>
      <c r="M2405" s="56"/>
      <c r="N2405" s="56" t="b">
        <v>0</v>
      </c>
      <c r="O2405" s="56" t="b">
        <v>0</v>
      </c>
      <c r="P2405" s="56"/>
      <c r="Q2405" s="56"/>
      <c r="R2405" s="56"/>
      <c r="S2405" s="56"/>
      <c r="T2405" s="56"/>
      <c r="U2405" s="56"/>
      <c r="V2405" s="56"/>
      <c r="W2405" s="56"/>
      <c r="X2405" s="56"/>
      <c r="Y2405" s="56"/>
      <c r="Z2405" s="56"/>
      <c r="AA2405" s="56"/>
      <c r="AB2405" s="56"/>
    </row>
    <row r="2406" ht="15.75" customHeight="1">
      <c r="A2406" s="169"/>
      <c r="B2406" s="118"/>
      <c r="C2406" s="38"/>
      <c r="D2406" s="38"/>
      <c r="E2406" s="38"/>
      <c r="F2406" s="65"/>
      <c r="G2406" s="66"/>
      <c r="H2406" s="38"/>
      <c r="I2406" s="38"/>
      <c r="J2406" s="38"/>
      <c r="K2406" s="38"/>
      <c r="L2406" s="38"/>
      <c r="M2406" s="56"/>
      <c r="N2406" s="56" t="b">
        <v>0</v>
      </c>
      <c r="O2406" s="56" t="b">
        <v>0</v>
      </c>
      <c r="P2406" s="56"/>
      <c r="Q2406" s="56"/>
      <c r="R2406" s="56"/>
      <c r="S2406" s="56"/>
      <c r="T2406" s="56"/>
      <c r="U2406" s="56"/>
      <c r="V2406" s="56"/>
      <c r="W2406" s="56"/>
      <c r="X2406" s="56"/>
      <c r="Y2406" s="56"/>
      <c r="Z2406" s="56"/>
      <c r="AA2406" s="56"/>
      <c r="AB2406" s="56"/>
    </row>
    <row r="2407" ht="15.75" customHeight="1">
      <c r="A2407" s="169"/>
      <c r="B2407" s="118"/>
      <c r="C2407" s="38"/>
      <c r="D2407" s="38"/>
      <c r="E2407" s="38"/>
      <c r="F2407" s="65"/>
      <c r="G2407" s="66"/>
      <c r="H2407" s="38"/>
      <c r="I2407" s="38"/>
      <c r="J2407" s="38"/>
      <c r="K2407" s="38"/>
      <c r="L2407" s="38"/>
      <c r="M2407" s="56"/>
      <c r="N2407" s="56" t="b">
        <v>0</v>
      </c>
      <c r="O2407" s="56" t="b">
        <v>0</v>
      </c>
      <c r="P2407" s="56"/>
      <c r="Q2407" s="56"/>
      <c r="R2407" s="56"/>
      <c r="S2407" s="56"/>
      <c r="T2407" s="56"/>
      <c r="U2407" s="56"/>
      <c r="V2407" s="56"/>
      <c r="W2407" s="56"/>
      <c r="X2407" s="56"/>
      <c r="Y2407" s="56"/>
      <c r="Z2407" s="56"/>
      <c r="AA2407" s="56"/>
      <c r="AB2407" s="56"/>
    </row>
    <row r="2408" ht="15.75" customHeight="1">
      <c r="A2408" s="169"/>
      <c r="B2408" s="118"/>
      <c r="C2408" s="38"/>
      <c r="D2408" s="38"/>
      <c r="E2408" s="38"/>
      <c r="F2408" s="65"/>
      <c r="G2408" s="66"/>
      <c r="H2408" s="38"/>
      <c r="I2408" s="38"/>
      <c r="J2408" s="38"/>
      <c r="K2408" s="38"/>
      <c r="L2408" s="38"/>
      <c r="M2408" s="56"/>
      <c r="N2408" s="56" t="b">
        <v>0</v>
      </c>
      <c r="O2408" s="56" t="b">
        <v>0</v>
      </c>
      <c r="P2408" s="56"/>
      <c r="Q2408" s="56"/>
      <c r="R2408" s="56"/>
      <c r="S2408" s="56"/>
      <c r="T2408" s="56"/>
      <c r="U2408" s="56"/>
      <c r="V2408" s="56"/>
      <c r="W2408" s="56"/>
      <c r="X2408" s="56"/>
      <c r="Y2408" s="56"/>
      <c r="Z2408" s="56"/>
      <c r="AA2408" s="56"/>
      <c r="AB2408" s="56"/>
    </row>
    <row r="2409" ht="15.75" customHeight="1">
      <c r="A2409" s="169"/>
      <c r="B2409" s="118"/>
      <c r="C2409" s="38"/>
      <c r="D2409" s="38"/>
      <c r="E2409" s="38"/>
      <c r="F2409" s="65"/>
      <c r="G2409" s="66"/>
      <c r="H2409" s="38"/>
      <c r="I2409" s="38"/>
      <c r="J2409" s="38"/>
      <c r="K2409" s="38"/>
      <c r="L2409" s="38"/>
      <c r="M2409" s="56"/>
      <c r="N2409" s="56" t="b">
        <v>0</v>
      </c>
      <c r="O2409" s="56" t="b">
        <v>0</v>
      </c>
      <c r="P2409" s="56"/>
      <c r="Q2409" s="56"/>
      <c r="R2409" s="56"/>
      <c r="S2409" s="56"/>
      <c r="T2409" s="56"/>
      <c r="U2409" s="56"/>
      <c r="V2409" s="56"/>
      <c r="W2409" s="56"/>
      <c r="X2409" s="56"/>
      <c r="Y2409" s="56"/>
      <c r="Z2409" s="56"/>
      <c r="AA2409" s="56"/>
      <c r="AB2409" s="56"/>
    </row>
    <row r="2410" ht="15.75" customHeight="1">
      <c r="A2410" s="169"/>
      <c r="B2410" s="118"/>
      <c r="C2410" s="38"/>
      <c r="D2410" s="38"/>
      <c r="E2410" s="38"/>
      <c r="F2410" s="65"/>
      <c r="G2410" s="66"/>
      <c r="H2410" s="38"/>
      <c r="I2410" s="38"/>
      <c r="J2410" s="38"/>
      <c r="K2410" s="38"/>
      <c r="L2410" s="38"/>
      <c r="M2410" s="56"/>
      <c r="N2410" s="56" t="b">
        <v>0</v>
      </c>
      <c r="O2410" s="56" t="b">
        <v>0</v>
      </c>
      <c r="P2410" s="56"/>
      <c r="Q2410" s="56"/>
      <c r="R2410" s="56"/>
      <c r="S2410" s="56"/>
      <c r="T2410" s="56"/>
      <c r="U2410" s="56"/>
      <c r="V2410" s="56"/>
      <c r="W2410" s="56"/>
      <c r="X2410" s="56"/>
      <c r="Y2410" s="56"/>
      <c r="Z2410" s="56"/>
      <c r="AA2410" s="56"/>
      <c r="AB2410" s="56"/>
    </row>
    <row r="2411" ht="15.75" customHeight="1">
      <c r="A2411" s="169"/>
      <c r="B2411" s="118"/>
      <c r="C2411" s="38"/>
      <c r="D2411" s="38"/>
      <c r="E2411" s="38"/>
      <c r="F2411" s="65"/>
      <c r="G2411" s="66"/>
      <c r="H2411" s="38"/>
      <c r="I2411" s="38"/>
      <c r="J2411" s="38"/>
      <c r="K2411" s="38"/>
      <c r="L2411" s="38"/>
      <c r="M2411" s="56"/>
      <c r="N2411" s="56" t="b">
        <v>0</v>
      </c>
      <c r="O2411" s="56" t="b">
        <v>0</v>
      </c>
      <c r="P2411" s="56"/>
      <c r="Q2411" s="56"/>
      <c r="R2411" s="56"/>
      <c r="S2411" s="56"/>
      <c r="T2411" s="56"/>
      <c r="U2411" s="56"/>
      <c r="V2411" s="56"/>
      <c r="W2411" s="56"/>
      <c r="X2411" s="56"/>
      <c r="Y2411" s="56"/>
      <c r="Z2411" s="56"/>
      <c r="AA2411" s="56"/>
      <c r="AB2411" s="56"/>
    </row>
    <row r="2412" ht="15.75" customHeight="1">
      <c r="A2412" s="169"/>
      <c r="B2412" s="118"/>
      <c r="C2412" s="38"/>
      <c r="D2412" s="38"/>
      <c r="E2412" s="38"/>
      <c r="F2412" s="65"/>
      <c r="G2412" s="66"/>
      <c r="H2412" s="38"/>
      <c r="I2412" s="38"/>
      <c r="J2412" s="38"/>
      <c r="K2412" s="38"/>
      <c r="L2412" s="38"/>
      <c r="M2412" s="56"/>
      <c r="N2412" s="56" t="b">
        <v>0</v>
      </c>
      <c r="O2412" s="56" t="b">
        <v>0</v>
      </c>
      <c r="P2412" s="56"/>
      <c r="Q2412" s="56"/>
      <c r="R2412" s="56"/>
      <c r="S2412" s="56"/>
      <c r="T2412" s="56"/>
      <c r="U2412" s="56"/>
      <c r="V2412" s="56"/>
      <c r="W2412" s="56"/>
      <c r="X2412" s="56"/>
      <c r="Y2412" s="56"/>
      <c r="Z2412" s="56"/>
      <c r="AA2412" s="56"/>
      <c r="AB2412" s="56"/>
    </row>
    <row r="2413" ht="15.75" customHeight="1">
      <c r="A2413" s="169"/>
      <c r="B2413" s="118"/>
      <c r="C2413" s="38"/>
      <c r="D2413" s="38"/>
      <c r="E2413" s="38"/>
      <c r="F2413" s="65"/>
      <c r="G2413" s="66"/>
      <c r="H2413" s="38"/>
      <c r="I2413" s="38"/>
      <c r="J2413" s="38"/>
      <c r="K2413" s="38"/>
      <c r="L2413" s="38"/>
      <c r="M2413" s="56"/>
      <c r="N2413" s="56" t="b">
        <v>0</v>
      </c>
      <c r="O2413" s="56" t="b">
        <v>0</v>
      </c>
      <c r="P2413" s="56"/>
      <c r="Q2413" s="56"/>
      <c r="R2413" s="56"/>
      <c r="S2413" s="56"/>
      <c r="T2413" s="56"/>
      <c r="U2413" s="56"/>
      <c r="V2413" s="56"/>
      <c r="W2413" s="56"/>
      <c r="X2413" s="56"/>
      <c r="Y2413" s="56"/>
      <c r="Z2413" s="56"/>
      <c r="AA2413" s="56"/>
      <c r="AB2413" s="56"/>
    </row>
    <row r="2414" ht="15.75" customHeight="1">
      <c r="A2414" s="169"/>
      <c r="B2414" s="118"/>
      <c r="C2414" s="38"/>
      <c r="D2414" s="38"/>
      <c r="E2414" s="38"/>
      <c r="F2414" s="65"/>
      <c r="G2414" s="66"/>
      <c r="H2414" s="38"/>
      <c r="I2414" s="38"/>
      <c r="J2414" s="38"/>
      <c r="K2414" s="38"/>
      <c r="L2414" s="38"/>
      <c r="M2414" s="56"/>
      <c r="N2414" s="56" t="b">
        <v>0</v>
      </c>
      <c r="O2414" s="56" t="b">
        <v>0</v>
      </c>
      <c r="P2414" s="56"/>
      <c r="Q2414" s="56"/>
      <c r="R2414" s="56"/>
      <c r="S2414" s="56"/>
      <c r="T2414" s="56"/>
      <c r="U2414" s="56"/>
      <c r="V2414" s="56"/>
      <c r="W2414" s="56"/>
      <c r="X2414" s="56"/>
      <c r="Y2414" s="56"/>
      <c r="Z2414" s="56"/>
      <c r="AA2414" s="56"/>
      <c r="AB2414" s="56"/>
    </row>
    <row r="2415" ht="15.75" customHeight="1">
      <c r="A2415" s="169"/>
      <c r="B2415" s="118"/>
      <c r="C2415" s="38"/>
      <c r="D2415" s="38"/>
      <c r="E2415" s="38"/>
      <c r="F2415" s="65"/>
      <c r="G2415" s="66"/>
      <c r="H2415" s="38"/>
      <c r="I2415" s="38"/>
      <c r="J2415" s="38"/>
      <c r="K2415" s="38"/>
      <c r="L2415" s="38"/>
      <c r="M2415" s="56"/>
      <c r="N2415" s="56" t="b">
        <v>0</v>
      </c>
      <c r="O2415" s="56" t="b">
        <v>0</v>
      </c>
      <c r="P2415" s="56"/>
      <c r="Q2415" s="56"/>
      <c r="R2415" s="56"/>
      <c r="S2415" s="56"/>
      <c r="T2415" s="56"/>
      <c r="U2415" s="56"/>
      <c r="V2415" s="56"/>
      <c r="W2415" s="56"/>
      <c r="X2415" s="56"/>
      <c r="Y2415" s="56"/>
      <c r="Z2415" s="56"/>
      <c r="AA2415" s="56"/>
      <c r="AB2415" s="56"/>
    </row>
    <row r="2416" ht="15.75" customHeight="1">
      <c r="A2416" s="169"/>
      <c r="B2416" s="118"/>
      <c r="C2416" s="38"/>
      <c r="D2416" s="38"/>
      <c r="E2416" s="38"/>
      <c r="F2416" s="65"/>
      <c r="G2416" s="66"/>
      <c r="H2416" s="38"/>
      <c r="I2416" s="38"/>
      <c r="J2416" s="38"/>
      <c r="K2416" s="38"/>
      <c r="L2416" s="38"/>
      <c r="M2416" s="56"/>
      <c r="N2416" s="56" t="b">
        <v>0</v>
      </c>
      <c r="O2416" s="56" t="b">
        <v>0</v>
      </c>
      <c r="P2416" s="56"/>
      <c r="Q2416" s="56"/>
      <c r="R2416" s="56"/>
      <c r="S2416" s="56"/>
      <c r="T2416" s="56"/>
      <c r="U2416" s="56"/>
      <c r="V2416" s="56"/>
      <c r="W2416" s="56"/>
      <c r="X2416" s="56"/>
      <c r="Y2416" s="56"/>
      <c r="Z2416" s="56"/>
      <c r="AA2416" s="56"/>
      <c r="AB2416" s="56"/>
    </row>
    <row r="2417" ht="15.75" customHeight="1">
      <c r="A2417" s="169"/>
      <c r="B2417" s="118"/>
      <c r="C2417" s="38"/>
      <c r="D2417" s="38"/>
      <c r="E2417" s="38"/>
      <c r="F2417" s="65"/>
      <c r="G2417" s="66"/>
      <c r="H2417" s="38"/>
      <c r="I2417" s="38"/>
      <c r="J2417" s="38"/>
      <c r="K2417" s="38"/>
      <c r="L2417" s="38"/>
      <c r="M2417" s="56"/>
      <c r="N2417" s="56" t="b">
        <v>0</v>
      </c>
      <c r="O2417" s="56" t="b">
        <v>0</v>
      </c>
      <c r="P2417" s="56"/>
      <c r="Q2417" s="56"/>
      <c r="R2417" s="56"/>
      <c r="S2417" s="56"/>
      <c r="T2417" s="56"/>
      <c r="U2417" s="56"/>
      <c r="V2417" s="56"/>
      <c r="W2417" s="56"/>
      <c r="X2417" s="56"/>
      <c r="Y2417" s="56"/>
      <c r="Z2417" s="56"/>
      <c r="AA2417" s="56"/>
      <c r="AB2417" s="56"/>
    </row>
    <row r="2418" ht="15.75" customHeight="1">
      <c r="A2418" s="169"/>
      <c r="B2418" s="118"/>
      <c r="C2418" s="38"/>
      <c r="D2418" s="38"/>
      <c r="E2418" s="38"/>
      <c r="F2418" s="65"/>
      <c r="G2418" s="66"/>
      <c r="H2418" s="38"/>
      <c r="I2418" s="38"/>
      <c r="J2418" s="38"/>
      <c r="K2418" s="38"/>
      <c r="L2418" s="38"/>
      <c r="M2418" s="56"/>
      <c r="N2418" s="56" t="b">
        <v>0</v>
      </c>
      <c r="O2418" s="56" t="b">
        <v>0</v>
      </c>
      <c r="P2418" s="56"/>
      <c r="Q2418" s="56"/>
      <c r="R2418" s="56"/>
      <c r="S2418" s="56"/>
      <c r="T2418" s="56"/>
      <c r="U2418" s="56"/>
      <c r="V2418" s="56"/>
      <c r="W2418" s="56"/>
      <c r="X2418" s="56"/>
      <c r="Y2418" s="56"/>
      <c r="Z2418" s="56"/>
      <c r="AA2418" s="56"/>
      <c r="AB2418" s="56"/>
    </row>
    <row r="2419" ht="15.75" customHeight="1">
      <c r="A2419" s="169"/>
      <c r="B2419" s="118"/>
      <c r="C2419" s="38"/>
      <c r="D2419" s="38"/>
      <c r="E2419" s="38"/>
      <c r="F2419" s="65"/>
      <c r="G2419" s="66"/>
      <c r="H2419" s="38"/>
      <c r="I2419" s="38"/>
      <c r="J2419" s="38"/>
      <c r="K2419" s="38"/>
      <c r="L2419" s="38"/>
      <c r="M2419" s="56"/>
      <c r="N2419" s="56" t="b">
        <v>0</v>
      </c>
      <c r="O2419" s="56" t="b">
        <v>0</v>
      </c>
      <c r="P2419" s="56"/>
      <c r="Q2419" s="56"/>
      <c r="R2419" s="56"/>
      <c r="S2419" s="56"/>
      <c r="T2419" s="56"/>
      <c r="U2419" s="56"/>
      <c r="V2419" s="56"/>
      <c r="W2419" s="56"/>
      <c r="X2419" s="56"/>
      <c r="Y2419" s="56"/>
      <c r="Z2419" s="56"/>
      <c r="AA2419" s="56"/>
      <c r="AB2419" s="56"/>
    </row>
    <row r="2420" ht="15.75" customHeight="1">
      <c r="A2420" s="169"/>
      <c r="B2420" s="118"/>
      <c r="C2420" s="38"/>
      <c r="D2420" s="38"/>
      <c r="E2420" s="38"/>
      <c r="F2420" s="65"/>
      <c r="G2420" s="66"/>
      <c r="H2420" s="38"/>
      <c r="I2420" s="38"/>
      <c r="J2420" s="38"/>
      <c r="K2420" s="38"/>
      <c r="L2420" s="38"/>
      <c r="M2420" s="56"/>
      <c r="N2420" s="56" t="b">
        <v>0</v>
      </c>
      <c r="O2420" s="56" t="b">
        <v>0</v>
      </c>
      <c r="P2420" s="56"/>
      <c r="Q2420" s="56"/>
      <c r="R2420" s="56"/>
      <c r="S2420" s="56"/>
      <c r="T2420" s="56"/>
      <c r="U2420" s="56"/>
      <c r="V2420" s="56"/>
      <c r="W2420" s="56"/>
      <c r="X2420" s="56"/>
      <c r="Y2420" s="56"/>
      <c r="Z2420" s="56"/>
      <c r="AA2420" s="56"/>
      <c r="AB2420" s="56"/>
    </row>
    <row r="2421" ht="15.75" customHeight="1">
      <c r="A2421" s="169"/>
      <c r="B2421" s="118"/>
      <c r="C2421" s="38"/>
      <c r="D2421" s="38"/>
      <c r="E2421" s="38"/>
      <c r="F2421" s="65"/>
      <c r="G2421" s="66"/>
      <c r="H2421" s="38"/>
      <c r="I2421" s="38"/>
      <c r="J2421" s="38"/>
      <c r="K2421" s="38"/>
      <c r="L2421" s="38"/>
      <c r="M2421" s="56"/>
      <c r="N2421" s="56" t="b">
        <v>0</v>
      </c>
      <c r="O2421" s="56" t="b">
        <v>0</v>
      </c>
      <c r="P2421" s="56"/>
      <c r="Q2421" s="56"/>
      <c r="R2421" s="56"/>
      <c r="S2421" s="56"/>
      <c r="T2421" s="56"/>
      <c r="U2421" s="56"/>
      <c r="V2421" s="56"/>
      <c r="W2421" s="56"/>
      <c r="X2421" s="56"/>
      <c r="Y2421" s="56"/>
      <c r="Z2421" s="56"/>
      <c r="AA2421" s="56"/>
      <c r="AB2421" s="56"/>
    </row>
    <row r="2422" ht="15.75" customHeight="1">
      <c r="A2422" s="169"/>
      <c r="B2422" s="118"/>
      <c r="C2422" s="38"/>
      <c r="D2422" s="38"/>
      <c r="E2422" s="38"/>
      <c r="F2422" s="65"/>
      <c r="G2422" s="66"/>
      <c r="H2422" s="38"/>
      <c r="I2422" s="38"/>
      <c r="J2422" s="38"/>
      <c r="K2422" s="38"/>
      <c r="L2422" s="38"/>
      <c r="M2422" s="56"/>
      <c r="N2422" s="56" t="b">
        <v>0</v>
      </c>
      <c r="O2422" s="56" t="b">
        <v>0</v>
      </c>
      <c r="P2422" s="56"/>
      <c r="Q2422" s="56"/>
      <c r="R2422" s="56"/>
      <c r="S2422" s="56"/>
      <c r="T2422" s="56"/>
      <c r="U2422" s="56"/>
      <c r="V2422" s="56"/>
      <c r="W2422" s="56"/>
      <c r="X2422" s="56"/>
      <c r="Y2422" s="56"/>
      <c r="Z2422" s="56"/>
      <c r="AA2422" s="56"/>
      <c r="AB2422" s="56"/>
    </row>
    <row r="2423" ht="15.75" customHeight="1">
      <c r="A2423" s="169"/>
      <c r="B2423" s="118"/>
      <c r="C2423" s="38"/>
      <c r="D2423" s="38"/>
      <c r="E2423" s="38"/>
      <c r="F2423" s="65"/>
      <c r="G2423" s="66"/>
      <c r="H2423" s="38"/>
      <c r="I2423" s="38"/>
      <c r="J2423" s="38"/>
      <c r="K2423" s="38"/>
      <c r="L2423" s="38"/>
      <c r="M2423" s="56"/>
      <c r="N2423" s="56" t="b">
        <v>0</v>
      </c>
      <c r="O2423" s="56" t="b">
        <v>0</v>
      </c>
      <c r="P2423" s="56"/>
      <c r="Q2423" s="56"/>
      <c r="R2423" s="56"/>
      <c r="S2423" s="56"/>
      <c r="T2423" s="56"/>
      <c r="U2423" s="56"/>
      <c r="V2423" s="56"/>
      <c r="W2423" s="56"/>
      <c r="X2423" s="56"/>
      <c r="Y2423" s="56"/>
      <c r="Z2423" s="56"/>
      <c r="AA2423" s="56"/>
      <c r="AB2423" s="56"/>
    </row>
    <row r="2424" ht="15.75" customHeight="1">
      <c r="A2424" s="169"/>
      <c r="B2424" s="118"/>
      <c r="C2424" s="38"/>
      <c r="D2424" s="38"/>
      <c r="E2424" s="38"/>
      <c r="F2424" s="65"/>
      <c r="G2424" s="66"/>
      <c r="H2424" s="38"/>
      <c r="I2424" s="38"/>
      <c r="J2424" s="38"/>
      <c r="K2424" s="38"/>
      <c r="L2424" s="38"/>
      <c r="M2424" s="56"/>
      <c r="N2424" s="56" t="b">
        <v>0</v>
      </c>
      <c r="O2424" s="56" t="b">
        <v>0</v>
      </c>
      <c r="P2424" s="56"/>
      <c r="Q2424" s="56"/>
      <c r="R2424" s="56"/>
      <c r="S2424" s="56"/>
      <c r="T2424" s="56"/>
      <c r="U2424" s="56"/>
      <c r="V2424" s="56"/>
      <c r="W2424" s="56"/>
      <c r="X2424" s="56"/>
      <c r="Y2424" s="56"/>
      <c r="Z2424" s="56"/>
      <c r="AA2424" s="56"/>
      <c r="AB2424" s="56"/>
    </row>
    <row r="2425" ht="15.75" customHeight="1">
      <c r="A2425" s="169"/>
      <c r="B2425" s="118"/>
      <c r="C2425" s="38"/>
      <c r="D2425" s="38"/>
      <c r="E2425" s="38"/>
      <c r="F2425" s="65"/>
      <c r="G2425" s="66"/>
      <c r="H2425" s="38"/>
      <c r="I2425" s="38"/>
      <c r="J2425" s="38"/>
      <c r="K2425" s="38"/>
      <c r="L2425" s="38"/>
      <c r="M2425" s="56"/>
      <c r="N2425" s="56" t="b">
        <v>0</v>
      </c>
      <c r="O2425" s="56" t="b">
        <v>0</v>
      </c>
      <c r="P2425" s="56"/>
      <c r="Q2425" s="56"/>
      <c r="R2425" s="56"/>
      <c r="S2425" s="56"/>
      <c r="T2425" s="56"/>
      <c r="U2425" s="56"/>
      <c r="V2425" s="56"/>
      <c r="W2425" s="56"/>
      <c r="X2425" s="56"/>
      <c r="Y2425" s="56"/>
      <c r="Z2425" s="56"/>
      <c r="AA2425" s="56"/>
      <c r="AB2425" s="56"/>
    </row>
    <row r="2426" ht="15.75" customHeight="1">
      <c r="A2426" s="169"/>
      <c r="B2426" s="118"/>
      <c r="C2426" s="38"/>
      <c r="D2426" s="38"/>
      <c r="E2426" s="38"/>
      <c r="F2426" s="65"/>
      <c r="G2426" s="66"/>
      <c r="H2426" s="38"/>
      <c r="I2426" s="38"/>
      <c r="J2426" s="38"/>
      <c r="K2426" s="38"/>
      <c r="L2426" s="38"/>
      <c r="M2426" s="56"/>
      <c r="N2426" s="56" t="b">
        <v>0</v>
      </c>
      <c r="O2426" s="56" t="b">
        <v>0</v>
      </c>
      <c r="P2426" s="56"/>
      <c r="Q2426" s="56"/>
      <c r="R2426" s="56"/>
      <c r="S2426" s="56"/>
      <c r="T2426" s="56"/>
      <c r="U2426" s="56"/>
      <c r="V2426" s="56"/>
      <c r="W2426" s="56"/>
      <c r="X2426" s="56"/>
      <c r="Y2426" s="56"/>
      <c r="Z2426" s="56"/>
      <c r="AA2426" s="56"/>
      <c r="AB2426" s="56"/>
    </row>
    <row r="2427" ht="15.75" customHeight="1">
      <c r="A2427" s="169"/>
      <c r="B2427" s="118"/>
      <c r="C2427" s="38"/>
      <c r="D2427" s="38"/>
      <c r="E2427" s="38"/>
      <c r="F2427" s="65"/>
      <c r="G2427" s="66"/>
      <c r="H2427" s="38"/>
      <c r="I2427" s="38"/>
      <c r="J2427" s="38"/>
      <c r="K2427" s="38"/>
      <c r="L2427" s="38"/>
      <c r="M2427" s="56"/>
      <c r="N2427" s="56" t="b">
        <v>0</v>
      </c>
      <c r="O2427" s="56" t="b">
        <v>0</v>
      </c>
      <c r="P2427" s="56"/>
      <c r="Q2427" s="56"/>
      <c r="R2427" s="56"/>
      <c r="S2427" s="56"/>
      <c r="T2427" s="56"/>
      <c r="U2427" s="56"/>
      <c r="V2427" s="56"/>
      <c r="W2427" s="56"/>
      <c r="X2427" s="56"/>
      <c r="Y2427" s="56"/>
      <c r="Z2427" s="56"/>
      <c r="AA2427" s="56"/>
      <c r="AB2427" s="56"/>
    </row>
    <row r="2428" ht="15.75" customHeight="1">
      <c r="A2428" s="169"/>
      <c r="B2428" s="118"/>
      <c r="C2428" s="38"/>
      <c r="D2428" s="38"/>
      <c r="E2428" s="38"/>
      <c r="F2428" s="65"/>
      <c r="G2428" s="66"/>
      <c r="H2428" s="38"/>
      <c r="I2428" s="38"/>
      <c r="J2428" s="38"/>
      <c r="K2428" s="38"/>
      <c r="L2428" s="38"/>
      <c r="M2428" s="56"/>
      <c r="N2428" s="56" t="b">
        <v>0</v>
      </c>
      <c r="O2428" s="56" t="b">
        <v>0</v>
      </c>
      <c r="P2428" s="56"/>
      <c r="Q2428" s="56"/>
      <c r="R2428" s="56"/>
      <c r="S2428" s="56"/>
      <c r="T2428" s="56"/>
      <c r="U2428" s="56"/>
      <c r="V2428" s="56"/>
      <c r="W2428" s="56"/>
      <c r="X2428" s="56"/>
      <c r="Y2428" s="56"/>
      <c r="Z2428" s="56"/>
      <c r="AA2428" s="56"/>
      <c r="AB2428" s="56"/>
    </row>
    <row r="2429" ht="15.75" customHeight="1">
      <c r="A2429" s="169"/>
      <c r="B2429" s="118"/>
      <c r="C2429" s="38"/>
      <c r="D2429" s="38"/>
      <c r="E2429" s="38"/>
      <c r="F2429" s="65"/>
      <c r="G2429" s="66"/>
      <c r="H2429" s="38"/>
      <c r="I2429" s="38"/>
      <c r="J2429" s="38"/>
      <c r="K2429" s="38"/>
      <c r="L2429" s="38"/>
      <c r="M2429" s="56"/>
      <c r="N2429" s="56" t="b">
        <v>0</v>
      </c>
      <c r="O2429" s="56" t="b">
        <v>0</v>
      </c>
      <c r="P2429" s="56"/>
      <c r="Q2429" s="56"/>
      <c r="R2429" s="56"/>
      <c r="S2429" s="56"/>
      <c r="T2429" s="56"/>
      <c r="U2429" s="56"/>
      <c r="V2429" s="56"/>
      <c r="W2429" s="56"/>
      <c r="X2429" s="56"/>
      <c r="Y2429" s="56"/>
      <c r="Z2429" s="56"/>
      <c r="AA2429" s="56"/>
      <c r="AB2429" s="56"/>
    </row>
    <row r="2430" ht="15.75" customHeight="1">
      <c r="A2430" s="169"/>
      <c r="B2430" s="118"/>
      <c r="C2430" s="38"/>
      <c r="D2430" s="38"/>
      <c r="E2430" s="38"/>
      <c r="F2430" s="65"/>
      <c r="G2430" s="66"/>
      <c r="H2430" s="38"/>
      <c r="I2430" s="38"/>
      <c r="J2430" s="38"/>
      <c r="K2430" s="38"/>
      <c r="L2430" s="38"/>
      <c r="M2430" s="56"/>
      <c r="N2430" s="56" t="b">
        <v>0</v>
      </c>
      <c r="O2430" s="56" t="b">
        <v>0</v>
      </c>
      <c r="P2430" s="56"/>
      <c r="Q2430" s="56"/>
      <c r="R2430" s="56"/>
      <c r="S2430" s="56"/>
      <c r="T2430" s="56"/>
      <c r="U2430" s="56"/>
      <c r="V2430" s="56"/>
      <c r="W2430" s="56"/>
      <c r="X2430" s="56"/>
      <c r="Y2430" s="56"/>
      <c r="Z2430" s="56"/>
      <c r="AA2430" s="56"/>
      <c r="AB2430" s="56"/>
    </row>
    <row r="2431" ht="15.75" customHeight="1">
      <c r="A2431" s="169"/>
      <c r="B2431" s="118"/>
      <c r="C2431" s="38"/>
      <c r="D2431" s="38"/>
      <c r="E2431" s="38"/>
      <c r="F2431" s="65"/>
      <c r="G2431" s="66"/>
      <c r="H2431" s="38"/>
      <c r="I2431" s="38"/>
      <c r="J2431" s="38"/>
      <c r="K2431" s="38"/>
      <c r="L2431" s="38"/>
      <c r="M2431" s="56"/>
      <c r="N2431" s="56" t="b">
        <v>0</v>
      </c>
      <c r="O2431" s="56" t="b">
        <v>0</v>
      </c>
      <c r="P2431" s="56"/>
      <c r="Q2431" s="56"/>
      <c r="R2431" s="56"/>
      <c r="S2431" s="56"/>
      <c r="T2431" s="56"/>
      <c r="U2431" s="56"/>
      <c r="V2431" s="56"/>
      <c r="W2431" s="56"/>
      <c r="X2431" s="56"/>
      <c r="Y2431" s="56"/>
      <c r="Z2431" s="56"/>
      <c r="AA2431" s="56"/>
      <c r="AB2431" s="56"/>
    </row>
    <row r="2432" ht="15.75" customHeight="1">
      <c r="A2432" s="169"/>
      <c r="B2432" s="118"/>
      <c r="C2432" s="38"/>
      <c r="D2432" s="38"/>
      <c r="E2432" s="38"/>
      <c r="F2432" s="65"/>
      <c r="G2432" s="66"/>
      <c r="H2432" s="38"/>
      <c r="I2432" s="38"/>
      <c r="J2432" s="38"/>
      <c r="K2432" s="38"/>
      <c r="L2432" s="38"/>
      <c r="M2432" s="56"/>
      <c r="N2432" s="56" t="b">
        <v>0</v>
      </c>
      <c r="O2432" s="56" t="b">
        <v>0</v>
      </c>
      <c r="P2432" s="56"/>
      <c r="Q2432" s="56"/>
      <c r="R2432" s="56"/>
      <c r="S2432" s="56"/>
      <c r="T2432" s="56"/>
      <c r="U2432" s="56"/>
      <c r="V2432" s="56"/>
      <c r="W2432" s="56"/>
      <c r="X2432" s="56"/>
      <c r="Y2432" s="56"/>
      <c r="Z2432" s="56"/>
      <c r="AA2432" s="56"/>
      <c r="AB2432" s="56"/>
    </row>
    <row r="2433" ht="15.75" customHeight="1">
      <c r="A2433" s="169"/>
      <c r="B2433" s="118"/>
      <c r="C2433" s="38"/>
      <c r="D2433" s="38"/>
      <c r="E2433" s="38"/>
      <c r="F2433" s="65"/>
      <c r="G2433" s="66"/>
      <c r="H2433" s="38"/>
      <c r="I2433" s="38"/>
      <c r="J2433" s="38"/>
      <c r="K2433" s="38"/>
      <c r="L2433" s="38"/>
      <c r="M2433" s="56"/>
      <c r="N2433" s="56" t="b">
        <v>0</v>
      </c>
      <c r="O2433" s="56" t="b">
        <v>0</v>
      </c>
      <c r="P2433" s="56"/>
      <c r="Q2433" s="56"/>
      <c r="R2433" s="56"/>
      <c r="S2433" s="56"/>
      <c r="T2433" s="56"/>
      <c r="U2433" s="56"/>
      <c r="V2433" s="56"/>
      <c r="W2433" s="56"/>
      <c r="X2433" s="56"/>
      <c r="Y2433" s="56"/>
      <c r="Z2433" s="56"/>
      <c r="AA2433" s="56"/>
      <c r="AB2433" s="56"/>
    </row>
    <row r="2434" ht="15.75" customHeight="1">
      <c r="A2434" s="169"/>
      <c r="B2434" s="118"/>
      <c r="C2434" s="38"/>
      <c r="D2434" s="38"/>
      <c r="E2434" s="38"/>
      <c r="F2434" s="65"/>
      <c r="G2434" s="66"/>
      <c r="H2434" s="38"/>
      <c r="I2434" s="38"/>
      <c r="J2434" s="38"/>
      <c r="K2434" s="38"/>
      <c r="L2434" s="38"/>
      <c r="M2434" s="56"/>
      <c r="N2434" s="56" t="b">
        <v>0</v>
      </c>
      <c r="O2434" s="56" t="b">
        <v>0</v>
      </c>
      <c r="P2434" s="56"/>
      <c r="Q2434" s="56"/>
      <c r="R2434" s="56"/>
      <c r="S2434" s="56"/>
      <c r="T2434" s="56"/>
      <c r="U2434" s="56"/>
      <c r="V2434" s="56"/>
      <c r="W2434" s="56"/>
      <c r="X2434" s="56"/>
      <c r="Y2434" s="56"/>
      <c r="Z2434" s="56"/>
      <c r="AA2434" s="56"/>
      <c r="AB2434" s="56"/>
    </row>
    <row r="2435" ht="15.75" customHeight="1">
      <c r="A2435" s="169"/>
      <c r="B2435" s="118"/>
      <c r="C2435" s="38"/>
      <c r="D2435" s="38"/>
      <c r="E2435" s="38"/>
      <c r="F2435" s="65"/>
      <c r="G2435" s="66"/>
      <c r="H2435" s="38"/>
      <c r="I2435" s="38"/>
      <c r="J2435" s="38"/>
      <c r="K2435" s="38"/>
      <c r="L2435" s="38"/>
      <c r="M2435" s="56"/>
      <c r="N2435" s="56" t="b">
        <v>0</v>
      </c>
      <c r="O2435" s="56" t="b">
        <v>0</v>
      </c>
      <c r="P2435" s="56"/>
      <c r="Q2435" s="56"/>
      <c r="R2435" s="56"/>
      <c r="S2435" s="56"/>
      <c r="T2435" s="56"/>
      <c r="U2435" s="56"/>
      <c r="V2435" s="56"/>
      <c r="W2435" s="56"/>
      <c r="X2435" s="56"/>
      <c r="Y2435" s="56"/>
      <c r="Z2435" s="56"/>
      <c r="AA2435" s="56"/>
      <c r="AB2435" s="56"/>
    </row>
    <row r="2436" ht="15.75" customHeight="1">
      <c r="A2436" s="169"/>
      <c r="B2436" s="118"/>
      <c r="C2436" s="38"/>
      <c r="D2436" s="38"/>
      <c r="E2436" s="38"/>
      <c r="F2436" s="65"/>
      <c r="G2436" s="66"/>
      <c r="H2436" s="38"/>
      <c r="I2436" s="38"/>
      <c r="J2436" s="38"/>
      <c r="K2436" s="38"/>
      <c r="L2436" s="38"/>
      <c r="M2436" s="56"/>
      <c r="N2436" s="56" t="b">
        <v>0</v>
      </c>
      <c r="O2436" s="56" t="b">
        <v>0</v>
      </c>
      <c r="P2436" s="56"/>
      <c r="Q2436" s="56"/>
      <c r="R2436" s="56"/>
      <c r="S2436" s="56"/>
      <c r="T2436" s="56"/>
      <c r="U2436" s="56"/>
      <c r="V2436" s="56"/>
      <c r="W2436" s="56"/>
      <c r="X2436" s="56"/>
      <c r="Y2436" s="56"/>
      <c r="Z2436" s="56"/>
      <c r="AA2436" s="56"/>
      <c r="AB2436" s="56"/>
    </row>
    <row r="2437" ht="15.75" customHeight="1">
      <c r="A2437" s="169"/>
      <c r="B2437" s="118"/>
      <c r="C2437" s="38"/>
      <c r="D2437" s="38"/>
      <c r="E2437" s="38"/>
      <c r="F2437" s="65"/>
      <c r="G2437" s="66"/>
      <c r="H2437" s="38"/>
      <c r="I2437" s="38"/>
      <c r="J2437" s="38"/>
      <c r="K2437" s="38"/>
      <c r="L2437" s="38"/>
      <c r="M2437" s="56"/>
      <c r="N2437" s="56" t="b">
        <v>0</v>
      </c>
      <c r="O2437" s="56" t="b">
        <v>0</v>
      </c>
      <c r="P2437" s="56"/>
      <c r="Q2437" s="56"/>
      <c r="R2437" s="56"/>
      <c r="S2437" s="56"/>
      <c r="T2437" s="56"/>
      <c r="U2437" s="56"/>
      <c r="V2437" s="56"/>
      <c r="W2437" s="56"/>
      <c r="X2437" s="56"/>
      <c r="Y2437" s="56"/>
      <c r="Z2437" s="56"/>
      <c r="AA2437" s="56"/>
      <c r="AB2437" s="56"/>
    </row>
    <row r="2438" ht="15.75" customHeight="1">
      <c r="A2438" s="169"/>
      <c r="B2438" s="118"/>
      <c r="C2438" s="38"/>
      <c r="D2438" s="38"/>
      <c r="E2438" s="38"/>
      <c r="F2438" s="65"/>
      <c r="G2438" s="66"/>
      <c r="H2438" s="38"/>
      <c r="I2438" s="38"/>
      <c r="J2438" s="38"/>
      <c r="K2438" s="38"/>
      <c r="L2438" s="38"/>
      <c r="M2438" s="56"/>
      <c r="N2438" s="56" t="b">
        <v>0</v>
      </c>
      <c r="O2438" s="56" t="b">
        <v>0</v>
      </c>
      <c r="P2438" s="56"/>
      <c r="Q2438" s="56"/>
      <c r="R2438" s="56"/>
      <c r="S2438" s="56"/>
      <c r="T2438" s="56"/>
      <c r="U2438" s="56"/>
      <c r="V2438" s="56"/>
      <c r="W2438" s="56"/>
      <c r="X2438" s="56"/>
      <c r="Y2438" s="56"/>
      <c r="Z2438" s="56"/>
      <c r="AA2438" s="56"/>
      <c r="AB2438" s="56"/>
    </row>
    <row r="2439" ht="15.75" customHeight="1">
      <c r="A2439" s="169"/>
      <c r="B2439" s="118"/>
      <c r="C2439" s="38"/>
      <c r="D2439" s="38"/>
      <c r="E2439" s="38"/>
      <c r="F2439" s="65"/>
      <c r="G2439" s="66"/>
      <c r="H2439" s="38"/>
      <c r="I2439" s="38"/>
      <c r="J2439" s="38"/>
      <c r="K2439" s="38"/>
      <c r="L2439" s="38"/>
      <c r="M2439" s="56"/>
      <c r="N2439" s="56" t="b">
        <v>0</v>
      </c>
      <c r="O2439" s="56" t="b">
        <v>0</v>
      </c>
      <c r="P2439" s="56"/>
      <c r="Q2439" s="56"/>
      <c r="R2439" s="56"/>
      <c r="S2439" s="56"/>
      <c r="T2439" s="56"/>
      <c r="U2439" s="56"/>
      <c r="V2439" s="56"/>
      <c r="W2439" s="56"/>
      <c r="X2439" s="56"/>
      <c r="Y2439" s="56"/>
      <c r="Z2439" s="56"/>
      <c r="AA2439" s="56"/>
      <c r="AB2439" s="56"/>
    </row>
    <row r="2440" ht="15.75" customHeight="1">
      <c r="A2440" s="169"/>
      <c r="B2440" s="118"/>
      <c r="C2440" s="38"/>
      <c r="D2440" s="38"/>
      <c r="E2440" s="38"/>
      <c r="F2440" s="65"/>
      <c r="G2440" s="66"/>
      <c r="H2440" s="38"/>
      <c r="I2440" s="38"/>
      <c r="J2440" s="38"/>
      <c r="K2440" s="38"/>
      <c r="L2440" s="38"/>
      <c r="M2440" s="56"/>
      <c r="N2440" s="56" t="b">
        <v>0</v>
      </c>
      <c r="O2440" s="56" t="b">
        <v>0</v>
      </c>
      <c r="P2440" s="56"/>
      <c r="Q2440" s="56"/>
      <c r="R2440" s="56"/>
      <c r="S2440" s="56"/>
      <c r="T2440" s="56"/>
      <c r="U2440" s="56"/>
      <c r="V2440" s="56"/>
      <c r="W2440" s="56"/>
      <c r="X2440" s="56"/>
      <c r="Y2440" s="56"/>
      <c r="Z2440" s="56"/>
      <c r="AA2440" s="56"/>
      <c r="AB2440" s="56"/>
    </row>
    <row r="2441" ht="15.75" customHeight="1">
      <c r="A2441" s="169"/>
      <c r="B2441" s="118"/>
      <c r="C2441" s="38"/>
      <c r="D2441" s="38"/>
      <c r="E2441" s="38"/>
      <c r="F2441" s="65"/>
      <c r="G2441" s="66"/>
      <c r="H2441" s="38"/>
      <c r="I2441" s="38"/>
      <c r="J2441" s="38"/>
      <c r="K2441" s="38"/>
      <c r="L2441" s="38"/>
      <c r="M2441" s="56"/>
      <c r="N2441" s="56" t="b">
        <v>0</v>
      </c>
      <c r="O2441" s="56" t="b">
        <v>0</v>
      </c>
      <c r="P2441" s="56"/>
      <c r="Q2441" s="56"/>
      <c r="R2441" s="56"/>
      <c r="S2441" s="56"/>
      <c r="T2441" s="56"/>
      <c r="U2441" s="56"/>
      <c r="V2441" s="56"/>
      <c r="W2441" s="56"/>
      <c r="X2441" s="56"/>
      <c r="Y2441" s="56"/>
      <c r="Z2441" s="56"/>
      <c r="AA2441" s="56"/>
      <c r="AB2441" s="56"/>
    </row>
    <row r="2442" ht="15.75" customHeight="1">
      <c r="A2442" s="169"/>
      <c r="B2442" s="118"/>
      <c r="C2442" s="38"/>
      <c r="D2442" s="38"/>
      <c r="E2442" s="38"/>
      <c r="F2442" s="65"/>
      <c r="G2442" s="66"/>
      <c r="H2442" s="38"/>
      <c r="I2442" s="38"/>
      <c r="J2442" s="38"/>
      <c r="K2442" s="38"/>
      <c r="L2442" s="38"/>
      <c r="M2442" s="56"/>
      <c r="N2442" s="56" t="b">
        <v>0</v>
      </c>
      <c r="O2442" s="56" t="b">
        <v>0</v>
      </c>
      <c r="P2442" s="56"/>
      <c r="Q2442" s="56"/>
      <c r="R2442" s="56"/>
      <c r="S2442" s="56"/>
      <c r="T2442" s="56"/>
      <c r="U2442" s="56"/>
      <c r="V2442" s="56"/>
      <c r="W2442" s="56"/>
      <c r="X2442" s="56"/>
      <c r="Y2442" s="56"/>
      <c r="Z2442" s="56"/>
      <c r="AA2442" s="56"/>
      <c r="AB2442" s="56"/>
    </row>
    <row r="2443" ht="15.75" customHeight="1">
      <c r="A2443" s="169"/>
      <c r="B2443" s="118"/>
      <c r="C2443" s="38"/>
      <c r="D2443" s="38"/>
      <c r="E2443" s="38"/>
      <c r="F2443" s="65"/>
      <c r="G2443" s="66"/>
      <c r="H2443" s="38"/>
      <c r="I2443" s="38"/>
      <c r="J2443" s="38"/>
      <c r="K2443" s="38"/>
      <c r="L2443" s="38"/>
      <c r="M2443" s="56"/>
      <c r="N2443" s="56" t="b">
        <v>0</v>
      </c>
      <c r="O2443" s="56" t="b">
        <v>0</v>
      </c>
      <c r="P2443" s="56"/>
      <c r="Q2443" s="56"/>
      <c r="R2443" s="56"/>
      <c r="S2443" s="56"/>
      <c r="T2443" s="56"/>
      <c r="U2443" s="56"/>
      <c r="V2443" s="56"/>
      <c r="W2443" s="56"/>
      <c r="X2443" s="56"/>
      <c r="Y2443" s="56"/>
      <c r="Z2443" s="56"/>
      <c r="AA2443" s="56"/>
      <c r="AB2443" s="56"/>
    </row>
    <row r="2444" ht="15.75" customHeight="1">
      <c r="A2444" s="169"/>
      <c r="B2444" s="118"/>
      <c r="C2444" s="38"/>
      <c r="D2444" s="38"/>
      <c r="E2444" s="38"/>
      <c r="F2444" s="65"/>
      <c r="G2444" s="66"/>
      <c r="H2444" s="38"/>
      <c r="I2444" s="38"/>
      <c r="J2444" s="38"/>
      <c r="K2444" s="38"/>
      <c r="L2444" s="38"/>
      <c r="M2444" s="56"/>
      <c r="N2444" s="56" t="b">
        <v>0</v>
      </c>
      <c r="O2444" s="56" t="b">
        <v>0</v>
      </c>
      <c r="P2444" s="56"/>
      <c r="Q2444" s="56"/>
      <c r="R2444" s="56"/>
      <c r="S2444" s="56"/>
      <c r="T2444" s="56"/>
      <c r="U2444" s="56"/>
      <c r="V2444" s="56"/>
      <c r="W2444" s="56"/>
      <c r="X2444" s="56"/>
      <c r="Y2444" s="56"/>
      <c r="Z2444" s="56"/>
      <c r="AA2444" s="56"/>
      <c r="AB2444" s="56"/>
    </row>
    <row r="2445" ht="15.75" customHeight="1">
      <c r="A2445" s="169"/>
      <c r="B2445" s="118"/>
      <c r="C2445" s="38"/>
      <c r="D2445" s="38"/>
      <c r="E2445" s="38"/>
      <c r="F2445" s="65"/>
      <c r="G2445" s="66"/>
      <c r="H2445" s="38"/>
      <c r="I2445" s="38"/>
      <c r="J2445" s="38"/>
      <c r="K2445" s="38"/>
      <c r="L2445" s="38"/>
      <c r="M2445" s="56"/>
      <c r="N2445" s="56" t="b">
        <v>0</v>
      </c>
      <c r="O2445" s="56" t="b">
        <v>0</v>
      </c>
      <c r="P2445" s="56"/>
      <c r="Q2445" s="56"/>
      <c r="R2445" s="56"/>
      <c r="S2445" s="56"/>
      <c r="T2445" s="56"/>
      <c r="U2445" s="56"/>
      <c r="V2445" s="56"/>
      <c r="W2445" s="56"/>
      <c r="X2445" s="56"/>
      <c r="Y2445" s="56"/>
      <c r="Z2445" s="56"/>
      <c r="AA2445" s="56"/>
      <c r="AB2445" s="56"/>
    </row>
    <row r="2446" ht="15.75" customHeight="1">
      <c r="A2446" s="169"/>
      <c r="B2446" s="118"/>
      <c r="C2446" s="38"/>
      <c r="D2446" s="38"/>
      <c r="E2446" s="38"/>
      <c r="F2446" s="65"/>
      <c r="G2446" s="66"/>
      <c r="H2446" s="38"/>
      <c r="I2446" s="38"/>
      <c r="J2446" s="38"/>
      <c r="K2446" s="38"/>
      <c r="L2446" s="38"/>
      <c r="M2446" s="56"/>
      <c r="N2446" s="56" t="b">
        <v>0</v>
      </c>
      <c r="O2446" s="56" t="b">
        <v>0</v>
      </c>
      <c r="P2446" s="56"/>
      <c r="Q2446" s="56"/>
      <c r="R2446" s="56"/>
      <c r="S2446" s="56"/>
      <c r="T2446" s="56"/>
      <c r="U2446" s="56"/>
      <c r="V2446" s="56"/>
      <c r="W2446" s="56"/>
      <c r="X2446" s="56"/>
      <c r="Y2446" s="56"/>
      <c r="Z2446" s="56"/>
      <c r="AA2446" s="56"/>
      <c r="AB2446" s="56"/>
    </row>
    <row r="2447" ht="15.75" customHeight="1">
      <c r="A2447" s="169"/>
      <c r="B2447" s="118"/>
      <c r="C2447" s="38"/>
      <c r="D2447" s="38"/>
      <c r="E2447" s="38"/>
      <c r="F2447" s="65"/>
      <c r="G2447" s="66"/>
      <c r="H2447" s="38"/>
      <c r="I2447" s="38"/>
      <c r="J2447" s="38"/>
      <c r="K2447" s="38"/>
      <c r="L2447" s="38"/>
      <c r="M2447" s="56"/>
      <c r="N2447" s="56" t="b">
        <v>0</v>
      </c>
      <c r="O2447" s="56" t="b">
        <v>0</v>
      </c>
      <c r="P2447" s="56"/>
      <c r="Q2447" s="56"/>
      <c r="R2447" s="56"/>
      <c r="S2447" s="56"/>
      <c r="T2447" s="56"/>
      <c r="U2447" s="56"/>
      <c r="V2447" s="56"/>
      <c r="W2447" s="56"/>
      <c r="X2447" s="56"/>
      <c r="Y2447" s="56"/>
      <c r="Z2447" s="56"/>
      <c r="AA2447" s="56"/>
      <c r="AB2447" s="56"/>
    </row>
    <row r="2448" ht="15.75" customHeight="1">
      <c r="A2448" s="169"/>
      <c r="B2448" s="118"/>
      <c r="C2448" s="38"/>
      <c r="D2448" s="38"/>
      <c r="E2448" s="38"/>
      <c r="F2448" s="65"/>
      <c r="G2448" s="66"/>
      <c r="H2448" s="38"/>
      <c r="I2448" s="38"/>
      <c r="J2448" s="38"/>
      <c r="K2448" s="38"/>
      <c r="L2448" s="38"/>
      <c r="M2448" s="56"/>
      <c r="N2448" s="56" t="b">
        <v>0</v>
      </c>
      <c r="O2448" s="56" t="b">
        <v>0</v>
      </c>
      <c r="P2448" s="56"/>
      <c r="Q2448" s="56"/>
      <c r="R2448" s="56"/>
      <c r="S2448" s="56"/>
      <c r="T2448" s="56"/>
      <c r="U2448" s="56"/>
      <c r="V2448" s="56"/>
      <c r="W2448" s="56"/>
      <c r="X2448" s="56"/>
      <c r="Y2448" s="56"/>
      <c r="Z2448" s="56"/>
      <c r="AA2448" s="56"/>
      <c r="AB2448" s="56"/>
    </row>
    <row r="2449" ht="15.75" customHeight="1">
      <c r="A2449" s="169"/>
      <c r="B2449" s="118"/>
      <c r="C2449" s="38"/>
      <c r="D2449" s="38"/>
      <c r="E2449" s="38"/>
      <c r="F2449" s="65"/>
      <c r="G2449" s="66"/>
      <c r="H2449" s="38"/>
      <c r="I2449" s="38"/>
      <c r="J2449" s="38"/>
      <c r="K2449" s="38"/>
      <c r="L2449" s="38"/>
      <c r="M2449" s="56"/>
      <c r="N2449" s="56" t="b">
        <v>0</v>
      </c>
      <c r="O2449" s="56" t="b">
        <v>0</v>
      </c>
      <c r="P2449" s="56"/>
      <c r="Q2449" s="56"/>
      <c r="R2449" s="56"/>
      <c r="S2449" s="56"/>
      <c r="T2449" s="56"/>
      <c r="U2449" s="56"/>
      <c r="V2449" s="56"/>
      <c r="W2449" s="56"/>
      <c r="X2449" s="56"/>
      <c r="Y2449" s="56"/>
      <c r="Z2449" s="56"/>
      <c r="AA2449" s="56"/>
      <c r="AB2449" s="56"/>
    </row>
    <row r="2450" ht="15.75" customHeight="1">
      <c r="A2450" s="169"/>
      <c r="B2450" s="118"/>
      <c r="C2450" s="38"/>
      <c r="D2450" s="38"/>
      <c r="E2450" s="38"/>
      <c r="F2450" s="65"/>
      <c r="G2450" s="66"/>
      <c r="H2450" s="38"/>
      <c r="I2450" s="38"/>
      <c r="J2450" s="38"/>
      <c r="K2450" s="38"/>
      <c r="L2450" s="38"/>
      <c r="M2450" s="56"/>
      <c r="N2450" s="56" t="b">
        <v>0</v>
      </c>
      <c r="O2450" s="56" t="b">
        <v>0</v>
      </c>
      <c r="P2450" s="56"/>
      <c r="Q2450" s="56"/>
      <c r="R2450" s="56"/>
      <c r="S2450" s="56"/>
      <c r="T2450" s="56"/>
      <c r="U2450" s="56"/>
      <c r="V2450" s="56"/>
      <c r="W2450" s="56"/>
      <c r="X2450" s="56"/>
      <c r="Y2450" s="56"/>
      <c r="Z2450" s="56"/>
      <c r="AA2450" s="56"/>
      <c r="AB2450" s="56"/>
    </row>
    <row r="2451" ht="15.75" customHeight="1">
      <c r="A2451" s="169"/>
      <c r="B2451" s="118"/>
      <c r="C2451" s="38"/>
      <c r="D2451" s="38"/>
      <c r="E2451" s="38"/>
      <c r="F2451" s="65"/>
      <c r="G2451" s="66"/>
      <c r="H2451" s="38"/>
      <c r="I2451" s="38"/>
      <c r="J2451" s="38"/>
      <c r="K2451" s="38"/>
      <c r="L2451" s="38"/>
      <c r="M2451" s="56"/>
      <c r="N2451" s="56" t="b">
        <v>0</v>
      </c>
      <c r="O2451" s="56" t="b">
        <v>0</v>
      </c>
      <c r="P2451" s="56"/>
      <c r="Q2451" s="56"/>
      <c r="R2451" s="56"/>
      <c r="S2451" s="56"/>
      <c r="T2451" s="56"/>
      <c r="U2451" s="56"/>
      <c r="V2451" s="56"/>
      <c r="W2451" s="56"/>
      <c r="X2451" s="56"/>
      <c r="Y2451" s="56"/>
      <c r="Z2451" s="56"/>
      <c r="AA2451" s="56"/>
      <c r="AB2451" s="56"/>
    </row>
    <row r="2452" ht="15.75" customHeight="1">
      <c r="A2452" s="169"/>
      <c r="B2452" s="118"/>
      <c r="C2452" s="38"/>
      <c r="D2452" s="38"/>
      <c r="E2452" s="38"/>
      <c r="F2452" s="65"/>
      <c r="G2452" s="66"/>
      <c r="H2452" s="38"/>
      <c r="I2452" s="38"/>
      <c r="J2452" s="38"/>
      <c r="K2452" s="38"/>
      <c r="L2452" s="38"/>
      <c r="M2452" s="56"/>
      <c r="N2452" s="56" t="b">
        <v>0</v>
      </c>
      <c r="O2452" s="56" t="b">
        <v>0</v>
      </c>
      <c r="P2452" s="56"/>
      <c r="Q2452" s="56"/>
      <c r="R2452" s="56"/>
      <c r="S2452" s="56"/>
      <c r="T2452" s="56"/>
      <c r="U2452" s="56"/>
      <c r="V2452" s="56"/>
      <c r="W2452" s="56"/>
      <c r="X2452" s="56"/>
      <c r="Y2452" s="56"/>
      <c r="Z2452" s="56"/>
      <c r="AA2452" s="56"/>
      <c r="AB2452" s="56"/>
    </row>
    <row r="2453" ht="15.75" customHeight="1">
      <c r="A2453" s="169"/>
      <c r="B2453" s="118"/>
      <c r="C2453" s="38"/>
      <c r="D2453" s="38"/>
      <c r="E2453" s="38"/>
      <c r="F2453" s="65"/>
      <c r="G2453" s="66"/>
      <c r="H2453" s="38"/>
      <c r="I2453" s="38"/>
      <c r="J2453" s="38"/>
      <c r="K2453" s="38"/>
      <c r="L2453" s="38"/>
      <c r="M2453" s="56"/>
      <c r="N2453" s="56" t="b">
        <v>0</v>
      </c>
      <c r="O2453" s="56" t="b">
        <v>0</v>
      </c>
      <c r="P2453" s="56"/>
      <c r="Q2453" s="56"/>
      <c r="R2453" s="56"/>
      <c r="S2453" s="56"/>
      <c r="T2453" s="56"/>
      <c r="U2453" s="56"/>
      <c r="V2453" s="56"/>
      <c r="W2453" s="56"/>
      <c r="X2453" s="56"/>
      <c r="Y2453" s="56"/>
      <c r="Z2453" s="56"/>
      <c r="AA2453" s="56"/>
      <c r="AB2453" s="56"/>
    </row>
    <row r="2454" ht="15.75" customHeight="1">
      <c r="A2454" s="169"/>
      <c r="B2454" s="118"/>
      <c r="C2454" s="38"/>
      <c r="D2454" s="38"/>
      <c r="E2454" s="38"/>
      <c r="F2454" s="65"/>
      <c r="G2454" s="66"/>
      <c r="H2454" s="38"/>
      <c r="I2454" s="38"/>
      <c r="J2454" s="38"/>
      <c r="K2454" s="38"/>
      <c r="L2454" s="38"/>
      <c r="M2454" s="56"/>
      <c r="N2454" s="56" t="b">
        <v>0</v>
      </c>
      <c r="O2454" s="56" t="b">
        <v>0</v>
      </c>
      <c r="P2454" s="56"/>
      <c r="Q2454" s="56"/>
      <c r="R2454" s="56"/>
      <c r="S2454" s="56"/>
      <c r="T2454" s="56"/>
      <c r="U2454" s="56"/>
      <c r="V2454" s="56"/>
      <c r="W2454" s="56"/>
      <c r="X2454" s="56"/>
      <c r="Y2454" s="56"/>
      <c r="Z2454" s="56"/>
      <c r="AA2454" s="56"/>
      <c r="AB2454" s="56"/>
    </row>
    <row r="2455" ht="15.75" customHeight="1">
      <c r="A2455" s="169"/>
      <c r="B2455" s="118"/>
      <c r="C2455" s="38"/>
      <c r="D2455" s="38"/>
      <c r="E2455" s="38"/>
      <c r="F2455" s="65"/>
      <c r="G2455" s="66"/>
      <c r="H2455" s="38"/>
      <c r="I2455" s="38"/>
      <c r="J2455" s="38"/>
      <c r="K2455" s="38"/>
      <c r="L2455" s="38"/>
      <c r="M2455" s="56"/>
      <c r="N2455" s="56" t="b">
        <v>0</v>
      </c>
      <c r="O2455" s="56" t="b">
        <v>0</v>
      </c>
      <c r="P2455" s="56"/>
      <c r="Q2455" s="56"/>
      <c r="R2455" s="56"/>
      <c r="S2455" s="56"/>
      <c r="T2455" s="56"/>
      <c r="U2455" s="56"/>
      <c r="V2455" s="56"/>
      <c r="W2455" s="56"/>
      <c r="X2455" s="56"/>
      <c r="Y2455" s="56"/>
      <c r="Z2455" s="56"/>
      <c r="AA2455" s="56"/>
      <c r="AB2455" s="56"/>
    </row>
    <row r="2456" ht="15.75" customHeight="1">
      <c r="A2456" s="169"/>
      <c r="B2456" s="118"/>
      <c r="C2456" s="38"/>
      <c r="D2456" s="38"/>
      <c r="E2456" s="38"/>
      <c r="F2456" s="65"/>
      <c r="G2456" s="66"/>
      <c r="H2456" s="38"/>
      <c r="I2456" s="38"/>
      <c r="J2456" s="38"/>
      <c r="K2456" s="38"/>
      <c r="L2456" s="38"/>
      <c r="M2456" s="56"/>
      <c r="N2456" s="56" t="b">
        <v>0</v>
      </c>
      <c r="O2456" s="56" t="b">
        <v>0</v>
      </c>
      <c r="P2456" s="56"/>
      <c r="Q2456" s="56"/>
      <c r="R2456" s="56"/>
      <c r="S2456" s="56"/>
      <c r="T2456" s="56"/>
      <c r="U2456" s="56"/>
      <c r="V2456" s="56"/>
      <c r="W2456" s="56"/>
      <c r="X2456" s="56"/>
      <c r="Y2456" s="56"/>
      <c r="Z2456" s="56"/>
      <c r="AA2456" s="56"/>
      <c r="AB2456" s="56"/>
    </row>
    <row r="2457" ht="15.75" customHeight="1">
      <c r="A2457" s="169"/>
      <c r="B2457" s="118"/>
      <c r="C2457" s="38"/>
      <c r="D2457" s="38"/>
      <c r="E2457" s="38"/>
      <c r="F2457" s="65"/>
      <c r="G2457" s="66"/>
      <c r="H2457" s="38"/>
      <c r="I2457" s="38"/>
      <c r="J2457" s="38"/>
      <c r="K2457" s="38"/>
      <c r="L2457" s="38"/>
      <c r="M2457" s="56"/>
      <c r="N2457" s="56" t="b">
        <v>0</v>
      </c>
      <c r="O2457" s="56" t="b">
        <v>0</v>
      </c>
      <c r="P2457" s="56"/>
      <c r="Q2457" s="56"/>
      <c r="R2457" s="56"/>
      <c r="S2457" s="56"/>
      <c r="T2457" s="56"/>
      <c r="U2457" s="56"/>
      <c r="V2457" s="56"/>
      <c r="W2457" s="56"/>
      <c r="X2457" s="56"/>
      <c r="Y2457" s="56"/>
      <c r="Z2457" s="56"/>
      <c r="AA2457" s="56"/>
      <c r="AB2457" s="56"/>
    </row>
    <row r="2458" ht="15.75" customHeight="1">
      <c r="A2458" s="169"/>
      <c r="B2458" s="118"/>
      <c r="C2458" s="38"/>
      <c r="D2458" s="38"/>
      <c r="E2458" s="38"/>
      <c r="F2458" s="65"/>
      <c r="G2458" s="66"/>
      <c r="H2458" s="38"/>
      <c r="I2458" s="38"/>
      <c r="J2458" s="38"/>
      <c r="K2458" s="38"/>
      <c r="L2458" s="38"/>
      <c r="M2458" s="56"/>
      <c r="N2458" s="56" t="b">
        <v>0</v>
      </c>
      <c r="O2458" s="56" t="b">
        <v>0</v>
      </c>
      <c r="P2458" s="56"/>
      <c r="Q2458" s="56"/>
      <c r="R2458" s="56"/>
      <c r="S2458" s="56"/>
      <c r="T2458" s="56"/>
      <c r="U2458" s="56"/>
      <c r="V2458" s="56"/>
      <c r="W2458" s="56"/>
      <c r="X2458" s="56"/>
      <c r="Y2458" s="56"/>
      <c r="Z2458" s="56"/>
      <c r="AA2458" s="56"/>
      <c r="AB2458" s="56"/>
    </row>
    <row r="2459" ht="15.75" customHeight="1">
      <c r="A2459" s="169"/>
      <c r="B2459" s="118"/>
      <c r="C2459" s="38"/>
      <c r="D2459" s="38"/>
      <c r="E2459" s="38"/>
      <c r="F2459" s="65"/>
      <c r="G2459" s="66"/>
      <c r="H2459" s="38"/>
      <c r="I2459" s="38"/>
      <c r="J2459" s="38"/>
      <c r="K2459" s="38"/>
      <c r="L2459" s="38"/>
      <c r="M2459" s="56"/>
      <c r="N2459" s="56" t="b">
        <v>0</v>
      </c>
      <c r="O2459" s="56" t="b">
        <v>0</v>
      </c>
      <c r="P2459" s="56"/>
      <c r="Q2459" s="56"/>
      <c r="R2459" s="56"/>
      <c r="S2459" s="56"/>
      <c r="T2459" s="56"/>
      <c r="U2459" s="56"/>
      <c r="V2459" s="56"/>
      <c r="W2459" s="56"/>
      <c r="X2459" s="56"/>
      <c r="Y2459" s="56"/>
      <c r="Z2459" s="56"/>
      <c r="AA2459" s="56"/>
      <c r="AB2459" s="56"/>
    </row>
    <row r="2460" ht="15.75" customHeight="1">
      <c r="A2460" s="169"/>
      <c r="B2460" s="118"/>
      <c r="C2460" s="38"/>
      <c r="D2460" s="38"/>
      <c r="E2460" s="38"/>
      <c r="F2460" s="65"/>
      <c r="G2460" s="66"/>
      <c r="H2460" s="38"/>
      <c r="I2460" s="38"/>
      <c r="J2460" s="38"/>
      <c r="K2460" s="38"/>
      <c r="L2460" s="38"/>
      <c r="M2460" s="56"/>
      <c r="N2460" s="56" t="b">
        <v>0</v>
      </c>
      <c r="O2460" s="56" t="b">
        <v>0</v>
      </c>
      <c r="P2460" s="56"/>
      <c r="Q2460" s="56"/>
      <c r="R2460" s="56"/>
      <c r="S2460" s="56"/>
      <c r="T2460" s="56"/>
      <c r="U2460" s="56"/>
      <c r="V2460" s="56"/>
      <c r="W2460" s="56"/>
      <c r="X2460" s="56"/>
      <c r="Y2460" s="56"/>
      <c r="Z2460" s="56"/>
      <c r="AA2460" s="56"/>
      <c r="AB2460" s="56"/>
    </row>
    <row r="2461" ht="15.75" customHeight="1">
      <c r="A2461" s="169"/>
      <c r="B2461" s="118"/>
      <c r="C2461" s="38"/>
      <c r="D2461" s="38"/>
      <c r="E2461" s="38"/>
      <c r="F2461" s="65"/>
      <c r="G2461" s="66"/>
      <c r="H2461" s="38"/>
      <c r="I2461" s="38"/>
      <c r="J2461" s="38"/>
      <c r="K2461" s="38"/>
      <c r="L2461" s="38"/>
      <c r="M2461" s="56"/>
      <c r="N2461" s="56" t="b">
        <v>0</v>
      </c>
      <c r="O2461" s="56" t="b">
        <v>0</v>
      </c>
      <c r="P2461" s="56"/>
      <c r="Q2461" s="56"/>
      <c r="R2461" s="56"/>
      <c r="S2461" s="56"/>
      <c r="T2461" s="56"/>
      <c r="U2461" s="56"/>
      <c r="V2461" s="56"/>
      <c r="W2461" s="56"/>
      <c r="X2461" s="56"/>
      <c r="Y2461" s="56"/>
      <c r="Z2461" s="56"/>
      <c r="AA2461" s="56"/>
      <c r="AB2461" s="56"/>
    </row>
    <row r="2462" ht="15.75" customHeight="1">
      <c r="A2462" s="169"/>
      <c r="B2462" s="118"/>
      <c r="C2462" s="38"/>
      <c r="D2462" s="38"/>
      <c r="E2462" s="38"/>
      <c r="F2462" s="65"/>
      <c r="G2462" s="66"/>
      <c r="H2462" s="38"/>
      <c r="I2462" s="38"/>
      <c r="J2462" s="38"/>
      <c r="K2462" s="38"/>
      <c r="L2462" s="38"/>
      <c r="M2462" s="56"/>
      <c r="N2462" s="56" t="b">
        <v>0</v>
      </c>
      <c r="O2462" s="56" t="b">
        <v>0</v>
      </c>
      <c r="P2462" s="56"/>
      <c r="Q2462" s="56"/>
      <c r="R2462" s="56"/>
      <c r="S2462" s="56"/>
      <c r="T2462" s="56"/>
      <c r="U2462" s="56"/>
      <c r="V2462" s="56"/>
      <c r="W2462" s="56"/>
      <c r="X2462" s="56"/>
      <c r="Y2462" s="56"/>
      <c r="Z2462" s="56"/>
      <c r="AA2462" s="56"/>
      <c r="AB2462" s="56"/>
    </row>
    <row r="2463" ht="15.75" customHeight="1">
      <c r="A2463" s="169"/>
      <c r="B2463" s="118"/>
      <c r="C2463" s="38"/>
      <c r="D2463" s="38"/>
      <c r="E2463" s="38"/>
      <c r="F2463" s="65"/>
      <c r="G2463" s="66"/>
      <c r="H2463" s="38"/>
      <c r="I2463" s="38"/>
      <c r="J2463" s="38"/>
      <c r="K2463" s="38"/>
      <c r="L2463" s="38"/>
      <c r="M2463" s="56"/>
      <c r="N2463" s="56" t="b">
        <v>0</v>
      </c>
      <c r="O2463" s="56" t="b">
        <v>0</v>
      </c>
      <c r="P2463" s="56"/>
      <c r="Q2463" s="56"/>
      <c r="R2463" s="56"/>
      <c r="S2463" s="56"/>
      <c r="T2463" s="56"/>
      <c r="U2463" s="56"/>
      <c r="V2463" s="56"/>
      <c r="W2463" s="56"/>
      <c r="X2463" s="56"/>
      <c r="Y2463" s="56"/>
      <c r="Z2463" s="56"/>
      <c r="AA2463" s="56"/>
      <c r="AB2463" s="56"/>
    </row>
    <row r="2464" ht="15.75" customHeight="1">
      <c r="A2464" s="169"/>
      <c r="B2464" s="118"/>
      <c r="C2464" s="38"/>
      <c r="D2464" s="38"/>
      <c r="E2464" s="38"/>
      <c r="F2464" s="65"/>
      <c r="G2464" s="66"/>
      <c r="H2464" s="38"/>
      <c r="I2464" s="38"/>
      <c r="J2464" s="38"/>
      <c r="K2464" s="38"/>
      <c r="L2464" s="38"/>
      <c r="M2464" s="56"/>
      <c r="N2464" s="56" t="b">
        <v>0</v>
      </c>
      <c r="O2464" s="56" t="b">
        <v>0</v>
      </c>
      <c r="P2464" s="56"/>
      <c r="Q2464" s="56"/>
      <c r="R2464" s="56"/>
      <c r="S2464" s="56"/>
      <c r="T2464" s="56"/>
      <c r="U2464" s="56"/>
      <c r="V2464" s="56"/>
      <c r="W2464" s="56"/>
      <c r="X2464" s="56"/>
      <c r="Y2464" s="56"/>
      <c r="Z2464" s="56"/>
      <c r="AA2464" s="56"/>
      <c r="AB2464" s="56"/>
    </row>
    <row r="2465" ht="15.75" customHeight="1">
      <c r="A2465" s="169"/>
      <c r="B2465" s="118"/>
      <c r="C2465" s="38"/>
      <c r="D2465" s="38"/>
      <c r="E2465" s="38"/>
      <c r="F2465" s="65"/>
      <c r="G2465" s="66"/>
      <c r="H2465" s="38"/>
      <c r="I2465" s="38"/>
      <c r="J2465" s="38"/>
      <c r="K2465" s="38"/>
      <c r="L2465" s="38"/>
      <c r="M2465" s="56"/>
      <c r="N2465" s="56" t="b">
        <v>0</v>
      </c>
      <c r="O2465" s="56" t="b">
        <v>0</v>
      </c>
      <c r="P2465" s="56"/>
      <c r="Q2465" s="56"/>
      <c r="R2465" s="56"/>
      <c r="S2465" s="56"/>
      <c r="T2465" s="56"/>
      <c r="U2465" s="56"/>
      <c r="V2465" s="56"/>
      <c r="W2465" s="56"/>
      <c r="X2465" s="56"/>
      <c r="Y2465" s="56"/>
      <c r="Z2465" s="56"/>
      <c r="AA2465" s="56"/>
      <c r="AB2465" s="56"/>
    </row>
    <row r="2466" ht="15.75" customHeight="1">
      <c r="A2466" s="169"/>
      <c r="B2466" s="118"/>
      <c r="C2466" s="38"/>
      <c r="D2466" s="38"/>
      <c r="E2466" s="38"/>
      <c r="F2466" s="65"/>
      <c r="G2466" s="66"/>
      <c r="H2466" s="38"/>
      <c r="I2466" s="38"/>
      <c r="J2466" s="38"/>
      <c r="K2466" s="38"/>
      <c r="L2466" s="38"/>
      <c r="M2466" s="56"/>
      <c r="N2466" s="56" t="b">
        <v>0</v>
      </c>
      <c r="O2466" s="56" t="b">
        <v>0</v>
      </c>
      <c r="P2466" s="56"/>
      <c r="Q2466" s="56"/>
      <c r="R2466" s="56"/>
      <c r="S2466" s="56"/>
      <c r="T2466" s="56"/>
      <c r="U2466" s="56"/>
      <c r="V2466" s="56"/>
      <c r="W2466" s="56"/>
      <c r="X2466" s="56"/>
      <c r="Y2466" s="56"/>
      <c r="Z2466" s="56"/>
      <c r="AA2466" s="56"/>
      <c r="AB2466" s="56"/>
    </row>
    <row r="2467" ht="15.75" customHeight="1">
      <c r="A2467" s="169"/>
      <c r="B2467" s="118"/>
      <c r="C2467" s="38"/>
      <c r="D2467" s="38"/>
      <c r="E2467" s="38"/>
      <c r="F2467" s="65"/>
      <c r="G2467" s="66"/>
      <c r="H2467" s="38"/>
      <c r="I2467" s="38"/>
      <c r="J2467" s="38"/>
      <c r="K2467" s="38"/>
      <c r="L2467" s="38"/>
      <c r="M2467" s="56"/>
      <c r="N2467" s="56" t="b">
        <v>0</v>
      </c>
      <c r="O2467" s="56" t="b">
        <v>0</v>
      </c>
      <c r="P2467" s="56"/>
      <c r="Q2467" s="56"/>
      <c r="R2467" s="56"/>
      <c r="S2467" s="56"/>
      <c r="T2467" s="56"/>
      <c r="U2467" s="56"/>
      <c r="V2467" s="56"/>
      <c r="W2467" s="56"/>
      <c r="X2467" s="56"/>
      <c r="Y2467" s="56"/>
      <c r="Z2467" s="56"/>
      <c r="AA2467" s="56"/>
      <c r="AB2467" s="56"/>
    </row>
    <row r="2468" ht="15.75" customHeight="1">
      <c r="A2468" s="169"/>
      <c r="B2468" s="118"/>
      <c r="C2468" s="38"/>
      <c r="D2468" s="38"/>
      <c r="E2468" s="38"/>
      <c r="F2468" s="65"/>
      <c r="G2468" s="66"/>
      <c r="H2468" s="38"/>
      <c r="I2468" s="38"/>
      <c r="J2468" s="38"/>
      <c r="K2468" s="38"/>
      <c r="L2468" s="38"/>
      <c r="M2468" s="56"/>
      <c r="N2468" s="56" t="b">
        <v>0</v>
      </c>
      <c r="O2468" s="56" t="b">
        <v>0</v>
      </c>
      <c r="P2468" s="56"/>
      <c r="Q2468" s="56"/>
      <c r="R2468" s="56"/>
      <c r="S2468" s="56"/>
      <c r="T2468" s="56"/>
      <c r="U2468" s="56"/>
      <c r="V2468" s="56"/>
      <c r="W2468" s="56"/>
      <c r="X2468" s="56"/>
      <c r="Y2468" s="56"/>
      <c r="Z2468" s="56"/>
      <c r="AA2468" s="56"/>
      <c r="AB2468" s="56"/>
    </row>
    <row r="2469" ht="15.75" customHeight="1">
      <c r="A2469" s="169"/>
      <c r="B2469" s="118"/>
      <c r="C2469" s="38"/>
      <c r="D2469" s="38"/>
      <c r="E2469" s="38"/>
      <c r="F2469" s="65"/>
      <c r="G2469" s="66"/>
      <c r="H2469" s="38"/>
      <c r="I2469" s="38"/>
      <c r="J2469" s="38"/>
      <c r="K2469" s="38"/>
      <c r="L2469" s="38"/>
      <c r="M2469" s="56"/>
      <c r="N2469" s="56" t="b">
        <v>0</v>
      </c>
      <c r="O2469" s="56" t="b">
        <v>0</v>
      </c>
      <c r="P2469" s="56"/>
      <c r="Q2469" s="56"/>
      <c r="R2469" s="56"/>
      <c r="S2469" s="56"/>
      <c r="T2469" s="56"/>
      <c r="U2469" s="56"/>
      <c r="V2469" s="56"/>
      <c r="W2469" s="56"/>
      <c r="X2469" s="56"/>
      <c r="Y2469" s="56"/>
      <c r="Z2469" s="56"/>
      <c r="AA2469" s="56"/>
      <c r="AB2469" s="56"/>
    </row>
    <row r="2470" ht="15.75" customHeight="1">
      <c r="A2470" s="169"/>
      <c r="B2470" s="118"/>
      <c r="C2470" s="38"/>
      <c r="D2470" s="38"/>
      <c r="E2470" s="38"/>
      <c r="F2470" s="65"/>
      <c r="G2470" s="66"/>
      <c r="H2470" s="38"/>
      <c r="I2470" s="38"/>
      <c r="J2470" s="38"/>
      <c r="K2470" s="38"/>
      <c r="L2470" s="38"/>
      <c r="M2470" s="56"/>
      <c r="N2470" s="56" t="b">
        <v>0</v>
      </c>
      <c r="O2470" s="56" t="b">
        <v>0</v>
      </c>
      <c r="P2470" s="56"/>
      <c r="Q2470" s="56"/>
      <c r="R2470" s="56"/>
      <c r="S2470" s="56"/>
      <c r="T2470" s="56"/>
      <c r="U2470" s="56"/>
      <c r="V2470" s="56"/>
      <c r="W2470" s="56"/>
      <c r="X2470" s="56"/>
      <c r="Y2470" s="56"/>
      <c r="Z2470" s="56"/>
      <c r="AA2470" s="56"/>
      <c r="AB2470" s="56"/>
    </row>
    <row r="2471" ht="15.75" customHeight="1">
      <c r="A2471" s="169"/>
      <c r="B2471" s="118"/>
      <c r="C2471" s="38"/>
      <c r="D2471" s="38"/>
      <c r="E2471" s="38"/>
      <c r="F2471" s="65"/>
      <c r="G2471" s="66"/>
      <c r="H2471" s="38"/>
      <c r="I2471" s="38"/>
      <c r="J2471" s="38"/>
      <c r="K2471" s="38"/>
      <c r="L2471" s="38"/>
      <c r="M2471" s="56"/>
      <c r="N2471" s="56" t="b">
        <v>0</v>
      </c>
      <c r="O2471" s="56" t="b">
        <v>0</v>
      </c>
      <c r="P2471" s="56"/>
      <c r="Q2471" s="56"/>
      <c r="R2471" s="56"/>
      <c r="S2471" s="56"/>
      <c r="T2471" s="56"/>
      <c r="U2471" s="56"/>
      <c r="V2471" s="56"/>
      <c r="W2471" s="56"/>
      <c r="X2471" s="56"/>
      <c r="Y2471" s="56"/>
      <c r="Z2471" s="56"/>
      <c r="AA2471" s="56"/>
      <c r="AB2471" s="56"/>
    </row>
    <row r="2472" ht="15.75" customHeight="1">
      <c r="A2472" s="169"/>
      <c r="B2472" s="118"/>
      <c r="C2472" s="38"/>
      <c r="D2472" s="38"/>
      <c r="E2472" s="38"/>
      <c r="F2472" s="65"/>
      <c r="G2472" s="66"/>
      <c r="H2472" s="38"/>
      <c r="I2472" s="38"/>
      <c r="J2472" s="38"/>
      <c r="K2472" s="38"/>
      <c r="L2472" s="38"/>
      <c r="M2472" s="56"/>
      <c r="N2472" s="56" t="b">
        <v>0</v>
      </c>
      <c r="O2472" s="56" t="b">
        <v>0</v>
      </c>
      <c r="P2472" s="56"/>
      <c r="Q2472" s="56"/>
      <c r="R2472" s="56"/>
      <c r="S2472" s="56"/>
      <c r="T2472" s="56"/>
      <c r="U2472" s="56"/>
      <c r="V2472" s="56"/>
      <c r="W2472" s="56"/>
      <c r="X2472" s="56"/>
      <c r="Y2472" s="56"/>
      <c r="Z2472" s="56"/>
      <c r="AA2472" s="56"/>
      <c r="AB2472" s="56"/>
    </row>
    <row r="2473" ht="15.75" customHeight="1">
      <c r="A2473" s="169"/>
      <c r="B2473" s="118"/>
      <c r="C2473" s="38"/>
      <c r="D2473" s="38"/>
      <c r="E2473" s="38"/>
      <c r="F2473" s="65"/>
      <c r="G2473" s="66"/>
      <c r="H2473" s="38"/>
      <c r="I2473" s="38"/>
      <c r="J2473" s="38"/>
      <c r="K2473" s="38"/>
      <c r="L2473" s="38"/>
      <c r="M2473" s="56"/>
      <c r="N2473" s="56" t="b">
        <v>0</v>
      </c>
      <c r="O2473" s="56" t="b">
        <v>0</v>
      </c>
      <c r="P2473" s="56"/>
      <c r="Q2473" s="56"/>
      <c r="R2473" s="56"/>
      <c r="S2473" s="56"/>
      <c r="T2473" s="56"/>
      <c r="U2473" s="56"/>
      <c r="V2473" s="56"/>
      <c r="W2473" s="56"/>
      <c r="X2473" s="56"/>
      <c r="Y2473" s="56"/>
      <c r="Z2473" s="56"/>
      <c r="AA2473" s="56"/>
      <c r="AB2473" s="56"/>
    </row>
    <row r="2474" ht="15.75" customHeight="1">
      <c r="A2474" s="169"/>
      <c r="B2474" s="118"/>
      <c r="C2474" s="38"/>
      <c r="D2474" s="38"/>
      <c r="E2474" s="38"/>
      <c r="F2474" s="65"/>
      <c r="G2474" s="66"/>
      <c r="H2474" s="38"/>
      <c r="I2474" s="38"/>
      <c r="J2474" s="38"/>
      <c r="K2474" s="38"/>
      <c r="L2474" s="38"/>
      <c r="M2474" s="56"/>
      <c r="N2474" s="56" t="b">
        <v>0</v>
      </c>
      <c r="O2474" s="56" t="b">
        <v>0</v>
      </c>
      <c r="P2474" s="56"/>
      <c r="Q2474" s="56"/>
      <c r="R2474" s="56"/>
      <c r="S2474" s="56"/>
      <c r="T2474" s="56"/>
      <c r="U2474" s="56"/>
      <c r="V2474" s="56"/>
      <c r="W2474" s="56"/>
      <c r="X2474" s="56"/>
      <c r="Y2474" s="56"/>
      <c r="Z2474" s="56"/>
      <c r="AA2474" s="56"/>
      <c r="AB2474" s="56"/>
    </row>
    <row r="2475" ht="15.75" customHeight="1">
      <c r="A2475" s="169"/>
      <c r="B2475" s="118"/>
      <c r="C2475" s="38"/>
      <c r="D2475" s="38"/>
      <c r="E2475" s="38"/>
      <c r="F2475" s="65"/>
      <c r="G2475" s="66"/>
      <c r="H2475" s="38"/>
      <c r="I2475" s="38"/>
      <c r="J2475" s="38"/>
      <c r="K2475" s="38"/>
      <c r="L2475" s="38"/>
      <c r="M2475" s="56"/>
      <c r="N2475" s="56" t="b">
        <v>0</v>
      </c>
      <c r="O2475" s="56" t="b">
        <v>0</v>
      </c>
      <c r="P2475" s="56"/>
      <c r="Q2475" s="56"/>
      <c r="R2475" s="56"/>
      <c r="S2475" s="56"/>
      <c r="T2475" s="56"/>
      <c r="U2475" s="56"/>
      <c r="V2475" s="56"/>
      <c r="W2475" s="56"/>
      <c r="X2475" s="56"/>
      <c r="Y2475" s="56"/>
      <c r="Z2475" s="56"/>
      <c r="AA2475" s="56"/>
      <c r="AB2475" s="56"/>
    </row>
    <row r="2476" ht="15.75" customHeight="1">
      <c r="A2476" s="169"/>
      <c r="B2476" s="118"/>
      <c r="C2476" s="38"/>
      <c r="D2476" s="38"/>
      <c r="E2476" s="38"/>
      <c r="F2476" s="65"/>
      <c r="G2476" s="66"/>
      <c r="H2476" s="38"/>
      <c r="I2476" s="38"/>
      <c r="J2476" s="38"/>
      <c r="K2476" s="38"/>
      <c r="L2476" s="38"/>
      <c r="M2476" s="56"/>
      <c r="N2476" s="56" t="b">
        <v>0</v>
      </c>
      <c r="O2476" s="56" t="b">
        <v>0</v>
      </c>
      <c r="P2476" s="56"/>
      <c r="Q2476" s="56"/>
      <c r="R2476" s="56"/>
      <c r="S2476" s="56"/>
      <c r="T2476" s="56"/>
      <c r="U2476" s="56"/>
      <c r="V2476" s="56"/>
      <c r="W2476" s="56"/>
      <c r="X2476" s="56"/>
      <c r="Y2476" s="56"/>
      <c r="Z2476" s="56"/>
      <c r="AA2476" s="56"/>
      <c r="AB2476" s="56"/>
    </row>
    <row r="2477" ht="15.75" customHeight="1">
      <c r="A2477" s="169"/>
      <c r="B2477" s="118"/>
      <c r="C2477" s="38"/>
      <c r="D2477" s="38"/>
      <c r="E2477" s="38"/>
      <c r="F2477" s="65"/>
      <c r="G2477" s="66"/>
      <c r="H2477" s="38"/>
      <c r="I2477" s="38"/>
      <c r="J2477" s="38"/>
      <c r="K2477" s="38"/>
      <c r="L2477" s="38"/>
      <c r="M2477" s="56"/>
      <c r="N2477" s="56" t="b">
        <v>0</v>
      </c>
      <c r="O2477" s="56" t="b">
        <v>0</v>
      </c>
      <c r="P2477" s="56"/>
      <c r="Q2477" s="56"/>
      <c r="R2477" s="56"/>
      <c r="S2477" s="56"/>
      <c r="T2477" s="56"/>
      <c r="U2477" s="56"/>
      <c r="V2477" s="56"/>
      <c r="W2477" s="56"/>
      <c r="X2477" s="56"/>
      <c r="Y2477" s="56"/>
      <c r="Z2477" s="56"/>
      <c r="AA2477" s="56"/>
      <c r="AB2477" s="56"/>
    </row>
    <row r="2478" ht="15.75" customHeight="1">
      <c r="A2478" s="169"/>
      <c r="B2478" s="118"/>
      <c r="C2478" s="38"/>
      <c r="D2478" s="38"/>
      <c r="E2478" s="38"/>
      <c r="F2478" s="65"/>
      <c r="G2478" s="66"/>
      <c r="H2478" s="38"/>
      <c r="I2478" s="38"/>
      <c r="J2478" s="38"/>
      <c r="K2478" s="38"/>
      <c r="L2478" s="38"/>
      <c r="M2478" s="56"/>
      <c r="N2478" s="56" t="b">
        <v>0</v>
      </c>
      <c r="O2478" s="56" t="b">
        <v>0</v>
      </c>
      <c r="P2478" s="56"/>
      <c r="Q2478" s="56"/>
      <c r="R2478" s="56"/>
      <c r="S2478" s="56"/>
      <c r="T2478" s="56"/>
      <c r="U2478" s="56"/>
      <c r="V2478" s="56"/>
      <c r="W2478" s="56"/>
      <c r="X2478" s="56"/>
      <c r="Y2478" s="56"/>
      <c r="Z2478" s="56"/>
      <c r="AA2478" s="56"/>
      <c r="AB2478" s="56"/>
    </row>
    <row r="2479" ht="15.75" customHeight="1">
      <c r="A2479" s="169"/>
      <c r="B2479" s="118"/>
      <c r="C2479" s="38"/>
      <c r="D2479" s="38"/>
      <c r="E2479" s="38"/>
      <c r="F2479" s="65"/>
      <c r="G2479" s="66"/>
      <c r="H2479" s="38"/>
      <c r="I2479" s="38"/>
      <c r="J2479" s="38"/>
      <c r="K2479" s="38"/>
      <c r="L2479" s="38"/>
      <c r="M2479" s="56"/>
      <c r="N2479" s="56" t="b">
        <v>0</v>
      </c>
      <c r="O2479" s="56" t="b">
        <v>0</v>
      </c>
      <c r="P2479" s="56"/>
      <c r="Q2479" s="56"/>
      <c r="R2479" s="56"/>
      <c r="S2479" s="56"/>
      <c r="T2479" s="56"/>
      <c r="U2479" s="56"/>
      <c r="V2479" s="56"/>
      <c r="W2479" s="56"/>
      <c r="X2479" s="56"/>
      <c r="Y2479" s="56"/>
      <c r="Z2479" s="56"/>
      <c r="AA2479" s="56"/>
      <c r="AB2479" s="56"/>
    </row>
    <row r="2480" ht="15.75" customHeight="1">
      <c r="A2480" s="169"/>
      <c r="B2480" s="118"/>
      <c r="C2480" s="38"/>
      <c r="D2480" s="38"/>
      <c r="E2480" s="38"/>
      <c r="F2480" s="65"/>
      <c r="G2480" s="66"/>
      <c r="H2480" s="38"/>
      <c r="I2480" s="38"/>
      <c r="J2480" s="38"/>
      <c r="K2480" s="38"/>
      <c r="L2480" s="38"/>
      <c r="M2480" s="56"/>
      <c r="N2480" s="56" t="b">
        <v>0</v>
      </c>
      <c r="O2480" s="56" t="b">
        <v>0</v>
      </c>
      <c r="P2480" s="56"/>
      <c r="Q2480" s="56"/>
      <c r="R2480" s="56"/>
      <c r="S2480" s="56"/>
      <c r="T2480" s="56"/>
      <c r="U2480" s="56"/>
      <c r="V2480" s="56"/>
      <c r="W2480" s="56"/>
      <c r="X2480" s="56"/>
      <c r="Y2480" s="56"/>
      <c r="Z2480" s="56"/>
      <c r="AA2480" s="56"/>
      <c r="AB2480" s="56"/>
    </row>
    <row r="2481" ht="15.75" customHeight="1">
      <c r="A2481" s="169"/>
      <c r="B2481" s="118"/>
      <c r="C2481" s="38"/>
      <c r="D2481" s="38"/>
      <c r="E2481" s="38"/>
      <c r="F2481" s="65"/>
      <c r="G2481" s="66"/>
      <c r="H2481" s="38"/>
      <c r="I2481" s="38"/>
      <c r="J2481" s="38"/>
      <c r="K2481" s="38"/>
      <c r="L2481" s="38"/>
      <c r="M2481" s="56"/>
      <c r="N2481" s="56" t="b">
        <v>0</v>
      </c>
      <c r="O2481" s="56" t="b">
        <v>0</v>
      </c>
      <c r="P2481" s="56"/>
      <c r="Q2481" s="56"/>
      <c r="R2481" s="56"/>
      <c r="S2481" s="56"/>
      <c r="T2481" s="56"/>
      <c r="U2481" s="56"/>
      <c r="V2481" s="56"/>
      <c r="W2481" s="56"/>
      <c r="X2481" s="56"/>
      <c r="Y2481" s="56"/>
      <c r="Z2481" s="56"/>
      <c r="AA2481" s="56"/>
      <c r="AB2481" s="56"/>
    </row>
  </sheetData>
  <mergeCells count="450">
    <mergeCell ref="B831:B837"/>
    <mergeCell ref="B841:B842"/>
    <mergeCell ref="B844:B851"/>
    <mergeCell ref="B854:B861"/>
    <mergeCell ref="B863:B870"/>
    <mergeCell ref="F866:G868"/>
    <mergeCell ref="B871:B879"/>
    <mergeCell ref="F948:G950"/>
    <mergeCell ref="F967:G969"/>
    <mergeCell ref="B881:B889"/>
    <mergeCell ref="B891:B899"/>
    <mergeCell ref="B900:B908"/>
    <mergeCell ref="B909:B917"/>
    <mergeCell ref="B918:B927"/>
    <mergeCell ref="B928:B936"/>
    <mergeCell ref="F940:G942"/>
    <mergeCell ref="B696:B701"/>
    <mergeCell ref="B703:B708"/>
    <mergeCell ref="B710:B715"/>
    <mergeCell ref="E711:F713"/>
    <mergeCell ref="B647:B652"/>
    <mergeCell ref="B654:B659"/>
    <mergeCell ref="B661:B666"/>
    <mergeCell ref="B668:B673"/>
    <mergeCell ref="B675:B680"/>
    <mergeCell ref="B682:B687"/>
    <mergeCell ref="B689:B694"/>
    <mergeCell ref="B717:B722"/>
    <mergeCell ref="B724:B729"/>
    <mergeCell ref="B731:B736"/>
    <mergeCell ref="B738:B743"/>
    <mergeCell ref="E744:F744"/>
    <mergeCell ref="B746:B750"/>
    <mergeCell ref="E746:F746"/>
    <mergeCell ref="E778:F780"/>
    <mergeCell ref="E784:F786"/>
    <mergeCell ref="B752:B756"/>
    <mergeCell ref="B758:B762"/>
    <mergeCell ref="B764:B769"/>
    <mergeCell ref="B771:B775"/>
    <mergeCell ref="E771:F773"/>
    <mergeCell ref="B777:B781"/>
    <mergeCell ref="B783:B787"/>
    <mergeCell ref="B789:B794"/>
    <mergeCell ref="E791:F793"/>
    <mergeCell ref="B796:B801"/>
    <mergeCell ref="B803:B807"/>
    <mergeCell ref="B809:B814"/>
    <mergeCell ref="B816:B821"/>
    <mergeCell ref="B823:B829"/>
    <mergeCell ref="B1000:B1008"/>
    <mergeCell ref="E1001:F1001"/>
    <mergeCell ref="E1013:F1015"/>
    <mergeCell ref="E1022:F1024"/>
    <mergeCell ref="E1031:F1033"/>
    <mergeCell ref="E1040:F1042"/>
    <mergeCell ref="E1049:F1051"/>
    <mergeCell ref="B1695:B1701"/>
    <mergeCell ref="B1703:B1708"/>
    <mergeCell ref="B1710:B1716"/>
    <mergeCell ref="B1717:B1722"/>
    <mergeCell ref="B1724:B1729"/>
    <mergeCell ref="B1730:B1734"/>
    <mergeCell ref="B1737:B1743"/>
    <mergeCell ref="B1744:B1748"/>
    <mergeCell ref="B1750:B1756"/>
    <mergeCell ref="B1757:B1762"/>
    <mergeCell ref="B1764:B1770"/>
    <mergeCell ref="B1771:B1776"/>
    <mergeCell ref="B1778:B1784"/>
    <mergeCell ref="B1785:B1790"/>
    <mergeCell ref="B1792:B1797"/>
    <mergeCell ref="B1798:B1803"/>
    <mergeCell ref="B1805:B1812"/>
    <mergeCell ref="B1813:B1818"/>
    <mergeCell ref="B1820:B1826"/>
    <mergeCell ref="B1827:B1832"/>
    <mergeCell ref="B1834:B1840"/>
    <mergeCell ref="B1841:B1846"/>
    <mergeCell ref="B1848:B1854"/>
    <mergeCell ref="B1855:B1861"/>
    <mergeCell ref="B1863:B1869"/>
    <mergeCell ref="B1870:B1875"/>
    <mergeCell ref="B1877:B1883"/>
    <mergeCell ref="B1884:B1889"/>
    <mergeCell ref="B1891:B1898"/>
    <mergeCell ref="B1899:B1904"/>
    <mergeCell ref="B1906:B1912"/>
    <mergeCell ref="B1913:B1918"/>
    <mergeCell ref="B1920:B1926"/>
    <mergeCell ref="B1927:B1932"/>
    <mergeCell ref="B1934:B1940"/>
    <mergeCell ref="B1941:B1946"/>
    <mergeCell ref="B1948:B1954"/>
    <mergeCell ref="B1955:B1960"/>
    <mergeCell ref="B1962:B1968"/>
    <mergeCell ref="B1969:B1974"/>
    <mergeCell ref="B1976:B1982"/>
    <mergeCell ref="B1983:B1988"/>
    <mergeCell ref="B1990:B1996"/>
    <mergeCell ref="B1997:B2002"/>
    <mergeCell ref="B2004:B2010"/>
    <mergeCell ref="B2011:B2016"/>
    <mergeCell ref="B2018:B2024"/>
    <mergeCell ref="B2025:B2030"/>
    <mergeCell ref="B2032:B2038"/>
    <mergeCell ref="B2039:B2044"/>
    <mergeCell ref="B2046:B2052"/>
    <mergeCell ref="B2053:B2058"/>
    <mergeCell ref="B2060:B2065"/>
    <mergeCell ref="B2067:B2072"/>
    <mergeCell ref="B2074:B2080"/>
    <mergeCell ref="B2081:B2087"/>
    <mergeCell ref="B2138:B2143"/>
    <mergeCell ref="B2144:B2150"/>
    <mergeCell ref="B2152:B2157"/>
    <mergeCell ref="B2158:B2164"/>
    <mergeCell ref="B2166:B2171"/>
    <mergeCell ref="B2172:B2178"/>
    <mergeCell ref="B2180:B2185"/>
    <mergeCell ref="B2186:B2192"/>
    <mergeCell ref="B2194:B2199"/>
    <mergeCell ref="B2200:B2206"/>
    <mergeCell ref="B2208:B2213"/>
    <mergeCell ref="B2214:B2220"/>
    <mergeCell ref="B2222:B2227"/>
    <mergeCell ref="B2228:B2234"/>
    <mergeCell ref="B2236:B2241"/>
    <mergeCell ref="B2242:B2248"/>
    <mergeCell ref="B2250:B2255"/>
    <mergeCell ref="B2256:B2261"/>
    <mergeCell ref="B2263:B2268"/>
    <mergeCell ref="B2269:B2277"/>
    <mergeCell ref="B2279:B2284"/>
    <mergeCell ref="B2340:B2345"/>
    <mergeCell ref="B2346:B2353"/>
    <mergeCell ref="B2355:B2362"/>
    <mergeCell ref="B2364:B2369"/>
    <mergeCell ref="B2370:B2376"/>
    <mergeCell ref="B2378:B2384"/>
    <mergeCell ref="B2387:B2395"/>
    <mergeCell ref="B2285:B2293"/>
    <mergeCell ref="B2295:B2300"/>
    <mergeCell ref="B2301:B2308"/>
    <mergeCell ref="B2310:B2315"/>
    <mergeCell ref="B2316:B2323"/>
    <mergeCell ref="B2325:B2330"/>
    <mergeCell ref="B2331:B2338"/>
    <mergeCell ref="B1381:B1390"/>
    <mergeCell ref="B1391:B1397"/>
    <mergeCell ref="B1398:B1404"/>
    <mergeCell ref="B1407:B1414"/>
    <mergeCell ref="B1415:B1422"/>
    <mergeCell ref="B1425:B1432"/>
    <mergeCell ref="B1433:B1439"/>
    <mergeCell ref="B1442:B1448"/>
    <mergeCell ref="B1449:B1455"/>
    <mergeCell ref="B1456:B1462"/>
    <mergeCell ref="B1463:B1470"/>
    <mergeCell ref="B1471:B1477"/>
    <mergeCell ref="B1478:B1484"/>
    <mergeCell ref="B1485:B1492"/>
    <mergeCell ref="B1493:B1499"/>
    <mergeCell ref="B1500:B1507"/>
    <mergeCell ref="B1508:B1514"/>
    <mergeCell ref="B1515:B1521"/>
    <mergeCell ref="B1522:B1528"/>
    <mergeCell ref="B1529:B1535"/>
    <mergeCell ref="B1536:B1542"/>
    <mergeCell ref="B1543:B1549"/>
    <mergeCell ref="B1550:B1555"/>
    <mergeCell ref="B1556:B1562"/>
    <mergeCell ref="B1563:B1568"/>
    <mergeCell ref="B1570:B1576"/>
    <mergeCell ref="B1577:B1582"/>
    <mergeCell ref="B1584:B1590"/>
    <mergeCell ref="B1591:B1596"/>
    <mergeCell ref="B1598:B1604"/>
    <mergeCell ref="B1605:B1612"/>
    <mergeCell ref="B1614:B1620"/>
    <mergeCell ref="B1621:B1626"/>
    <mergeCell ref="B1628:B1634"/>
    <mergeCell ref="B1635:B1641"/>
    <mergeCell ref="B1643:B1649"/>
    <mergeCell ref="B1650:B1655"/>
    <mergeCell ref="B1658:B1665"/>
    <mergeCell ref="B1667:B1673"/>
    <mergeCell ref="B1674:B1679"/>
    <mergeCell ref="B1681:B1687"/>
    <mergeCell ref="B1688:B1693"/>
    <mergeCell ref="B2089:B2094"/>
    <mergeCell ref="B2096:B2101"/>
    <mergeCell ref="B2102:B2107"/>
    <mergeCell ref="B2109:B2114"/>
    <mergeCell ref="B2115:B2121"/>
    <mergeCell ref="B2123:B2128"/>
    <mergeCell ref="B2129:B2136"/>
    <mergeCell ref="B136:B141"/>
    <mergeCell ref="B142:B147"/>
    <mergeCell ref="B148:B153"/>
    <mergeCell ref="E154:L154"/>
    <mergeCell ref="B155:B160"/>
    <mergeCell ref="B161:B166"/>
    <mergeCell ref="B167:B173"/>
    <mergeCell ref="E174:L174"/>
    <mergeCell ref="B175:B180"/>
    <mergeCell ref="B182:B187"/>
    <mergeCell ref="E194:L194"/>
    <mergeCell ref="E352:L352"/>
    <mergeCell ref="E371:L371"/>
    <mergeCell ref="E391:L391"/>
    <mergeCell ref="E410:L410"/>
    <mergeCell ref="E430:L430"/>
    <mergeCell ref="E449:L449"/>
    <mergeCell ref="E471:L471"/>
    <mergeCell ref="E661:F664"/>
    <mergeCell ref="F676:F677"/>
    <mergeCell ref="E490:L490"/>
    <mergeCell ref="E508:L508"/>
    <mergeCell ref="E509:F509"/>
    <mergeCell ref="E527:L527"/>
    <mergeCell ref="E546:L546"/>
    <mergeCell ref="E565:L565"/>
    <mergeCell ref="E619:F621"/>
    <mergeCell ref="E2:L2"/>
    <mergeCell ref="B3:B8"/>
    <mergeCell ref="B9:B14"/>
    <mergeCell ref="B15:B20"/>
    <mergeCell ref="E21:L21"/>
    <mergeCell ref="B22:B27"/>
    <mergeCell ref="B28:B33"/>
    <mergeCell ref="B34:B39"/>
    <mergeCell ref="E40:L40"/>
    <mergeCell ref="B41:B46"/>
    <mergeCell ref="B47:B52"/>
    <mergeCell ref="B53:B58"/>
    <mergeCell ref="E59:L59"/>
    <mergeCell ref="B60:B65"/>
    <mergeCell ref="B110:B115"/>
    <mergeCell ref="E116:L116"/>
    <mergeCell ref="B117:B122"/>
    <mergeCell ref="B123:B128"/>
    <mergeCell ref="B129:B134"/>
    <mergeCell ref="E135:L135"/>
    <mergeCell ref="B66:B71"/>
    <mergeCell ref="B72:B77"/>
    <mergeCell ref="B79:B84"/>
    <mergeCell ref="B85:B90"/>
    <mergeCell ref="B91:B96"/>
    <mergeCell ref="B98:B103"/>
    <mergeCell ref="B104:B109"/>
    <mergeCell ref="B188:B193"/>
    <mergeCell ref="B195:B200"/>
    <mergeCell ref="B201:B206"/>
    <mergeCell ref="B207:B212"/>
    <mergeCell ref="B214:B220"/>
    <mergeCell ref="B221:B227"/>
    <mergeCell ref="B228:B234"/>
    <mergeCell ref="E213:L213"/>
    <mergeCell ref="E235:L235"/>
    <mergeCell ref="E254:L254"/>
    <mergeCell ref="E273:L273"/>
    <mergeCell ref="E292:L292"/>
    <mergeCell ref="E311:L311"/>
    <mergeCell ref="E331:L331"/>
    <mergeCell ref="B509:B514"/>
    <mergeCell ref="B515:B520"/>
    <mergeCell ref="B521:B526"/>
    <mergeCell ref="B528:B533"/>
    <mergeCell ref="B534:B539"/>
    <mergeCell ref="B540:B545"/>
    <mergeCell ref="B547:B552"/>
    <mergeCell ref="B553:B558"/>
    <mergeCell ref="B559:B564"/>
    <mergeCell ref="B566:B571"/>
    <mergeCell ref="B572:B577"/>
    <mergeCell ref="B578:B583"/>
    <mergeCell ref="B585:B590"/>
    <mergeCell ref="B591:B596"/>
    <mergeCell ref="B236:B241"/>
    <mergeCell ref="B242:B247"/>
    <mergeCell ref="B248:B253"/>
    <mergeCell ref="B255:B260"/>
    <mergeCell ref="B261:B266"/>
    <mergeCell ref="B267:B272"/>
    <mergeCell ref="B274:B279"/>
    <mergeCell ref="B280:B285"/>
    <mergeCell ref="B286:B291"/>
    <mergeCell ref="B293:B298"/>
    <mergeCell ref="B299:B304"/>
    <mergeCell ref="B305:B310"/>
    <mergeCell ref="B312:B318"/>
    <mergeCell ref="B319:B324"/>
    <mergeCell ref="B325:B330"/>
    <mergeCell ref="B332:B339"/>
    <mergeCell ref="B340:B345"/>
    <mergeCell ref="B346:B351"/>
    <mergeCell ref="B353:B358"/>
    <mergeCell ref="B359:B363"/>
    <mergeCell ref="B365:B370"/>
    <mergeCell ref="B372:B377"/>
    <mergeCell ref="B378:B384"/>
    <mergeCell ref="B385:B390"/>
    <mergeCell ref="B392:B397"/>
    <mergeCell ref="B398:B403"/>
    <mergeCell ref="B404:B409"/>
    <mergeCell ref="B411:B416"/>
    <mergeCell ref="B417:B422"/>
    <mergeCell ref="B423:B429"/>
    <mergeCell ref="B431:B436"/>
    <mergeCell ref="B437:B442"/>
    <mergeCell ref="B443:B448"/>
    <mergeCell ref="B450:B456"/>
    <mergeCell ref="B459:B464"/>
    <mergeCell ref="B465:B470"/>
    <mergeCell ref="B472:B477"/>
    <mergeCell ref="B478:B483"/>
    <mergeCell ref="B484:B489"/>
    <mergeCell ref="B491:B496"/>
    <mergeCell ref="B497:B502"/>
    <mergeCell ref="B503:B507"/>
    <mergeCell ref="B598:B603"/>
    <mergeCell ref="B605:B610"/>
    <mergeCell ref="B612:B617"/>
    <mergeCell ref="B619:B624"/>
    <mergeCell ref="B626:B631"/>
    <mergeCell ref="B633:B638"/>
    <mergeCell ref="B640:B645"/>
    <mergeCell ref="B937:B945"/>
    <mergeCell ref="B946:B954"/>
    <mergeCell ref="B955:B963"/>
    <mergeCell ref="B964:B972"/>
    <mergeCell ref="B973:B981"/>
    <mergeCell ref="B982:B990"/>
    <mergeCell ref="B991:B999"/>
    <mergeCell ref="B1009:B1017"/>
    <mergeCell ref="B1018:B1026"/>
    <mergeCell ref="B1027:B1035"/>
    <mergeCell ref="B1036:B1044"/>
    <mergeCell ref="B1045:B1053"/>
    <mergeCell ref="B1054:B1062"/>
    <mergeCell ref="B1063:B1071"/>
    <mergeCell ref="B1072:B1080"/>
    <mergeCell ref="B1081:B1089"/>
    <mergeCell ref="B1090:B1098"/>
    <mergeCell ref="B1099:B1107"/>
    <mergeCell ref="B1108:B1117"/>
    <mergeCell ref="B1118:B1126"/>
    <mergeCell ref="B1127:B1135"/>
    <mergeCell ref="B1136:B1144"/>
    <mergeCell ref="B1146:B1154"/>
    <mergeCell ref="B1155:B1163"/>
    <mergeCell ref="B1164:B1170"/>
    <mergeCell ref="B1171:B1180"/>
    <mergeCell ref="B1181:B1187"/>
    <mergeCell ref="B1188:B1197"/>
    <mergeCell ref="B1198:B1204"/>
    <mergeCell ref="B1205:B1214"/>
    <mergeCell ref="B1215:B1221"/>
    <mergeCell ref="B1222:B1231"/>
    <mergeCell ref="B1232:B1238"/>
    <mergeCell ref="B1239:B1248"/>
    <mergeCell ref="B1249:B1255"/>
    <mergeCell ref="B1256:B1266"/>
    <mergeCell ref="B1267:B1274"/>
    <mergeCell ref="B1275:B1284"/>
    <mergeCell ref="B1285:B1291"/>
    <mergeCell ref="B1292:B1301"/>
    <mergeCell ref="B1302:B1308"/>
    <mergeCell ref="B1309:B1318"/>
    <mergeCell ref="B1319:B1325"/>
    <mergeCell ref="B1326:B1336"/>
    <mergeCell ref="B1337:B1343"/>
    <mergeCell ref="B1344:B1353"/>
    <mergeCell ref="B1354:B1360"/>
    <mergeCell ref="B1361:B1370"/>
    <mergeCell ref="B1371:B1376"/>
    <mergeCell ref="F2130:G2130"/>
    <mergeCell ref="F2140:G2142"/>
    <mergeCell ref="F2143:G2143"/>
    <mergeCell ref="F2144:G2144"/>
    <mergeCell ref="F2154:G2156"/>
    <mergeCell ref="E2173:F2175"/>
    <mergeCell ref="E2188:F2190"/>
    <mergeCell ref="F2196:G2198"/>
    <mergeCell ref="E2200:F2200"/>
    <mergeCell ref="E2216:F2218"/>
    <mergeCell ref="E2224:F2226"/>
    <mergeCell ref="E2228:F2228"/>
    <mergeCell ref="E2244:G2246"/>
    <mergeCell ref="E2257:F2257"/>
    <mergeCell ref="E2325:G2327"/>
    <mergeCell ref="E2340:G2342"/>
    <mergeCell ref="E2371:G2373"/>
    <mergeCell ref="F2270:G2270"/>
    <mergeCell ref="E2280:G2282"/>
    <mergeCell ref="F2286:G2286"/>
    <mergeCell ref="E2302:G2304"/>
    <mergeCell ref="F2311:H2313"/>
    <mergeCell ref="F2317:G2317"/>
    <mergeCell ref="G2319:I2321"/>
    <mergeCell ref="E1058:F1060"/>
    <mergeCell ref="F1166:G1168"/>
    <mergeCell ref="E1183:F1185"/>
    <mergeCell ref="E1208:F1208"/>
    <mergeCell ref="E1297:F1299"/>
    <mergeCell ref="E1304:F1306"/>
    <mergeCell ref="E1348:F1350"/>
    <mergeCell ref="E1358:F1360"/>
    <mergeCell ref="E1365:F1367"/>
    <mergeCell ref="E1393:F1395"/>
    <mergeCell ref="E1402:F1403"/>
    <mergeCell ref="E1450:F1451"/>
    <mergeCell ref="E1459:F1460"/>
    <mergeCell ref="E1473:F1474"/>
    <mergeCell ref="E1495:F1496"/>
    <mergeCell ref="E1531:F1533"/>
    <mergeCell ref="E1546:F1548"/>
    <mergeCell ref="E1592:F1594"/>
    <mergeCell ref="E1629:F1631"/>
    <mergeCell ref="E1644:F1646"/>
    <mergeCell ref="E1689:F1691"/>
    <mergeCell ref="E1698:F1700"/>
    <mergeCell ref="E1713:F1715"/>
    <mergeCell ref="E1725:F1727"/>
    <mergeCell ref="E1738:F1740"/>
    <mergeCell ref="E1751:F1753"/>
    <mergeCell ref="E1765:F1767"/>
    <mergeCell ref="E1787:F1789"/>
    <mergeCell ref="E1812:F1812"/>
    <mergeCell ref="E1815:F1817"/>
    <mergeCell ref="E1872:F1874"/>
    <mergeCell ref="E1891:F1891"/>
    <mergeCell ref="E1899:F1901"/>
    <mergeCell ref="E1913:F1915"/>
    <mergeCell ref="E1921:F1923"/>
    <mergeCell ref="E1935:F1937"/>
    <mergeCell ref="E1949:F1951"/>
    <mergeCell ref="E1963:F1965"/>
    <mergeCell ref="E1978:F1980"/>
    <mergeCell ref="E1992:F1994"/>
    <mergeCell ref="E2005:F2007"/>
    <mergeCell ref="E2019:F2021"/>
    <mergeCell ref="E2034:F2036"/>
    <mergeCell ref="E2047:F2049"/>
    <mergeCell ref="E2089:F2089"/>
    <mergeCell ref="E2091:F2093"/>
    <mergeCell ref="E2103:F2103"/>
    <mergeCell ref="E2116:F2116"/>
    <mergeCell ref="E2124:F2126"/>
  </mergeCells>
  <dataValidations>
    <dataValidation type="list" allowBlank="1" showErrorMessage="1" sqref="D2 D5:D57 D59:D98 D100:D149 J156 D151:D168 K245 D170:D337 D339:D375 D377:D382 D384:D395 D397:D398 D400:D401 D403:D414 D416:D465 D467:D471 D473 D475:D477 D479:D485 D487:D490 D495:D496 D498:D508 D510 D512:D514 D516:D518 D520:D529 D531:D533 D535:D546 D548 D550:D552 D554:D565 D567 D569:D571 D573:D621 D623:D635 D637:D675 D678:D696 D698:D989 D992:D994 D996:D997 D1000:D1001 D1003 D1006 D1008:D1010 D1012:D1092 D1097:D1101 D1103 D1106:D1110 D1118:D1129 D1134:D1137 D1140:D1142 D1144:D1148 D1150 D1152:D1155 D1161:D1174 D1180:D1199 D1202:D1209 D1214:D1216 D1221:D1225 D1229:D1233 D1237:D1243 D1245:D1251 D1253:D1267 D1273:D1278 D1282:D1286 D1291:D1294 D1296:D1321 D1326:D1332 D1337:D1338 D1345:D1373 D1378:D1383 D1388:D1400 D1402:D1407 D1409 D1412:D1417 D1419 D1422:D1426 D1434 D1439:D1446 D1448:D1466 D1469:D1487 D1493:D1497 D1499:D1503 D1506:D1509 D1514:D1517 D1522:D1536 D1538 D1542:D1551 D1553:D1559 D1562:D1563 D1565 D1568:D1571 D1576:D1577 D1579 D1581:D1584 D1586:D1605 D1611:D1614 D1616:D1618 D1620:D1622 D1624:D1636 D1641:D1658 D1660 D1662 D1664:D1667 D1673:D1674 D1676:D1681 D1686:D1704 D1707:D1723 D1728:D1729 D1736:D1743 D1746 D1748:D1758 D1762:D1771 D1776:D1778 D1783:D1785 D1787:D1788 D1790:D1791 D1797:D1798 D1803:D1805 D1810:D1812 D1816:D1820 D1822:D1827 D1832:D1834 D1838:D1840 D1843 D1846:D1847 D1852:D1855 D1861:D1870 D1872:D1878 D1880:D1884 D1888:D1891 D1893 D1897:D1906 D1908:D1926 D1932:D1940 D1945:D1954 D1956:D1968 D1973:D1983 D1985:D1997 D2002:D2010 D2016:D2025 D2027 D2029:D2038 D2043:D2052 D2054 D2058:D2059 D2061 D2063:D2089 D2095:D2098 D2100:D2103 D2106:D2109 D2114:D2130 D2132 D2135:D2144 D2149:D2157 D2166 D2171:D2179 D2184:D2200 D2205:D2209 D2214:D2229 D2231:D2234 D2240:D2249 D2251:D2258 D2262:D2263 D2268:D2270 D2275:D2288 D2293:D2296 D2301:D2335 D2337:D2347 D2352:D2357 D2361:D2374 D2376:D2378 D2381 D2384:D2386 D2395:D2481">
      <formula1>'Durum Parametreler'!$H:$H</formula1>
    </dataValidation>
    <dataValidation type="list" allowBlank="1" showErrorMessage="1" sqref="D995 D998:D999 D1002 D1005 D1007 D1011 D1093:D1096 D1102 D1104:D1105 D1111:D1117 D1176:D1177 D1210:D1213 D1217:D1220 D1226:D1228 D1268:D1272 D1279:D1281 D1287:D1290 D1322 D1324 D1333:D1336 D1339:D1344 D1374:D1377 D1384:D1387 D1401 D1408 D1410:D1411 D1418 D1420:D1421 D1427:D1429 D1431 D1437:D1438 D1447 D1467:D1468 D1488:D1492 D1504:D1505 D1510:D1513 D1518:D1521 D1552 D1560:D1561 D1572:D1575 D1578 D1580 D1585 D1606:D1610 D1615 D1619 D1623 D1637:D1640 D1659 D1668:D1672 D1682 D1685 D1730:D1735 D1744:D1745 D1747 D1759:D1761 D1772:D1775 D1780 D1792:D1795 D1799 D1801:D1802 D1806:D1808 D1813:D1815 D1821 D1828 D1830:D1831 D1835:D1837 D1841 D1845 D1848:D1851 D1856:D1860 D1871 D1879 D1885:D1887 D1892 D1894:D1896 D1907 D1927:D1930 D1941:D1944 D1955 D1969:D1972 D1984 D1998:D2001 D2011:D2015 D2026 D2028 D2039:D2042 D2053 D2055:D2056 D2062 D2099 D2105 D2110:D2113 D2131 D2133 D2145:D2148 D2158:D2163 D2165 D2210:D2212 D2230 D2289:D2292 D2297:D2300 D2336 D2348:D2351 D2358:D2360 D2375 D2379:D2380 D2382:D2383 D2387:D2388 D2392">
      <formula1>'Durum Parametreler'!$F$10:$F$41</formula1>
    </dataValidation>
    <dataValidation type="list" allowBlank="1" showErrorMessage="1" sqref="F1332">
      <formula1>'Durum Parametreler'!$C$2:$C$19</formula1>
    </dataValidation>
    <dataValidation type="list" allowBlank="1" showErrorMessage="1" sqref="D1566:D1567 D2183 D2213">
      <formula1>'Durum Parametreler'!$F$10:$F$34</formula1>
    </dataValidation>
  </dataValidations>
  <hyperlinks>
    <hyperlink r:id="rId1" ref="J95"/>
    <hyperlink r:id="rId2" ref="J1087"/>
    <hyperlink r:id="rId3" ref="K1150"/>
  </hyperlinks>
  <printOptions gridLines="1" horizontalCentered="1"/>
  <pageMargins bottom="0.75" footer="0.0" header="0.0" left="0.25" right="0.25" top="0.75"/>
  <pageSetup fitToHeight="0" paperSize="9"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2.63"/>
    <col customWidth="1" min="2" max="2" width="17.63"/>
    <col customWidth="1" min="3" max="6" width="12.63"/>
  </cols>
  <sheetData>
    <row r="1" ht="15.75" customHeight="1">
      <c r="A1" s="353" t="s">
        <v>0</v>
      </c>
      <c r="B1" s="353" t="s">
        <v>1</v>
      </c>
      <c r="C1" s="353" t="s">
        <v>7037</v>
      </c>
      <c r="D1" s="353" t="s">
        <v>3</v>
      </c>
      <c r="E1" s="353" t="s">
        <v>4</v>
      </c>
      <c r="F1" s="353" t="s">
        <v>7038</v>
      </c>
      <c r="G1" s="354" t="s">
        <v>6</v>
      </c>
      <c r="H1" s="354" t="s">
        <v>7</v>
      </c>
      <c r="I1" s="354" t="s">
        <v>8</v>
      </c>
      <c r="J1" s="355" t="s">
        <v>9</v>
      </c>
      <c r="K1" s="353" t="s">
        <v>10</v>
      </c>
      <c r="L1" s="353" t="s">
        <v>11</v>
      </c>
      <c r="M1" s="353" t="s">
        <v>12</v>
      </c>
      <c r="N1" s="353" t="s">
        <v>13</v>
      </c>
      <c r="O1" s="353" t="s">
        <v>14</v>
      </c>
      <c r="P1" s="353" t="s">
        <v>15</v>
      </c>
      <c r="Q1" s="356" t="s">
        <v>7039</v>
      </c>
      <c r="R1" s="356"/>
      <c r="S1" s="356"/>
      <c r="T1" s="356"/>
      <c r="U1" s="356"/>
      <c r="V1" s="356"/>
      <c r="W1" s="356"/>
      <c r="X1" s="356"/>
      <c r="Y1" s="357"/>
      <c r="Z1" s="357"/>
      <c r="AA1" s="357"/>
      <c r="AB1" s="357"/>
      <c r="AC1" s="357"/>
    </row>
    <row r="2" ht="15.75" hidden="1" customHeight="1">
      <c r="A2" s="18" t="s">
        <v>3019</v>
      </c>
      <c r="B2" s="18" t="s">
        <v>3020</v>
      </c>
      <c r="C2" s="358" t="s">
        <v>7040</v>
      </c>
      <c r="D2" s="18" t="s">
        <v>80</v>
      </c>
      <c r="E2" s="359">
        <v>1958.0</v>
      </c>
      <c r="F2" s="359">
        <v>79.0</v>
      </c>
      <c r="G2" s="359">
        <v>0.0</v>
      </c>
      <c r="H2" s="359">
        <v>15.0</v>
      </c>
      <c r="I2" s="359">
        <v>15.0</v>
      </c>
      <c r="J2" s="360">
        <v>0.0</v>
      </c>
      <c r="K2" s="18" t="s">
        <v>3021</v>
      </c>
      <c r="L2" s="18">
        <v>3.243580767E9</v>
      </c>
      <c r="M2" s="18" t="s">
        <v>63</v>
      </c>
      <c r="N2" s="18" t="s">
        <v>566</v>
      </c>
      <c r="O2" s="18" t="s">
        <v>3022</v>
      </c>
      <c r="P2" s="18" t="s">
        <v>7041</v>
      </c>
      <c r="Q2" s="20">
        <f>COUNTIF('Hedef Liste'!A:A,A2)</f>
        <v>1</v>
      </c>
    </row>
    <row r="3" ht="15.75" hidden="1" customHeight="1">
      <c r="A3" s="18" t="s">
        <v>1937</v>
      </c>
      <c r="B3" s="18" t="s">
        <v>1938</v>
      </c>
      <c r="C3" s="358" t="s">
        <v>7040</v>
      </c>
      <c r="D3" s="18" t="s">
        <v>363</v>
      </c>
      <c r="E3" s="359">
        <v>319.0</v>
      </c>
      <c r="F3" s="18"/>
      <c r="G3" s="359">
        <v>6.0</v>
      </c>
      <c r="H3" s="359">
        <v>65.0</v>
      </c>
      <c r="I3" s="359">
        <v>71.0</v>
      </c>
      <c r="J3" s="360">
        <v>0.08</v>
      </c>
      <c r="K3" s="18" t="s">
        <v>1939</v>
      </c>
      <c r="L3" s="18">
        <v>5.389540213E9</v>
      </c>
      <c r="M3" s="18" t="s">
        <v>72</v>
      </c>
      <c r="N3" s="18" t="s">
        <v>915</v>
      </c>
      <c r="O3" s="18" t="s">
        <v>1940</v>
      </c>
      <c r="P3" s="18" t="s">
        <v>7041</v>
      </c>
      <c r="Q3" s="20">
        <f>COUNTIF('Hedef Liste'!A:A,A3)</f>
        <v>1</v>
      </c>
    </row>
    <row r="4" ht="15.75" hidden="1" customHeight="1">
      <c r="A4" s="18" t="s">
        <v>1830</v>
      </c>
      <c r="B4" s="18" t="s">
        <v>1831</v>
      </c>
      <c r="C4" s="358" t="s">
        <v>7040</v>
      </c>
      <c r="D4" s="18" t="s">
        <v>45</v>
      </c>
      <c r="E4" s="359">
        <v>8638.0</v>
      </c>
      <c r="F4" s="359">
        <v>252.0</v>
      </c>
      <c r="G4" s="359">
        <v>29.0</v>
      </c>
      <c r="H4" s="359">
        <v>57.0</v>
      </c>
      <c r="I4" s="359">
        <v>86.0</v>
      </c>
      <c r="J4" s="360">
        <v>0.34</v>
      </c>
      <c r="K4" s="18" t="s">
        <v>1832</v>
      </c>
      <c r="L4" s="18">
        <v>3.249992787E9</v>
      </c>
      <c r="M4" s="18" t="s">
        <v>63</v>
      </c>
      <c r="N4" s="18" t="s">
        <v>566</v>
      </c>
      <c r="O4" s="18" t="s">
        <v>1833</v>
      </c>
      <c r="P4" s="18" t="s">
        <v>7041</v>
      </c>
      <c r="Q4" s="20">
        <f>COUNTIF('Hedef Liste'!A:A,A4)</f>
        <v>1</v>
      </c>
    </row>
    <row r="5" ht="15.75" hidden="1" customHeight="1">
      <c r="A5" s="18" t="s">
        <v>2178</v>
      </c>
      <c r="B5" s="18" t="s">
        <v>2179</v>
      </c>
      <c r="C5" s="358" t="s">
        <v>7040</v>
      </c>
      <c r="D5" s="18" t="s">
        <v>356</v>
      </c>
      <c r="E5" s="359">
        <v>12753.0</v>
      </c>
      <c r="F5" s="359">
        <v>224.0</v>
      </c>
      <c r="G5" s="359">
        <v>38.0</v>
      </c>
      <c r="H5" s="359">
        <v>21.0</v>
      </c>
      <c r="I5" s="359">
        <v>59.0</v>
      </c>
      <c r="J5" s="360">
        <v>0.64</v>
      </c>
      <c r="K5" s="18" t="s">
        <v>2180</v>
      </c>
      <c r="L5" s="18">
        <v>4446908.0</v>
      </c>
      <c r="M5" s="18" t="s">
        <v>72</v>
      </c>
      <c r="N5" s="18" t="s">
        <v>113</v>
      </c>
      <c r="O5" s="18" t="s">
        <v>2181</v>
      </c>
      <c r="P5" s="18" t="s">
        <v>7041</v>
      </c>
      <c r="Q5" s="20">
        <f>COUNTIF('Hedef Liste'!A:A,A5)</f>
        <v>1</v>
      </c>
    </row>
    <row r="6" ht="15.75" hidden="1" customHeight="1">
      <c r="A6" s="18" t="s">
        <v>2807</v>
      </c>
      <c r="B6" s="18" t="s">
        <v>2808</v>
      </c>
      <c r="C6" s="358" t="s">
        <v>7040</v>
      </c>
      <c r="D6" s="18" t="s">
        <v>363</v>
      </c>
      <c r="E6" s="359">
        <v>630.0</v>
      </c>
      <c r="F6" s="359">
        <v>7.0</v>
      </c>
      <c r="G6" s="359">
        <v>9.0</v>
      </c>
      <c r="H6" s="359">
        <v>17.0</v>
      </c>
      <c r="I6" s="359">
        <v>26.0</v>
      </c>
      <c r="J6" s="360">
        <v>0.35</v>
      </c>
      <c r="K6" s="18" t="s">
        <v>2809</v>
      </c>
      <c r="L6" s="18">
        <v>5.444218611E9</v>
      </c>
      <c r="M6" s="18" t="s">
        <v>72</v>
      </c>
      <c r="N6" s="18" t="s">
        <v>82</v>
      </c>
      <c r="O6" s="18" t="s">
        <v>2810</v>
      </c>
      <c r="P6" s="18" t="s">
        <v>7041</v>
      </c>
      <c r="Q6" s="20">
        <f>COUNTIF('Hedef Liste'!A:A,A6)</f>
        <v>1</v>
      </c>
    </row>
    <row r="7" ht="15.75" hidden="1" customHeight="1">
      <c r="A7" s="18" t="s">
        <v>2598</v>
      </c>
      <c r="B7" s="18" t="s">
        <v>7042</v>
      </c>
      <c r="C7" s="358" t="s">
        <v>7040</v>
      </c>
      <c r="D7" s="18" t="s">
        <v>70</v>
      </c>
      <c r="E7" s="359">
        <v>12547.0</v>
      </c>
      <c r="F7" s="359">
        <v>233.0</v>
      </c>
      <c r="G7" s="359">
        <v>5.0</v>
      </c>
      <c r="H7" s="359">
        <v>22.0</v>
      </c>
      <c r="I7" s="359">
        <v>27.0</v>
      </c>
      <c r="J7" s="360">
        <v>0.19</v>
      </c>
      <c r="K7" s="18" t="s">
        <v>2600</v>
      </c>
      <c r="L7" s="18">
        <v>3.243610166E9</v>
      </c>
      <c r="M7" s="18" t="s">
        <v>72</v>
      </c>
      <c r="N7" s="18" t="s">
        <v>82</v>
      </c>
      <c r="O7" s="18" t="s">
        <v>2601</v>
      </c>
      <c r="P7" s="18" t="s">
        <v>7041</v>
      </c>
      <c r="Q7" s="20">
        <f>COUNTIF('Hedef Liste'!A:A,A7)</f>
        <v>1</v>
      </c>
    </row>
    <row r="8" ht="15.75" hidden="1" customHeight="1">
      <c r="A8" s="18" t="s">
        <v>3107</v>
      </c>
      <c r="B8" s="18" t="s">
        <v>3108</v>
      </c>
      <c r="C8" s="358" t="s">
        <v>7040</v>
      </c>
      <c r="D8" s="18" t="s">
        <v>70</v>
      </c>
      <c r="E8" s="359">
        <v>1949.0</v>
      </c>
      <c r="F8" s="359">
        <v>83.0</v>
      </c>
      <c r="G8" s="359">
        <v>13.0</v>
      </c>
      <c r="H8" s="359">
        <v>11.0</v>
      </c>
      <c r="I8" s="359">
        <v>24.0</v>
      </c>
      <c r="J8" s="360">
        <v>0.54</v>
      </c>
      <c r="K8" s="18" t="s">
        <v>3109</v>
      </c>
      <c r="L8" s="18">
        <v>3.243585088E9</v>
      </c>
      <c r="M8" s="18" t="s">
        <v>63</v>
      </c>
      <c r="N8" s="18" t="s">
        <v>64</v>
      </c>
      <c r="O8" s="18" t="s">
        <v>3110</v>
      </c>
      <c r="P8" s="18" t="s">
        <v>7041</v>
      </c>
      <c r="Q8" s="20">
        <f>COUNTIF('Hedef Liste'!A:A,A8)</f>
        <v>1</v>
      </c>
    </row>
    <row r="9" ht="15.75" hidden="1" customHeight="1">
      <c r="A9" s="18" t="s">
        <v>2934</v>
      </c>
      <c r="B9" s="18" t="s">
        <v>2935</v>
      </c>
      <c r="C9" s="358" t="s">
        <v>7040</v>
      </c>
      <c r="D9" s="18" t="s">
        <v>372</v>
      </c>
      <c r="E9" s="359">
        <v>1190.0</v>
      </c>
      <c r="F9" s="359">
        <v>58.0</v>
      </c>
      <c r="G9" s="359">
        <v>73.0</v>
      </c>
      <c r="H9" s="359">
        <v>18.0</v>
      </c>
      <c r="I9" s="359">
        <v>91.0</v>
      </c>
      <c r="J9" s="360">
        <v>0.8</v>
      </c>
      <c r="K9" s="18" t="s">
        <v>2936</v>
      </c>
      <c r="L9" s="18">
        <v>3.243278587E9</v>
      </c>
      <c r="M9" s="18" t="s">
        <v>63</v>
      </c>
      <c r="N9" s="18" t="s">
        <v>93</v>
      </c>
      <c r="O9" s="18" t="s">
        <v>2937</v>
      </c>
      <c r="P9" s="18" t="s">
        <v>7041</v>
      </c>
      <c r="Q9" s="20">
        <f>COUNTIF('Hedef Liste'!A:A,A9)</f>
        <v>1</v>
      </c>
    </row>
    <row r="10" ht="15.75" hidden="1" customHeight="1">
      <c r="A10" s="18" t="s">
        <v>1897</v>
      </c>
      <c r="B10" s="18" t="s">
        <v>1898</v>
      </c>
      <c r="C10" s="358" t="s">
        <v>7040</v>
      </c>
      <c r="D10" s="18" t="s">
        <v>1063</v>
      </c>
      <c r="E10" s="359">
        <v>1905.0</v>
      </c>
      <c r="F10" s="359">
        <v>38.0</v>
      </c>
      <c r="G10" s="359">
        <v>67.0</v>
      </c>
      <c r="H10" s="359">
        <v>8.0</v>
      </c>
      <c r="I10" s="359">
        <v>75.0</v>
      </c>
      <c r="J10" s="360">
        <v>0.89</v>
      </c>
      <c r="K10" s="18" t="s">
        <v>1899</v>
      </c>
      <c r="L10" s="18">
        <v>3.243293683E9</v>
      </c>
      <c r="M10" s="18" t="s">
        <v>72</v>
      </c>
      <c r="N10" s="18" t="s">
        <v>1298</v>
      </c>
      <c r="O10" s="18" t="s">
        <v>1900</v>
      </c>
      <c r="P10" s="18" t="s">
        <v>7041</v>
      </c>
      <c r="Q10" s="20">
        <f>COUNTIF('Hedef Liste'!A:A,A10)</f>
        <v>1</v>
      </c>
    </row>
    <row r="11" ht="15.75" hidden="1" customHeight="1">
      <c r="A11" s="18" t="s">
        <v>7043</v>
      </c>
      <c r="B11" s="18" t="s">
        <v>7044</v>
      </c>
      <c r="C11" s="358" t="s">
        <v>7040</v>
      </c>
      <c r="D11" s="18" t="s">
        <v>167</v>
      </c>
      <c r="E11" s="359">
        <v>6228.0</v>
      </c>
      <c r="F11" s="359">
        <v>217.0</v>
      </c>
      <c r="G11" s="359">
        <v>63.0</v>
      </c>
      <c r="H11" s="359">
        <v>3.0</v>
      </c>
      <c r="I11" s="359">
        <v>66.0</v>
      </c>
      <c r="J11" s="360">
        <v>0.95</v>
      </c>
      <c r="K11" s="18" t="s">
        <v>7045</v>
      </c>
      <c r="L11" s="18">
        <v>5.308235138E9</v>
      </c>
      <c r="M11" s="18" t="s">
        <v>72</v>
      </c>
      <c r="N11" s="18" t="s">
        <v>82</v>
      </c>
      <c r="O11" s="18" t="s">
        <v>7046</v>
      </c>
      <c r="P11" s="18" t="s">
        <v>7047</v>
      </c>
      <c r="Q11" s="20">
        <f>COUNTIF('Hedef Liste'!A:A,A11)</f>
        <v>0</v>
      </c>
    </row>
    <row r="12" ht="15.75" hidden="1" customHeight="1">
      <c r="A12" s="18" t="s">
        <v>7048</v>
      </c>
      <c r="B12" s="18" t="s">
        <v>7049</v>
      </c>
      <c r="C12" s="358" t="s">
        <v>7040</v>
      </c>
      <c r="D12" s="18" t="s">
        <v>45</v>
      </c>
      <c r="E12" s="359">
        <v>4552.0</v>
      </c>
      <c r="F12" s="359">
        <v>146.0</v>
      </c>
      <c r="G12" s="359">
        <v>94.0</v>
      </c>
      <c r="H12" s="359">
        <v>0.0</v>
      </c>
      <c r="I12" s="359">
        <v>94.0</v>
      </c>
      <c r="J12" s="360">
        <v>1.0</v>
      </c>
      <c r="K12" s="18" t="s">
        <v>7050</v>
      </c>
      <c r="L12" s="18">
        <v>2.123363575E9</v>
      </c>
      <c r="M12" s="18" t="s">
        <v>156</v>
      </c>
      <c r="N12" s="18" t="s">
        <v>2057</v>
      </c>
      <c r="O12" s="18" t="s">
        <v>7051</v>
      </c>
      <c r="P12" s="18" t="s">
        <v>7047</v>
      </c>
      <c r="Q12" s="20">
        <f>COUNTIF('Hedef Liste'!A:A,A12)</f>
        <v>0</v>
      </c>
    </row>
    <row r="13" ht="15.75" hidden="1" customHeight="1">
      <c r="A13" s="18" t="s">
        <v>621</v>
      </c>
      <c r="B13" s="18" t="s">
        <v>622</v>
      </c>
      <c r="C13" s="358" t="s">
        <v>7040</v>
      </c>
      <c r="D13" s="18" t="s">
        <v>118</v>
      </c>
      <c r="E13" s="359">
        <v>3711.0</v>
      </c>
      <c r="F13" s="359">
        <v>118.0</v>
      </c>
      <c r="G13" s="359">
        <v>10.0</v>
      </c>
      <c r="H13" s="359">
        <v>21.0</v>
      </c>
      <c r="I13" s="359">
        <v>31.0</v>
      </c>
      <c r="J13" s="360">
        <v>0.32</v>
      </c>
      <c r="K13" s="18" t="s">
        <v>623</v>
      </c>
      <c r="L13" s="18">
        <v>5.387494964E9</v>
      </c>
      <c r="M13" s="18" t="s">
        <v>156</v>
      </c>
      <c r="N13" s="18" t="s">
        <v>283</v>
      </c>
      <c r="O13" s="18" t="s">
        <v>624</v>
      </c>
      <c r="P13" s="18" t="s">
        <v>7041</v>
      </c>
      <c r="Q13" s="20">
        <f>COUNTIF('Hedef Liste'!A:A,A13)</f>
        <v>1</v>
      </c>
    </row>
    <row r="14" ht="15.75" hidden="1" customHeight="1">
      <c r="A14" s="18" t="s">
        <v>2706</v>
      </c>
      <c r="B14" s="18" t="s">
        <v>2707</v>
      </c>
      <c r="C14" s="358" t="s">
        <v>7040</v>
      </c>
      <c r="D14" s="18" t="s">
        <v>45</v>
      </c>
      <c r="E14" s="359">
        <v>4383.0</v>
      </c>
      <c r="F14" s="359">
        <v>249.0</v>
      </c>
      <c r="G14" s="359">
        <v>0.0</v>
      </c>
      <c r="H14" s="359">
        <v>25.0</v>
      </c>
      <c r="I14" s="359">
        <v>25.0</v>
      </c>
      <c r="J14" s="360">
        <v>0.0</v>
      </c>
      <c r="K14" s="18" t="s">
        <v>2708</v>
      </c>
      <c r="L14" s="18">
        <v>5.3312712E9</v>
      </c>
      <c r="M14" s="18" t="s">
        <v>156</v>
      </c>
      <c r="N14" s="18" t="s">
        <v>222</v>
      </c>
      <c r="O14" s="18" t="s">
        <v>2709</v>
      </c>
      <c r="P14" s="18" t="s">
        <v>7041</v>
      </c>
      <c r="Q14" s="20">
        <f>COUNTIF('Hedef Liste'!A:A,A14)</f>
        <v>1</v>
      </c>
    </row>
    <row r="15" ht="15.75" hidden="1" customHeight="1">
      <c r="A15" s="18" t="s">
        <v>1008</v>
      </c>
      <c r="B15" s="18" t="s">
        <v>1009</v>
      </c>
      <c r="C15" s="358" t="s">
        <v>7040</v>
      </c>
      <c r="D15" s="18" t="s">
        <v>70</v>
      </c>
      <c r="E15" s="359">
        <v>1050.0</v>
      </c>
      <c r="F15" s="359">
        <v>27.0</v>
      </c>
      <c r="G15" s="359">
        <v>17.0</v>
      </c>
      <c r="H15" s="359">
        <v>38.0</v>
      </c>
      <c r="I15" s="359">
        <v>55.0</v>
      </c>
      <c r="J15" s="360">
        <v>0.31</v>
      </c>
      <c r="K15" s="18" t="s">
        <v>1010</v>
      </c>
      <c r="L15" s="18">
        <v>5.354380909E9</v>
      </c>
      <c r="M15" s="18" t="s">
        <v>137</v>
      </c>
      <c r="N15" s="18" t="s">
        <v>138</v>
      </c>
      <c r="O15" s="18" t="s">
        <v>1011</v>
      </c>
      <c r="P15" s="18" t="s">
        <v>7041</v>
      </c>
      <c r="Q15" s="20">
        <f>COUNTIF('Hedef Liste'!A:A,A15)</f>
        <v>1</v>
      </c>
    </row>
    <row r="16" ht="15.75" hidden="1" customHeight="1">
      <c r="A16" s="18" t="s">
        <v>626</v>
      </c>
      <c r="B16" s="18" t="s">
        <v>627</v>
      </c>
      <c r="C16" s="358" t="s">
        <v>7040</v>
      </c>
      <c r="D16" s="18" t="s">
        <v>363</v>
      </c>
      <c r="E16" s="359">
        <v>2315.0</v>
      </c>
      <c r="F16" s="359">
        <v>74.0</v>
      </c>
      <c r="G16" s="359">
        <v>63.0</v>
      </c>
      <c r="H16" s="359">
        <v>17.0</v>
      </c>
      <c r="I16" s="359">
        <v>80.0</v>
      </c>
      <c r="J16" s="360">
        <v>0.79</v>
      </c>
      <c r="K16" s="18" t="s">
        <v>628</v>
      </c>
      <c r="L16" s="18">
        <v>3.245025353E9</v>
      </c>
      <c r="M16" s="18" t="s">
        <v>63</v>
      </c>
      <c r="N16" s="18" t="s">
        <v>93</v>
      </c>
      <c r="O16" s="18" t="s">
        <v>629</v>
      </c>
      <c r="P16" s="18" t="s">
        <v>7041</v>
      </c>
      <c r="Q16" s="20">
        <f>COUNTIF('Hedef Liste'!A:A,A16)</f>
        <v>1</v>
      </c>
    </row>
    <row r="17" ht="15.75" hidden="1" customHeight="1">
      <c r="A17" s="18" t="s">
        <v>2495</v>
      </c>
      <c r="B17" s="18" t="s">
        <v>2496</v>
      </c>
      <c r="C17" s="358" t="s">
        <v>7040</v>
      </c>
      <c r="D17" s="18" t="s">
        <v>372</v>
      </c>
      <c r="E17" s="359">
        <v>7909.0</v>
      </c>
      <c r="F17" s="359">
        <v>562.0</v>
      </c>
      <c r="G17" s="359">
        <v>0.0</v>
      </c>
      <c r="H17" s="359">
        <v>43.0</v>
      </c>
      <c r="I17" s="359">
        <v>43.0</v>
      </c>
      <c r="J17" s="360">
        <v>0.0</v>
      </c>
      <c r="K17" s="18" t="s">
        <v>2497</v>
      </c>
      <c r="L17" s="18">
        <v>3.243284808E9</v>
      </c>
      <c r="M17" s="18" t="s">
        <v>72</v>
      </c>
      <c r="N17" s="18" t="s">
        <v>128</v>
      </c>
      <c r="O17" s="18" t="s">
        <v>2498</v>
      </c>
      <c r="P17" s="18" t="s">
        <v>7041</v>
      </c>
      <c r="Q17" s="20">
        <f>COUNTIF('Hedef Liste'!A:A,A17)</f>
        <v>1</v>
      </c>
    </row>
    <row r="18" ht="15.75" hidden="1" customHeight="1">
      <c r="A18" s="18" t="s">
        <v>1178</v>
      </c>
      <c r="B18" s="18" t="s">
        <v>1179</v>
      </c>
      <c r="C18" s="358" t="s">
        <v>7040</v>
      </c>
      <c r="D18" s="18" t="s">
        <v>118</v>
      </c>
      <c r="E18" s="359">
        <v>10158.0</v>
      </c>
      <c r="F18" s="359">
        <v>396.0</v>
      </c>
      <c r="G18" s="359">
        <v>14.0</v>
      </c>
      <c r="H18" s="359">
        <v>20.0</v>
      </c>
      <c r="I18" s="359">
        <v>34.0</v>
      </c>
      <c r="J18" s="360">
        <v>0.41</v>
      </c>
      <c r="K18" s="18" t="s">
        <v>1180</v>
      </c>
      <c r="L18" s="18">
        <v>3.245033337E9</v>
      </c>
      <c r="M18" s="18" t="s">
        <v>72</v>
      </c>
      <c r="N18" s="18" t="s">
        <v>82</v>
      </c>
      <c r="O18" s="18" t="s">
        <v>1181</v>
      </c>
      <c r="P18" s="18" t="s">
        <v>7041</v>
      </c>
      <c r="Q18" s="20">
        <f>COUNTIF('Hedef Liste'!A:A,A18)</f>
        <v>1</v>
      </c>
    </row>
    <row r="19" ht="15.75" hidden="1" customHeight="1">
      <c r="A19" s="18" t="s">
        <v>1596</v>
      </c>
      <c r="B19" s="18" t="s">
        <v>1597</v>
      </c>
      <c r="C19" s="358" t="s">
        <v>7040</v>
      </c>
      <c r="D19" s="18" t="s">
        <v>363</v>
      </c>
      <c r="E19" s="359">
        <v>619.0</v>
      </c>
      <c r="F19" s="359">
        <v>98.0</v>
      </c>
      <c r="G19" s="359">
        <v>9.0</v>
      </c>
      <c r="H19" s="359">
        <v>11.0</v>
      </c>
      <c r="I19" s="359">
        <v>20.0</v>
      </c>
      <c r="J19" s="360">
        <v>0.45</v>
      </c>
      <c r="K19" s="18" t="s">
        <v>1598</v>
      </c>
      <c r="L19" s="18">
        <v>3.243310371E9</v>
      </c>
      <c r="M19" s="18" t="s">
        <v>72</v>
      </c>
      <c r="N19" s="18" t="s">
        <v>538</v>
      </c>
      <c r="O19" s="18" t="s">
        <v>7052</v>
      </c>
      <c r="P19" s="18" t="s">
        <v>7041</v>
      </c>
      <c r="Q19" s="20">
        <f>COUNTIF('Hedef Liste'!A:A,A19)</f>
        <v>1</v>
      </c>
    </row>
    <row r="20" ht="15.75" hidden="1" customHeight="1">
      <c r="A20" s="18" t="s">
        <v>4576</v>
      </c>
      <c r="B20" s="18" t="s">
        <v>4577</v>
      </c>
      <c r="C20" s="358" t="s">
        <v>7040</v>
      </c>
      <c r="D20" s="18" t="s">
        <v>564</v>
      </c>
      <c r="E20" s="359">
        <v>1942.0</v>
      </c>
      <c r="F20" s="359">
        <v>87.0</v>
      </c>
      <c r="G20" s="359">
        <v>6.0</v>
      </c>
      <c r="H20" s="359">
        <v>52.0</v>
      </c>
      <c r="I20" s="359">
        <v>58.0</v>
      </c>
      <c r="J20" s="360">
        <v>0.1</v>
      </c>
      <c r="K20" s="18" t="s">
        <v>4578</v>
      </c>
      <c r="L20" s="18">
        <v>5.308330083E9</v>
      </c>
      <c r="M20" s="18" t="s">
        <v>72</v>
      </c>
      <c r="N20" s="18" t="s">
        <v>82</v>
      </c>
      <c r="O20" s="18" t="s">
        <v>4579</v>
      </c>
      <c r="P20" s="18" t="s">
        <v>7041</v>
      </c>
      <c r="Q20" s="20">
        <f>COUNTIF('Hedef Liste'!A:A,A20)</f>
        <v>1</v>
      </c>
    </row>
    <row r="21" ht="15.75" hidden="1" customHeight="1">
      <c r="A21" s="18" t="s">
        <v>3963</v>
      </c>
      <c r="B21" s="18" t="s">
        <v>3964</v>
      </c>
      <c r="C21" s="358" t="s">
        <v>7040</v>
      </c>
      <c r="D21" s="18" t="s">
        <v>70</v>
      </c>
      <c r="E21" s="359">
        <v>3549.0</v>
      </c>
      <c r="F21" s="359">
        <v>126.0</v>
      </c>
      <c r="G21" s="359">
        <v>13.0</v>
      </c>
      <c r="H21" s="359">
        <v>31.0</v>
      </c>
      <c r="I21" s="359">
        <v>44.0</v>
      </c>
      <c r="J21" s="360">
        <v>0.3</v>
      </c>
      <c r="K21" s="18" t="s">
        <v>3965</v>
      </c>
      <c r="L21" s="18">
        <v>3.243260686E9</v>
      </c>
      <c r="M21" s="18" t="s">
        <v>72</v>
      </c>
      <c r="N21" s="18" t="s">
        <v>73</v>
      </c>
      <c r="O21" s="18" t="s">
        <v>3966</v>
      </c>
      <c r="P21" s="18" t="s">
        <v>7041</v>
      </c>
      <c r="Q21" s="20">
        <f>COUNTIF('Hedef Liste'!A:A,A21)</f>
        <v>1</v>
      </c>
    </row>
    <row r="22" ht="15.75" hidden="1" customHeight="1">
      <c r="A22" s="18" t="s">
        <v>3609</v>
      </c>
      <c r="B22" s="18" t="s">
        <v>3610</v>
      </c>
      <c r="C22" s="358" t="s">
        <v>7040</v>
      </c>
      <c r="D22" s="18" t="s">
        <v>70</v>
      </c>
      <c r="E22" s="359">
        <v>2239.0</v>
      </c>
      <c r="F22" s="359">
        <v>53.0</v>
      </c>
      <c r="G22" s="359">
        <v>14.0</v>
      </c>
      <c r="H22" s="359">
        <v>11.0</v>
      </c>
      <c r="I22" s="359">
        <v>25.0</v>
      </c>
      <c r="J22" s="360">
        <v>0.56</v>
      </c>
      <c r="K22" s="18" t="s">
        <v>3611</v>
      </c>
      <c r="L22" s="18">
        <v>3.243581424E9</v>
      </c>
      <c r="M22" s="18" t="s">
        <v>63</v>
      </c>
      <c r="N22" s="18" t="s">
        <v>700</v>
      </c>
      <c r="O22" s="18" t="s">
        <v>3612</v>
      </c>
      <c r="P22" s="18" t="s">
        <v>7041</v>
      </c>
      <c r="Q22" s="20">
        <f>COUNTIF('Hedef Liste'!A:A,A22)</f>
        <v>1</v>
      </c>
    </row>
    <row r="23" ht="15.75" hidden="1" customHeight="1">
      <c r="A23" s="18" t="s">
        <v>1689</v>
      </c>
      <c r="B23" s="18" t="s">
        <v>1690</v>
      </c>
      <c r="C23" s="358" t="s">
        <v>7040</v>
      </c>
      <c r="D23" s="18" t="s">
        <v>363</v>
      </c>
      <c r="E23" s="359">
        <v>3185.0</v>
      </c>
      <c r="F23" s="359">
        <v>135.0</v>
      </c>
      <c r="G23" s="359">
        <v>49.0</v>
      </c>
      <c r="H23" s="359">
        <v>47.0</v>
      </c>
      <c r="I23" s="359">
        <v>96.0</v>
      </c>
      <c r="J23" s="360">
        <v>0.51</v>
      </c>
      <c r="K23" s="18" t="s">
        <v>1691</v>
      </c>
      <c r="L23" s="18">
        <v>3.243288585E9</v>
      </c>
      <c r="M23" s="18" t="s">
        <v>63</v>
      </c>
      <c r="N23" s="18" t="s">
        <v>100</v>
      </c>
      <c r="O23" s="18" t="s">
        <v>1692</v>
      </c>
      <c r="P23" s="18" t="s">
        <v>7041</v>
      </c>
      <c r="Q23" s="20">
        <f>COUNTIF('Hedef Liste'!A:A,A23)</f>
        <v>1</v>
      </c>
    </row>
    <row r="24" ht="15.75" hidden="1" customHeight="1">
      <c r="A24" s="18" t="s">
        <v>697</v>
      </c>
      <c r="B24" s="18" t="s">
        <v>698</v>
      </c>
      <c r="C24" s="358" t="s">
        <v>7040</v>
      </c>
      <c r="D24" s="18" t="s">
        <v>7053</v>
      </c>
      <c r="E24" s="359">
        <v>2251.0</v>
      </c>
      <c r="F24" s="359">
        <v>52.0</v>
      </c>
      <c r="G24" s="359">
        <v>24.0</v>
      </c>
      <c r="H24" s="359">
        <v>32.0</v>
      </c>
      <c r="I24" s="359">
        <v>56.0</v>
      </c>
      <c r="J24" s="361">
        <v>0.43</v>
      </c>
      <c r="K24" s="18" t="s">
        <v>699</v>
      </c>
      <c r="L24" s="18">
        <v>3.243593461E9</v>
      </c>
      <c r="M24" s="18" t="s">
        <v>63</v>
      </c>
      <c r="N24" s="18" t="s">
        <v>700</v>
      </c>
      <c r="O24" s="18" t="s">
        <v>701</v>
      </c>
      <c r="P24" s="18" t="s">
        <v>7041</v>
      </c>
      <c r="Q24" s="20">
        <f>COUNTIF('Hedef Liste'!A:A,A24)</f>
        <v>1</v>
      </c>
    </row>
    <row r="25" ht="15.75" hidden="1" customHeight="1">
      <c r="A25" s="18" t="s">
        <v>2939</v>
      </c>
      <c r="B25" s="18" t="s">
        <v>2940</v>
      </c>
      <c r="C25" s="358" t="s">
        <v>7040</v>
      </c>
      <c r="D25" s="18" t="s">
        <v>372</v>
      </c>
      <c r="E25" s="359">
        <v>1396.0</v>
      </c>
      <c r="F25" s="359">
        <v>66.0</v>
      </c>
      <c r="G25" s="359">
        <v>65.0</v>
      </c>
      <c r="H25" s="359">
        <v>14.0</v>
      </c>
      <c r="I25" s="359">
        <v>79.0</v>
      </c>
      <c r="J25" s="360">
        <v>0.82</v>
      </c>
      <c r="K25" s="18" t="s">
        <v>2936</v>
      </c>
      <c r="L25" s="18">
        <v>3.243278586E9</v>
      </c>
      <c r="M25" s="18" t="s">
        <v>72</v>
      </c>
      <c r="N25" s="18" t="s">
        <v>128</v>
      </c>
      <c r="O25" s="18" t="s">
        <v>2941</v>
      </c>
      <c r="P25" s="18" t="s">
        <v>7041</v>
      </c>
      <c r="Q25" s="20">
        <f>COUNTIF('Hedef Liste'!A:A,A25)</f>
        <v>1</v>
      </c>
    </row>
    <row r="26" ht="15.75" hidden="1" customHeight="1">
      <c r="A26" s="18" t="s">
        <v>393</v>
      </c>
      <c r="B26" s="18" t="s">
        <v>7054</v>
      </c>
      <c r="C26" s="358" t="s">
        <v>7040</v>
      </c>
      <c r="D26" s="18" t="s">
        <v>70</v>
      </c>
      <c r="E26" s="359">
        <v>1773.0</v>
      </c>
      <c r="F26" s="359">
        <v>96.0</v>
      </c>
      <c r="G26" s="359">
        <v>0.0</v>
      </c>
      <c r="H26" s="359">
        <v>30.0</v>
      </c>
      <c r="I26" s="359">
        <v>30.0</v>
      </c>
      <c r="J26" s="360">
        <v>0.0</v>
      </c>
      <c r="K26" s="18" t="s">
        <v>395</v>
      </c>
      <c r="L26" s="18">
        <v>3.249994248E9</v>
      </c>
      <c r="M26" s="18" t="s">
        <v>72</v>
      </c>
      <c r="N26" s="18" t="s">
        <v>82</v>
      </c>
      <c r="O26" s="18" t="s">
        <v>396</v>
      </c>
      <c r="P26" s="18" t="s">
        <v>7041</v>
      </c>
      <c r="Q26" s="20">
        <f>COUNTIF('Hedef Liste'!A:A,A26)</f>
        <v>1</v>
      </c>
    </row>
    <row r="27" ht="15.75" hidden="1" customHeight="1">
      <c r="A27" s="18" t="s">
        <v>2031</v>
      </c>
      <c r="B27" s="18" t="s">
        <v>2032</v>
      </c>
      <c r="C27" s="358" t="s">
        <v>7040</v>
      </c>
      <c r="D27" s="18" t="s">
        <v>80</v>
      </c>
      <c r="E27" s="359">
        <v>1783.0</v>
      </c>
      <c r="F27" s="18"/>
      <c r="G27" s="359">
        <v>12.0</v>
      </c>
      <c r="H27" s="359">
        <v>8.0</v>
      </c>
      <c r="I27" s="359">
        <v>20.0</v>
      </c>
      <c r="J27" s="360">
        <v>0.6</v>
      </c>
      <c r="K27" s="18" t="s">
        <v>2033</v>
      </c>
      <c r="L27" s="18">
        <v>3.243410202E9</v>
      </c>
      <c r="M27" s="18" t="s">
        <v>72</v>
      </c>
      <c r="N27" s="18" t="s">
        <v>548</v>
      </c>
      <c r="O27" s="18" t="s">
        <v>2034</v>
      </c>
      <c r="P27" s="18" t="s">
        <v>7041</v>
      </c>
      <c r="Q27" s="20">
        <f>COUNTIF('Hedef Liste'!A:A,A27)</f>
        <v>1</v>
      </c>
    </row>
    <row r="28" ht="15.75" hidden="1" customHeight="1">
      <c r="A28" s="18" t="s">
        <v>1495</v>
      </c>
      <c r="B28" s="18" t="s">
        <v>1496</v>
      </c>
      <c r="C28" s="358" t="s">
        <v>7040</v>
      </c>
      <c r="D28" s="18" t="s">
        <v>80</v>
      </c>
      <c r="E28" s="359">
        <v>2843.0</v>
      </c>
      <c r="F28" s="359">
        <v>90.0</v>
      </c>
      <c r="G28" s="359">
        <v>0.0</v>
      </c>
      <c r="H28" s="359">
        <v>34.0</v>
      </c>
      <c r="I28" s="359">
        <v>34.0</v>
      </c>
      <c r="J28" s="360">
        <v>0.0</v>
      </c>
      <c r="K28" s="18" t="s">
        <v>1497</v>
      </c>
      <c r="L28" s="18">
        <v>5.315541881E9</v>
      </c>
      <c r="M28" s="18" t="s">
        <v>72</v>
      </c>
      <c r="N28" s="18" t="s">
        <v>82</v>
      </c>
      <c r="O28" s="18" t="s">
        <v>1498</v>
      </c>
      <c r="P28" s="18" t="s">
        <v>7041</v>
      </c>
      <c r="Q28" s="20">
        <f>COUNTIF('Hedef Liste'!A:A,A28)</f>
        <v>1</v>
      </c>
    </row>
    <row r="29" ht="15.75" hidden="1" customHeight="1">
      <c r="A29" s="18" t="s">
        <v>2552</v>
      </c>
      <c r="B29" s="18" t="s">
        <v>2553</v>
      </c>
      <c r="C29" s="358" t="s">
        <v>7040</v>
      </c>
      <c r="D29" s="18" t="s">
        <v>7053</v>
      </c>
      <c r="E29" s="359">
        <v>465.0</v>
      </c>
      <c r="F29" s="359">
        <v>22.0</v>
      </c>
      <c r="G29" s="359">
        <v>34.0</v>
      </c>
      <c r="H29" s="359">
        <v>34.0</v>
      </c>
      <c r="I29" s="359">
        <v>68.0</v>
      </c>
      <c r="J29" s="360">
        <v>0.5</v>
      </c>
      <c r="K29" s="18" t="s">
        <v>7055</v>
      </c>
      <c r="L29" s="18">
        <v>5.51172732E9</v>
      </c>
      <c r="M29" s="18" t="s">
        <v>72</v>
      </c>
      <c r="N29" s="18" t="s">
        <v>82</v>
      </c>
      <c r="O29" s="18" t="s">
        <v>2555</v>
      </c>
      <c r="P29" s="18" t="s">
        <v>7041</v>
      </c>
      <c r="Q29" s="20">
        <f>COUNTIF('Hedef Liste'!A:A,A29)</f>
        <v>1</v>
      </c>
    </row>
    <row r="30" ht="15.75" hidden="1" customHeight="1">
      <c r="A30" s="18" t="s">
        <v>7056</v>
      </c>
      <c r="B30" s="18" t="s">
        <v>7057</v>
      </c>
      <c r="C30" s="358" t="s">
        <v>7040</v>
      </c>
      <c r="D30" s="18" t="s">
        <v>45</v>
      </c>
      <c r="E30" s="359">
        <v>25459.0</v>
      </c>
      <c r="F30" s="359">
        <v>731.0</v>
      </c>
      <c r="G30" s="359">
        <v>90.0</v>
      </c>
      <c r="H30" s="359">
        <v>0.0</v>
      </c>
      <c r="I30" s="359">
        <v>90.0</v>
      </c>
      <c r="J30" s="360">
        <v>1.0</v>
      </c>
      <c r="K30" s="18" t="s">
        <v>7050</v>
      </c>
      <c r="L30" s="18">
        <v>2.123363575E9</v>
      </c>
      <c r="M30" s="18" t="s">
        <v>63</v>
      </c>
      <c r="N30" s="18" t="s">
        <v>2828</v>
      </c>
      <c r="O30" s="18" t="s">
        <v>7058</v>
      </c>
      <c r="P30" s="18" t="s">
        <v>7047</v>
      </c>
      <c r="Q30" s="20">
        <f>COUNTIF('Hedef Liste'!A:A,A30)</f>
        <v>0</v>
      </c>
    </row>
    <row r="31" ht="15.75" hidden="1" customHeight="1">
      <c r="A31" s="18" t="s">
        <v>7059</v>
      </c>
      <c r="B31" s="18" t="s">
        <v>7060</v>
      </c>
      <c r="C31" s="358" t="s">
        <v>7040</v>
      </c>
      <c r="D31" s="18" t="s">
        <v>167</v>
      </c>
      <c r="E31" s="359">
        <v>2676.0</v>
      </c>
      <c r="F31" s="359">
        <v>71.0</v>
      </c>
      <c r="G31" s="359">
        <v>60.0</v>
      </c>
      <c r="H31" s="359">
        <v>3.0</v>
      </c>
      <c r="I31" s="359">
        <v>63.0</v>
      </c>
      <c r="J31" s="360">
        <v>0.95</v>
      </c>
      <c r="K31" s="18" t="s">
        <v>7045</v>
      </c>
      <c r="L31" s="18">
        <v>5.305432536E9</v>
      </c>
      <c r="M31" s="18" t="s">
        <v>47</v>
      </c>
      <c r="N31" s="18" t="s">
        <v>489</v>
      </c>
      <c r="O31" s="18" t="s">
        <v>7061</v>
      </c>
      <c r="P31" s="18" t="s">
        <v>7047</v>
      </c>
      <c r="Q31" s="20">
        <f>COUNTIF('Hedef Liste'!A:A,A31)</f>
        <v>0</v>
      </c>
    </row>
    <row r="32" ht="15.75" hidden="1" customHeight="1">
      <c r="A32" s="18" t="s">
        <v>3844</v>
      </c>
      <c r="B32" s="18" t="s">
        <v>3845</v>
      </c>
      <c r="C32" s="358" t="s">
        <v>7040</v>
      </c>
      <c r="D32" s="18" t="s">
        <v>45</v>
      </c>
      <c r="E32" s="359">
        <v>16137.0</v>
      </c>
      <c r="F32" s="359">
        <v>338.0</v>
      </c>
      <c r="G32" s="359">
        <v>31.0</v>
      </c>
      <c r="H32" s="359">
        <v>15.0</v>
      </c>
      <c r="I32" s="359">
        <v>46.0</v>
      </c>
      <c r="J32" s="360">
        <v>0.67</v>
      </c>
      <c r="K32" s="18" t="s">
        <v>3846</v>
      </c>
      <c r="L32" s="18">
        <v>5.495295522E9</v>
      </c>
      <c r="M32" s="18" t="s">
        <v>72</v>
      </c>
      <c r="N32" s="18" t="s">
        <v>82</v>
      </c>
      <c r="O32" s="18" t="s">
        <v>3847</v>
      </c>
      <c r="P32" s="18" t="s">
        <v>7041</v>
      </c>
      <c r="Q32" s="20">
        <f>COUNTIF('Hedef Liste'!A:A,A32)</f>
        <v>1</v>
      </c>
    </row>
    <row r="33" ht="15.75" hidden="1" customHeight="1">
      <c r="A33" s="18" t="s">
        <v>178</v>
      </c>
      <c r="B33" s="18" t="s">
        <v>179</v>
      </c>
      <c r="C33" s="358" t="s">
        <v>7040</v>
      </c>
      <c r="D33" s="18" t="s">
        <v>70</v>
      </c>
      <c r="E33" s="359">
        <v>565.0</v>
      </c>
      <c r="F33" s="359">
        <v>34.0</v>
      </c>
      <c r="G33" s="359">
        <v>7.0</v>
      </c>
      <c r="H33" s="359">
        <v>6.0</v>
      </c>
      <c r="I33" s="359">
        <v>13.0</v>
      </c>
      <c r="J33" s="360">
        <v>0.54</v>
      </c>
      <c r="K33" s="18" t="s">
        <v>180</v>
      </c>
      <c r="L33" s="18">
        <v>3.243250293E9</v>
      </c>
      <c r="M33" s="18" t="s">
        <v>72</v>
      </c>
      <c r="N33" s="18" t="s">
        <v>181</v>
      </c>
      <c r="O33" s="18" t="s">
        <v>182</v>
      </c>
      <c r="P33" s="18" t="s">
        <v>7041</v>
      </c>
      <c r="Q33" s="20">
        <f>COUNTIF('Hedef Liste'!A:A,A33)</f>
        <v>1</v>
      </c>
    </row>
    <row r="34" ht="15.75" hidden="1" customHeight="1">
      <c r="A34" s="18" t="s">
        <v>1371</v>
      </c>
      <c r="B34" s="18" t="s">
        <v>1372</v>
      </c>
      <c r="C34" s="358" t="s">
        <v>7040</v>
      </c>
      <c r="D34" s="18" t="s">
        <v>45</v>
      </c>
      <c r="E34" s="359">
        <v>1866.0</v>
      </c>
      <c r="F34" s="359">
        <v>95.0</v>
      </c>
      <c r="G34" s="359">
        <v>2.0</v>
      </c>
      <c r="H34" s="359">
        <v>18.0</v>
      </c>
      <c r="I34" s="359">
        <v>20.0</v>
      </c>
      <c r="J34" s="360">
        <v>0.1</v>
      </c>
      <c r="K34" s="18" t="s">
        <v>1373</v>
      </c>
      <c r="L34" s="18">
        <v>3.243285808E9</v>
      </c>
      <c r="M34" s="18" t="s">
        <v>72</v>
      </c>
      <c r="N34" s="18" t="s">
        <v>73</v>
      </c>
      <c r="O34" s="18" t="s">
        <v>1374</v>
      </c>
      <c r="P34" s="18" t="s">
        <v>7041</v>
      </c>
      <c r="Q34" s="20">
        <f>COUNTIF('Hedef Liste'!A:A,A34)</f>
        <v>1</v>
      </c>
    </row>
    <row r="35" ht="15.75" hidden="1" customHeight="1">
      <c r="A35" s="18" t="s">
        <v>3968</v>
      </c>
      <c r="B35" s="18" t="s">
        <v>3969</v>
      </c>
      <c r="C35" s="358" t="s">
        <v>7062</v>
      </c>
      <c r="D35" s="18" t="s">
        <v>118</v>
      </c>
      <c r="E35" s="359">
        <v>22.0</v>
      </c>
      <c r="F35" s="18"/>
      <c r="G35" s="359">
        <v>0.0</v>
      </c>
      <c r="H35" s="359">
        <v>12.0</v>
      </c>
      <c r="I35" s="359">
        <v>12.0</v>
      </c>
      <c r="J35" s="360">
        <v>0.0</v>
      </c>
      <c r="K35" s="18" t="s">
        <v>3970</v>
      </c>
      <c r="L35" s="18">
        <v>3.243414545E9</v>
      </c>
      <c r="M35" s="18" t="s">
        <v>72</v>
      </c>
      <c r="N35" s="18" t="s">
        <v>548</v>
      </c>
      <c r="O35" s="18" t="s">
        <v>3971</v>
      </c>
      <c r="P35" s="18" t="s">
        <v>7041</v>
      </c>
      <c r="Q35" s="20">
        <f>COUNTIF('Hedef Liste'!A:A,A35)</f>
        <v>1</v>
      </c>
    </row>
    <row r="36" ht="15.75" hidden="1" customHeight="1">
      <c r="A36" s="18" t="s">
        <v>2122</v>
      </c>
      <c r="B36" s="18" t="s">
        <v>2123</v>
      </c>
      <c r="C36" s="358" t="s">
        <v>7040</v>
      </c>
      <c r="D36" s="18" t="s">
        <v>363</v>
      </c>
      <c r="E36" s="359">
        <v>634.0</v>
      </c>
      <c r="F36" s="359">
        <v>23.0</v>
      </c>
      <c r="G36" s="359">
        <v>11.0</v>
      </c>
      <c r="H36" s="359">
        <v>65.0</v>
      </c>
      <c r="I36" s="359">
        <v>76.0</v>
      </c>
      <c r="J36" s="360">
        <v>0.14</v>
      </c>
      <c r="K36" s="18" t="s">
        <v>2124</v>
      </c>
      <c r="L36" s="18">
        <v>3.243255339E9</v>
      </c>
      <c r="M36" s="18" t="s">
        <v>63</v>
      </c>
      <c r="N36" s="18" t="s">
        <v>64</v>
      </c>
      <c r="O36" s="18" t="s">
        <v>2125</v>
      </c>
      <c r="P36" s="18" t="s">
        <v>7041</v>
      </c>
      <c r="Q36" s="20">
        <f>COUNTIF('Hedef Liste'!A:A,A36)</f>
        <v>1</v>
      </c>
    </row>
    <row r="37" ht="15.75" hidden="1" customHeight="1">
      <c r="A37" s="18" t="s">
        <v>970</v>
      </c>
      <c r="B37" s="18" t="s">
        <v>971</v>
      </c>
      <c r="C37" s="358" t="s">
        <v>7040</v>
      </c>
      <c r="D37" s="18" t="s">
        <v>70</v>
      </c>
      <c r="E37" s="359">
        <v>28180.0</v>
      </c>
      <c r="F37" s="359">
        <v>1846.0</v>
      </c>
      <c r="G37" s="359">
        <v>11.0</v>
      </c>
      <c r="H37" s="359">
        <v>40.0</v>
      </c>
      <c r="I37" s="359">
        <v>51.0</v>
      </c>
      <c r="J37" s="360">
        <v>0.22</v>
      </c>
      <c r="K37" s="18" t="s">
        <v>972</v>
      </c>
      <c r="L37" s="18">
        <v>3.243253131E9</v>
      </c>
      <c r="M37" s="18" t="s">
        <v>72</v>
      </c>
      <c r="N37" s="18" t="s">
        <v>113</v>
      </c>
      <c r="O37" s="18" t="s">
        <v>973</v>
      </c>
      <c r="P37" s="18" t="s">
        <v>7041</v>
      </c>
      <c r="Q37" s="20">
        <f>COUNTIF('Hedef Liste'!A:A,A37)</f>
        <v>1</v>
      </c>
    </row>
    <row r="38" ht="15.75" hidden="1" customHeight="1">
      <c r="A38" s="18" t="s">
        <v>1835</v>
      </c>
      <c r="B38" s="18" t="s">
        <v>1836</v>
      </c>
      <c r="C38" s="358" t="s">
        <v>7040</v>
      </c>
      <c r="D38" s="18" t="s">
        <v>45</v>
      </c>
      <c r="E38" s="359">
        <v>6777.0</v>
      </c>
      <c r="F38" s="359">
        <v>127.0</v>
      </c>
      <c r="G38" s="359">
        <v>26.0</v>
      </c>
      <c r="H38" s="359">
        <v>57.0</v>
      </c>
      <c r="I38" s="359">
        <v>83.0</v>
      </c>
      <c r="J38" s="360">
        <v>0.31</v>
      </c>
      <c r="K38" s="18" t="s">
        <v>1832</v>
      </c>
      <c r="L38" s="18">
        <v>3.243252444E9</v>
      </c>
      <c r="M38" s="18" t="s">
        <v>72</v>
      </c>
      <c r="N38" s="18" t="s">
        <v>73</v>
      </c>
      <c r="O38" s="18" t="s">
        <v>1837</v>
      </c>
      <c r="P38" s="18" t="s">
        <v>7041</v>
      </c>
      <c r="Q38" s="20">
        <f>COUNTIF('Hedef Liste'!A:A,A38)</f>
        <v>1</v>
      </c>
    </row>
    <row r="39" ht="15.75" hidden="1" customHeight="1">
      <c r="A39" s="18" t="s">
        <v>853</v>
      </c>
      <c r="B39" s="18" t="s">
        <v>854</v>
      </c>
      <c r="C39" s="358" t="s">
        <v>7040</v>
      </c>
      <c r="D39" s="18" t="s">
        <v>70</v>
      </c>
      <c r="E39" s="359">
        <v>48490.0</v>
      </c>
      <c r="F39" s="359">
        <v>2556.0</v>
      </c>
      <c r="G39" s="359">
        <v>19.0</v>
      </c>
      <c r="H39" s="359">
        <v>7.0</v>
      </c>
      <c r="I39" s="359">
        <v>26.0</v>
      </c>
      <c r="J39" s="360">
        <v>0.73</v>
      </c>
      <c r="K39" s="18" t="s">
        <v>855</v>
      </c>
      <c r="L39" s="18">
        <v>3.243268589E9</v>
      </c>
      <c r="M39" s="18" t="s">
        <v>72</v>
      </c>
      <c r="N39" s="18" t="s">
        <v>73</v>
      </c>
      <c r="O39" s="18" t="s">
        <v>7063</v>
      </c>
      <c r="P39" s="18" t="s">
        <v>7041</v>
      </c>
      <c r="Q39" s="20">
        <f>COUNTIF('Hedef Liste'!A:A,A39)</f>
        <v>1</v>
      </c>
    </row>
    <row r="40" ht="15.75" hidden="1" customHeight="1">
      <c r="A40" s="18" t="s">
        <v>1376</v>
      </c>
      <c r="B40" s="18" t="s">
        <v>7064</v>
      </c>
      <c r="C40" s="358" t="s">
        <v>7040</v>
      </c>
      <c r="D40" s="18" t="s">
        <v>106</v>
      </c>
      <c r="E40" s="359">
        <v>6993.0</v>
      </c>
      <c r="F40" s="359">
        <v>485.0</v>
      </c>
      <c r="G40" s="359">
        <v>15.0</v>
      </c>
      <c r="H40" s="359">
        <v>23.0</v>
      </c>
      <c r="I40" s="359">
        <v>38.0</v>
      </c>
      <c r="J40" s="360">
        <v>0.39</v>
      </c>
      <c r="K40" s="18" t="s">
        <v>1378</v>
      </c>
      <c r="L40" s="18">
        <v>5.362426008E9</v>
      </c>
      <c r="M40" s="18" t="s">
        <v>72</v>
      </c>
      <c r="N40" s="18" t="s">
        <v>82</v>
      </c>
      <c r="O40" s="18" t="s">
        <v>1379</v>
      </c>
      <c r="P40" s="18" t="s">
        <v>7041</v>
      </c>
      <c r="Q40" s="20">
        <f>COUNTIF('Hedef Liste'!A:A,A40)</f>
        <v>1</v>
      </c>
    </row>
    <row r="41" ht="15.75" hidden="1" customHeight="1">
      <c r="A41" s="18" t="s">
        <v>2869</v>
      </c>
      <c r="B41" s="18" t="s">
        <v>2870</v>
      </c>
      <c r="C41" s="358" t="s">
        <v>7040</v>
      </c>
      <c r="D41" s="18" t="s">
        <v>363</v>
      </c>
      <c r="E41" s="359">
        <v>3089.0</v>
      </c>
      <c r="F41" s="359">
        <v>129.0</v>
      </c>
      <c r="G41" s="359">
        <v>0.0</v>
      </c>
      <c r="H41" s="359">
        <v>84.0</v>
      </c>
      <c r="I41" s="359">
        <v>84.0</v>
      </c>
      <c r="J41" s="360">
        <v>0.0</v>
      </c>
      <c r="K41" s="18" t="s">
        <v>2871</v>
      </c>
      <c r="L41" s="18">
        <v>3.249337314E9</v>
      </c>
      <c r="M41" s="18" t="s">
        <v>63</v>
      </c>
      <c r="N41" s="18" t="s">
        <v>93</v>
      </c>
      <c r="O41" s="18" t="s">
        <v>2872</v>
      </c>
      <c r="P41" s="18" t="s">
        <v>7041</v>
      </c>
      <c r="Q41" s="20">
        <f>COUNTIF('Hedef Liste'!A:A,A41)</f>
        <v>1</v>
      </c>
    </row>
    <row r="42" ht="15.75" hidden="1" customHeight="1">
      <c r="A42" s="18" t="s">
        <v>2063</v>
      </c>
      <c r="B42" s="18" t="s">
        <v>2064</v>
      </c>
      <c r="C42" s="358" t="s">
        <v>7040</v>
      </c>
      <c r="D42" s="18" t="s">
        <v>80</v>
      </c>
      <c r="E42" s="359">
        <v>185.0</v>
      </c>
      <c r="F42" s="18"/>
      <c r="G42" s="359">
        <v>4.0</v>
      </c>
      <c r="H42" s="359">
        <v>7.0</v>
      </c>
      <c r="I42" s="359">
        <v>11.0</v>
      </c>
      <c r="J42" s="360">
        <v>0.36</v>
      </c>
      <c r="K42" s="18" t="s">
        <v>2065</v>
      </c>
      <c r="L42" s="18">
        <v>3.243275651E9</v>
      </c>
      <c r="M42" s="18" t="s">
        <v>72</v>
      </c>
      <c r="N42" s="18" t="s">
        <v>810</v>
      </c>
      <c r="O42" s="18" t="s">
        <v>2066</v>
      </c>
      <c r="P42" s="18" t="s">
        <v>7041</v>
      </c>
      <c r="Q42" s="20">
        <f>COUNTIF('Hedef Liste'!A:A,A42)</f>
        <v>1</v>
      </c>
    </row>
    <row r="43" ht="15.75" hidden="1" customHeight="1">
      <c r="A43" s="18" t="s">
        <v>1910</v>
      </c>
      <c r="B43" s="18" t="s">
        <v>1911</v>
      </c>
      <c r="C43" s="358" t="s">
        <v>7040</v>
      </c>
      <c r="D43" s="18" t="s">
        <v>118</v>
      </c>
      <c r="E43" s="359">
        <v>703.0</v>
      </c>
      <c r="F43" s="18"/>
      <c r="G43" s="359">
        <v>6.0</v>
      </c>
      <c r="H43" s="359">
        <v>8.0</v>
      </c>
      <c r="I43" s="359">
        <v>14.0</v>
      </c>
      <c r="J43" s="360">
        <v>0.43</v>
      </c>
      <c r="K43" s="18" t="s">
        <v>1912</v>
      </c>
      <c r="L43" s="18">
        <v>3.243360408E9</v>
      </c>
      <c r="M43" s="18" t="s">
        <v>72</v>
      </c>
      <c r="N43" s="18" t="s">
        <v>415</v>
      </c>
      <c r="O43" s="18" t="s">
        <v>1913</v>
      </c>
      <c r="P43" s="18" t="s">
        <v>7041</v>
      </c>
      <c r="Q43" s="20">
        <f>COUNTIF('Hedef Liste'!A:A,A43)</f>
        <v>1</v>
      </c>
    </row>
    <row r="44" ht="15.75" hidden="1" customHeight="1">
      <c r="A44" s="18" t="s">
        <v>7065</v>
      </c>
      <c r="B44" s="18" t="s">
        <v>7066</v>
      </c>
      <c r="C44" s="358" t="s">
        <v>7040</v>
      </c>
      <c r="D44" s="18" t="s">
        <v>167</v>
      </c>
      <c r="E44" s="359">
        <v>2228.0</v>
      </c>
      <c r="F44" s="359">
        <v>108.0</v>
      </c>
      <c r="G44" s="359">
        <v>64.0</v>
      </c>
      <c r="H44" s="359">
        <v>3.0</v>
      </c>
      <c r="I44" s="359">
        <v>67.0</v>
      </c>
      <c r="J44" s="360">
        <v>0.96</v>
      </c>
      <c r="K44" s="18" t="s">
        <v>7045</v>
      </c>
      <c r="L44" s="18">
        <v>5.416362974E9</v>
      </c>
      <c r="M44" s="18" t="s">
        <v>63</v>
      </c>
      <c r="N44" s="18" t="s">
        <v>64</v>
      </c>
      <c r="O44" s="18" t="s">
        <v>7067</v>
      </c>
      <c r="P44" s="18" t="s">
        <v>7047</v>
      </c>
      <c r="Q44" s="20">
        <f>COUNTIF('Hedef Liste'!A:A,A44)</f>
        <v>0</v>
      </c>
    </row>
    <row r="45" ht="15.75" hidden="1" customHeight="1">
      <c r="A45" s="18" t="s">
        <v>2562</v>
      </c>
      <c r="B45" s="18" t="s">
        <v>2563</v>
      </c>
      <c r="C45" s="358" t="s">
        <v>7040</v>
      </c>
      <c r="D45" s="18" t="s">
        <v>451</v>
      </c>
      <c r="E45" s="359">
        <v>6021.0</v>
      </c>
      <c r="F45" s="359">
        <v>370.0</v>
      </c>
      <c r="G45" s="359">
        <v>15.0</v>
      </c>
      <c r="H45" s="359">
        <v>15.0</v>
      </c>
      <c r="I45" s="359">
        <v>30.0</v>
      </c>
      <c r="J45" s="360">
        <v>0.5</v>
      </c>
      <c r="K45" s="18" t="s">
        <v>2564</v>
      </c>
      <c r="L45" s="18">
        <v>3.245020666E9</v>
      </c>
      <c r="M45" s="18" t="s">
        <v>72</v>
      </c>
      <c r="N45" s="18" t="s">
        <v>82</v>
      </c>
      <c r="O45" s="18" t="s">
        <v>2565</v>
      </c>
      <c r="P45" s="18" t="s">
        <v>7041</v>
      </c>
      <c r="Q45" s="20">
        <f>COUNTIF('Hedef Liste'!A:A,A45)</f>
        <v>1</v>
      </c>
    </row>
    <row r="46" ht="15.75" hidden="1" customHeight="1">
      <c r="A46" s="18" t="s">
        <v>195</v>
      </c>
      <c r="B46" s="18" t="s">
        <v>196</v>
      </c>
      <c r="C46" s="358" t="s">
        <v>7040</v>
      </c>
      <c r="D46" s="18" t="s">
        <v>118</v>
      </c>
      <c r="E46" s="359">
        <v>3419.0</v>
      </c>
      <c r="F46" s="359">
        <v>90.0</v>
      </c>
      <c r="G46" s="359">
        <v>0.0</v>
      </c>
      <c r="H46" s="359">
        <v>25.0</v>
      </c>
      <c r="I46" s="359">
        <v>25.0</v>
      </c>
      <c r="J46" s="360">
        <v>0.0</v>
      </c>
      <c r="K46" s="18" t="s">
        <v>197</v>
      </c>
      <c r="L46" s="18">
        <v>5.4420813E9</v>
      </c>
      <c r="M46" s="18" t="s">
        <v>63</v>
      </c>
      <c r="N46" s="18" t="s">
        <v>93</v>
      </c>
      <c r="O46" s="18" t="s">
        <v>198</v>
      </c>
      <c r="P46" s="18" t="s">
        <v>7041</v>
      </c>
      <c r="Q46" s="20">
        <f>COUNTIF('Hedef Liste'!A:A,A46)</f>
        <v>1</v>
      </c>
    </row>
    <row r="47" ht="15.75" hidden="1" customHeight="1">
      <c r="A47" s="18" t="s">
        <v>1906</v>
      </c>
      <c r="B47" s="18" t="s">
        <v>7068</v>
      </c>
      <c r="C47" s="358" t="s">
        <v>7062</v>
      </c>
      <c r="D47" s="18" t="s">
        <v>363</v>
      </c>
      <c r="E47" s="359">
        <v>1079.0</v>
      </c>
      <c r="F47" s="18"/>
      <c r="G47" s="359">
        <v>5.0</v>
      </c>
      <c r="H47" s="359">
        <v>12.0</v>
      </c>
      <c r="I47" s="359">
        <v>17.0</v>
      </c>
      <c r="J47" s="360">
        <v>0.29</v>
      </c>
      <c r="K47" s="18" t="s">
        <v>1908</v>
      </c>
      <c r="L47" s="18">
        <v>5.462064633E9</v>
      </c>
      <c r="M47" s="18" t="s">
        <v>63</v>
      </c>
      <c r="N47" s="18" t="s">
        <v>318</v>
      </c>
      <c r="O47" s="18" t="s">
        <v>7069</v>
      </c>
      <c r="P47" s="18" t="s">
        <v>7041</v>
      </c>
      <c r="Q47" s="20">
        <f>COUNTIF('Hedef Liste'!A:A,A47)</f>
        <v>1</v>
      </c>
    </row>
    <row r="48" ht="15.75" hidden="1" customHeight="1">
      <c r="A48" s="18" t="s">
        <v>1067</v>
      </c>
      <c r="B48" s="18" t="s">
        <v>1068</v>
      </c>
      <c r="C48" s="358" t="s">
        <v>7040</v>
      </c>
      <c r="D48" s="18" t="s">
        <v>45</v>
      </c>
      <c r="E48" s="359">
        <v>3012.0</v>
      </c>
      <c r="F48" s="359">
        <v>159.0</v>
      </c>
      <c r="G48" s="359">
        <v>0.0</v>
      </c>
      <c r="H48" s="359">
        <v>44.0</v>
      </c>
      <c r="I48" s="359">
        <v>44.0</v>
      </c>
      <c r="J48" s="360">
        <v>0.0</v>
      </c>
      <c r="K48" s="18" t="s">
        <v>1069</v>
      </c>
      <c r="L48" s="18">
        <v>5.330211305E9</v>
      </c>
      <c r="M48" s="18" t="s">
        <v>72</v>
      </c>
      <c r="N48" s="18" t="s">
        <v>82</v>
      </c>
      <c r="O48" s="18" t="s">
        <v>1070</v>
      </c>
      <c r="P48" s="18" t="s">
        <v>7041</v>
      </c>
      <c r="Q48" s="20">
        <f>COUNTIF('Hedef Liste'!A:A,A48)</f>
        <v>1</v>
      </c>
    </row>
    <row r="49" ht="15.75" hidden="1" customHeight="1">
      <c r="A49" s="18" t="s">
        <v>3060</v>
      </c>
      <c r="B49" s="18" t="s">
        <v>3061</v>
      </c>
      <c r="C49" s="358" t="s">
        <v>7040</v>
      </c>
      <c r="D49" s="18" t="s">
        <v>80</v>
      </c>
      <c r="E49" s="359">
        <v>2452.0</v>
      </c>
      <c r="F49" s="359">
        <v>76.0</v>
      </c>
      <c r="G49" s="359">
        <v>12.0</v>
      </c>
      <c r="H49" s="359">
        <v>4.0</v>
      </c>
      <c r="I49" s="359">
        <v>16.0</v>
      </c>
      <c r="J49" s="360">
        <v>0.75</v>
      </c>
      <c r="K49" s="18" t="s">
        <v>3062</v>
      </c>
      <c r="L49" s="18">
        <v>5.367804567E9</v>
      </c>
      <c r="M49" s="18" t="s">
        <v>63</v>
      </c>
      <c r="N49" s="18" t="s">
        <v>566</v>
      </c>
      <c r="O49" s="18" t="s">
        <v>3063</v>
      </c>
      <c r="P49" s="18" t="s">
        <v>7041</v>
      </c>
      <c r="Q49" s="20">
        <f>COUNTIF('Hedef Liste'!A:A,A49)</f>
        <v>1</v>
      </c>
    </row>
    <row r="50" ht="15.75" hidden="1" customHeight="1">
      <c r="A50" s="18" t="s">
        <v>987</v>
      </c>
      <c r="B50" s="18" t="s">
        <v>988</v>
      </c>
      <c r="C50" s="358" t="s">
        <v>7040</v>
      </c>
      <c r="D50" s="18" t="s">
        <v>45</v>
      </c>
      <c r="E50" s="359">
        <v>476.0</v>
      </c>
      <c r="F50" s="359">
        <v>5.0</v>
      </c>
      <c r="G50" s="359">
        <v>29.0</v>
      </c>
      <c r="H50" s="359">
        <v>35.0</v>
      </c>
      <c r="I50" s="359">
        <v>64.0</v>
      </c>
      <c r="J50" s="360">
        <v>0.45</v>
      </c>
      <c r="K50" s="18" t="s">
        <v>989</v>
      </c>
      <c r="L50" s="18">
        <v>5.323047605E9</v>
      </c>
      <c r="M50" s="18" t="s">
        <v>72</v>
      </c>
      <c r="N50" s="18" t="s">
        <v>509</v>
      </c>
      <c r="O50" s="18" t="s">
        <v>990</v>
      </c>
      <c r="P50" s="18" t="s">
        <v>7041</v>
      </c>
      <c r="Q50" s="20">
        <f>COUNTIF('Hedef Liste'!A:A,A50)</f>
        <v>1</v>
      </c>
    </row>
    <row r="51" ht="15.75" hidden="1" customHeight="1">
      <c r="A51" s="18" t="s">
        <v>4759</v>
      </c>
      <c r="B51" s="18" t="s">
        <v>4760</v>
      </c>
      <c r="C51" s="358" t="s">
        <v>7040</v>
      </c>
      <c r="D51" s="18" t="s">
        <v>356</v>
      </c>
      <c r="E51" s="359">
        <v>710.0</v>
      </c>
      <c r="F51" s="359">
        <v>22.0</v>
      </c>
      <c r="G51" s="359">
        <v>0.0</v>
      </c>
      <c r="H51" s="359">
        <v>39.0</v>
      </c>
      <c r="I51" s="359">
        <v>39.0</v>
      </c>
      <c r="J51" s="360">
        <v>0.0</v>
      </c>
      <c r="K51" s="18" t="s">
        <v>4761</v>
      </c>
      <c r="L51" s="18">
        <v>5.413876343E9</v>
      </c>
      <c r="M51" s="18" t="s">
        <v>63</v>
      </c>
      <c r="N51" s="18" t="s">
        <v>318</v>
      </c>
      <c r="O51" s="18" t="s">
        <v>4762</v>
      </c>
      <c r="P51" s="18" t="s">
        <v>7041</v>
      </c>
      <c r="Q51" s="20">
        <f>COUNTIF('Hedef Liste'!A:A,A51)</f>
        <v>1</v>
      </c>
    </row>
    <row r="52" ht="15.75" hidden="1" customHeight="1">
      <c r="A52" s="18" t="s">
        <v>4557</v>
      </c>
      <c r="B52" s="18" t="s">
        <v>4558</v>
      </c>
      <c r="C52" s="358" t="s">
        <v>7040</v>
      </c>
      <c r="D52" s="18" t="s">
        <v>363</v>
      </c>
      <c r="E52" s="359">
        <v>2076.0</v>
      </c>
      <c r="F52" s="359">
        <v>71.0</v>
      </c>
      <c r="G52" s="359">
        <v>40.0</v>
      </c>
      <c r="H52" s="359">
        <v>26.0</v>
      </c>
      <c r="I52" s="359">
        <v>66.0</v>
      </c>
      <c r="J52" s="360">
        <v>0.61</v>
      </c>
      <c r="K52" s="18" t="s">
        <v>4559</v>
      </c>
      <c r="L52" s="18">
        <v>3.243266599E9</v>
      </c>
      <c r="M52" s="18" t="s">
        <v>72</v>
      </c>
      <c r="N52" s="18" t="s">
        <v>113</v>
      </c>
      <c r="O52" s="18" t="s">
        <v>4560</v>
      </c>
      <c r="P52" s="18" t="s">
        <v>7041</v>
      </c>
      <c r="Q52" s="20">
        <f>COUNTIF('Hedef Liste'!A:A,A52)</f>
        <v>1</v>
      </c>
    </row>
    <row r="53" ht="15.75" hidden="1" customHeight="1">
      <c r="A53" s="18" t="s">
        <v>4091</v>
      </c>
      <c r="B53" s="18" t="s">
        <v>4092</v>
      </c>
      <c r="C53" s="358" t="s">
        <v>7040</v>
      </c>
      <c r="D53" s="18" t="s">
        <v>118</v>
      </c>
      <c r="E53" s="359">
        <v>2800.0</v>
      </c>
      <c r="F53" s="359">
        <v>41.0</v>
      </c>
      <c r="G53" s="359">
        <v>0.0</v>
      </c>
      <c r="H53" s="359">
        <v>47.0</v>
      </c>
      <c r="I53" s="359">
        <v>47.0</v>
      </c>
      <c r="J53" s="360">
        <v>0.0</v>
      </c>
      <c r="K53" s="18" t="s">
        <v>4093</v>
      </c>
      <c r="L53" s="18">
        <v>5.442168096E9</v>
      </c>
      <c r="M53" s="18" t="s">
        <v>63</v>
      </c>
      <c r="N53" s="18" t="s">
        <v>93</v>
      </c>
      <c r="O53" s="18" t="s">
        <v>4094</v>
      </c>
      <c r="P53" s="18" t="s">
        <v>7041</v>
      </c>
      <c r="Q53" s="20">
        <f>COUNTIF('Hedef Liste'!A:A,A53)</f>
        <v>1</v>
      </c>
    </row>
    <row r="54" ht="15.75" hidden="1" customHeight="1">
      <c r="A54" s="18" t="s">
        <v>7070</v>
      </c>
      <c r="B54" s="18" t="s">
        <v>7071</v>
      </c>
      <c r="C54" s="358" t="s">
        <v>7040</v>
      </c>
      <c r="D54" s="18" t="s">
        <v>167</v>
      </c>
      <c r="E54" s="359">
        <v>1941.0</v>
      </c>
      <c r="F54" s="359">
        <v>119.0</v>
      </c>
      <c r="G54" s="359">
        <v>94.0</v>
      </c>
      <c r="H54" s="359">
        <v>6.0</v>
      </c>
      <c r="I54" s="359">
        <v>100.0</v>
      </c>
      <c r="J54" s="360">
        <v>0.94</v>
      </c>
      <c r="K54" s="18" t="s">
        <v>7045</v>
      </c>
      <c r="L54" s="18">
        <v>3.242338505E9</v>
      </c>
      <c r="M54" s="18" t="s">
        <v>137</v>
      </c>
      <c r="N54" s="18" t="s">
        <v>138</v>
      </c>
      <c r="O54" s="18" t="s">
        <v>7072</v>
      </c>
      <c r="P54" s="18" t="s">
        <v>7047</v>
      </c>
      <c r="Q54" s="20">
        <f>COUNTIF('Hedef Liste'!A:A,A54)</f>
        <v>0</v>
      </c>
    </row>
    <row r="55" ht="15.75" hidden="1" customHeight="1">
      <c r="A55" s="18" t="s">
        <v>7073</v>
      </c>
      <c r="B55" s="18" t="s">
        <v>7074</v>
      </c>
      <c r="C55" s="358" t="s">
        <v>7040</v>
      </c>
      <c r="D55" s="18" t="s">
        <v>167</v>
      </c>
      <c r="E55" s="359">
        <v>1581.0</v>
      </c>
      <c r="F55" s="359">
        <v>62.0</v>
      </c>
      <c r="G55" s="359">
        <v>66.0</v>
      </c>
      <c r="H55" s="359">
        <v>6.0</v>
      </c>
      <c r="I55" s="359">
        <v>72.0</v>
      </c>
      <c r="J55" s="360">
        <v>0.92</v>
      </c>
      <c r="K55" s="18" t="s">
        <v>7045</v>
      </c>
      <c r="L55" s="18">
        <v>5.052319881E9</v>
      </c>
      <c r="M55" s="18" t="s">
        <v>72</v>
      </c>
      <c r="N55" s="18" t="s">
        <v>120</v>
      </c>
      <c r="O55" s="18" t="s">
        <v>7075</v>
      </c>
      <c r="P55" s="18" t="s">
        <v>7047</v>
      </c>
      <c r="Q55" s="20">
        <f>COUNTIF('Hedef Liste'!A:A,A55)</f>
        <v>0</v>
      </c>
    </row>
    <row r="56" ht="15.75" hidden="1" customHeight="1">
      <c r="A56" s="18" t="s">
        <v>2948</v>
      </c>
      <c r="B56" s="18" t="s">
        <v>2949</v>
      </c>
      <c r="C56" s="358" t="s">
        <v>7040</v>
      </c>
      <c r="D56" s="18" t="s">
        <v>356</v>
      </c>
      <c r="E56" s="359">
        <v>1478.0</v>
      </c>
      <c r="F56" s="359">
        <v>80.0</v>
      </c>
      <c r="G56" s="359">
        <v>0.0</v>
      </c>
      <c r="H56" s="359">
        <v>84.0</v>
      </c>
      <c r="I56" s="359">
        <v>84.0</v>
      </c>
      <c r="J56" s="360">
        <v>0.0</v>
      </c>
      <c r="K56" s="18" t="s">
        <v>2950</v>
      </c>
      <c r="L56" s="18">
        <v>5.308722276E9</v>
      </c>
      <c r="M56" s="18" t="s">
        <v>63</v>
      </c>
      <c r="N56" s="18" t="s">
        <v>566</v>
      </c>
      <c r="O56" s="18" t="s">
        <v>2951</v>
      </c>
      <c r="P56" s="18" t="s">
        <v>7041</v>
      </c>
      <c r="Q56" s="20">
        <f>COUNTIF('Hedef Liste'!A:A,A56)</f>
        <v>1</v>
      </c>
    </row>
    <row r="57" ht="15.75" hidden="1" customHeight="1">
      <c r="A57" s="18" t="s">
        <v>3876</v>
      </c>
      <c r="B57" s="18" t="s">
        <v>3877</v>
      </c>
      <c r="C57" s="358" t="s">
        <v>7040</v>
      </c>
      <c r="D57" s="18" t="s">
        <v>372</v>
      </c>
      <c r="E57" s="359">
        <v>1619.0</v>
      </c>
      <c r="F57" s="359">
        <v>88.0</v>
      </c>
      <c r="G57" s="359">
        <v>0.0</v>
      </c>
      <c r="H57" s="359">
        <v>120.0</v>
      </c>
      <c r="I57" s="359">
        <v>120.0</v>
      </c>
      <c r="J57" s="360">
        <v>0.0</v>
      </c>
      <c r="K57" s="18" t="s">
        <v>3878</v>
      </c>
      <c r="L57" s="18">
        <v>5.495790133E9</v>
      </c>
      <c r="M57" s="18" t="s">
        <v>63</v>
      </c>
      <c r="N57" s="18" t="s">
        <v>100</v>
      </c>
      <c r="O57" s="18" t="s">
        <v>3879</v>
      </c>
      <c r="P57" s="18" t="s">
        <v>7041</v>
      </c>
      <c r="Q57" s="20">
        <f>COUNTIF('Hedef Liste'!A:A,A57)</f>
        <v>1</v>
      </c>
    </row>
    <row r="58" ht="15.75" hidden="1" customHeight="1">
      <c r="A58" s="18" t="s">
        <v>829</v>
      </c>
      <c r="B58" s="18" t="s">
        <v>830</v>
      </c>
      <c r="C58" s="358" t="s">
        <v>7040</v>
      </c>
      <c r="D58" s="18" t="s">
        <v>80</v>
      </c>
      <c r="E58" s="359">
        <v>2819.0</v>
      </c>
      <c r="F58" s="359">
        <v>232.0</v>
      </c>
      <c r="G58" s="359">
        <v>0.0</v>
      </c>
      <c r="H58" s="359">
        <v>16.0</v>
      </c>
      <c r="I58" s="359">
        <v>16.0</v>
      </c>
      <c r="J58" s="360">
        <v>0.0</v>
      </c>
      <c r="K58" s="18" t="s">
        <v>831</v>
      </c>
      <c r="L58" s="18">
        <v>5.331652033E9</v>
      </c>
      <c r="M58" s="18" t="s">
        <v>215</v>
      </c>
      <c r="N58" s="18" t="s">
        <v>325</v>
      </c>
      <c r="O58" s="18" t="s">
        <v>832</v>
      </c>
      <c r="P58" s="18" t="s">
        <v>7041</v>
      </c>
      <c r="Q58" s="20">
        <f>COUNTIF('Hedef Liste'!A:A,A58)</f>
        <v>1</v>
      </c>
    </row>
    <row r="59" ht="15.75" hidden="1" customHeight="1">
      <c r="A59" s="18" t="s">
        <v>4172</v>
      </c>
      <c r="B59" s="18" t="s">
        <v>4173</v>
      </c>
      <c r="C59" s="358" t="s">
        <v>7040</v>
      </c>
      <c r="D59" s="18" t="s">
        <v>70</v>
      </c>
      <c r="E59" s="359">
        <v>1316.0</v>
      </c>
      <c r="F59" s="359">
        <v>93.0</v>
      </c>
      <c r="G59" s="359">
        <v>11.0</v>
      </c>
      <c r="H59" s="359">
        <v>7.0</v>
      </c>
      <c r="I59" s="359">
        <v>18.0</v>
      </c>
      <c r="J59" s="360">
        <v>0.61</v>
      </c>
      <c r="K59" s="18" t="s">
        <v>4174</v>
      </c>
      <c r="L59" s="18">
        <v>5.343136153E9</v>
      </c>
      <c r="M59" s="18" t="s">
        <v>137</v>
      </c>
      <c r="N59" s="18" t="s">
        <v>845</v>
      </c>
      <c r="O59" s="18" t="s">
        <v>4175</v>
      </c>
      <c r="P59" s="18" t="s">
        <v>7041</v>
      </c>
      <c r="Q59" s="20">
        <f>COUNTIF('Hedef Liste'!A:A,A59)</f>
        <v>1</v>
      </c>
    </row>
    <row r="60" ht="15.75" hidden="1" customHeight="1">
      <c r="A60" s="18" t="s">
        <v>7076</v>
      </c>
      <c r="B60" s="18" t="s">
        <v>7077</v>
      </c>
      <c r="C60" s="358" t="s">
        <v>7040</v>
      </c>
      <c r="D60" s="18" t="s">
        <v>167</v>
      </c>
      <c r="E60" s="359">
        <v>83.0</v>
      </c>
      <c r="F60" s="359">
        <v>22.0</v>
      </c>
      <c r="G60" s="359">
        <v>57.0</v>
      </c>
      <c r="H60" s="359">
        <v>3.0</v>
      </c>
      <c r="I60" s="359">
        <v>60.0</v>
      </c>
      <c r="J60" s="360">
        <v>0.95</v>
      </c>
      <c r="K60" s="18" t="s">
        <v>7045</v>
      </c>
      <c r="L60" s="18">
        <v>5.30364459E9</v>
      </c>
      <c r="M60" s="18" t="s">
        <v>156</v>
      </c>
      <c r="N60" s="18" t="s">
        <v>2057</v>
      </c>
      <c r="O60" s="18" t="s">
        <v>7078</v>
      </c>
      <c r="P60" s="18" t="s">
        <v>7047</v>
      </c>
      <c r="Q60" s="20">
        <f>COUNTIF('Hedef Liste'!A:A,A60)</f>
        <v>0</v>
      </c>
    </row>
    <row r="61" ht="15.75" hidden="1" customHeight="1">
      <c r="A61" s="18" t="s">
        <v>7079</v>
      </c>
      <c r="B61" s="18" t="s">
        <v>7080</v>
      </c>
      <c r="C61" s="358" t="s">
        <v>7040</v>
      </c>
      <c r="D61" s="18" t="s">
        <v>167</v>
      </c>
      <c r="E61" s="359">
        <v>2845.0</v>
      </c>
      <c r="F61" s="359">
        <v>115.0</v>
      </c>
      <c r="G61" s="359">
        <v>44.0</v>
      </c>
      <c r="H61" s="359">
        <v>2.0</v>
      </c>
      <c r="I61" s="359">
        <v>46.0</v>
      </c>
      <c r="J61" s="360">
        <v>0.96</v>
      </c>
      <c r="K61" s="18" t="s">
        <v>7045</v>
      </c>
      <c r="L61" s="18">
        <v>5.301323313E9</v>
      </c>
      <c r="M61" s="18" t="s">
        <v>72</v>
      </c>
      <c r="N61" s="18" t="s">
        <v>73</v>
      </c>
      <c r="O61" s="18" t="s">
        <v>7081</v>
      </c>
      <c r="P61" s="18" t="s">
        <v>7047</v>
      </c>
      <c r="Q61" s="20">
        <f>COUNTIF('Hedef Liste'!A:A,A61)</f>
        <v>0</v>
      </c>
    </row>
    <row r="62" ht="15.75" hidden="1" customHeight="1">
      <c r="A62" s="18" t="s">
        <v>7082</v>
      </c>
      <c r="B62" s="18" t="s">
        <v>7083</v>
      </c>
      <c r="C62" s="358" t="s">
        <v>7040</v>
      </c>
      <c r="D62" s="18" t="s">
        <v>106</v>
      </c>
      <c r="E62" s="359">
        <v>17811.0</v>
      </c>
      <c r="F62" s="359">
        <v>589.0</v>
      </c>
      <c r="G62" s="359">
        <v>82.0</v>
      </c>
      <c r="H62" s="359">
        <v>1.0</v>
      </c>
      <c r="I62" s="359">
        <v>83.0</v>
      </c>
      <c r="J62" s="360">
        <v>0.99</v>
      </c>
      <c r="K62" s="18" t="s">
        <v>7084</v>
      </c>
      <c r="L62" s="18">
        <v>1.111111111E9</v>
      </c>
      <c r="M62" s="18" t="s">
        <v>72</v>
      </c>
      <c r="N62" s="18" t="s">
        <v>538</v>
      </c>
      <c r="O62" s="18" t="s">
        <v>7085</v>
      </c>
      <c r="P62" s="18" t="s">
        <v>7047</v>
      </c>
      <c r="Q62" s="20">
        <f>COUNTIF('Hedef Liste'!A:A,A62)</f>
        <v>0</v>
      </c>
    </row>
    <row r="63" ht="15.75" hidden="1" customHeight="1">
      <c r="A63" s="18" t="s">
        <v>1003</v>
      </c>
      <c r="B63" s="18" t="s">
        <v>1004</v>
      </c>
      <c r="C63" s="358" t="s">
        <v>7040</v>
      </c>
      <c r="D63" s="18" t="s">
        <v>363</v>
      </c>
      <c r="E63" s="359">
        <v>1471.0</v>
      </c>
      <c r="F63" s="359">
        <v>143.0</v>
      </c>
      <c r="G63" s="359">
        <v>58.0</v>
      </c>
      <c r="H63" s="359">
        <v>2.0</v>
      </c>
      <c r="I63" s="359">
        <v>60.0</v>
      </c>
      <c r="J63" s="360">
        <v>0.97</v>
      </c>
      <c r="K63" s="18" t="s">
        <v>1005</v>
      </c>
      <c r="L63" s="18">
        <v>3.243256066E9</v>
      </c>
      <c r="M63" s="18" t="s">
        <v>72</v>
      </c>
      <c r="N63" s="18" t="s">
        <v>113</v>
      </c>
      <c r="O63" s="18" t="s">
        <v>1006</v>
      </c>
      <c r="P63" s="18" t="s">
        <v>7041</v>
      </c>
      <c r="Q63" s="20">
        <f>COUNTIF('Hedef Liste'!A:A,A63)</f>
        <v>1</v>
      </c>
    </row>
    <row r="64" ht="15.75" hidden="1" customHeight="1">
      <c r="A64" s="18" t="s">
        <v>1684</v>
      </c>
      <c r="B64" s="18" t="s">
        <v>1685</v>
      </c>
      <c r="C64" s="358" t="s">
        <v>7040</v>
      </c>
      <c r="D64" s="18" t="s">
        <v>363</v>
      </c>
      <c r="E64" s="359">
        <v>776.0</v>
      </c>
      <c r="F64" s="359">
        <v>60.0</v>
      </c>
      <c r="G64" s="359">
        <v>23.0</v>
      </c>
      <c r="H64" s="359">
        <v>66.0</v>
      </c>
      <c r="I64" s="359">
        <v>89.0</v>
      </c>
      <c r="J64" s="360">
        <v>0.26</v>
      </c>
      <c r="K64" s="18" t="s">
        <v>1686</v>
      </c>
      <c r="L64" s="18">
        <v>3.243288383E9</v>
      </c>
      <c r="M64" s="18" t="s">
        <v>72</v>
      </c>
      <c r="N64" s="18" t="s">
        <v>128</v>
      </c>
      <c r="O64" s="18" t="s">
        <v>1687</v>
      </c>
      <c r="P64" s="18" t="s">
        <v>7041</v>
      </c>
      <c r="Q64" s="20">
        <f>COUNTIF('Hedef Liste'!A:A,A64)</f>
        <v>1</v>
      </c>
    </row>
    <row r="65" ht="15.75" hidden="1" customHeight="1">
      <c r="A65" s="18" t="s">
        <v>2183</v>
      </c>
      <c r="B65" s="18" t="s">
        <v>2184</v>
      </c>
      <c r="C65" s="358" t="s">
        <v>7040</v>
      </c>
      <c r="D65" s="18" t="s">
        <v>70</v>
      </c>
      <c r="E65" s="359">
        <v>17400.0</v>
      </c>
      <c r="F65" s="359">
        <v>362.0</v>
      </c>
      <c r="G65" s="359">
        <v>38.0</v>
      </c>
      <c r="H65" s="359">
        <v>7.0</v>
      </c>
      <c r="I65" s="359">
        <v>45.0</v>
      </c>
      <c r="J65" s="360">
        <v>0.84</v>
      </c>
      <c r="K65" s="18" t="s">
        <v>2180</v>
      </c>
      <c r="L65" s="18">
        <v>3.24359303E9</v>
      </c>
      <c r="M65" s="18" t="s">
        <v>63</v>
      </c>
      <c r="N65" s="18" t="s">
        <v>318</v>
      </c>
      <c r="O65" s="18" t="s">
        <v>2185</v>
      </c>
      <c r="P65" s="18" t="s">
        <v>7041</v>
      </c>
      <c r="Q65" s="20">
        <f>COUNTIF('Hedef Liste'!A:A,A65)</f>
        <v>1</v>
      </c>
    </row>
    <row r="66" ht="15.75" hidden="1" customHeight="1">
      <c r="A66" s="18" t="s">
        <v>4312</v>
      </c>
      <c r="B66" s="18" t="s">
        <v>4313</v>
      </c>
      <c r="C66" s="358" t="s">
        <v>7040</v>
      </c>
      <c r="D66" s="18" t="s">
        <v>167</v>
      </c>
      <c r="E66" s="359">
        <v>856.0</v>
      </c>
      <c r="F66" s="359">
        <v>52.0</v>
      </c>
      <c r="G66" s="359">
        <v>10.0</v>
      </c>
      <c r="H66" s="359">
        <v>18.0</v>
      </c>
      <c r="I66" s="359">
        <v>28.0</v>
      </c>
      <c r="J66" s="360">
        <v>0.36</v>
      </c>
      <c r="K66" s="18" t="s">
        <v>4314</v>
      </c>
      <c r="L66" s="18">
        <v>5.535888979E9</v>
      </c>
      <c r="M66" s="18" t="s">
        <v>72</v>
      </c>
      <c r="N66" s="18" t="s">
        <v>333</v>
      </c>
      <c r="O66" s="18" t="s">
        <v>4315</v>
      </c>
      <c r="P66" s="18" t="s">
        <v>7041</v>
      </c>
      <c r="Q66" s="20">
        <f>COUNTIF('Hedef Liste'!A:A,A66)</f>
        <v>1</v>
      </c>
    </row>
    <row r="67" ht="15.75" hidden="1" customHeight="1">
      <c r="A67" s="18" t="s">
        <v>868</v>
      </c>
      <c r="B67" s="18" t="s">
        <v>869</v>
      </c>
      <c r="C67" s="358" t="s">
        <v>7040</v>
      </c>
      <c r="D67" s="18" t="s">
        <v>45</v>
      </c>
      <c r="E67" s="359">
        <v>7096.0</v>
      </c>
      <c r="F67" s="359">
        <v>164.0</v>
      </c>
      <c r="G67" s="359">
        <v>15.0</v>
      </c>
      <c r="H67" s="359">
        <v>46.0</v>
      </c>
      <c r="I67" s="359">
        <v>61.0</v>
      </c>
      <c r="J67" s="360">
        <v>0.25</v>
      </c>
      <c r="K67" s="18" t="s">
        <v>870</v>
      </c>
      <c r="L67" s="18">
        <v>3.243410707E9</v>
      </c>
      <c r="M67" s="18" t="s">
        <v>72</v>
      </c>
      <c r="N67" s="18" t="s">
        <v>73</v>
      </c>
      <c r="O67" s="18" t="s">
        <v>871</v>
      </c>
      <c r="P67" s="18" t="s">
        <v>7041</v>
      </c>
      <c r="Q67" s="20">
        <f>COUNTIF('Hedef Liste'!A:A,A67)</f>
        <v>1</v>
      </c>
    </row>
    <row r="68" ht="15.75" hidden="1" customHeight="1">
      <c r="A68" s="18" t="s">
        <v>4261</v>
      </c>
      <c r="B68" s="18" t="s">
        <v>4262</v>
      </c>
      <c r="C68" s="358" t="s">
        <v>7040</v>
      </c>
      <c r="D68" s="18" t="s">
        <v>80</v>
      </c>
      <c r="E68" s="359">
        <v>3366.0</v>
      </c>
      <c r="F68" s="359">
        <v>126.0</v>
      </c>
      <c r="G68" s="359">
        <v>11.0</v>
      </c>
      <c r="H68" s="359">
        <v>5.0</v>
      </c>
      <c r="I68" s="359">
        <v>16.0</v>
      </c>
      <c r="J68" s="360">
        <v>0.69</v>
      </c>
      <c r="K68" s="18" t="s">
        <v>4263</v>
      </c>
      <c r="L68" s="18">
        <v>3.24239014E9</v>
      </c>
      <c r="M68" s="18" t="s">
        <v>72</v>
      </c>
      <c r="N68" s="18" t="s">
        <v>113</v>
      </c>
      <c r="O68" s="18" t="s">
        <v>1006</v>
      </c>
      <c r="P68" s="18" t="s">
        <v>7041</v>
      </c>
      <c r="Q68" s="20">
        <f>COUNTIF('Hedef Liste'!A:A,A68)</f>
        <v>1</v>
      </c>
    </row>
    <row r="69" ht="15.75" hidden="1" customHeight="1">
      <c r="A69" s="18" t="s">
        <v>1825</v>
      </c>
      <c r="B69" s="18" t="s">
        <v>1826</v>
      </c>
      <c r="C69" s="358" t="s">
        <v>7040</v>
      </c>
      <c r="D69" s="18" t="s">
        <v>45</v>
      </c>
      <c r="E69" s="359">
        <v>883.0</v>
      </c>
      <c r="F69" s="359">
        <v>32.0</v>
      </c>
      <c r="G69" s="359">
        <v>9.0</v>
      </c>
      <c r="H69" s="359">
        <v>70.0</v>
      </c>
      <c r="I69" s="359">
        <v>79.0</v>
      </c>
      <c r="J69" s="360">
        <v>0.11</v>
      </c>
      <c r="K69" s="18" t="s">
        <v>1827</v>
      </c>
      <c r="L69" s="18">
        <v>3.24933405E9</v>
      </c>
      <c r="M69" s="18" t="s">
        <v>47</v>
      </c>
      <c r="N69" s="18" t="s">
        <v>489</v>
      </c>
      <c r="O69" s="18" t="s">
        <v>1828</v>
      </c>
      <c r="P69" s="18" t="s">
        <v>7041</v>
      </c>
      <c r="Q69" s="20">
        <f>COUNTIF('Hedef Liste'!A:A,A69)</f>
        <v>1</v>
      </c>
    </row>
    <row r="70" ht="15.75" hidden="1" customHeight="1">
      <c r="A70" s="18" t="s">
        <v>4325</v>
      </c>
      <c r="B70" s="18" t="s">
        <v>7086</v>
      </c>
      <c r="C70" s="358" t="s">
        <v>7040</v>
      </c>
      <c r="D70" s="18" t="s">
        <v>167</v>
      </c>
      <c r="E70" s="359">
        <v>4561.0</v>
      </c>
      <c r="F70" s="359">
        <v>119.0</v>
      </c>
      <c r="G70" s="359">
        <v>9.0</v>
      </c>
      <c r="H70" s="359">
        <v>9.0</v>
      </c>
      <c r="I70" s="359">
        <v>18.0</v>
      </c>
      <c r="J70" s="360">
        <v>0.5</v>
      </c>
      <c r="K70" s="18" t="s">
        <v>4327</v>
      </c>
      <c r="L70" s="18">
        <v>5.33318337E9</v>
      </c>
      <c r="M70" s="18" t="s">
        <v>72</v>
      </c>
      <c r="N70" s="18" t="s">
        <v>1298</v>
      </c>
      <c r="O70" s="18" t="s">
        <v>4328</v>
      </c>
      <c r="P70" s="18" t="s">
        <v>7041</v>
      </c>
      <c r="Q70" s="20">
        <f>COUNTIF('Hedef Liste'!A:A,A70)</f>
        <v>1</v>
      </c>
    </row>
    <row r="71" ht="15.75" hidden="1" customHeight="1">
      <c r="A71" s="18" t="s">
        <v>7087</v>
      </c>
      <c r="B71" s="18" t="s">
        <v>7088</v>
      </c>
      <c r="C71" s="358" t="s">
        <v>7040</v>
      </c>
      <c r="D71" s="18" t="s">
        <v>45</v>
      </c>
      <c r="E71" s="359">
        <v>12304.0</v>
      </c>
      <c r="F71" s="359">
        <v>322.0</v>
      </c>
      <c r="G71" s="359">
        <v>97.0</v>
      </c>
      <c r="H71" s="359">
        <v>0.0</v>
      </c>
      <c r="I71" s="359">
        <v>97.0</v>
      </c>
      <c r="J71" s="360">
        <v>1.0</v>
      </c>
      <c r="K71" s="18" t="s">
        <v>7050</v>
      </c>
      <c r="L71" s="18">
        <v>2.123363575E9</v>
      </c>
      <c r="M71" s="18" t="s">
        <v>72</v>
      </c>
      <c r="N71" s="18" t="s">
        <v>538</v>
      </c>
      <c r="O71" s="18" t="s">
        <v>7089</v>
      </c>
      <c r="P71" s="18" t="s">
        <v>7047</v>
      </c>
      <c r="Q71" s="20">
        <f>COUNTIF('Hedef Liste'!A:A,A71)</f>
        <v>0</v>
      </c>
    </row>
    <row r="72" ht="15.75" hidden="1" customHeight="1">
      <c r="A72" s="18" t="s">
        <v>7090</v>
      </c>
      <c r="B72" s="18" t="s">
        <v>7091</v>
      </c>
      <c r="C72" s="358" t="s">
        <v>7040</v>
      </c>
      <c r="D72" s="18" t="s">
        <v>45</v>
      </c>
      <c r="E72" s="359">
        <v>25540.0</v>
      </c>
      <c r="F72" s="359">
        <v>672.0</v>
      </c>
      <c r="G72" s="359">
        <v>96.0</v>
      </c>
      <c r="H72" s="359">
        <v>0.0</v>
      </c>
      <c r="I72" s="359">
        <v>96.0</v>
      </c>
      <c r="J72" s="360">
        <v>1.0</v>
      </c>
      <c r="K72" s="18" t="s">
        <v>7050</v>
      </c>
      <c r="L72" s="18">
        <v>2.123363575E9</v>
      </c>
      <c r="M72" s="18" t="s">
        <v>72</v>
      </c>
      <c r="N72" s="18" t="s">
        <v>915</v>
      </c>
      <c r="O72" s="18" t="s">
        <v>7092</v>
      </c>
      <c r="P72" s="18" t="s">
        <v>7047</v>
      </c>
      <c r="Q72" s="20">
        <f>COUNTIF('Hedef Liste'!A:A,A72)</f>
        <v>0</v>
      </c>
    </row>
    <row r="73" ht="15.75" hidden="1" customHeight="1">
      <c r="A73" s="18" t="s">
        <v>4105</v>
      </c>
      <c r="B73" s="18" t="s">
        <v>4106</v>
      </c>
      <c r="C73" s="358" t="s">
        <v>7040</v>
      </c>
      <c r="D73" s="18" t="s">
        <v>45</v>
      </c>
      <c r="E73" s="359">
        <v>2725.0</v>
      </c>
      <c r="F73" s="359">
        <v>83.0</v>
      </c>
      <c r="G73" s="359">
        <v>0.0</v>
      </c>
      <c r="H73" s="359">
        <v>55.0</v>
      </c>
      <c r="I73" s="359">
        <v>55.0</v>
      </c>
      <c r="J73" s="360">
        <v>0.0</v>
      </c>
      <c r="K73" s="18" t="s">
        <v>4107</v>
      </c>
      <c r="L73" s="18">
        <v>5.330983373E9</v>
      </c>
      <c r="M73" s="18" t="s">
        <v>156</v>
      </c>
      <c r="N73" s="18" t="s">
        <v>338</v>
      </c>
      <c r="O73" s="18" t="s">
        <v>3404</v>
      </c>
      <c r="P73" s="18" t="s">
        <v>7041</v>
      </c>
      <c r="Q73" s="20">
        <f>COUNTIF('Hedef Liste'!A:A,A73)</f>
        <v>1</v>
      </c>
    </row>
    <row r="74" ht="15.75" hidden="1" customHeight="1">
      <c r="A74" s="18" t="s">
        <v>1423</v>
      </c>
      <c r="B74" s="18" t="s">
        <v>1424</v>
      </c>
      <c r="C74" s="358" t="s">
        <v>7040</v>
      </c>
      <c r="D74" s="18" t="s">
        <v>167</v>
      </c>
      <c r="E74" s="359">
        <v>894.0</v>
      </c>
      <c r="F74" s="359">
        <v>38.0</v>
      </c>
      <c r="G74" s="359">
        <v>4.0</v>
      </c>
      <c r="H74" s="359">
        <v>16.0</v>
      </c>
      <c r="I74" s="359">
        <v>20.0</v>
      </c>
      <c r="J74" s="360">
        <v>0.2</v>
      </c>
      <c r="K74" s="18" t="s">
        <v>1425</v>
      </c>
      <c r="L74" s="18">
        <v>5.433797201E9</v>
      </c>
      <c r="M74" s="18" t="s">
        <v>72</v>
      </c>
      <c r="N74" s="18" t="s">
        <v>73</v>
      </c>
      <c r="O74" s="18" t="s">
        <v>1426</v>
      </c>
      <c r="P74" s="18" t="s">
        <v>7041</v>
      </c>
      <c r="Q74" s="20">
        <f>COUNTIF('Hedef Liste'!A:A,A74)</f>
        <v>1</v>
      </c>
    </row>
    <row r="75" ht="15.75" hidden="1" customHeight="1">
      <c r="A75" s="18" t="s">
        <v>2329</v>
      </c>
      <c r="B75" s="18" t="s">
        <v>7093</v>
      </c>
      <c r="C75" s="358" t="s">
        <v>7040</v>
      </c>
      <c r="D75" s="18" t="s">
        <v>80</v>
      </c>
      <c r="E75" s="359">
        <v>2388.0</v>
      </c>
      <c r="F75" s="359">
        <v>52.0</v>
      </c>
      <c r="G75" s="359">
        <v>15.0</v>
      </c>
      <c r="H75" s="359">
        <v>2.0</v>
      </c>
      <c r="I75" s="359">
        <v>17.0</v>
      </c>
      <c r="J75" s="360">
        <v>0.88</v>
      </c>
      <c r="K75" s="18" t="s">
        <v>7094</v>
      </c>
      <c r="L75" s="18">
        <v>3.243259329E9</v>
      </c>
      <c r="M75" s="18" t="s">
        <v>72</v>
      </c>
      <c r="N75" s="18" t="s">
        <v>73</v>
      </c>
      <c r="O75" s="18" t="s">
        <v>2332</v>
      </c>
      <c r="P75" s="18" t="s">
        <v>7041</v>
      </c>
      <c r="Q75" s="20">
        <f>COUNTIF('Hedef Liste'!A:A,A75)</f>
        <v>1</v>
      </c>
    </row>
    <row r="76" ht="15.75" hidden="1" customHeight="1">
      <c r="A76" s="18" t="s">
        <v>1077</v>
      </c>
      <c r="B76" s="18" t="s">
        <v>1078</v>
      </c>
      <c r="C76" s="358" t="s">
        <v>7040</v>
      </c>
      <c r="D76" s="18" t="s">
        <v>80</v>
      </c>
      <c r="E76" s="359">
        <v>4057.0</v>
      </c>
      <c r="F76" s="359">
        <v>221.0</v>
      </c>
      <c r="G76" s="359">
        <v>0.0</v>
      </c>
      <c r="H76" s="359">
        <v>16.0</v>
      </c>
      <c r="I76" s="359">
        <v>16.0</v>
      </c>
      <c r="J76" s="360">
        <v>0.0</v>
      </c>
      <c r="K76" s="18" t="s">
        <v>1079</v>
      </c>
      <c r="L76" s="18">
        <v>5.417853999E9</v>
      </c>
      <c r="M76" s="18" t="s">
        <v>72</v>
      </c>
      <c r="N76" s="18" t="s">
        <v>82</v>
      </c>
      <c r="O76" s="18" t="s">
        <v>1080</v>
      </c>
      <c r="P76" s="18" t="s">
        <v>7041</v>
      </c>
      <c r="Q76" s="20">
        <f>COUNTIF('Hedef Liste'!A:A,A76)</f>
        <v>1</v>
      </c>
    </row>
    <row r="77" ht="15.75" hidden="1" customHeight="1">
      <c r="A77" s="18" t="s">
        <v>3766</v>
      </c>
      <c r="B77" s="18" t="s">
        <v>7095</v>
      </c>
      <c r="C77" s="358" t="s">
        <v>7040</v>
      </c>
      <c r="D77" s="18" t="s">
        <v>372</v>
      </c>
      <c r="E77" s="359">
        <v>1694.0</v>
      </c>
      <c r="F77" s="359">
        <v>44.0</v>
      </c>
      <c r="G77" s="359">
        <v>0.0</v>
      </c>
      <c r="H77" s="359">
        <v>49.0</v>
      </c>
      <c r="I77" s="359">
        <v>49.0</v>
      </c>
      <c r="J77" s="360">
        <v>0.0</v>
      </c>
      <c r="K77" s="18" t="s">
        <v>3768</v>
      </c>
      <c r="L77" s="18">
        <v>3.242333232E9</v>
      </c>
      <c r="M77" s="18" t="s">
        <v>215</v>
      </c>
      <c r="N77" s="18" t="s">
        <v>227</v>
      </c>
      <c r="O77" s="18" t="s">
        <v>7096</v>
      </c>
      <c r="P77" s="18" t="s">
        <v>7041</v>
      </c>
      <c r="Q77" s="20">
        <f>COUNTIF('Hedef Liste'!A:A,A77)</f>
        <v>1</v>
      </c>
    </row>
    <row r="78" ht="15.75" hidden="1" customHeight="1">
      <c r="A78" s="18" t="s">
        <v>598</v>
      </c>
      <c r="B78" s="18" t="s">
        <v>599</v>
      </c>
      <c r="C78" s="358" t="s">
        <v>7040</v>
      </c>
      <c r="D78" s="18" t="s">
        <v>45</v>
      </c>
      <c r="E78" s="359">
        <v>2490.0</v>
      </c>
      <c r="F78" s="359">
        <v>199.0</v>
      </c>
      <c r="G78" s="359">
        <v>11.0</v>
      </c>
      <c r="H78" s="359">
        <v>11.0</v>
      </c>
      <c r="I78" s="359">
        <v>22.0</v>
      </c>
      <c r="J78" s="360">
        <v>0.5</v>
      </c>
      <c r="K78" s="18" t="s">
        <v>595</v>
      </c>
      <c r="L78" s="18">
        <v>5.313470333E9</v>
      </c>
      <c r="M78" s="18" t="s">
        <v>72</v>
      </c>
      <c r="N78" s="18" t="s">
        <v>113</v>
      </c>
      <c r="O78" s="18" t="s">
        <v>600</v>
      </c>
      <c r="P78" s="18" t="s">
        <v>7041</v>
      </c>
      <c r="Q78" s="20">
        <f>COUNTIF('Hedef Liste'!A:A,A78)</f>
        <v>1</v>
      </c>
    </row>
    <row r="79" ht="15.75" hidden="1" customHeight="1">
      <c r="A79" s="18" t="s">
        <v>546</v>
      </c>
      <c r="B79" s="18" t="s">
        <v>547</v>
      </c>
      <c r="C79" s="358" t="s">
        <v>7062</v>
      </c>
      <c r="D79" s="18" t="s">
        <v>372</v>
      </c>
      <c r="E79" s="359">
        <v>562.0</v>
      </c>
      <c r="F79" s="18"/>
      <c r="G79" s="359">
        <v>5.0</v>
      </c>
      <c r="H79" s="359">
        <v>16.0</v>
      </c>
      <c r="I79" s="359">
        <v>21.0</v>
      </c>
      <c r="J79" s="360">
        <v>0.24</v>
      </c>
      <c r="K79" s="18" t="s">
        <v>537</v>
      </c>
      <c r="L79" s="18">
        <v>3.243415981E9</v>
      </c>
      <c r="M79" s="18" t="s">
        <v>72</v>
      </c>
      <c r="N79" s="18" t="s">
        <v>548</v>
      </c>
      <c r="O79" s="18" t="s">
        <v>549</v>
      </c>
      <c r="P79" s="18" t="s">
        <v>7041</v>
      </c>
      <c r="Q79" s="20">
        <f>COUNTIF('Hedef Liste'!A:A,A79)</f>
        <v>1</v>
      </c>
    </row>
    <row r="80" ht="15.75" hidden="1" customHeight="1">
      <c r="A80" s="18" t="s">
        <v>1173</v>
      </c>
      <c r="B80" s="18" t="s">
        <v>1174</v>
      </c>
      <c r="C80" s="358" t="s">
        <v>7062</v>
      </c>
      <c r="D80" s="18" t="s">
        <v>70</v>
      </c>
      <c r="E80" s="359">
        <v>2058.0</v>
      </c>
      <c r="F80" s="18"/>
      <c r="G80" s="359">
        <v>16.0</v>
      </c>
      <c r="H80" s="359">
        <v>11.0</v>
      </c>
      <c r="I80" s="359">
        <v>27.0</v>
      </c>
      <c r="J80" s="360">
        <v>0.59</v>
      </c>
      <c r="K80" s="18" t="s">
        <v>1175</v>
      </c>
      <c r="L80" s="18">
        <v>3.243581312E9</v>
      </c>
      <c r="M80" s="18" t="s">
        <v>63</v>
      </c>
      <c r="N80" s="18" t="s">
        <v>566</v>
      </c>
      <c r="O80" s="18" t="s">
        <v>1176</v>
      </c>
      <c r="P80" s="18" t="s">
        <v>7041</v>
      </c>
      <c r="Q80" s="20">
        <f>COUNTIF('Hedef Liste'!A:A,A80)</f>
        <v>1</v>
      </c>
    </row>
    <row r="81" ht="15.75" hidden="1" customHeight="1">
      <c r="A81" s="18" t="s">
        <v>2307</v>
      </c>
      <c r="B81" s="18" t="s">
        <v>2308</v>
      </c>
      <c r="C81" s="358" t="s">
        <v>7062</v>
      </c>
      <c r="D81" s="18" t="s">
        <v>363</v>
      </c>
      <c r="E81" s="359">
        <v>961.0</v>
      </c>
      <c r="F81" s="18"/>
      <c r="G81" s="359">
        <v>0.0</v>
      </c>
      <c r="H81" s="359">
        <v>42.0</v>
      </c>
      <c r="I81" s="359">
        <v>42.0</v>
      </c>
      <c r="J81" s="360">
        <v>0.0</v>
      </c>
      <c r="K81" s="18" t="s">
        <v>2300</v>
      </c>
      <c r="L81" s="18">
        <v>3.243410327E9</v>
      </c>
      <c r="M81" s="18" t="s">
        <v>72</v>
      </c>
      <c r="N81" s="18" t="s">
        <v>1090</v>
      </c>
      <c r="O81" s="18" t="s">
        <v>2309</v>
      </c>
      <c r="P81" s="18" t="s">
        <v>7041</v>
      </c>
      <c r="Q81" s="20">
        <f>COUNTIF('Hedef Liste'!A:A,A81)</f>
        <v>1</v>
      </c>
    </row>
    <row r="82" ht="15.75" hidden="1" customHeight="1">
      <c r="A82" s="18" t="s">
        <v>1151</v>
      </c>
      <c r="B82" s="18" t="s">
        <v>1152</v>
      </c>
      <c r="C82" s="358" t="s">
        <v>7040</v>
      </c>
      <c r="D82" s="18" t="s">
        <v>70</v>
      </c>
      <c r="E82" s="359">
        <v>1814.0</v>
      </c>
      <c r="F82" s="359">
        <v>62.0</v>
      </c>
      <c r="G82" s="359">
        <v>23.0</v>
      </c>
      <c r="H82" s="359">
        <v>37.0</v>
      </c>
      <c r="I82" s="359">
        <v>60.0</v>
      </c>
      <c r="J82" s="360">
        <v>0.38</v>
      </c>
      <c r="K82" s="18" t="s">
        <v>1153</v>
      </c>
      <c r="L82" s="18">
        <v>3.243281898E9</v>
      </c>
      <c r="M82" s="18" t="s">
        <v>72</v>
      </c>
      <c r="N82" s="18" t="s">
        <v>716</v>
      </c>
      <c r="O82" s="18" t="s">
        <v>1154</v>
      </c>
      <c r="P82" s="18" t="s">
        <v>7041</v>
      </c>
      <c r="Q82" s="20">
        <f>COUNTIF('Hedef Liste'!A:A,A82)</f>
        <v>1</v>
      </c>
    </row>
    <row r="83" ht="15.75" hidden="1" customHeight="1">
      <c r="A83" s="18" t="s">
        <v>2287</v>
      </c>
      <c r="B83" s="18" t="s">
        <v>2288</v>
      </c>
      <c r="C83" s="358" t="s">
        <v>7040</v>
      </c>
      <c r="D83" s="18" t="s">
        <v>61</v>
      </c>
      <c r="E83" s="359">
        <v>3804.0</v>
      </c>
      <c r="F83" s="359">
        <v>151.0</v>
      </c>
      <c r="G83" s="359">
        <v>7.0</v>
      </c>
      <c r="H83" s="359">
        <v>4.0</v>
      </c>
      <c r="I83" s="359">
        <v>11.0</v>
      </c>
      <c r="J83" s="360">
        <v>0.64</v>
      </c>
      <c r="K83" s="18" t="s">
        <v>2289</v>
      </c>
      <c r="L83" s="18">
        <v>3.249991995E9</v>
      </c>
      <c r="M83" s="18" t="s">
        <v>72</v>
      </c>
      <c r="N83" s="18" t="s">
        <v>538</v>
      </c>
      <c r="O83" s="18" t="s">
        <v>2290</v>
      </c>
      <c r="P83" s="18" t="s">
        <v>7041</v>
      </c>
      <c r="Q83" s="20">
        <f>COUNTIF('Hedef Liste'!A:A,A83)</f>
        <v>1</v>
      </c>
    </row>
    <row r="84" ht="15.75" hidden="1" customHeight="1">
      <c r="A84" s="18" t="s">
        <v>3881</v>
      </c>
      <c r="B84" s="18" t="s">
        <v>3882</v>
      </c>
      <c r="C84" s="358" t="s">
        <v>7040</v>
      </c>
      <c r="D84" s="18" t="s">
        <v>372</v>
      </c>
      <c r="E84" s="359">
        <v>2519.0</v>
      </c>
      <c r="F84" s="359">
        <v>90.0</v>
      </c>
      <c r="G84" s="359">
        <v>2.0</v>
      </c>
      <c r="H84" s="359">
        <v>54.0</v>
      </c>
      <c r="I84" s="359">
        <v>56.0</v>
      </c>
      <c r="J84" s="360">
        <v>0.04</v>
      </c>
      <c r="K84" s="18" t="s">
        <v>3883</v>
      </c>
      <c r="L84" s="18">
        <v>5.55051002E9</v>
      </c>
      <c r="M84" s="18" t="s">
        <v>72</v>
      </c>
      <c r="N84" s="18" t="s">
        <v>73</v>
      </c>
      <c r="O84" s="18" t="s">
        <v>3884</v>
      </c>
      <c r="P84" s="18" t="s">
        <v>7041</v>
      </c>
      <c r="Q84" s="20">
        <f>COUNTIF('Hedef Liste'!A:A,A84)</f>
        <v>1</v>
      </c>
    </row>
    <row r="85" ht="15.75" hidden="1" customHeight="1">
      <c r="A85" s="18" t="s">
        <v>7097</v>
      </c>
      <c r="B85" s="18" t="s">
        <v>7098</v>
      </c>
      <c r="C85" s="358" t="s">
        <v>7040</v>
      </c>
      <c r="D85" s="18" t="s">
        <v>167</v>
      </c>
      <c r="E85" s="359">
        <v>4651.0</v>
      </c>
      <c r="F85" s="359">
        <v>99.0</v>
      </c>
      <c r="G85" s="359">
        <v>60.0</v>
      </c>
      <c r="H85" s="359">
        <v>6.0</v>
      </c>
      <c r="I85" s="359">
        <v>66.0</v>
      </c>
      <c r="J85" s="360">
        <v>0.91</v>
      </c>
      <c r="K85" s="18" t="s">
        <v>7045</v>
      </c>
      <c r="L85" s="18">
        <v>5.44330306E9</v>
      </c>
      <c r="M85" s="18" t="s">
        <v>72</v>
      </c>
      <c r="N85" s="18" t="s">
        <v>113</v>
      </c>
      <c r="O85" s="18" t="s">
        <v>7099</v>
      </c>
      <c r="P85" s="18" t="s">
        <v>7047</v>
      </c>
      <c r="Q85" s="20">
        <f>COUNTIF('Hedef Liste'!A:A,A85)</f>
        <v>0</v>
      </c>
    </row>
    <row r="86" ht="15.75" hidden="1" customHeight="1">
      <c r="A86" s="18" t="s">
        <v>7100</v>
      </c>
      <c r="B86" s="18" t="s">
        <v>7101</v>
      </c>
      <c r="C86" s="358" t="s">
        <v>7062</v>
      </c>
      <c r="D86" s="18" t="s">
        <v>167</v>
      </c>
      <c r="E86" s="18"/>
      <c r="F86" s="18"/>
      <c r="G86" s="359">
        <v>116.0</v>
      </c>
      <c r="H86" s="359">
        <v>4.0</v>
      </c>
      <c r="I86" s="359">
        <v>120.0</v>
      </c>
      <c r="J86" s="360">
        <v>0.97</v>
      </c>
      <c r="K86" s="18" t="s">
        <v>7045</v>
      </c>
      <c r="L86" s="18">
        <v>5.069016345E9</v>
      </c>
      <c r="M86" s="18" t="s">
        <v>215</v>
      </c>
      <c r="N86" s="18" t="s">
        <v>671</v>
      </c>
      <c r="O86" s="18" t="s">
        <v>7102</v>
      </c>
      <c r="P86" s="18" t="s">
        <v>7047</v>
      </c>
      <c r="Q86" s="20">
        <f>COUNTIF('Hedef Liste'!A:A,A86)</f>
        <v>0</v>
      </c>
    </row>
    <row r="87" ht="15.75" hidden="1" customHeight="1">
      <c r="A87" s="18" t="s">
        <v>7103</v>
      </c>
      <c r="B87" s="18" t="s">
        <v>7104</v>
      </c>
      <c r="C87" s="358" t="s">
        <v>7040</v>
      </c>
      <c r="D87" s="18" t="s">
        <v>167</v>
      </c>
      <c r="E87" s="359">
        <v>1103.0</v>
      </c>
      <c r="F87" s="359">
        <v>54.0</v>
      </c>
      <c r="G87" s="359">
        <v>100.0</v>
      </c>
      <c r="H87" s="359">
        <v>4.0</v>
      </c>
      <c r="I87" s="359">
        <v>104.0</v>
      </c>
      <c r="J87" s="360">
        <v>0.96</v>
      </c>
      <c r="K87" s="18" t="s">
        <v>7045</v>
      </c>
      <c r="L87" s="18">
        <v>5.456204249E9</v>
      </c>
      <c r="M87" s="18" t="s">
        <v>156</v>
      </c>
      <c r="N87" s="18" t="s">
        <v>7105</v>
      </c>
      <c r="O87" s="18" t="s">
        <v>7106</v>
      </c>
      <c r="P87" s="18" t="s">
        <v>7047</v>
      </c>
      <c r="Q87" s="20">
        <f>COUNTIF('Hedef Liste'!A:A,A87)</f>
        <v>0</v>
      </c>
    </row>
    <row r="88" ht="15.75" hidden="1" customHeight="1">
      <c r="A88" s="18" t="s">
        <v>7107</v>
      </c>
      <c r="B88" s="18" t="s">
        <v>7108</v>
      </c>
      <c r="C88" s="358" t="s">
        <v>7040</v>
      </c>
      <c r="D88" s="18" t="s">
        <v>167</v>
      </c>
      <c r="E88" s="359">
        <v>1445.0</v>
      </c>
      <c r="F88" s="359">
        <v>26.0</v>
      </c>
      <c r="G88" s="359">
        <v>51.0</v>
      </c>
      <c r="H88" s="359">
        <v>4.0</v>
      </c>
      <c r="I88" s="359">
        <v>55.0</v>
      </c>
      <c r="J88" s="360">
        <v>0.93</v>
      </c>
      <c r="K88" s="18" t="s">
        <v>7045</v>
      </c>
      <c r="L88" s="18">
        <v>5.31305956E9</v>
      </c>
      <c r="M88" s="18" t="s">
        <v>137</v>
      </c>
      <c r="N88" s="18" t="s">
        <v>845</v>
      </c>
      <c r="O88" s="18" t="s">
        <v>7109</v>
      </c>
      <c r="P88" s="18" t="s">
        <v>7047</v>
      </c>
      <c r="Q88" s="20">
        <f>COUNTIF('Hedef Liste'!A:A,A88)</f>
        <v>0</v>
      </c>
    </row>
    <row r="89" ht="15.75" hidden="1" customHeight="1">
      <c r="A89" s="18" t="s">
        <v>3776</v>
      </c>
      <c r="B89" s="18" t="s">
        <v>3777</v>
      </c>
      <c r="C89" s="358" t="s">
        <v>7040</v>
      </c>
      <c r="D89" s="18" t="s">
        <v>372</v>
      </c>
      <c r="E89" s="359">
        <v>2753.0</v>
      </c>
      <c r="F89" s="359">
        <v>105.0</v>
      </c>
      <c r="G89" s="359">
        <v>33.0</v>
      </c>
      <c r="H89" s="359">
        <v>22.0</v>
      </c>
      <c r="I89" s="359">
        <v>55.0</v>
      </c>
      <c r="J89" s="360">
        <v>0.6</v>
      </c>
      <c r="K89" s="18" t="s">
        <v>3778</v>
      </c>
      <c r="L89" s="18">
        <v>5.060589688E9</v>
      </c>
      <c r="M89" s="18" t="s">
        <v>137</v>
      </c>
      <c r="N89" s="18" t="s">
        <v>526</v>
      </c>
      <c r="O89" s="18" t="s">
        <v>3779</v>
      </c>
      <c r="P89" s="18" t="s">
        <v>7041</v>
      </c>
      <c r="Q89" s="20">
        <f>COUNTIF('Hedef Liste'!A:A,A89)</f>
        <v>1</v>
      </c>
    </row>
    <row r="90" ht="15.75" hidden="1" customHeight="1">
      <c r="A90" s="18" t="s">
        <v>3311</v>
      </c>
      <c r="B90" s="18" t="s">
        <v>3312</v>
      </c>
      <c r="C90" s="358" t="s">
        <v>7040</v>
      </c>
      <c r="D90" s="18" t="s">
        <v>80</v>
      </c>
      <c r="E90" s="359">
        <v>2529.0</v>
      </c>
      <c r="F90" s="359">
        <v>48.0</v>
      </c>
      <c r="G90" s="359">
        <v>22.0</v>
      </c>
      <c r="H90" s="359">
        <v>1.0</v>
      </c>
      <c r="I90" s="359">
        <v>23.0</v>
      </c>
      <c r="J90" s="360">
        <v>0.96</v>
      </c>
      <c r="K90" s="18" t="s">
        <v>3308</v>
      </c>
      <c r="L90" s="18">
        <v>5.459482953E9</v>
      </c>
      <c r="M90" s="18" t="s">
        <v>72</v>
      </c>
      <c r="N90" s="18" t="s">
        <v>113</v>
      </c>
      <c r="O90" s="18" t="s">
        <v>3313</v>
      </c>
      <c r="P90" s="18" t="s">
        <v>7041</v>
      </c>
      <c r="Q90" s="20">
        <f>COUNTIF('Hedef Liste'!A:A,A90)</f>
        <v>1</v>
      </c>
    </row>
    <row r="91" ht="15.75" hidden="1" customHeight="1">
      <c r="A91" s="18" t="s">
        <v>3301</v>
      </c>
      <c r="B91" s="18" t="s">
        <v>3302</v>
      </c>
      <c r="C91" s="358" t="s">
        <v>7040</v>
      </c>
      <c r="D91" s="18" t="s">
        <v>80</v>
      </c>
      <c r="E91" s="359">
        <v>556.0</v>
      </c>
      <c r="F91" s="359">
        <v>57.0</v>
      </c>
      <c r="G91" s="359">
        <v>15.0</v>
      </c>
      <c r="H91" s="359">
        <v>8.0</v>
      </c>
      <c r="I91" s="359">
        <v>23.0</v>
      </c>
      <c r="J91" s="360">
        <v>0.65</v>
      </c>
      <c r="K91" s="18" t="s">
        <v>3303</v>
      </c>
      <c r="L91" s="18">
        <v>3.24357578E9</v>
      </c>
      <c r="M91" s="18" t="s">
        <v>63</v>
      </c>
      <c r="N91" s="18" t="s">
        <v>318</v>
      </c>
      <c r="O91" s="18" t="s">
        <v>3304</v>
      </c>
      <c r="P91" s="18" t="s">
        <v>7041</v>
      </c>
      <c r="Q91" s="20">
        <f>COUNTIF('Hedef Liste'!A:A,A91)</f>
        <v>1</v>
      </c>
    </row>
    <row r="92" ht="15.75" hidden="1" customHeight="1">
      <c r="A92" s="18" t="s">
        <v>3904</v>
      </c>
      <c r="B92" s="18" t="s">
        <v>3905</v>
      </c>
      <c r="C92" s="358" t="s">
        <v>7040</v>
      </c>
      <c r="D92" s="18" t="s">
        <v>1063</v>
      </c>
      <c r="E92" s="359">
        <v>1265.0</v>
      </c>
      <c r="F92" s="359">
        <v>38.0</v>
      </c>
      <c r="G92" s="359">
        <v>0.0</v>
      </c>
      <c r="H92" s="359">
        <v>48.0</v>
      </c>
      <c r="I92" s="359">
        <v>48.0</v>
      </c>
      <c r="J92" s="360">
        <v>0.0</v>
      </c>
      <c r="K92" s="18" t="s">
        <v>3906</v>
      </c>
      <c r="L92" s="18">
        <v>5.063894794E9</v>
      </c>
      <c r="M92" s="18" t="s">
        <v>63</v>
      </c>
      <c r="N92" s="18" t="s">
        <v>100</v>
      </c>
      <c r="O92" s="18" t="s">
        <v>3907</v>
      </c>
      <c r="P92" s="18" t="s">
        <v>7041</v>
      </c>
      <c r="Q92" s="20">
        <f>COUNTIF('Hedef Liste'!A:A,A92)</f>
        <v>1</v>
      </c>
    </row>
    <row r="93" ht="15.75" hidden="1" customHeight="1">
      <c r="A93" s="18" t="s">
        <v>3157</v>
      </c>
      <c r="B93" s="18" t="s">
        <v>3158</v>
      </c>
      <c r="C93" s="358" t="s">
        <v>7040</v>
      </c>
      <c r="D93" s="18" t="s">
        <v>80</v>
      </c>
      <c r="E93" s="359">
        <v>487.0</v>
      </c>
      <c r="F93" s="18"/>
      <c r="G93" s="359">
        <v>12.0</v>
      </c>
      <c r="H93" s="359">
        <v>12.0</v>
      </c>
      <c r="I93" s="359">
        <v>24.0</v>
      </c>
      <c r="J93" s="360">
        <v>0.5</v>
      </c>
      <c r="K93" s="18" t="s">
        <v>3159</v>
      </c>
      <c r="L93" s="18">
        <v>3.24328667E9</v>
      </c>
      <c r="M93" s="18" t="s">
        <v>72</v>
      </c>
      <c r="N93" s="18" t="s">
        <v>113</v>
      </c>
      <c r="O93" s="18" t="s">
        <v>3160</v>
      </c>
      <c r="P93" s="18" t="s">
        <v>7041</v>
      </c>
      <c r="Q93" s="20">
        <f>COUNTIF('Hedef Liste'!A:A,A93)</f>
        <v>1</v>
      </c>
    </row>
    <row r="94" ht="15.75" hidden="1" customHeight="1">
      <c r="A94" s="18" t="s">
        <v>3681</v>
      </c>
      <c r="B94" s="18" t="s">
        <v>3682</v>
      </c>
      <c r="C94" s="358" t="s">
        <v>7040</v>
      </c>
      <c r="D94" s="18" t="s">
        <v>363</v>
      </c>
      <c r="E94" s="359">
        <v>1164.0</v>
      </c>
      <c r="F94" s="359">
        <v>60.0</v>
      </c>
      <c r="G94" s="359">
        <v>12.0</v>
      </c>
      <c r="H94" s="359">
        <v>18.0</v>
      </c>
      <c r="I94" s="359">
        <v>30.0</v>
      </c>
      <c r="J94" s="360">
        <v>0.4</v>
      </c>
      <c r="K94" s="18" t="s">
        <v>3683</v>
      </c>
      <c r="L94" s="18">
        <v>3.246266062E9</v>
      </c>
      <c r="M94" s="18" t="s">
        <v>156</v>
      </c>
      <c r="N94" s="18" t="s">
        <v>283</v>
      </c>
      <c r="O94" s="18" t="s">
        <v>3684</v>
      </c>
      <c r="P94" s="18" t="s">
        <v>7041</v>
      </c>
      <c r="Q94" s="20">
        <f>COUNTIF('Hedef Liste'!A:A,A94)</f>
        <v>1</v>
      </c>
    </row>
    <row r="95" ht="15.75" hidden="1" customHeight="1">
      <c r="A95" s="18" t="s">
        <v>7110</v>
      </c>
      <c r="B95" s="18" t="s">
        <v>7111</v>
      </c>
      <c r="C95" s="358" t="s">
        <v>7040</v>
      </c>
      <c r="D95" s="18" t="s">
        <v>372</v>
      </c>
      <c r="E95" s="359">
        <v>8196.0</v>
      </c>
      <c r="F95" s="359">
        <v>328.0</v>
      </c>
      <c r="G95" s="359">
        <v>111.0</v>
      </c>
      <c r="H95" s="359">
        <v>3.0</v>
      </c>
      <c r="I95" s="359">
        <v>114.0</v>
      </c>
      <c r="J95" s="360">
        <v>0.97</v>
      </c>
      <c r="K95" s="18" t="s">
        <v>7112</v>
      </c>
      <c r="L95" s="18">
        <v>3.243574444E9</v>
      </c>
      <c r="M95" s="18" t="s">
        <v>63</v>
      </c>
      <c r="N95" s="18" t="s">
        <v>100</v>
      </c>
      <c r="O95" s="18" t="s">
        <v>7113</v>
      </c>
      <c r="P95" s="18" t="s">
        <v>7047</v>
      </c>
      <c r="Q95" s="20">
        <f>COUNTIF('Hedef Liste'!A:A,A95)</f>
        <v>0</v>
      </c>
    </row>
    <row r="96" ht="15.75" hidden="1" customHeight="1">
      <c r="A96" s="18" t="s">
        <v>708</v>
      </c>
      <c r="B96" s="18" t="s">
        <v>709</v>
      </c>
      <c r="C96" s="358" t="s">
        <v>7040</v>
      </c>
      <c r="D96" s="18" t="s">
        <v>70</v>
      </c>
      <c r="E96" s="359">
        <v>1995.0</v>
      </c>
      <c r="F96" s="359">
        <v>58.0</v>
      </c>
      <c r="G96" s="359">
        <v>0.0</v>
      </c>
      <c r="H96" s="359">
        <v>33.0</v>
      </c>
      <c r="I96" s="359">
        <v>33.0</v>
      </c>
      <c r="J96" s="360">
        <v>0.0</v>
      </c>
      <c r="K96" s="18" t="s">
        <v>710</v>
      </c>
      <c r="L96" s="18">
        <v>3.243572321E9</v>
      </c>
      <c r="M96" s="18" t="s">
        <v>63</v>
      </c>
      <c r="N96" s="18" t="s">
        <v>100</v>
      </c>
      <c r="O96" s="18" t="s">
        <v>711</v>
      </c>
      <c r="P96" s="18" t="s">
        <v>7041</v>
      </c>
      <c r="Q96" s="20">
        <f>COUNTIF('Hedef Liste'!A:A,A96)</f>
        <v>1</v>
      </c>
    </row>
    <row r="97" ht="15.75" hidden="1" customHeight="1">
      <c r="A97" s="18" t="s">
        <v>1264</v>
      </c>
      <c r="B97" s="18" t="s">
        <v>1265</v>
      </c>
      <c r="C97" s="358" t="s">
        <v>7040</v>
      </c>
      <c r="D97" s="18" t="s">
        <v>80</v>
      </c>
      <c r="E97" s="359">
        <v>1491.0</v>
      </c>
      <c r="F97" s="359">
        <v>76.0</v>
      </c>
      <c r="G97" s="359">
        <v>11.0</v>
      </c>
      <c r="H97" s="359">
        <v>7.0</v>
      </c>
      <c r="I97" s="359">
        <v>18.0</v>
      </c>
      <c r="J97" s="360">
        <v>0.61</v>
      </c>
      <c r="K97" s="18" t="s">
        <v>1266</v>
      </c>
      <c r="L97" s="18">
        <v>3.245153038E9</v>
      </c>
      <c r="M97" s="18" t="s">
        <v>47</v>
      </c>
      <c r="N97" s="18" t="s">
        <v>365</v>
      </c>
      <c r="O97" s="18" t="s">
        <v>1267</v>
      </c>
      <c r="P97" s="18" t="s">
        <v>7041</v>
      </c>
      <c r="Q97" s="20">
        <f>COUNTIF('Hedef Liste'!A:A,A97)</f>
        <v>1</v>
      </c>
    </row>
    <row r="98" ht="15.75" hidden="1" customHeight="1">
      <c r="A98" s="18" t="s">
        <v>1881</v>
      </c>
      <c r="B98" s="18" t="s">
        <v>1882</v>
      </c>
      <c r="C98" s="358" t="s">
        <v>7040</v>
      </c>
      <c r="D98" s="18" t="s">
        <v>118</v>
      </c>
      <c r="E98" s="359">
        <v>1776.0</v>
      </c>
      <c r="F98" s="359">
        <v>17.0</v>
      </c>
      <c r="G98" s="359">
        <v>12.0</v>
      </c>
      <c r="H98" s="359">
        <v>35.0</v>
      </c>
      <c r="I98" s="359">
        <v>47.0</v>
      </c>
      <c r="J98" s="360">
        <v>0.26</v>
      </c>
      <c r="K98" s="18" t="s">
        <v>1883</v>
      </c>
      <c r="L98" s="18">
        <v>5.525022399E9</v>
      </c>
      <c r="M98" s="18" t="s">
        <v>47</v>
      </c>
      <c r="N98" s="18" t="s">
        <v>489</v>
      </c>
      <c r="O98" s="18" t="s">
        <v>1884</v>
      </c>
      <c r="P98" s="18" t="s">
        <v>7041</v>
      </c>
      <c r="Q98" s="20">
        <f>COUNTIF('Hedef Liste'!A:A,A98)</f>
        <v>1</v>
      </c>
    </row>
    <row r="99" ht="15.75" hidden="1" customHeight="1">
      <c r="A99" s="18" t="s">
        <v>1295</v>
      </c>
      <c r="B99" s="18" t="s">
        <v>1296</v>
      </c>
      <c r="C99" s="358" t="s">
        <v>7062</v>
      </c>
      <c r="D99" s="18" t="s">
        <v>118</v>
      </c>
      <c r="E99" s="359">
        <v>969.0</v>
      </c>
      <c r="F99" s="18"/>
      <c r="G99" s="359">
        <v>0.0</v>
      </c>
      <c r="H99" s="359">
        <v>19.0</v>
      </c>
      <c r="I99" s="359">
        <v>19.0</v>
      </c>
      <c r="J99" s="360">
        <v>0.0</v>
      </c>
      <c r="K99" s="18" t="s">
        <v>1297</v>
      </c>
      <c r="L99" s="18">
        <v>3.243250029E9</v>
      </c>
      <c r="M99" s="18" t="s">
        <v>72</v>
      </c>
      <c r="N99" s="18" t="s">
        <v>1298</v>
      </c>
      <c r="O99" s="18" t="s">
        <v>1299</v>
      </c>
      <c r="P99" s="18" t="s">
        <v>7041</v>
      </c>
      <c r="Q99" s="20">
        <f>COUNTIF('Hedef Liste'!A:A,A99)</f>
        <v>1</v>
      </c>
    </row>
    <row r="100" ht="15.75" hidden="1" customHeight="1">
      <c r="A100" s="18" t="s">
        <v>3087</v>
      </c>
      <c r="B100" s="18" t="s">
        <v>3088</v>
      </c>
      <c r="C100" s="358" t="s">
        <v>7040</v>
      </c>
      <c r="D100" s="18" t="s">
        <v>80</v>
      </c>
      <c r="E100" s="359">
        <v>1058.0</v>
      </c>
      <c r="F100" s="359">
        <v>38.0</v>
      </c>
      <c r="G100" s="359">
        <v>4.0</v>
      </c>
      <c r="H100" s="359">
        <v>9.0</v>
      </c>
      <c r="I100" s="359">
        <v>13.0</v>
      </c>
      <c r="J100" s="360">
        <v>0.31</v>
      </c>
      <c r="K100" s="18" t="s">
        <v>3089</v>
      </c>
      <c r="L100" s="18">
        <v>3.245021664E9</v>
      </c>
      <c r="M100" s="18" t="s">
        <v>72</v>
      </c>
      <c r="N100" s="18" t="s">
        <v>82</v>
      </c>
      <c r="O100" s="18" t="s">
        <v>3090</v>
      </c>
      <c r="P100" s="18" t="s">
        <v>7041</v>
      </c>
      <c r="Q100" s="20">
        <f>COUNTIF('Hedef Liste'!A:A,A100)</f>
        <v>1</v>
      </c>
    </row>
    <row r="101" ht="15.75" hidden="1" customHeight="1">
      <c r="A101" s="18" t="s">
        <v>1669</v>
      </c>
      <c r="B101" s="18" t="s">
        <v>1670</v>
      </c>
      <c r="C101" s="358" t="s">
        <v>7040</v>
      </c>
      <c r="D101" s="18" t="s">
        <v>70</v>
      </c>
      <c r="E101" s="362">
        <v>3627.0</v>
      </c>
      <c r="F101" s="359">
        <v>190.0</v>
      </c>
      <c r="G101" s="359">
        <v>7.0</v>
      </c>
      <c r="H101" s="359">
        <v>30.0</v>
      </c>
      <c r="I101" s="359">
        <v>37.0</v>
      </c>
      <c r="J101" s="360">
        <v>0.19</v>
      </c>
      <c r="K101" s="18" t="s">
        <v>1671</v>
      </c>
      <c r="L101" s="18">
        <v>3.249994411E9</v>
      </c>
      <c r="M101" s="18" t="s">
        <v>63</v>
      </c>
      <c r="N101" s="18" t="s">
        <v>137</v>
      </c>
      <c r="O101" s="18" t="s">
        <v>1672</v>
      </c>
      <c r="P101" s="18" t="s">
        <v>7041</v>
      </c>
      <c r="Q101" s="20">
        <f>COUNTIF('Hedef Liste'!A:A,A101)</f>
        <v>1</v>
      </c>
    </row>
    <row r="102" ht="15.75" hidden="1" customHeight="1">
      <c r="A102" s="18" t="s">
        <v>965</v>
      </c>
      <c r="B102" s="18" t="s">
        <v>966</v>
      </c>
      <c r="C102" s="358" t="s">
        <v>7040</v>
      </c>
      <c r="D102" s="18" t="s">
        <v>564</v>
      </c>
      <c r="E102" s="359">
        <v>3772.0</v>
      </c>
      <c r="F102" s="359">
        <v>253.0</v>
      </c>
      <c r="G102" s="359">
        <v>18.0</v>
      </c>
      <c r="H102" s="359">
        <v>67.0</v>
      </c>
      <c r="I102" s="359">
        <v>85.0</v>
      </c>
      <c r="J102" s="360">
        <v>0.21</v>
      </c>
      <c r="K102" s="18" t="s">
        <v>967</v>
      </c>
      <c r="L102" s="18">
        <v>5.3885152E9</v>
      </c>
      <c r="M102" s="18" t="s">
        <v>72</v>
      </c>
      <c r="N102" s="18" t="s">
        <v>82</v>
      </c>
      <c r="O102" s="18" t="s">
        <v>968</v>
      </c>
      <c r="P102" s="18" t="s">
        <v>7041</v>
      </c>
      <c r="Q102" s="20">
        <f>COUNTIF('Hedef Liste'!A:A,A102)</f>
        <v>1</v>
      </c>
    </row>
    <row r="103" ht="15.75" hidden="1" customHeight="1">
      <c r="A103" s="18" t="s">
        <v>1591</v>
      </c>
      <c r="B103" s="18" t="s">
        <v>1592</v>
      </c>
      <c r="C103" s="358" t="s">
        <v>7040</v>
      </c>
      <c r="D103" s="18" t="s">
        <v>363</v>
      </c>
      <c r="E103" s="359">
        <v>2121.0</v>
      </c>
      <c r="F103" s="359">
        <v>70.0</v>
      </c>
      <c r="G103" s="359">
        <v>0.0</v>
      </c>
      <c r="H103" s="359">
        <v>61.0</v>
      </c>
      <c r="I103" s="359">
        <v>61.0</v>
      </c>
      <c r="J103" s="360">
        <v>0.0</v>
      </c>
      <c r="K103" s="18" t="s">
        <v>1593</v>
      </c>
      <c r="L103" s="18">
        <v>5.511531713E9</v>
      </c>
      <c r="M103" s="18" t="s">
        <v>63</v>
      </c>
      <c r="N103" s="18" t="s">
        <v>93</v>
      </c>
      <c r="O103" s="18" t="s">
        <v>1594</v>
      </c>
      <c r="P103" s="18" t="s">
        <v>7041</v>
      </c>
      <c r="Q103" s="20">
        <f>COUNTIF('Hedef Liste'!A:A,A103)</f>
        <v>1</v>
      </c>
    </row>
    <row r="104" ht="15.75" hidden="1" customHeight="1">
      <c r="A104" s="18" t="s">
        <v>3715</v>
      </c>
      <c r="B104" s="18" t="s">
        <v>7114</v>
      </c>
      <c r="C104" s="358" t="s">
        <v>7040</v>
      </c>
      <c r="D104" s="18" t="s">
        <v>363</v>
      </c>
      <c r="E104" s="359">
        <v>1070.0</v>
      </c>
      <c r="F104" s="359">
        <v>82.0</v>
      </c>
      <c r="G104" s="359">
        <v>1.0</v>
      </c>
      <c r="H104" s="359">
        <v>35.0</v>
      </c>
      <c r="I104" s="359">
        <v>36.0</v>
      </c>
      <c r="J104" s="360">
        <v>0.03</v>
      </c>
      <c r="K104" s="18" t="s">
        <v>3717</v>
      </c>
      <c r="L104" s="18">
        <v>3.249331399E9</v>
      </c>
      <c r="M104" s="18" t="s">
        <v>72</v>
      </c>
      <c r="N104" s="18" t="s">
        <v>352</v>
      </c>
      <c r="O104" s="18" t="s">
        <v>3718</v>
      </c>
      <c r="P104" s="18" t="s">
        <v>7041</v>
      </c>
      <c r="Q104" s="20">
        <f>COUNTIF('Hedef Liste'!A:A,A104)</f>
        <v>1</v>
      </c>
    </row>
    <row r="105" ht="15.75" hidden="1" customHeight="1">
      <c r="A105" s="18" t="s">
        <v>4414</v>
      </c>
      <c r="B105" s="18" t="s">
        <v>4415</v>
      </c>
      <c r="C105" s="358" t="s">
        <v>7040</v>
      </c>
      <c r="D105" s="18" t="s">
        <v>118</v>
      </c>
      <c r="E105" s="359">
        <v>520.0</v>
      </c>
      <c r="F105" s="359">
        <v>20.0</v>
      </c>
      <c r="G105" s="359">
        <v>0.0</v>
      </c>
      <c r="H105" s="359">
        <v>40.0</v>
      </c>
      <c r="I105" s="359">
        <v>40.0</v>
      </c>
      <c r="J105" s="360">
        <v>0.0</v>
      </c>
      <c r="K105" s="18" t="s">
        <v>4416</v>
      </c>
      <c r="L105" s="18">
        <v>3.243361925E9</v>
      </c>
      <c r="M105" s="18" t="s">
        <v>72</v>
      </c>
      <c r="N105" s="18" t="s">
        <v>548</v>
      </c>
      <c r="O105" s="18" t="s">
        <v>4417</v>
      </c>
      <c r="P105" s="18" t="s">
        <v>7041</v>
      </c>
      <c r="Q105" s="20">
        <f>COUNTIF('Hedef Liste'!A:A,A105)</f>
        <v>1</v>
      </c>
    </row>
    <row r="106" ht="15.75" hidden="1" customHeight="1">
      <c r="A106" s="18" t="s">
        <v>4440</v>
      </c>
      <c r="B106" s="18" t="s">
        <v>4441</v>
      </c>
      <c r="C106" s="358" t="s">
        <v>7040</v>
      </c>
      <c r="D106" s="18" t="s">
        <v>118</v>
      </c>
      <c r="E106" s="359">
        <v>20338.0</v>
      </c>
      <c r="F106" s="359">
        <v>1093.0</v>
      </c>
      <c r="G106" s="359">
        <v>0.0</v>
      </c>
      <c r="H106" s="359">
        <v>27.0</v>
      </c>
      <c r="I106" s="359">
        <v>27.0</v>
      </c>
      <c r="J106" s="360">
        <v>0.0</v>
      </c>
      <c r="K106" s="18" t="s">
        <v>4442</v>
      </c>
      <c r="L106" s="18">
        <v>3.24714337E9</v>
      </c>
      <c r="M106" s="18" t="s">
        <v>187</v>
      </c>
      <c r="N106" s="18" t="s">
        <v>188</v>
      </c>
      <c r="O106" s="18" t="s">
        <v>4443</v>
      </c>
      <c r="P106" s="18" t="s">
        <v>7041</v>
      </c>
      <c r="Q106" s="20">
        <f>COUNTIF('Hedef Liste'!A:A,A106)</f>
        <v>1</v>
      </c>
    </row>
    <row r="107" ht="15.75" hidden="1" customHeight="1">
      <c r="A107" s="18" t="s">
        <v>4516</v>
      </c>
      <c r="B107" s="18" t="s">
        <v>4517</v>
      </c>
      <c r="C107" s="358" t="s">
        <v>7040</v>
      </c>
      <c r="D107" s="18" t="s">
        <v>913</v>
      </c>
      <c r="E107" s="359">
        <v>720.0</v>
      </c>
      <c r="F107" s="359">
        <v>12.0</v>
      </c>
      <c r="G107" s="359">
        <v>8.0</v>
      </c>
      <c r="H107" s="359">
        <v>13.0</v>
      </c>
      <c r="I107" s="359">
        <v>21.0</v>
      </c>
      <c r="J107" s="360">
        <v>0.38</v>
      </c>
      <c r="K107" s="18" t="s">
        <v>4518</v>
      </c>
      <c r="L107" s="18">
        <v>5.362955137E9</v>
      </c>
      <c r="M107" s="18" t="s">
        <v>72</v>
      </c>
      <c r="N107" s="18" t="s">
        <v>113</v>
      </c>
      <c r="O107" s="18" t="s">
        <v>4519</v>
      </c>
      <c r="P107" s="18" t="s">
        <v>7041</v>
      </c>
      <c r="Q107" s="20">
        <f>COUNTIF('Hedef Liste'!A:A,A107)</f>
        <v>1</v>
      </c>
    </row>
    <row r="108" ht="15.75" hidden="1" customHeight="1">
      <c r="A108" s="18" t="s">
        <v>455</v>
      </c>
      <c r="B108" s="18" t="s">
        <v>456</v>
      </c>
      <c r="C108" s="358" t="s">
        <v>7040</v>
      </c>
      <c r="D108" s="18" t="s">
        <v>372</v>
      </c>
      <c r="E108" s="359">
        <v>27394.0</v>
      </c>
      <c r="F108" s="359">
        <v>1176.0</v>
      </c>
      <c r="G108" s="359">
        <v>47.0</v>
      </c>
      <c r="H108" s="359">
        <v>48.0</v>
      </c>
      <c r="I108" s="359">
        <v>95.0</v>
      </c>
      <c r="J108" s="360">
        <v>0.49</v>
      </c>
      <c r="K108" s="18" t="s">
        <v>7115</v>
      </c>
      <c r="L108" s="18">
        <v>5.360281831E9</v>
      </c>
      <c r="M108" s="18" t="s">
        <v>63</v>
      </c>
      <c r="N108" s="18" t="s">
        <v>93</v>
      </c>
      <c r="O108" s="18" t="s">
        <v>458</v>
      </c>
      <c r="P108" s="18" t="s">
        <v>7041</v>
      </c>
      <c r="Q108" s="20">
        <f>COUNTIF('Hedef Liste'!A:A,A108)</f>
        <v>1</v>
      </c>
    </row>
    <row r="109" ht="15.75" hidden="1" customHeight="1">
      <c r="A109" s="18" t="s">
        <v>3839</v>
      </c>
      <c r="B109" s="18" t="s">
        <v>3840</v>
      </c>
      <c r="C109" s="358" t="s">
        <v>7040</v>
      </c>
      <c r="D109" s="18" t="s">
        <v>80</v>
      </c>
      <c r="E109" s="359">
        <v>270.0</v>
      </c>
      <c r="F109" s="359">
        <v>16.0</v>
      </c>
      <c r="G109" s="359">
        <v>8.0</v>
      </c>
      <c r="H109" s="359">
        <v>9.0</v>
      </c>
      <c r="I109" s="359">
        <v>17.0</v>
      </c>
      <c r="J109" s="360">
        <v>0.47</v>
      </c>
      <c r="K109" s="18" t="s">
        <v>3841</v>
      </c>
      <c r="L109" s="18">
        <v>3.243581261E9</v>
      </c>
      <c r="M109" s="18" t="s">
        <v>63</v>
      </c>
      <c r="N109" s="18" t="s">
        <v>566</v>
      </c>
      <c r="O109" s="18" t="s">
        <v>3842</v>
      </c>
      <c r="P109" s="18" t="s">
        <v>7041</v>
      </c>
      <c r="Q109" s="20">
        <f>COUNTIF('Hedef Liste'!A:A,A109)</f>
        <v>1</v>
      </c>
    </row>
    <row r="110" ht="15.75" hidden="1" customHeight="1">
      <c r="A110" s="18" t="s">
        <v>2112</v>
      </c>
      <c r="B110" s="18" t="s">
        <v>2113</v>
      </c>
      <c r="C110" s="358" t="s">
        <v>7040</v>
      </c>
      <c r="D110" s="18" t="s">
        <v>363</v>
      </c>
      <c r="E110" s="359">
        <v>837.0</v>
      </c>
      <c r="F110" s="359">
        <v>65.0</v>
      </c>
      <c r="G110" s="359">
        <v>32.0</v>
      </c>
      <c r="H110" s="359">
        <v>15.0</v>
      </c>
      <c r="I110" s="359">
        <v>47.0</v>
      </c>
      <c r="J110" s="360">
        <v>0.68</v>
      </c>
      <c r="K110" s="18" t="s">
        <v>2114</v>
      </c>
      <c r="L110" s="18">
        <v>5.326714792E9</v>
      </c>
      <c r="M110" s="18" t="s">
        <v>63</v>
      </c>
      <c r="N110" s="18" t="s">
        <v>566</v>
      </c>
      <c r="O110" s="18" t="s">
        <v>2115</v>
      </c>
      <c r="P110" s="18" t="s">
        <v>7041</v>
      </c>
      <c r="Q110" s="20">
        <f>COUNTIF('Hedef Liste'!A:A,A110)</f>
        <v>1</v>
      </c>
    </row>
    <row r="111" ht="15.75" hidden="1" customHeight="1">
      <c r="A111" s="18" t="s">
        <v>4067</v>
      </c>
      <c r="B111" s="18" t="s">
        <v>4068</v>
      </c>
      <c r="C111" s="358" t="s">
        <v>7040</v>
      </c>
      <c r="D111" s="18" t="s">
        <v>167</v>
      </c>
      <c r="E111" s="359">
        <v>393.0</v>
      </c>
      <c r="F111" s="359">
        <v>6.0</v>
      </c>
      <c r="G111" s="359">
        <v>0.0</v>
      </c>
      <c r="H111" s="359">
        <v>14.0</v>
      </c>
      <c r="I111" s="359">
        <v>14.0</v>
      </c>
      <c r="J111" s="360">
        <v>0.0</v>
      </c>
      <c r="K111" s="18" t="s">
        <v>4069</v>
      </c>
      <c r="L111" s="18">
        <v>3.242380458E9</v>
      </c>
      <c r="M111" s="18" t="s">
        <v>137</v>
      </c>
      <c r="N111" s="18" t="s">
        <v>138</v>
      </c>
      <c r="O111" s="18" t="s">
        <v>4070</v>
      </c>
      <c r="P111" s="18" t="s">
        <v>7041</v>
      </c>
      <c r="Q111" s="20">
        <f>COUNTIF('Hedef Liste'!A:A,A111)</f>
        <v>1</v>
      </c>
    </row>
    <row r="112" ht="15.75" hidden="1" customHeight="1">
      <c r="A112" s="18" t="s">
        <v>68</v>
      </c>
      <c r="B112" s="18" t="s">
        <v>69</v>
      </c>
      <c r="C112" s="358" t="s">
        <v>7040</v>
      </c>
      <c r="D112" s="18" t="s">
        <v>70</v>
      </c>
      <c r="E112" s="359">
        <v>14612.0</v>
      </c>
      <c r="F112" s="359">
        <v>168.0</v>
      </c>
      <c r="G112" s="359">
        <v>14.0</v>
      </c>
      <c r="H112" s="359">
        <v>36.0</v>
      </c>
      <c r="I112" s="359">
        <v>50.0</v>
      </c>
      <c r="J112" s="360">
        <v>0.28</v>
      </c>
      <c r="K112" s="18" t="s">
        <v>71</v>
      </c>
      <c r="L112" s="18">
        <v>3.243257771E9</v>
      </c>
      <c r="M112" s="18" t="s">
        <v>72</v>
      </c>
      <c r="N112" s="18" t="s">
        <v>73</v>
      </c>
      <c r="O112" s="18" t="s">
        <v>74</v>
      </c>
      <c r="P112" s="18" t="s">
        <v>7041</v>
      </c>
      <c r="Q112" s="20">
        <f>COUNTIF('Hedef Liste'!A:A,A112)</f>
        <v>1</v>
      </c>
    </row>
    <row r="113" ht="15.75" hidden="1" customHeight="1">
      <c r="A113" s="18" t="s">
        <v>7116</v>
      </c>
      <c r="B113" s="18" t="s">
        <v>7117</v>
      </c>
      <c r="C113" s="358" t="s">
        <v>7040</v>
      </c>
      <c r="D113" s="18" t="s">
        <v>167</v>
      </c>
      <c r="E113" s="359">
        <v>430.0</v>
      </c>
      <c r="F113" s="359">
        <v>41.0</v>
      </c>
      <c r="G113" s="359">
        <v>65.0</v>
      </c>
      <c r="H113" s="359">
        <v>4.0</v>
      </c>
      <c r="I113" s="359">
        <v>69.0</v>
      </c>
      <c r="J113" s="360">
        <v>0.94</v>
      </c>
      <c r="K113" s="18" t="s">
        <v>7045</v>
      </c>
      <c r="L113" s="18">
        <v>5.349758387E9</v>
      </c>
      <c r="M113" s="18" t="s">
        <v>63</v>
      </c>
      <c r="N113" s="18" t="s">
        <v>137</v>
      </c>
      <c r="O113" s="18" t="s">
        <v>7118</v>
      </c>
      <c r="P113" s="18" t="s">
        <v>7047</v>
      </c>
      <c r="Q113" s="20">
        <f>COUNTIF('Hedef Liste'!A:A,A113)</f>
        <v>0</v>
      </c>
    </row>
    <row r="114" ht="15.75" hidden="1" customHeight="1">
      <c r="A114" s="18" t="s">
        <v>7119</v>
      </c>
      <c r="B114" s="18" t="s">
        <v>7120</v>
      </c>
      <c r="C114" s="358" t="s">
        <v>7040</v>
      </c>
      <c r="D114" s="18" t="s">
        <v>167</v>
      </c>
      <c r="E114" s="359">
        <v>2240.0</v>
      </c>
      <c r="F114" s="359">
        <v>28.0</v>
      </c>
      <c r="G114" s="359">
        <v>80.0</v>
      </c>
      <c r="H114" s="359">
        <v>5.0</v>
      </c>
      <c r="I114" s="359">
        <v>85.0</v>
      </c>
      <c r="J114" s="360">
        <v>0.94</v>
      </c>
      <c r="K114" s="18" t="s">
        <v>7045</v>
      </c>
      <c r="L114" s="18">
        <v>5.526483303E9</v>
      </c>
      <c r="M114" s="18" t="s">
        <v>63</v>
      </c>
      <c r="N114" s="18" t="s">
        <v>93</v>
      </c>
      <c r="O114" s="18" t="s">
        <v>7121</v>
      </c>
      <c r="P114" s="18" t="s">
        <v>7047</v>
      </c>
      <c r="Q114" s="20">
        <f>COUNTIF('Hedef Liste'!A:A,A114)</f>
        <v>0</v>
      </c>
    </row>
    <row r="115" ht="15.75" hidden="1" customHeight="1">
      <c r="A115" s="18" t="s">
        <v>541</v>
      </c>
      <c r="B115" s="18" t="s">
        <v>542</v>
      </c>
      <c r="C115" s="358" t="s">
        <v>7040</v>
      </c>
      <c r="D115" s="18" t="s">
        <v>45</v>
      </c>
      <c r="E115" s="359">
        <v>2339.0</v>
      </c>
      <c r="F115" s="359">
        <v>117.0</v>
      </c>
      <c r="G115" s="359">
        <v>0.0</v>
      </c>
      <c r="H115" s="359">
        <v>113.0</v>
      </c>
      <c r="I115" s="359">
        <v>113.0</v>
      </c>
      <c r="J115" s="360">
        <v>0.0</v>
      </c>
      <c r="K115" s="18" t="s">
        <v>543</v>
      </c>
      <c r="L115" s="18">
        <v>3.2461454E9</v>
      </c>
      <c r="M115" s="18" t="s">
        <v>156</v>
      </c>
      <c r="N115" s="18" t="s">
        <v>306</v>
      </c>
      <c r="O115" s="18" t="s">
        <v>544</v>
      </c>
      <c r="P115" s="18" t="s">
        <v>7041</v>
      </c>
      <c r="Q115" s="20">
        <f>COUNTIF('Hedef Liste'!A:A,A115)</f>
        <v>1</v>
      </c>
    </row>
    <row r="116" ht="15.75" hidden="1" customHeight="1">
      <c r="A116" s="18" t="s">
        <v>1285</v>
      </c>
      <c r="B116" s="18" t="s">
        <v>1286</v>
      </c>
      <c r="C116" s="358" t="s">
        <v>7040</v>
      </c>
      <c r="D116" s="18" t="s">
        <v>80</v>
      </c>
      <c r="E116" s="359">
        <v>1604.0</v>
      </c>
      <c r="F116" s="359">
        <v>112.0</v>
      </c>
      <c r="G116" s="359">
        <v>0.0</v>
      </c>
      <c r="H116" s="359">
        <v>19.0</v>
      </c>
      <c r="I116" s="359">
        <v>19.0</v>
      </c>
      <c r="J116" s="360">
        <v>0.0</v>
      </c>
      <c r="K116" s="18" t="s">
        <v>1287</v>
      </c>
      <c r="L116" s="18">
        <v>3.246261199E9</v>
      </c>
      <c r="M116" s="18" t="s">
        <v>156</v>
      </c>
      <c r="N116" s="18" t="s">
        <v>283</v>
      </c>
      <c r="O116" s="18" t="s">
        <v>1288</v>
      </c>
      <c r="P116" s="18" t="s">
        <v>7041</v>
      </c>
      <c r="Q116" s="20">
        <f>COUNTIF('Hedef Liste'!A:A,A116)</f>
        <v>1</v>
      </c>
    </row>
    <row r="117" ht="15.75" hidden="1" customHeight="1">
      <c r="A117" s="18" t="s">
        <v>3263</v>
      </c>
      <c r="B117" s="18" t="s">
        <v>3264</v>
      </c>
      <c r="C117" s="358" t="s">
        <v>7040</v>
      </c>
      <c r="D117" s="18" t="s">
        <v>118</v>
      </c>
      <c r="E117" s="359">
        <v>7610.0</v>
      </c>
      <c r="F117" s="359">
        <v>283.0</v>
      </c>
      <c r="G117" s="359">
        <v>16.0</v>
      </c>
      <c r="H117" s="359">
        <v>67.0</v>
      </c>
      <c r="I117" s="359">
        <v>83.0</v>
      </c>
      <c r="J117" s="360">
        <v>0.19</v>
      </c>
      <c r="K117" s="18" t="s">
        <v>3265</v>
      </c>
      <c r="L117" s="18">
        <v>3.243280211E9</v>
      </c>
      <c r="M117" s="18" t="s">
        <v>72</v>
      </c>
      <c r="N117" s="18" t="s">
        <v>915</v>
      </c>
      <c r="O117" s="18" t="s">
        <v>3266</v>
      </c>
      <c r="P117" s="18" t="s">
        <v>7041</v>
      </c>
      <c r="Q117" s="20">
        <f>COUNTIF('Hedef Liste'!A:A,A117)</f>
        <v>1</v>
      </c>
    </row>
    <row r="118" ht="15.75" hidden="1" customHeight="1">
      <c r="A118" s="18" t="s">
        <v>433</v>
      </c>
      <c r="B118" s="18" t="s">
        <v>434</v>
      </c>
      <c r="C118" s="358" t="s">
        <v>7040</v>
      </c>
      <c r="D118" s="18" t="s">
        <v>118</v>
      </c>
      <c r="E118" s="359">
        <v>1395.0</v>
      </c>
      <c r="F118" s="359">
        <v>59.0</v>
      </c>
      <c r="G118" s="359">
        <v>0.0</v>
      </c>
      <c r="H118" s="359">
        <v>32.0</v>
      </c>
      <c r="I118" s="359">
        <v>32.0</v>
      </c>
      <c r="J118" s="360">
        <v>0.0</v>
      </c>
      <c r="K118" s="18" t="s">
        <v>435</v>
      </c>
      <c r="L118" s="18">
        <v>3.245033303E9</v>
      </c>
      <c r="M118" s="18" t="s">
        <v>156</v>
      </c>
      <c r="N118" s="18" t="s">
        <v>222</v>
      </c>
      <c r="O118" s="18" t="s">
        <v>436</v>
      </c>
      <c r="P118" s="18" t="s">
        <v>7041</v>
      </c>
      <c r="Q118" s="20">
        <f>COUNTIF('Hedef Liste'!A:A,A118)</f>
        <v>1</v>
      </c>
    </row>
    <row r="119" ht="15.75" hidden="1" customHeight="1">
      <c r="A119" s="18" t="s">
        <v>4167</v>
      </c>
      <c r="B119" s="18" t="s">
        <v>4168</v>
      </c>
      <c r="C119" s="358" t="s">
        <v>7040</v>
      </c>
      <c r="D119" s="18" t="s">
        <v>70</v>
      </c>
      <c r="E119" s="359">
        <v>3707.0</v>
      </c>
      <c r="F119" s="359">
        <v>89.0</v>
      </c>
      <c r="G119" s="359">
        <v>25.0</v>
      </c>
      <c r="H119" s="359">
        <v>7.0</v>
      </c>
      <c r="I119" s="359">
        <v>32.0</v>
      </c>
      <c r="J119" s="360">
        <v>0.78</v>
      </c>
      <c r="K119" s="18" t="s">
        <v>4169</v>
      </c>
      <c r="L119" s="18">
        <v>5.323661782E9</v>
      </c>
      <c r="M119" s="18" t="s">
        <v>63</v>
      </c>
      <c r="N119" s="18" t="s">
        <v>93</v>
      </c>
      <c r="O119" s="18" t="s">
        <v>4170</v>
      </c>
      <c r="P119" s="18" t="s">
        <v>7041</v>
      </c>
      <c r="Q119" s="20">
        <f>COUNTIF('Hedef Liste'!A:A,A119)</f>
        <v>1</v>
      </c>
    </row>
    <row r="120" ht="15.75" hidden="1" customHeight="1">
      <c r="A120" s="18" t="s">
        <v>1586</v>
      </c>
      <c r="B120" s="18" t="s">
        <v>1587</v>
      </c>
      <c r="C120" s="358" t="s">
        <v>7040</v>
      </c>
      <c r="D120" s="18" t="s">
        <v>118</v>
      </c>
      <c r="E120" s="359">
        <v>1812.0</v>
      </c>
      <c r="F120" s="359">
        <v>95.0</v>
      </c>
      <c r="G120" s="359">
        <v>0.0</v>
      </c>
      <c r="H120" s="359">
        <v>15.0</v>
      </c>
      <c r="I120" s="359">
        <v>15.0</v>
      </c>
      <c r="J120" s="360">
        <v>0.0</v>
      </c>
      <c r="K120" s="18" t="s">
        <v>1588</v>
      </c>
      <c r="L120" s="18">
        <v>3.243413626E9</v>
      </c>
      <c r="M120" s="18" t="s">
        <v>72</v>
      </c>
      <c r="N120" s="18" t="s">
        <v>120</v>
      </c>
      <c r="O120" s="18" t="s">
        <v>1589</v>
      </c>
      <c r="P120" s="18" t="s">
        <v>7041</v>
      </c>
      <c r="Q120" s="20">
        <f>COUNTIF('Hedef Liste'!A:A,A120)</f>
        <v>1</v>
      </c>
    </row>
    <row r="121" ht="15.75" hidden="1" customHeight="1">
      <c r="A121" s="18" t="s">
        <v>3306</v>
      </c>
      <c r="B121" s="18" t="s">
        <v>3307</v>
      </c>
      <c r="C121" s="358" t="s">
        <v>7040</v>
      </c>
      <c r="D121" s="18" t="s">
        <v>80</v>
      </c>
      <c r="E121" s="359">
        <v>1163.0</v>
      </c>
      <c r="F121" s="359">
        <v>70.0</v>
      </c>
      <c r="G121" s="359">
        <v>13.0</v>
      </c>
      <c r="H121" s="359">
        <v>9.0</v>
      </c>
      <c r="I121" s="359">
        <v>22.0</v>
      </c>
      <c r="J121" s="360">
        <v>0.59</v>
      </c>
      <c r="K121" s="18" t="s">
        <v>3308</v>
      </c>
      <c r="L121" s="18">
        <v>5.3466606E9</v>
      </c>
      <c r="M121" s="18" t="s">
        <v>72</v>
      </c>
      <c r="N121" s="18" t="s">
        <v>128</v>
      </c>
      <c r="O121" s="18" t="s">
        <v>3309</v>
      </c>
      <c r="P121" s="18" t="s">
        <v>7041</v>
      </c>
      <c r="Q121" s="20">
        <f>COUNTIF('Hedef Liste'!A:A,A121)</f>
        <v>1</v>
      </c>
    </row>
    <row r="122" ht="15.75" hidden="1" customHeight="1">
      <c r="A122" s="18" t="s">
        <v>645</v>
      </c>
      <c r="B122" s="18" t="s">
        <v>646</v>
      </c>
      <c r="C122" s="358" t="s">
        <v>7040</v>
      </c>
      <c r="D122" s="18" t="s">
        <v>118</v>
      </c>
      <c r="E122" s="359">
        <v>1454.0</v>
      </c>
      <c r="F122" s="359">
        <v>56.0</v>
      </c>
      <c r="G122" s="359">
        <v>12.0</v>
      </c>
      <c r="H122" s="359">
        <v>4.0</v>
      </c>
      <c r="I122" s="359">
        <v>16.0</v>
      </c>
      <c r="J122" s="360">
        <v>0.75</v>
      </c>
      <c r="K122" s="18" t="s">
        <v>647</v>
      </c>
      <c r="L122" s="18">
        <v>5.362294646E9</v>
      </c>
      <c r="M122" s="18" t="s">
        <v>215</v>
      </c>
      <c r="N122" s="18" t="s">
        <v>648</v>
      </c>
      <c r="O122" s="18" t="s">
        <v>649</v>
      </c>
      <c r="P122" s="18" t="s">
        <v>7041</v>
      </c>
      <c r="Q122" s="20">
        <f>COUNTIF('Hedef Liste'!A:A,A122)</f>
        <v>1</v>
      </c>
    </row>
    <row r="123" ht="15.75" hidden="1" customHeight="1">
      <c r="A123" s="18" t="s">
        <v>893</v>
      </c>
      <c r="B123" s="18" t="s">
        <v>894</v>
      </c>
      <c r="C123" s="358" t="s">
        <v>7040</v>
      </c>
      <c r="D123" s="18" t="s">
        <v>363</v>
      </c>
      <c r="E123" s="359">
        <v>133.0</v>
      </c>
      <c r="F123" s="359">
        <v>3.0</v>
      </c>
      <c r="G123" s="359">
        <v>53.0</v>
      </c>
      <c r="H123" s="359">
        <v>21.0</v>
      </c>
      <c r="I123" s="359">
        <v>74.0</v>
      </c>
      <c r="J123" s="360">
        <v>0.72</v>
      </c>
      <c r="K123" s="18" t="s">
        <v>895</v>
      </c>
      <c r="L123" s="18">
        <v>3.243267379E9</v>
      </c>
      <c r="M123" s="18" t="s">
        <v>72</v>
      </c>
      <c r="N123" s="18" t="s">
        <v>548</v>
      </c>
      <c r="O123" s="18" t="s">
        <v>896</v>
      </c>
      <c r="P123" s="18" t="s">
        <v>7041</v>
      </c>
      <c r="Q123" s="20">
        <f>COUNTIF('Hedef Liste'!A:A,A123)</f>
        <v>1</v>
      </c>
    </row>
    <row r="124" ht="15.75" hidden="1" customHeight="1">
      <c r="A124" s="18" t="s">
        <v>7122</v>
      </c>
      <c r="B124" s="18" t="s">
        <v>7123</v>
      </c>
      <c r="C124" s="358" t="s">
        <v>7040</v>
      </c>
      <c r="D124" s="18" t="s">
        <v>372</v>
      </c>
      <c r="E124" s="359">
        <v>9515.0</v>
      </c>
      <c r="F124" s="359">
        <v>443.0</v>
      </c>
      <c r="G124" s="359">
        <v>89.0</v>
      </c>
      <c r="H124" s="359">
        <v>3.0</v>
      </c>
      <c r="I124" s="359">
        <v>92.0</v>
      </c>
      <c r="J124" s="360">
        <v>0.97</v>
      </c>
      <c r="K124" s="18" t="s">
        <v>7112</v>
      </c>
      <c r="L124" s="18">
        <v>3.2432812E9</v>
      </c>
      <c r="M124" s="18" t="s">
        <v>72</v>
      </c>
      <c r="N124" s="18" t="s">
        <v>73</v>
      </c>
      <c r="O124" s="18" t="s">
        <v>7124</v>
      </c>
      <c r="P124" s="18" t="s">
        <v>7047</v>
      </c>
      <c r="Q124" s="20">
        <f>COUNTIF('Hedef Liste'!A:A,A124)</f>
        <v>0</v>
      </c>
    </row>
    <row r="125" ht="15.75" hidden="1" customHeight="1">
      <c r="A125" s="18" t="s">
        <v>732</v>
      </c>
      <c r="B125" s="18" t="s">
        <v>733</v>
      </c>
      <c r="C125" s="358" t="s">
        <v>7040</v>
      </c>
      <c r="D125" s="18" t="s">
        <v>167</v>
      </c>
      <c r="E125" s="359">
        <v>2268.0</v>
      </c>
      <c r="F125" s="359">
        <v>169.0</v>
      </c>
      <c r="G125" s="359">
        <v>24.0</v>
      </c>
      <c r="H125" s="359">
        <v>2.0</v>
      </c>
      <c r="I125" s="359">
        <v>26.0</v>
      </c>
      <c r="J125" s="360">
        <v>0.92</v>
      </c>
      <c r="K125" s="18" t="s">
        <v>734</v>
      </c>
      <c r="L125" s="18">
        <v>5.434776333E9</v>
      </c>
      <c r="M125" s="18" t="s">
        <v>63</v>
      </c>
      <c r="N125" s="18" t="s">
        <v>566</v>
      </c>
      <c r="O125" s="18" t="s">
        <v>735</v>
      </c>
      <c r="P125" s="18" t="s">
        <v>7041</v>
      </c>
      <c r="Q125" s="20">
        <f>COUNTIF('Hedef Liste'!A:A,A125)</f>
        <v>1</v>
      </c>
    </row>
    <row r="126" ht="15.75" hidden="1" customHeight="1">
      <c r="A126" s="18" t="s">
        <v>3799</v>
      </c>
      <c r="B126" s="18" t="s">
        <v>3800</v>
      </c>
      <c r="C126" s="358" t="s">
        <v>7040</v>
      </c>
      <c r="D126" s="18" t="s">
        <v>372</v>
      </c>
      <c r="E126" s="359">
        <v>4708.0</v>
      </c>
      <c r="F126" s="359">
        <v>219.0</v>
      </c>
      <c r="G126" s="359">
        <v>30.0</v>
      </c>
      <c r="H126" s="359">
        <v>18.0</v>
      </c>
      <c r="I126" s="359">
        <v>48.0</v>
      </c>
      <c r="J126" s="360">
        <v>0.63</v>
      </c>
      <c r="K126" s="18" t="s">
        <v>3801</v>
      </c>
      <c r="L126" s="18">
        <v>3.243280108E9</v>
      </c>
      <c r="M126" s="18" t="s">
        <v>72</v>
      </c>
      <c r="N126" s="18" t="s">
        <v>73</v>
      </c>
      <c r="O126" s="18" t="s">
        <v>3802</v>
      </c>
      <c r="P126" s="18" t="s">
        <v>7041</v>
      </c>
      <c r="Q126" s="20">
        <f>COUNTIF('Hedef Liste'!A:A,A126)</f>
        <v>1</v>
      </c>
    </row>
    <row r="127" ht="15.75" hidden="1" customHeight="1">
      <c r="A127" s="18" t="s">
        <v>4470</v>
      </c>
      <c r="B127" s="18" t="s">
        <v>4471</v>
      </c>
      <c r="C127" s="358" t="s">
        <v>7040</v>
      </c>
      <c r="D127" s="18" t="s">
        <v>1136</v>
      </c>
      <c r="E127" s="359">
        <v>9020.0</v>
      </c>
      <c r="F127" s="359">
        <v>434.0</v>
      </c>
      <c r="G127" s="359">
        <v>94.0</v>
      </c>
      <c r="H127" s="359">
        <v>99.0</v>
      </c>
      <c r="I127" s="359">
        <v>193.0</v>
      </c>
      <c r="J127" s="360">
        <v>0.49</v>
      </c>
      <c r="K127" s="18" t="s">
        <v>4473</v>
      </c>
      <c r="L127" s="18">
        <v>5.050025452E9</v>
      </c>
      <c r="M127" s="18" t="s">
        <v>72</v>
      </c>
      <c r="N127" s="18" t="s">
        <v>915</v>
      </c>
      <c r="O127" s="18" t="s">
        <v>4474</v>
      </c>
      <c r="P127" s="18" t="s">
        <v>7041</v>
      </c>
      <c r="Q127" s="20">
        <f>COUNTIF('Hedef Liste'!A:A,A127)</f>
        <v>1</v>
      </c>
    </row>
    <row r="128" ht="15.75" hidden="1" customHeight="1">
      <c r="A128" s="18" t="s">
        <v>1902</v>
      </c>
      <c r="B128" s="18" t="s">
        <v>1903</v>
      </c>
      <c r="C128" s="358" t="s">
        <v>7040</v>
      </c>
      <c r="D128" s="18" t="s">
        <v>363</v>
      </c>
      <c r="E128" s="359">
        <v>4044.0</v>
      </c>
      <c r="F128" s="359">
        <v>389.0</v>
      </c>
      <c r="G128" s="359">
        <v>25.0</v>
      </c>
      <c r="H128" s="359">
        <v>1.0</v>
      </c>
      <c r="I128" s="359">
        <v>26.0</v>
      </c>
      <c r="J128" s="360">
        <v>0.96</v>
      </c>
      <c r="K128" s="18" t="s">
        <v>1899</v>
      </c>
      <c r="L128" s="18">
        <v>5.316032508E9</v>
      </c>
      <c r="M128" s="18" t="s">
        <v>72</v>
      </c>
      <c r="N128" s="18" t="s">
        <v>1298</v>
      </c>
      <c r="O128" s="18" t="s">
        <v>1904</v>
      </c>
      <c r="P128" s="18" t="s">
        <v>7041</v>
      </c>
      <c r="Q128" s="20">
        <f>COUNTIF('Hedef Liste'!A:A,A128)</f>
        <v>1</v>
      </c>
    </row>
    <row r="129" ht="15.75" hidden="1" customHeight="1">
      <c r="A129" s="18" t="s">
        <v>78</v>
      </c>
      <c r="B129" s="18" t="s">
        <v>7125</v>
      </c>
      <c r="C129" s="358" t="s">
        <v>7040</v>
      </c>
      <c r="D129" s="18" t="s">
        <v>80</v>
      </c>
      <c r="E129" s="359">
        <v>6257.0</v>
      </c>
      <c r="F129" s="359">
        <v>297.0</v>
      </c>
      <c r="G129" s="359">
        <v>12.0</v>
      </c>
      <c r="H129" s="359">
        <v>108.0</v>
      </c>
      <c r="I129" s="359">
        <v>120.0</v>
      </c>
      <c r="J129" s="360">
        <v>0.1</v>
      </c>
      <c r="K129" s="18" t="s">
        <v>81</v>
      </c>
      <c r="L129" s="18">
        <v>5.525153333E9</v>
      </c>
      <c r="M129" s="18" t="s">
        <v>72</v>
      </c>
      <c r="N129" s="18" t="s">
        <v>82</v>
      </c>
      <c r="O129" s="18" t="s">
        <v>83</v>
      </c>
      <c r="P129" s="18" t="s">
        <v>7041</v>
      </c>
      <c r="Q129" s="20">
        <f>COUNTIF('Hedef Liste'!A:A,A129)</f>
        <v>1</v>
      </c>
    </row>
    <row r="130" ht="15.75" hidden="1" customHeight="1">
      <c r="A130" s="18" t="s">
        <v>4212</v>
      </c>
      <c r="B130" s="18" t="s">
        <v>4213</v>
      </c>
      <c r="C130" s="358" t="s">
        <v>7040</v>
      </c>
      <c r="D130" s="18" t="s">
        <v>363</v>
      </c>
      <c r="E130" s="359">
        <v>1385.0</v>
      </c>
      <c r="F130" s="359">
        <v>60.0</v>
      </c>
      <c r="G130" s="359">
        <v>7.0</v>
      </c>
      <c r="H130" s="359">
        <v>81.0</v>
      </c>
      <c r="I130" s="359">
        <v>88.0</v>
      </c>
      <c r="J130" s="360">
        <v>0.08</v>
      </c>
      <c r="K130" s="18" t="s">
        <v>4214</v>
      </c>
      <c r="L130" s="18">
        <v>5.326913314E9</v>
      </c>
      <c r="M130" s="18" t="s">
        <v>47</v>
      </c>
      <c r="N130" s="18" t="s">
        <v>365</v>
      </c>
      <c r="O130" s="18" t="s">
        <v>4215</v>
      </c>
      <c r="P130" s="18" t="s">
        <v>7041</v>
      </c>
      <c r="Q130" s="20">
        <f>COUNTIF('Hedef Liste'!A:A,A130)</f>
        <v>1</v>
      </c>
    </row>
    <row r="131" ht="15.75" hidden="1" customHeight="1">
      <c r="A131" s="18" t="s">
        <v>4399</v>
      </c>
      <c r="B131" s="18" t="s">
        <v>4400</v>
      </c>
      <c r="C131" s="358" t="s">
        <v>7040</v>
      </c>
      <c r="D131" s="18" t="s">
        <v>45</v>
      </c>
      <c r="E131" s="362">
        <v>1070.0</v>
      </c>
      <c r="F131" s="359">
        <v>40.0</v>
      </c>
      <c r="G131" s="359">
        <v>7.0</v>
      </c>
      <c r="H131" s="359">
        <v>41.0</v>
      </c>
      <c r="I131" s="359">
        <v>48.0</v>
      </c>
      <c r="J131" s="360">
        <v>0.15</v>
      </c>
      <c r="K131" s="18" t="s">
        <v>46</v>
      </c>
      <c r="L131" s="18">
        <v>5.075129192E9</v>
      </c>
      <c r="M131" s="18" t="s">
        <v>47</v>
      </c>
      <c r="N131" s="18" t="s">
        <v>48</v>
      </c>
      <c r="O131" s="18" t="s">
        <v>49</v>
      </c>
      <c r="P131" s="18" t="s">
        <v>7041</v>
      </c>
      <c r="Q131" s="20">
        <f>COUNTIF('Hedef Liste'!A:A,A131)</f>
        <v>1</v>
      </c>
    </row>
    <row r="132" ht="15.75" hidden="1" customHeight="1">
      <c r="A132" s="18" t="s">
        <v>1121</v>
      </c>
      <c r="B132" s="18" t="s">
        <v>1122</v>
      </c>
      <c r="C132" s="358" t="s">
        <v>7040</v>
      </c>
      <c r="D132" s="18" t="s">
        <v>80</v>
      </c>
      <c r="E132" s="359">
        <v>123.0</v>
      </c>
      <c r="F132" s="359">
        <v>36.0</v>
      </c>
      <c r="G132" s="359">
        <v>10.0</v>
      </c>
      <c r="H132" s="359">
        <v>2.0</v>
      </c>
      <c r="I132" s="359">
        <v>12.0</v>
      </c>
      <c r="J132" s="360">
        <v>0.83</v>
      </c>
      <c r="K132" s="18" t="s">
        <v>1123</v>
      </c>
      <c r="L132" s="18">
        <v>5.306781683E9</v>
      </c>
      <c r="M132" s="18" t="s">
        <v>72</v>
      </c>
      <c r="N132" s="18" t="s">
        <v>415</v>
      </c>
      <c r="O132" s="18" t="s">
        <v>1124</v>
      </c>
      <c r="P132" s="18" t="s">
        <v>7041</v>
      </c>
      <c r="Q132" s="20">
        <f>COUNTIF('Hedef Liste'!A:A,A132)</f>
        <v>1</v>
      </c>
    </row>
    <row r="133" ht="15.75" hidden="1" customHeight="1">
      <c r="A133" s="18" t="s">
        <v>1072</v>
      </c>
      <c r="B133" s="18" t="s">
        <v>1073</v>
      </c>
      <c r="C133" s="358" t="s">
        <v>7040</v>
      </c>
      <c r="D133" s="18" t="s">
        <v>363</v>
      </c>
      <c r="E133" s="359">
        <v>3323.0</v>
      </c>
      <c r="F133" s="359">
        <v>268.0</v>
      </c>
      <c r="G133" s="359">
        <v>13.0</v>
      </c>
      <c r="H133" s="359">
        <v>33.0</v>
      </c>
      <c r="I133" s="359">
        <v>46.0</v>
      </c>
      <c r="J133" s="360">
        <v>0.28</v>
      </c>
      <c r="K133" s="18" t="s">
        <v>1074</v>
      </c>
      <c r="L133" s="18">
        <v>5.442286333E9</v>
      </c>
      <c r="M133" s="18" t="s">
        <v>72</v>
      </c>
      <c r="N133" s="18" t="s">
        <v>113</v>
      </c>
      <c r="O133" s="18" t="s">
        <v>1075</v>
      </c>
      <c r="P133" s="18" t="s">
        <v>7041</v>
      </c>
      <c r="Q133" s="20">
        <f>COUNTIF('Hedef Liste'!A:A,A133)</f>
        <v>1</v>
      </c>
    </row>
    <row r="134" ht="15.75" hidden="1" customHeight="1">
      <c r="A134" s="18" t="s">
        <v>3207</v>
      </c>
      <c r="B134" s="18" t="s">
        <v>3208</v>
      </c>
      <c r="C134" s="358" t="s">
        <v>7040</v>
      </c>
      <c r="D134" s="18" t="s">
        <v>118</v>
      </c>
      <c r="E134" s="359">
        <v>133.0</v>
      </c>
      <c r="F134" s="359">
        <v>3.0</v>
      </c>
      <c r="G134" s="359">
        <v>0.0</v>
      </c>
      <c r="H134" s="359">
        <v>41.0</v>
      </c>
      <c r="I134" s="359">
        <v>41.0</v>
      </c>
      <c r="J134" s="360">
        <v>0.0</v>
      </c>
      <c r="K134" s="18" t="s">
        <v>3209</v>
      </c>
      <c r="L134" s="18">
        <v>3.243261601E9</v>
      </c>
      <c r="M134" s="18" t="s">
        <v>72</v>
      </c>
      <c r="N134" s="18" t="s">
        <v>810</v>
      </c>
      <c r="O134" s="18" t="s">
        <v>3210</v>
      </c>
      <c r="P134" s="18" t="s">
        <v>7041</v>
      </c>
      <c r="Q134" s="20">
        <f>COUNTIF('Hedef Liste'!A:A,A134)</f>
        <v>1</v>
      </c>
    </row>
    <row r="135" ht="15.75" hidden="1" customHeight="1">
      <c r="A135" s="18" t="s">
        <v>3992</v>
      </c>
      <c r="B135" s="18" t="s">
        <v>3993</v>
      </c>
      <c r="C135" s="358" t="s">
        <v>7040</v>
      </c>
      <c r="D135" s="18" t="s">
        <v>61</v>
      </c>
      <c r="E135" s="359">
        <v>1314.0</v>
      </c>
      <c r="F135" s="359">
        <v>88.0</v>
      </c>
      <c r="G135" s="359">
        <v>6.0</v>
      </c>
      <c r="H135" s="359">
        <v>18.0</v>
      </c>
      <c r="I135" s="359">
        <v>24.0</v>
      </c>
      <c r="J135" s="360">
        <v>0.25</v>
      </c>
      <c r="K135" s="18" t="s">
        <v>3994</v>
      </c>
      <c r="L135" s="18">
        <v>3.246222399E9</v>
      </c>
      <c r="M135" s="18" t="s">
        <v>156</v>
      </c>
      <c r="N135" s="18" t="s">
        <v>1365</v>
      </c>
      <c r="O135" s="18" t="s">
        <v>3995</v>
      </c>
      <c r="P135" s="18" t="s">
        <v>7041</v>
      </c>
      <c r="Q135" s="20">
        <f>COUNTIF('Hedef Liste'!A:A,A135)</f>
        <v>1</v>
      </c>
    </row>
    <row r="136" ht="15.75" hidden="1" customHeight="1">
      <c r="A136" s="18" t="s">
        <v>3239</v>
      </c>
      <c r="B136" s="18" t="s">
        <v>3240</v>
      </c>
      <c r="C136" s="358" t="s">
        <v>7062</v>
      </c>
      <c r="D136" s="18" t="s">
        <v>363</v>
      </c>
      <c r="E136" s="359">
        <v>66.0</v>
      </c>
      <c r="F136" s="18"/>
      <c r="G136" s="359">
        <v>0.0</v>
      </c>
      <c r="H136" s="359">
        <v>43.0</v>
      </c>
      <c r="I136" s="359">
        <v>43.0</v>
      </c>
      <c r="J136" s="360">
        <v>0.0</v>
      </c>
      <c r="K136" s="18" t="s">
        <v>3241</v>
      </c>
      <c r="L136" s="18">
        <v>3.244815169E9</v>
      </c>
      <c r="M136" s="18" t="s">
        <v>63</v>
      </c>
      <c r="N136" s="18" t="s">
        <v>3104</v>
      </c>
      <c r="O136" s="18" t="s">
        <v>3242</v>
      </c>
      <c r="P136" s="18" t="s">
        <v>7041</v>
      </c>
      <c r="Q136" s="20">
        <f>COUNTIF('Hedef Liste'!A:A,A136)</f>
        <v>1</v>
      </c>
    </row>
    <row r="137" ht="15.75" hidden="1" customHeight="1">
      <c r="A137" s="18" t="s">
        <v>1767</v>
      </c>
      <c r="B137" s="18" t="s">
        <v>1768</v>
      </c>
      <c r="C137" s="358" t="s">
        <v>7040</v>
      </c>
      <c r="D137" s="18" t="s">
        <v>70</v>
      </c>
      <c r="E137" s="359">
        <v>1065.0</v>
      </c>
      <c r="F137" s="18"/>
      <c r="G137" s="359">
        <v>15.0</v>
      </c>
      <c r="H137" s="359">
        <v>12.0</v>
      </c>
      <c r="I137" s="359">
        <v>27.0</v>
      </c>
      <c r="J137" s="360">
        <v>0.56</v>
      </c>
      <c r="K137" s="18" t="s">
        <v>1769</v>
      </c>
      <c r="L137" s="18">
        <v>3.243362433E9</v>
      </c>
      <c r="M137" s="18" t="s">
        <v>137</v>
      </c>
      <c r="N137" s="18" t="s">
        <v>526</v>
      </c>
      <c r="O137" s="18" t="s">
        <v>1770</v>
      </c>
      <c r="P137" s="18" t="s">
        <v>7041</v>
      </c>
      <c r="Q137" s="20">
        <f>COUNTIF('Hedef Liste'!A:A,A137)</f>
        <v>1</v>
      </c>
    </row>
    <row r="138" ht="15.75" hidden="1" customHeight="1">
      <c r="A138" s="18" t="s">
        <v>2916</v>
      </c>
      <c r="B138" s="18" t="s">
        <v>2917</v>
      </c>
      <c r="C138" s="358" t="s">
        <v>7040</v>
      </c>
      <c r="D138" s="18" t="s">
        <v>45</v>
      </c>
      <c r="E138" s="359">
        <v>586.0</v>
      </c>
      <c r="F138" s="359">
        <v>32.0</v>
      </c>
      <c r="G138" s="359">
        <v>8.0</v>
      </c>
      <c r="H138" s="359">
        <v>19.0</v>
      </c>
      <c r="I138" s="359">
        <v>27.0</v>
      </c>
      <c r="J138" s="360">
        <v>0.3</v>
      </c>
      <c r="K138" s="18" t="s">
        <v>2918</v>
      </c>
      <c r="L138" s="18">
        <v>3.24327666E9</v>
      </c>
      <c r="M138" s="18" t="s">
        <v>72</v>
      </c>
      <c r="N138" s="18" t="s">
        <v>1298</v>
      </c>
      <c r="O138" s="18" t="s">
        <v>2919</v>
      </c>
      <c r="P138" s="18" t="s">
        <v>7041</v>
      </c>
      <c r="Q138" s="20">
        <f>COUNTIF('Hedef Liste'!A:A,A138)</f>
        <v>1</v>
      </c>
    </row>
    <row r="139" ht="15.75" hidden="1" customHeight="1">
      <c r="A139" s="18" t="s">
        <v>1805</v>
      </c>
      <c r="B139" s="18" t="s">
        <v>1806</v>
      </c>
      <c r="C139" s="358" t="s">
        <v>7040</v>
      </c>
      <c r="D139" s="18" t="s">
        <v>80</v>
      </c>
      <c r="E139" s="359">
        <v>134.0</v>
      </c>
      <c r="F139" s="359">
        <v>8.0</v>
      </c>
      <c r="G139" s="359">
        <v>9.0</v>
      </c>
      <c r="H139" s="359">
        <v>7.0</v>
      </c>
      <c r="I139" s="359">
        <v>16.0</v>
      </c>
      <c r="J139" s="360">
        <v>0.56</v>
      </c>
      <c r="K139" s="18" t="s">
        <v>1807</v>
      </c>
      <c r="L139" s="18">
        <v>5.305951733E9</v>
      </c>
      <c r="M139" s="18" t="s">
        <v>63</v>
      </c>
      <c r="N139" s="18" t="s">
        <v>1808</v>
      </c>
      <c r="O139" s="18" t="s">
        <v>1809</v>
      </c>
      <c r="P139" s="18" t="s">
        <v>7041</v>
      </c>
      <c r="Q139" s="20">
        <f>COUNTIF('Hedef Liste'!A:A,A139)</f>
        <v>1</v>
      </c>
    </row>
    <row r="140" ht="15.75" hidden="1" customHeight="1">
      <c r="A140" s="18" t="s">
        <v>370</v>
      </c>
      <c r="B140" s="18" t="s">
        <v>371</v>
      </c>
      <c r="C140" s="358" t="s">
        <v>7062</v>
      </c>
      <c r="D140" s="18" t="s">
        <v>372</v>
      </c>
      <c r="E140" s="359">
        <v>439.0</v>
      </c>
      <c r="F140" s="18"/>
      <c r="G140" s="359">
        <v>11.0</v>
      </c>
      <c r="H140" s="359">
        <v>11.0</v>
      </c>
      <c r="I140" s="359">
        <v>22.0</v>
      </c>
      <c r="J140" s="360">
        <v>0.5</v>
      </c>
      <c r="K140" s="18" t="s">
        <v>373</v>
      </c>
      <c r="L140" s="18">
        <v>5.384111733E9</v>
      </c>
      <c r="M140" s="18" t="s">
        <v>137</v>
      </c>
      <c r="N140" s="18" t="s">
        <v>374</v>
      </c>
      <c r="O140" s="18" t="s">
        <v>375</v>
      </c>
      <c r="P140" s="18" t="s">
        <v>7041</v>
      </c>
      <c r="Q140" s="20">
        <f>COUNTIF('Hedef Liste'!A:A,A140)</f>
        <v>1</v>
      </c>
    </row>
    <row r="141" ht="15.75" hidden="1" customHeight="1">
      <c r="A141" s="18" t="s">
        <v>921</v>
      </c>
      <c r="B141" s="18" t="s">
        <v>922</v>
      </c>
      <c r="C141" s="358" t="s">
        <v>7040</v>
      </c>
      <c r="D141" s="18" t="s">
        <v>363</v>
      </c>
      <c r="E141" s="359">
        <v>180.0</v>
      </c>
      <c r="F141" s="359">
        <v>1.0</v>
      </c>
      <c r="G141" s="359">
        <v>5.0</v>
      </c>
      <c r="H141" s="359">
        <v>26.0</v>
      </c>
      <c r="I141" s="359">
        <v>31.0</v>
      </c>
      <c r="J141" s="360">
        <v>0.16</v>
      </c>
      <c r="K141" s="18" t="s">
        <v>923</v>
      </c>
      <c r="L141" s="18">
        <v>3.243275453E9</v>
      </c>
      <c r="M141" s="18" t="s">
        <v>72</v>
      </c>
      <c r="N141" s="18" t="s">
        <v>120</v>
      </c>
      <c r="O141" s="18" t="s">
        <v>924</v>
      </c>
      <c r="P141" s="18" t="s">
        <v>7041</v>
      </c>
      <c r="Q141" s="20">
        <f>COUNTIF('Hedef Liste'!A:A,A141)</f>
        <v>1</v>
      </c>
    </row>
    <row r="142" ht="15.75" hidden="1" customHeight="1">
      <c r="A142" s="18" t="s">
        <v>3055</v>
      </c>
      <c r="B142" s="18" t="s">
        <v>3056</v>
      </c>
      <c r="C142" s="358" t="s">
        <v>7040</v>
      </c>
      <c r="D142" s="18" t="s">
        <v>118</v>
      </c>
      <c r="E142" s="359">
        <v>1290.0</v>
      </c>
      <c r="F142" s="359">
        <v>57.0</v>
      </c>
      <c r="G142" s="359">
        <v>0.0</v>
      </c>
      <c r="H142" s="359">
        <v>53.0</v>
      </c>
      <c r="I142" s="359">
        <v>53.0</v>
      </c>
      <c r="J142" s="360">
        <v>0.0</v>
      </c>
      <c r="K142" s="18" t="s">
        <v>3057</v>
      </c>
      <c r="L142" s="18">
        <v>3.243588821E9</v>
      </c>
      <c r="M142" s="18" t="s">
        <v>63</v>
      </c>
      <c r="N142" s="18" t="s">
        <v>64</v>
      </c>
      <c r="O142" s="18" t="s">
        <v>3058</v>
      </c>
      <c r="P142" s="18" t="s">
        <v>7041</v>
      </c>
      <c r="Q142" s="20">
        <f>COUNTIF('Hedef Liste'!A:A,A142)</f>
        <v>1</v>
      </c>
    </row>
    <row r="143" ht="15.75" hidden="1" customHeight="1">
      <c r="A143" s="18" t="s">
        <v>2460</v>
      </c>
      <c r="B143" s="18" t="s">
        <v>2461</v>
      </c>
      <c r="C143" s="358" t="s">
        <v>7040</v>
      </c>
      <c r="D143" s="18" t="s">
        <v>80</v>
      </c>
      <c r="E143" s="359">
        <v>1495.0</v>
      </c>
      <c r="F143" s="359">
        <v>46.0</v>
      </c>
      <c r="G143" s="359">
        <v>17.0</v>
      </c>
      <c r="H143" s="359">
        <v>1.0</v>
      </c>
      <c r="I143" s="359">
        <v>18.0</v>
      </c>
      <c r="J143" s="360">
        <v>0.94</v>
      </c>
      <c r="K143" s="18" t="s">
        <v>2462</v>
      </c>
      <c r="L143" s="18">
        <v>3.243575045E9</v>
      </c>
      <c r="M143" s="18" t="s">
        <v>63</v>
      </c>
      <c r="N143" s="18" t="s">
        <v>700</v>
      </c>
      <c r="O143" s="18" t="s">
        <v>2463</v>
      </c>
      <c r="P143" s="18" t="s">
        <v>7041</v>
      </c>
      <c r="Q143" s="20">
        <f>COUNTIF('Hedef Liste'!A:A,A143)</f>
        <v>1</v>
      </c>
    </row>
    <row r="144" ht="15.75" hidden="1" customHeight="1">
      <c r="A144" s="18" t="s">
        <v>2644</v>
      </c>
      <c r="B144" s="18" t="s">
        <v>2645</v>
      </c>
      <c r="C144" s="358" t="s">
        <v>7062</v>
      </c>
      <c r="D144" s="18" t="s">
        <v>118</v>
      </c>
      <c r="E144" s="359">
        <v>67.0</v>
      </c>
      <c r="F144" s="18"/>
      <c r="G144" s="359">
        <v>0.0</v>
      </c>
      <c r="H144" s="359">
        <v>13.0</v>
      </c>
      <c r="I144" s="359">
        <v>13.0</v>
      </c>
      <c r="J144" s="360">
        <v>0.0</v>
      </c>
      <c r="K144" s="18" t="s">
        <v>2646</v>
      </c>
      <c r="L144" s="18">
        <v>5.07057937E9</v>
      </c>
      <c r="M144" s="18" t="s">
        <v>47</v>
      </c>
      <c r="N144" s="18" t="s">
        <v>7126</v>
      </c>
      <c r="O144" s="18" t="s">
        <v>2648</v>
      </c>
      <c r="P144" s="18" t="s">
        <v>7041</v>
      </c>
      <c r="Q144" s="20">
        <f>COUNTIF('Hedef Liste'!A:A,A144)</f>
        <v>1</v>
      </c>
    </row>
    <row r="145" ht="15.75" hidden="1" customHeight="1">
      <c r="A145" s="18" t="s">
        <v>3069</v>
      </c>
      <c r="B145" s="18" t="s">
        <v>3070</v>
      </c>
      <c r="C145" s="358" t="s">
        <v>7062</v>
      </c>
      <c r="D145" s="18" t="s">
        <v>80</v>
      </c>
      <c r="E145" s="359">
        <v>2394.0</v>
      </c>
      <c r="F145" s="18"/>
      <c r="G145" s="359">
        <v>11.0</v>
      </c>
      <c r="H145" s="359">
        <v>5.0</v>
      </c>
      <c r="I145" s="359">
        <v>16.0</v>
      </c>
      <c r="J145" s="360">
        <v>0.69</v>
      </c>
      <c r="K145" s="18" t="s">
        <v>3071</v>
      </c>
      <c r="L145" s="18">
        <v>3.243291011E9</v>
      </c>
      <c r="M145" s="18" t="s">
        <v>72</v>
      </c>
      <c r="N145" s="18" t="s">
        <v>716</v>
      </c>
      <c r="O145" s="18" t="s">
        <v>3072</v>
      </c>
      <c r="P145" s="18" t="s">
        <v>7041</v>
      </c>
      <c r="Q145" s="20">
        <f>COUNTIF('Hedef Liste'!A:A,A145)</f>
        <v>1</v>
      </c>
    </row>
    <row r="146" ht="15.75" hidden="1" customHeight="1">
      <c r="A146" s="18" t="s">
        <v>4302</v>
      </c>
      <c r="B146" s="18" t="s">
        <v>4303</v>
      </c>
      <c r="C146" s="358" t="s">
        <v>7040</v>
      </c>
      <c r="D146" s="18" t="s">
        <v>167</v>
      </c>
      <c r="E146" s="359">
        <v>628.0</v>
      </c>
      <c r="F146" s="359">
        <v>31.0</v>
      </c>
      <c r="G146" s="359">
        <v>11.0</v>
      </c>
      <c r="H146" s="359">
        <v>44.0</v>
      </c>
      <c r="I146" s="359">
        <v>55.0</v>
      </c>
      <c r="J146" s="360">
        <v>0.2</v>
      </c>
      <c r="K146" s="18" t="s">
        <v>4304</v>
      </c>
      <c r="L146" s="18">
        <v>5.551035125E9</v>
      </c>
      <c r="M146" s="18" t="s">
        <v>63</v>
      </c>
      <c r="N146" s="18" t="s">
        <v>137</v>
      </c>
      <c r="O146" s="18" t="s">
        <v>4305</v>
      </c>
      <c r="P146" s="18" t="s">
        <v>7041</v>
      </c>
      <c r="Q146" s="20">
        <f>COUNTIF('Hedef Liste'!A:A,A146)</f>
        <v>1</v>
      </c>
    </row>
    <row r="147" ht="15.75" hidden="1" customHeight="1">
      <c r="A147" s="18" t="s">
        <v>3176</v>
      </c>
      <c r="B147" s="18" t="s">
        <v>3177</v>
      </c>
      <c r="C147" s="358" t="s">
        <v>7040</v>
      </c>
      <c r="D147" s="18" t="s">
        <v>167</v>
      </c>
      <c r="E147" s="359">
        <v>1076.0</v>
      </c>
      <c r="F147" s="359">
        <v>65.0</v>
      </c>
      <c r="G147" s="359">
        <v>7.0</v>
      </c>
      <c r="H147" s="359">
        <v>24.0</v>
      </c>
      <c r="I147" s="359">
        <v>31.0</v>
      </c>
      <c r="J147" s="360">
        <v>0.23</v>
      </c>
      <c r="K147" s="18" t="s">
        <v>3178</v>
      </c>
      <c r="L147" s="18">
        <v>5.527561211E9</v>
      </c>
      <c r="M147" s="18" t="s">
        <v>63</v>
      </c>
      <c r="N147" s="18" t="s">
        <v>566</v>
      </c>
      <c r="O147" s="18" t="s">
        <v>3179</v>
      </c>
      <c r="P147" s="18" t="s">
        <v>7041</v>
      </c>
      <c r="Q147" s="20">
        <f>COUNTIF('Hedef Liste'!A:A,A147)</f>
        <v>1</v>
      </c>
    </row>
    <row r="148" ht="15.75" hidden="1" customHeight="1">
      <c r="A148" s="18" t="s">
        <v>4436</v>
      </c>
      <c r="B148" s="18" t="s">
        <v>4437</v>
      </c>
      <c r="C148" s="358" t="s">
        <v>7040</v>
      </c>
      <c r="D148" s="18" t="s">
        <v>118</v>
      </c>
      <c r="E148" s="359">
        <v>5177.0</v>
      </c>
      <c r="F148" s="359">
        <v>177.0</v>
      </c>
      <c r="G148" s="359">
        <v>0.0</v>
      </c>
      <c r="H148" s="359">
        <v>48.0</v>
      </c>
      <c r="I148" s="359">
        <v>48.0</v>
      </c>
      <c r="J148" s="360">
        <v>0.0</v>
      </c>
      <c r="K148" s="18" t="s">
        <v>4438</v>
      </c>
      <c r="L148" s="18">
        <v>5.319718822E9</v>
      </c>
      <c r="M148" s="18" t="s">
        <v>187</v>
      </c>
      <c r="N148" s="18" t="s">
        <v>188</v>
      </c>
      <c r="O148" s="18" t="s">
        <v>4439</v>
      </c>
      <c r="P148" s="18" t="s">
        <v>7041</v>
      </c>
      <c r="Q148" s="20">
        <f>COUNTIF('Hedef Liste'!A:A,A148)</f>
        <v>1</v>
      </c>
    </row>
    <row r="149" ht="15.75" hidden="1" customHeight="1">
      <c r="A149" s="18" t="s">
        <v>4776</v>
      </c>
      <c r="B149" s="18" t="s">
        <v>7127</v>
      </c>
      <c r="C149" s="358" t="s">
        <v>7062</v>
      </c>
      <c r="D149" s="18" t="s">
        <v>80</v>
      </c>
      <c r="F149" s="18"/>
      <c r="G149" s="359">
        <v>8.0</v>
      </c>
      <c r="H149" s="359">
        <v>3.0</v>
      </c>
      <c r="I149" s="359">
        <v>11.0</v>
      </c>
      <c r="J149" s="360">
        <v>0.73</v>
      </c>
      <c r="K149" s="18" t="s">
        <v>4779</v>
      </c>
      <c r="L149" s="18">
        <v>5.377039429E9</v>
      </c>
      <c r="M149" s="18" t="s">
        <v>215</v>
      </c>
      <c r="N149" s="18" t="s">
        <v>658</v>
      </c>
      <c r="O149" s="18" t="s">
        <v>4780</v>
      </c>
      <c r="P149" s="18" t="s">
        <v>7041</v>
      </c>
      <c r="Q149" s="20">
        <f>COUNTIF('Hedef Liste'!A:A,A149)</f>
        <v>1</v>
      </c>
    </row>
    <row r="150" ht="15.75" hidden="1" customHeight="1">
      <c r="A150" s="18" t="s">
        <v>4525</v>
      </c>
      <c r="B150" s="18" t="s">
        <v>4526</v>
      </c>
      <c r="C150" s="358" t="s">
        <v>7040</v>
      </c>
      <c r="D150" s="18" t="s">
        <v>80</v>
      </c>
      <c r="E150" s="359">
        <v>1279.0</v>
      </c>
      <c r="F150" s="359">
        <v>55.0</v>
      </c>
      <c r="G150" s="359">
        <v>7.0</v>
      </c>
      <c r="H150" s="359">
        <v>25.0</v>
      </c>
      <c r="I150" s="359">
        <v>32.0</v>
      </c>
      <c r="J150" s="360">
        <v>0.22</v>
      </c>
      <c r="K150" s="18" t="s">
        <v>4527</v>
      </c>
      <c r="L150" s="18">
        <v>3.243270028E9</v>
      </c>
      <c r="M150" s="18" t="s">
        <v>72</v>
      </c>
      <c r="N150" s="18" t="s">
        <v>1277</v>
      </c>
      <c r="O150" s="18" t="s">
        <v>4528</v>
      </c>
      <c r="P150" s="18" t="s">
        <v>7041</v>
      </c>
      <c r="Q150" s="20">
        <f>COUNTIF('Hedef Liste'!A:A,A150)</f>
        <v>1</v>
      </c>
    </row>
    <row r="151" ht="15.75" hidden="1" customHeight="1">
      <c r="A151" s="18" t="s">
        <v>4125</v>
      </c>
      <c r="B151" s="18" t="s">
        <v>4126</v>
      </c>
      <c r="C151" s="358" t="s">
        <v>7040</v>
      </c>
      <c r="D151" s="18" t="s">
        <v>884</v>
      </c>
      <c r="E151" s="359">
        <v>456.0</v>
      </c>
      <c r="F151" s="359">
        <v>6.0</v>
      </c>
      <c r="G151" s="359">
        <v>61.0</v>
      </c>
      <c r="H151" s="359">
        <v>19.0</v>
      </c>
      <c r="I151" s="359">
        <v>80.0</v>
      </c>
      <c r="J151" s="360">
        <v>0.76</v>
      </c>
      <c r="K151" s="18" t="s">
        <v>4127</v>
      </c>
      <c r="L151" s="18">
        <v>5.424475403E9</v>
      </c>
      <c r="M151" s="18" t="s">
        <v>72</v>
      </c>
      <c r="N151" s="18" t="s">
        <v>548</v>
      </c>
      <c r="O151" s="18" t="s">
        <v>4128</v>
      </c>
      <c r="P151" s="18" t="s">
        <v>7041</v>
      </c>
      <c r="Q151" s="20">
        <f>COUNTIF('Hedef Liste'!A:A,A151)</f>
        <v>1</v>
      </c>
    </row>
    <row r="152" ht="15.75" hidden="1" customHeight="1">
      <c r="A152" s="18" t="s">
        <v>7128</v>
      </c>
      <c r="B152" s="18" t="s">
        <v>7129</v>
      </c>
      <c r="C152" s="358" t="s">
        <v>7040</v>
      </c>
      <c r="D152" s="18" t="s">
        <v>372</v>
      </c>
      <c r="E152" s="359">
        <v>5520.0</v>
      </c>
      <c r="F152" s="359">
        <v>236.0</v>
      </c>
      <c r="G152" s="359">
        <v>97.0</v>
      </c>
      <c r="H152" s="359">
        <v>3.0</v>
      </c>
      <c r="I152" s="359">
        <v>100.0</v>
      </c>
      <c r="J152" s="360">
        <v>0.97</v>
      </c>
      <c r="K152" s="18" t="s">
        <v>7112</v>
      </c>
      <c r="L152" s="18">
        <v>3.24502707E9</v>
      </c>
      <c r="M152" s="18" t="s">
        <v>187</v>
      </c>
      <c r="N152" s="18" t="s">
        <v>1667</v>
      </c>
      <c r="O152" s="18" t="s">
        <v>7130</v>
      </c>
      <c r="P152" s="18" t="s">
        <v>7047</v>
      </c>
      <c r="Q152" s="20">
        <f>COUNTIF('Hedef Liste'!A:A,A152)</f>
        <v>0</v>
      </c>
    </row>
    <row r="153" ht="15.75" hidden="1" customHeight="1">
      <c r="A153" s="18" t="s">
        <v>7131</v>
      </c>
      <c r="B153" s="18" t="s">
        <v>7132</v>
      </c>
      <c r="C153" s="358" t="s">
        <v>7040</v>
      </c>
      <c r="D153" s="18" t="s">
        <v>372</v>
      </c>
      <c r="E153" s="359">
        <v>3459.0</v>
      </c>
      <c r="F153" s="359">
        <v>238.0</v>
      </c>
      <c r="G153" s="359">
        <v>94.0</v>
      </c>
      <c r="H153" s="359">
        <v>3.0</v>
      </c>
      <c r="I153" s="359">
        <v>97.0</v>
      </c>
      <c r="J153" s="360">
        <v>0.97</v>
      </c>
      <c r="K153" s="18" t="s">
        <v>7112</v>
      </c>
      <c r="L153" s="18">
        <v>3.246257888E9</v>
      </c>
      <c r="M153" s="18" t="s">
        <v>156</v>
      </c>
      <c r="N153" s="18" t="s">
        <v>306</v>
      </c>
      <c r="O153" s="18" t="s">
        <v>7133</v>
      </c>
      <c r="P153" s="18" t="s">
        <v>7047</v>
      </c>
      <c r="Q153" s="20">
        <f>COUNTIF('Hedef Liste'!A:A,A153)</f>
        <v>0</v>
      </c>
    </row>
    <row r="154" ht="15.75" hidden="1" customHeight="1">
      <c r="A154" s="18" t="s">
        <v>2612</v>
      </c>
      <c r="B154" s="18" t="s">
        <v>2613</v>
      </c>
      <c r="C154" s="358" t="s">
        <v>7040</v>
      </c>
      <c r="D154" s="18" t="s">
        <v>80</v>
      </c>
      <c r="E154" s="359">
        <v>5553.0</v>
      </c>
      <c r="F154" s="359">
        <v>205.0</v>
      </c>
      <c r="G154" s="359">
        <v>0.0</v>
      </c>
      <c r="H154" s="359">
        <v>20.0</v>
      </c>
      <c r="I154" s="359">
        <v>20.0</v>
      </c>
      <c r="J154" s="360">
        <v>0.0</v>
      </c>
      <c r="K154" s="18" t="s">
        <v>2614</v>
      </c>
      <c r="L154" s="18">
        <v>3.243210456E9</v>
      </c>
      <c r="M154" s="18" t="s">
        <v>215</v>
      </c>
      <c r="N154" s="18" t="s">
        <v>634</v>
      </c>
      <c r="O154" s="18" t="s">
        <v>2615</v>
      </c>
      <c r="P154" s="18" t="s">
        <v>7041</v>
      </c>
      <c r="Q154" s="20">
        <f>COUNTIF('Hedef Liste'!A:A,A154)</f>
        <v>1</v>
      </c>
    </row>
    <row r="155" ht="15.75" hidden="1" customHeight="1">
      <c r="A155" s="18" t="s">
        <v>2635</v>
      </c>
      <c r="B155" s="18" t="s">
        <v>2636</v>
      </c>
      <c r="C155" s="358" t="s">
        <v>7062</v>
      </c>
      <c r="D155" s="18" t="s">
        <v>118</v>
      </c>
      <c r="E155" s="359">
        <v>16.0</v>
      </c>
      <c r="F155" s="18"/>
      <c r="G155" s="359">
        <v>0.0</v>
      </c>
      <c r="H155" s="359">
        <v>14.0</v>
      </c>
      <c r="I155" s="359">
        <v>14.0</v>
      </c>
      <c r="J155" s="360">
        <v>0.0</v>
      </c>
      <c r="K155" s="18" t="s">
        <v>2637</v>
      </c>
      <c r="L155" s="18">
        <v>5.075218228E9</v>
      </c>
      <c r="M155" s="18" t="s">
        <v>47</v>
      </c>
      <c r="N155" s="18" t="s">
        <v>48</v>
      </c>
      <c r="O155" s="18" t="s">
        <v>2638</v>
      </c>
      <c r="P155" s="18" t="s">
        <v>7041</v>
      </c>
      <c r="Q155" s="20">
        <f>COUNTIF('Hedef Liste'!A:A,A155)</f>
        <v>1</v>
      </c>
    </row>
    <row r="156" ht="15.75" hidden="1" customHeight="1">
      <c r="A156" s="18" t="s">
        <v>718</v>
      </c>
      <c r="B156" s="18" t="s">
        <v>719</v>
      </c>
      <c r="C156" s="358" t="s">
        <v>7040</v>
      </c>
      <c r="D156" s="18" t="s">
        <v>363</v>
      </c>
      <c r="E156" s="359">
        <v>317.0</v>
      </c>
      <c r="F156" s="359">
        <v>14.0</v>
      </c>
      <c r="G156" s="359">
        <v>0.0</v>
      </c>
      <c r="H156" s="359">
        <v>87.0</v>
      </c>
      <c r="I156" s="359">
        <v>87.0</v>
      </c>
      <c r="J156" s="360">
        <v>0.0</v>
      </c>
      <c r="K156" s="18" t="s">
        <v>720</v>
      </c>
      <c r="L156" s="18">
        <v>5.526112033E9</v>
      </c>
      <c r="M156" s="18" t="s">
        <v>72</v>
      </c>
      <c r="N156" s="18" t="s">
        <v>73</v>
      </c>
      <c r="O156" s="18" t="s">
        <v>721</v>
      </c>
      <c r="P156" s="18" t="s">
        <v>7041</v>
      </c>
      <c r="Q156" s="20">
        <f>COUNTIF('Hedef Liste'!A:A,A156)</f>
        <v>1</v>
      </c>
    </row>
    <row r="157" ht="15.75" hidden="1" customHeight="1">
      <c r="A157" s="18" t="s">
        <v>2733</v>
      </c>
      <c r="B157" s="18" t="s">
        <v>2734</v>
      </c>
      <c r="C157" s="358" t="s">
        <v>7040</v>
      </c>
      <c r="D157" s="18" t="s">
        <v>70</v>
      </c>
      <c r="E157" s="359">
        <v>842.0</v>
      </c>
      <c r="F157" s="359">
        <v>70.0</v>
      </c>
      <c r="G157" s="359">
        <v>0.0</v>
      </c>
      <c r="H157" s="359">
        <v>31.0</v>
      </c>
      <c r="I157" s="359">
        <v>31.0</v>
      </c>
      <c r="J157" s="360">
        <v>0.0</v>
      </c>
      <c r="K157" s="18" t="s">
        <v>7134</v>
      </c>
      <c r="L157" s="18">
        <v>3.246244243E9</v>
      </c>
      <c r="M157" s="18" t="s">
        <v>156</v>
      </c>
      <c r="N157" s="18" t="s">
        <v>7135</v>
      </c>
      <c r="O157" s="18" t="s">
        <v>2058</v>
      </c>
      <c r="P157" s="18" t="s">
        <v>7041</v>
      </c>
      <c r="Q157" s="20">
        <f>COUNTIF('Hedef Liste'!A:A,A157)</f>
        <v>1</v>
      </c>
    </row>
    <row r="158" ht="15.75" hidden="1" customHeight="1">
      <c r="A158" s="18" t="s">
        <v>2542</v>
      </c>
      <c r="B158" s="18" t="s">
        <v>2543</v>
      </c>
      <c r="C158" s="358" t="s">
        <v>7040</v>
      </c>
      <c r="D158" s="18" t="s">
        <v>7053</v>
      </c>
      <c r="E158" s="359">
        <v>522.0</v>
      </c>
      <c r="F158" s="359">
        <v>11.0</v>
      </c>
      <c r="G158" s="359">
        <v>0.0</v>
      </c>
      <c r="H158" s="359">
        <v>42.0</v>
      </c>
      <c r="I158" s="359">
        <v>42.0</v>
      </c>
      <c r="J158" s="360">
        <v>0.0</v>
      </c>
      <c r="K158" s="18" t="s">
        <v>2544</v>
      </c>
      <c r="L158" s="18">
        <v>5.527263433E9</v>
      </c>
      <c r="M158" s="18" t="s">
        <v>156</v>
      </c>
      <c r="N158" s="18" t="s">
        <v>222</v>
      </c>
      <c r="O158" s="18" t="s">
        <v>2545</v>
      </c>
      <c r="P158" s="18" t="s">
        <v>7041</v>
      </c>
      <c r="Q158" s="20">
        <f>COUNTIF('Hedef Liste'!A:A,A158)</f>
        <v>1</v>
      </c>
    </row>
    <row r="159" ht="15.75" hidden="1" customHeight="1">
      <c r="A159" s="18" t="s">
        <v>3259</v>
      </c>
      <c r="B159" s="18" t="s">
        <v>7136</v>
      </c>
      <c r="C159" s="358" t="s">
        <v>7040</v>
      </c>
      <c r="D159" s="18" t="s">
        <v>106</v>
      </c>
      <c r="E159" s="359">
        <v>2389.0</v>
      </c>
      <c r="F159" s="359">
        <v>91.0</v>
      </c>
      <c r="G159" s="359">
        <v>9.0</v>
      </c>
      <c r="H159" s="359">
        <v>26.0</v>
      </c>
      <c r="I159" s="359">
        <v>35.0</v>
      </c>
      <c r="J159" s="360">
        <v>0.26</v>
      </c>
      <c r="K159" s="18" t="s">
        <v>3261</v>
      </c>
      <c r="L159" s="18">
        <v>5.335177733E9</v>
      </c>
      <c r="M159" s="18" t="s">
        <v>156</v>
      </c>
      <c r="N159" s="18" t="s">
        <v>318</v>
      </c>
      <c r="O159" s="18" t="s">
        <v>3262</v>
      </c>
      <c r="P159" s="18" t="s">
        <v>7041</v>
      </c>
      <c r="Q159" s="20">
        <f>COUNTIF('Hedef Liste'!A:A,A159)</f>
        <v>1</v>
      </c>
    </row>
    <row r="160" ht="15.75" hidden="1" customHeight="1">
      <c r="A160" s="18" t="s">
        <v>2971</v>
      </c>
      <c r="B160" s="18" t="s">
        <v>2972</v>
      </c>
      <c r="C160" s="358" t="s">
        <v>7040</v>
      </c>
      <c r="D160" s="18" t="s">
        <v>913</v>
      </c>
      <c r="E160" s="359">
        <v>1174.0</v>
      </c>
      <c r="F160" s="18"/>
      <c r="G160" s="359">
        <v>37.0</v>
      </c>
      <c r="H160" s="359">
        <v>82.0</v>
      </c>
      <c r="I160" s="359">
        <v>119.0</v>
      </c>
      <c r="J160" s="360">
        <v>0.31</v>
      </c>
      <c r="K160" s="18" t="s">
        <v>2973</v>
      </c>
      <c r="L160" s="18">
        <v>5.525051863E9</v>
      </c>
      <c r="M160" s="18" t="s">
        <v>72</v>
      </c>
      <c r="N160" s="18" t="s">
        <v>915</v>
      </c>
      <c r="O160" s="18" t="s">
        <v>2974</v>
      </c>
      <c r="P160" s="18" t="s">
        <v>7041</v>
      </c>
      <c r="Q160" s="20">
        <f>COUNTIF('Hedef Liste'!A:A,A160)</f>
        <v>1</v>
      </c>
    </row>
    <row r="161" ht="15.75" hidden="1" customHeight="1">
      <c r="A161" s="18" t="s">
        <v>7137</v>
      </c>
      <c r="B161" s="18" t="s">
        <v>7138</v>
      </c>
      <c r="C161" s="358" t="s">
        <v>7040</v>
      </c>
      <c r="D161" s="18" t="s">
        <v>372</v>
      </c>
      <c r="E161" s="359">
        <v>6482.0</v>
      </c>
      <c r="F161" s="359">
        <v>305.0</v>
      </c>
      <c r="G161" s="359">
        <v>53.0</v>
      </c>
      <c r="H161" s="359">
        <v>2.0</v>
      </c>
      <c r="I161" s="359">
        <v>55.0</v>
      </c>
      <c r="J161" s="360">
        <v>0.96</v>
      </c>
      <c r="K161" s="18" t="s">
        <v>7139</v>
      </c>
      <c r="L161" s="18">
        <v>3.243586868E9</v>
      </c>
      <c r="M161" s="18" t="s">
        <v>63</v>
      </c>
      <c r="N161" s="18" t="s">
        <v>318</v>
      </c>
      <c r="O161" s="18" t="s">
        <v>7140</v>
      </c>
      <c r="P161" s="18" t="s">
        <v>7047</v>
      </c>
      <c r="Q161" s="20">
        <f>COUNTIF('Hedef Liste'!A:A,A161)</f>
        <v>0</v>
      </c>
    </row>
    <row r="162" ht="15.75" hidden="1" customHeight="1">
      <c r="A162" s="18" t="s">
        <v>3757</v>
      </c>
      <c r="B162" s="18" t="s">
        <v>3758</v>
      </c>
      <c r="C162" s="358" t="s">
        <v>7040</v>
      </c>
      <c r="D162" s="18" t="s">
        <v>372</v>
      </c>
      <c r="E162" s="359">
        <v>2671.0</v>
      </c>
      <c r="F162" s="359">
        <v>124.0</v>
      </c>
      <c r="G162" s="359">
        <v>48.0</v>
      </c>
      <c r="H162" s="359">
        <v>35.0</v>
      </c>
      <c r="I162" s="359">
        <v>83.0</v>
      </c>
      <c r="J162" s="360">
        <v>0.58</v>
      </c>
      <c r="K162" s="18" t="s">
        <v>2886</v>
      </c>
      <c r="L162" s="18">
        <v>5.389312333E9</v>
      </c>
      <c r="M162" s="18" t="s">
        <v>63</v>
      </c>
      <c r="N162" s="18" t="s">
        <v>137</v>
      </c>
      <c r="O162" s="18" t="s">
        <v>3759</v>
      </c>
      <c r="P162" s="18" t="s">
        <v>7041</v>
      </c>
      <c r="Q162" s="20">
        <f>COUNTIF('Hedef Liste'!A:A,A162)</f>
        <v>1</v>
      </c>
    </row>
    <row r="163" ht="15.75" hidden="1" customHeight="1">
      <c r="A163" s="18" t="s">
        <v>951</v>
      </c>
      <c r="B163" s="18" t="s">
        <v>952</v>
      </c>
      <c r="C163" s="358" t="s">
        <v>7040</v>
      </c>
      <c r="D163" s="18" t="s">
        <v>80</v>
      </c>
      <c r="E163" s="359">
        <v>736.0</v>
      </c>
      <c r="F163" s="359">
        <v>13.0</v>
      </c>
      <c r="G163" s="359">
        <v>20.0</v>
      </c>
      <c r="H163" s="359">
        <v>4.0</v>
      </c>
      <c r="I163" s="359">
        <v>24.0</v>
      </c>
      <c r="J163" s="360">
        <v>0.83</v>
      </c>
      <c r="K163" s="18" t="s">
        <v>953</v>
      </c>
      <c r="L163" s="18">
        <v>3.242384343E9</v>
      </c>
      <c r="M163" s="18" t="s">
        <v>137</v>
      </c>
      <c r="N163" s="18" t="s">
        <v>138</v>
      </c>
      <c r="O163" s="18" t="s">
        <v>954</v>
      </c>
      <c r="P163" s="18" t="s">
        <v>7041</v>
      </c>
      <c r="Q163" s="20">
        <f>COUNTIF('Hedef Liste'!A:A,A163)</f>
        <v>1</v>
      </c>
    </row>
    <row r="164" ht="15.75" hidden="1" customHeight="1">
      <c r="A164" s="18" t="s">
        <v>2059</v>
      </c>
      <c r="B164" s="18" t="s">
        <v>2060</v>
      </c>
      <c r="C164" s="358" t="s">
        <v>7040</v>
      </c>
      <c r="D164" s="18" t="s">
        <v>80</v>
      </c>
      <c r="E164" s="359">
        <v>469.0</v>
      </c>
      <c r="F164" s="359">
        <v>5.0</v>
      </c>
      <c r="G164" s="359">
        <v>8.0</v>
      </c>
      <c r="H164" s="359">
        <v>5.0</v>
      </c>
      <c r="I164" s="359">
        <v>13.0</v>
      </c>
      <c r="J164" s="360">
        <v>0.62</v>
      </c>
      <c r="K164" s="18" t="s">
        <v>2061</v>
      </c>
      <c r="L164" s="18">
        <v>3.243210033E9</v>
      </c>
      <c r="M164" s="18" t="s">
        <v>215</v>
      </c>
      <c r="N164" s="18" t="s">
        <v>227</v>
      </c>
      <c r="O164" s="18" t="s">
        <v>2062</v>
      </c>
      <c r="P164" s="18" t="s">
        <v>7041</v>
      </c>
      <c r="Q164" s="20">
        <f>COUNTIF('Hedef Liste'!A:A,A164)</f>
        <v>1</v>
      </c>
    </row>
    <row r="165" ht="15.75" hidden="1" customHeight="1">
      <c r="A165" s="18" t="s">
        <v>4508</v>
      </c>
      <c r="B165" s="18" t="s">
        <v>4509</v>
      </c>
      <c r="C165" s="358" t="s">
        <v>7040</v>
      </c>
      <c r="D165" s="18" t="s">
        <v>948</v>
      </c>
      <c r="E165" s="359">
        <v>342.0</v>
      </c>
      <c r="F165" s="18"/>
      <c r="G165" s="359">
        <v>22.0</v>
      </c>
      <c r="H165" s="359">
        <v>6.0</v>
      </c>
      <c r="I165" s="359">
        <v>28.0</v>
      </c>
      <c r="J165" s="360">
        <v>0.79</v>
      </c>
      <c r="K165" s="18" t="s">
        <v>4510</v>
      </c>
      <c r="L165" s="18">
        <v>5.322421375E9</v>
      </c>
      <c r="M165" s="18" t="s">
        <v>72</v>
      </c>
      <c r="N165" s="18" t="s">
        <v>113</v>
      </c>
      <c r="O165" s="18" t="s">
        <v>4511</v>
      </c>
      <c r="P165" s="18" t="s">
        <v>7041</v>
      </c>
      <c r="Q165" s="20">
        <f>COUNTIF('Hedef Liste'!A:A,A165)</f>
        <v>1</v>
      </c>
    </row>
    <row r="166" ht="15.75" hidden="1" customHeight="1">
      <c r="A166" s="18" t="s">
        <v>43</v>
      </c>
      <c r="B166" s="18" t="s">
        <v>44</v>
      </c>
      <c r="C166" s="358" t="s">
        <v>7040</v>
      </c>
      <c r="D166" s="18" t="s">
        <v>45</v>
      </c>
      <c r="E166" s="359">
        <v>853.0</v>
      </c>
      <c r="F166" s="359">
        <v>28.0</v>
      </c>
      <c r="G166" s="359">
        <v>2.0</v>
      </c>
      <c r="H166" s="359">
        <v>19.0</v>
      </c>
      <c r="I166" s="359">
        <v>21.0</v>
      </c>
      <c r="J166" s="360">
        <v>0.1</v>
      </c>
      <c r="K166" s="18" t="s">
        <v>46</v>
      </c>
      <c r="L166" s="18">
        <v>5.075129192E9</v>
      </c>
      <c r="M166" s="18" t="s">
        <v>47</v>
      </c>
      <c r="N166" s="18" t="s">
        <v>48</v>
      </c>
      <c r="O166" s="18" t="s">
        <v>49</v>
      </c>
      <c r="P166" s="18" t="s">
        <v>7041</v>
      </c>
      <c r="Q166" s="20">
        <f>COUNTIF('Hedef Liste'!A:A,A166)</f>
        <v>1</v>
      </c>
    </row>
    <row r="167" ht="15.75" hidden="1" customHeight="1">
      <c r="A167" s="18" t="s">
        <v>3977</v>
      </c>
      <c r="B167" s="18" t="s">
        <v>3978</v>
      </c>
      <c r="C167" s="358" t="s">
        <v>7040</v>
      </c>
      <c r="D167" s="18" t="s">
        <v>564</v>
      </c>
      <c r="E167" s="359">
        <v>475.0</v>
      </c>
      <c r="F167" s="359">
        <v>24.0</v>
      </c>
      <c r="G167" s="359">
        <v>18.0</v>
      </c>
      <c r="H167" s="359">
        <v>20.0</v>
      </c>
      <c r="I167" s="359">
        <v>38.0</v>
      </c>
      <c r="J167" s="360">
        <v>0.47</v>
      </c>
      <c r="K167" s="18" t="s">
        <v>3979</v>
      </c>
      <c r="L167" s="18">
        <v>3.242323833E9</v>
      </c>
      <c r="M167" s="18" t="s">
        <v>137</v>
      </c>
      <c r="N167" s="18" t="s">
        <v>138</v>
      </c>
      <c r="O167" s="18" t="s">
        <v>3980</v>
      </c>
      <c r="P167" s="18" t="s">
        <v>7041</v>
      </c>
      <c r="Q167" s="20">
        <f>COUNTIF('Hedef Liste'!A:A,A167)</f>
        <v>1</v>
      </c>
    </row>
    <row r="168" ht="15.75" hidden="1" customHeight="1">
      <c r="A168" s="18" t="s">
        <v>992</v>
      </c>
      <c r="B168" s="18" t="s">
        <v>993</v>
      </c>
      <c r="C168" s="358" t="s">
        <v>7062</v>
      </c>
      <c r="D168" s="18" t="s">
        <v>45</v>
      </c>
      <c r="E168" s="359">
        <v>2429.0</v>
      </c>
      <c r="F168" s="18"/>
      <c r="G168" s="359">
        <v>16.0</v>
      </c>
      <c r="H168" s="359">
        <v>18.0</v>
      </c>
      <c r="I168" s="359">
        <v>34.0</v>
      </c>
      <c r="J168" s="360">
        <v>0.47</v>
      </c>
      <c r="K168" s="18" t="s">
        <v>994</v>
      </c>
      <c r="L168" s="18">
        <v>3.243285566E9</v>
      </c>
      <c r="M168" s="18" t="s">
        <v>72</v>
      </c>
      <c r="N168" s="18" t="s">
        <v>120</v>
      </c>
      <c r="O168" s="18" t="s">
        <v>995</v>
      </c>
      <c r="P168" s="18" t="s">
        <v>7041</v>
      </c>
      <c r="Q168" s="20">
        <f>COUNTIF('Hedef Liste'!A:A,A168)</f>
        <v>1</v>
      </c>
    </row>
    <row r="169" ht="15.75" hidden="1" customHeight="1">
      <c r="A169" s="18" t="s">
        <v>848</v>
      </c>
      <c r="B169" s="18" t="s">
        <v>849</v>
      </c>
      <c r="C169" s="358" t="s">
        <v>7040</v>
      </c>
      <c r="D169" s="18" t="s">
        <v>356</v>
      </c>
      <c r="E169" s="359">
        <v>1006.0</v>
      </c>
      <c r="F169" s="359">
        <v>44.0</v>
      </c>
      <c r="G169" s="359">
        <v>32.0</v>
      </c>
      <c r="H169" s="359">
        <v>52.0</v>
      </c>
      <c r="I169" s="359">
        <v>84.0</v>
      </c>
      <c r="J169" s="360">
        <v>0.38</v>
      </c>
      <c r="K169" s="18" t="s">
        <v>850</v>
      </c>
      <c r="L169" s="18">
        <v>5.324332878E9</v>
      </c>
      <c r="M169" s="18" t="s">
        <v>72</v>
      </c>
      <c r="N169" s="18" t="s">
        <v>73</v>
      </c>
      <c r="O169" s="18" t="s">
        <v>851</v>
      </c>
      <c r="P169" s="18" t="s">
        <v>7041</v>
      </c>
      <c r="Q169" s="20">
        <f>COUNTIF('Hedef Liste'!A:A,A169)</f>
        <v>1</v>
      </c>
    </row>
    <row r="170" ht="15.75" hidden="1" customHeight="1">
      <c r="A170" s="18" t="s">
        <v>562</v>
      </c>
      <c r="B170" s="18" t="s">
        <v>563</v>
      </c>
      <c r="C170" s="358" t="s">
        <v>7040</v>
      </c>
      <c r="D170" s="18" t="s">
        <v>564</v>
      </c>
      <c r="E170" s="359">
        <v>4023.0</v>
      </c>
      <c r="F170" s="359">
        <v>143.0</v>
      </c>
      <c r="G170" s="359">
        <v>91.0</v>
      </c>
      <c r="H170" s="359">
        <v>16.0</v>
      </c>
      <c r="I170" s="359">
        <v>107.0</v>
      </c>
      <c r="J170" s="360">
        <v>0.85</v>
      </c>
      <c r="K170" s="18" t="s">
        <v>565</v>
      </c>
      <c r="L170" s="18">
        <v>5.523658202E9</v>
      </c>
      <c r="M170" s="18" t="s">
        <v>63</v>
      </c>
      <c r="N170" s="18" t="s">
        <v>566</v>
      </c>
      <c r="O170" s="18" t="s">
        <v>567</v>
      </c>
      <c r="P170" s="18" t="s">
        <v>7041</v>
      </c>
      <c r="Q170" s="20">
        <f>COUNTIF('Hedef Liste'!A:A,A170)</f>
        <v>1</v>
      </c>
    </row>
    <row r="171" ht="15.75" hidden="1" customHeight="1">
      <c r="A171" s="18" t="s">
        <v>2593</v>
      </c>
      <c r="B171" s="18" t="s">
        <v>2590</v>
      </c>
      <c r="C171" s="358" t="s">
        <v>7040</v>
      </c>
      <c r="D171" s="18" t="s">
        <v>70</v>
      </c>
      <c r="E171" s="359">
        <v>5643.0</v>
      </c>
      <c r="F171" s="359">
        <v>284.0</v>
      </c>
      <c r="G171" s="359">
        <v>3.0</v>
      </c>
      <c r="H171" s="359">
        <v>21.0</v>
      </c>
      <c r="I171" s="359">
        <v>24.0</v>
      </c>
      <c r="J171" s="360">
        <v>0.13</v>
      </c>
      <c r="K171" s="18" t="s">
        <v>2595</v>
      </c>
      <c r="L171" s="18">
        <v>3.245020231E9</v>
      </c>
      <c r="M171" s="18" t="s">
        <v>72</v>
      </c>
      <c r="N171" s="18" t="s">
        <v>983</v>
      </c>
      <c r="O171" s="18" t="s">
        <v>2596</v>
      </c>
      <c r="P171" s="18" t="s">
        <v>7041</v>
      </c>
      <c r="Q171" s="20">
        <f>COUNTIF('Hedef Liste'!A:A,A171)</f>
        <v>1</v>
      </c>
    </row>
    <row r="172" ht="15.75" hidden="1" customHeight="1">
      <c r="A172" s="18" t="s">
        <v>2442</v>
      </c>
      <c r="B172" s="18" t="s">
        <v>2443</v>
      </c>
      <c r="C172" s="358" t="s">
        <v>7062</v>
      </c>
      <c r="D172" s="18" t="s">
        <v>61</v>
      </c>
      <c r="E172" s="359">
        <v>8.0</v>
      </c>
      <c r="F172" s="18"/>
      <c r="G172" s="359">
        <v>6.0</v>
      </c>
      <c r="H172" s="359">
        <v>8.0</v>
      </c>
      <c r="I172" s="359">
        <v>14.0</v>
      </c>
      <c r="J172" s="360">
        <v>0.43</v>
      </c>
      <c r="K172" s="18" t="s">
        <v>2444</v>
      </c>
      <c r="L172" s="18">
        <v>3.2432166E9</v>
      </c>
      <c r="M172" s="18" t="s">
        <v>215</v>
      </c>
      <c r="N172" s="18" t="s">
        <v>789</v>
      </c>
      <c r="O172" s="18" t="s">
        <v>2445</v>
      </c>
      <c r="P172" s="18" t="s">
        <v>7041</v>
      </c>
      <c r="Q172" s="20">
        <f>COUNTIF('Hedef Liste'!A:A,A172)</f>
        <v>1</v>
      </c>
    </row>
    <row r="173" ht="15.75" hidden="1" customHeight="1">
      <c r="A173" s="18" t="s">
        <v>3414</v>
      </c>
      <c r="B173" s="18" t="s">
        <v>3415</v>
      </c>
      <c r="C173" s="358" t="s">
        <v>7040</v>
      </c>
      <c r="D173" s="18" t="s">
        <v>372</v>
      </c>
      <c r="E173" s="359">
        <v>948.0</v>
      </c>
      <c r="F173" s="359">
        <v>38.0</v>
      </c>
      <c r="G173" s="359">
        <v>3.0</v>
      </c>
      <c r="H173" s="359">
        <v>32.0</v>
      </c>
      <c r="I173" s="359">
        <v>35.0</v>
      </c>
      <c r="J173" s="360">
        <v>0.09</v>
      </c>
      <c r="K173" s="18" t="s">
        <v>3416</v>
      </c>
      <c r="L173" s="18">
        <v>3.245443305E9</v>
      </c>
      <c r="M173" s="18" t="s">
        <v>47</v>
      </c>
      <c r="N173" s="18" t="s">
        <v>608</v>
      </c>
      <c r="O173" s="18" t="s">
        <v>3417</v>
      </c>
      <c r="P173" s="18" t="s">
        <v>7041</v>
      </c>
      <c r="Q173" s="20">
        <f>COUNTIF('Hedef Liste'!A:A,A173)</f>
        <v>1</v>
      </c>
    </row>
    <row r="174" ht="15.75" hidden="1" customHeight="1">
      <c r="A174" s="18" t="s">
        <v>2855</v>
      </c>
      <c r="B174" s="18" t="s">
        <v>2856</v>
      </c>
      <c r="C174" s="358" t="s">
        <v>7040</v>
      </c>
      <c r="D174" s="18" t="s">
        <v>363</v>
      </c>
      <c r="E174" s="359">
        <v>982.0</v>
      </c>
      <c r="F174" s="359">
        <v>97.0</v>
      </c>
      <c r="G174" s="359">
        <v>36.0</v>
      </c>
      <c r="H174" s="359">
        <v>11.0</v>
      </c>
      <c r="I174" s="359">
        <v>47.0</v>
      </c>
      <c r="J174" s="360">
        <v>0.77</v>
      </c>
      <c r="K174" s="18" t="s">
        <v>2857</v>
      </c>
      <c r="L174" s="18">
        <v>3.242388778E9</v>
      </c>
      <c r="M174" s="18" t="s">
        <v>137</v>
      </c>
      <c r="N174" s="18" t="s">
        <v>311</v>
      </c>
      <c r="O174" s="18" t="s">
        <v>2858</v>
      </c>
      <c r="P174" s="18" t="s">
        <v>7041</v>
      </c>
      <c r="Q174" s="20">
        <f>COUNTIF('Hedef Liste'!A:A,A174)</f>
        <v>1</v>
      </c>
    </row>
    <row r="175" ht="15.75" hidden="1" customHeight="1">
      <c r="A175" s="18" t="s">
        <v>2399</v>
      </c>
      <c r="B175" s="18" t="s">
        <v>2400</v>
      </c>
      <c r="C175" s="358" t="s">
        <v>7040</v>
      </c>
      <c r="D175" s="18" t="s">
        <v>372</v>
      </c>
      <c r="E175" s="359">
        <v>3012.0</v>
      </c>
      <c r="F175" s="359">
        <v>123.0</v>
      </c>
      <c r="G175" s="359">
        <v>59.0</v>
      </c>
      <c r="H175" s="359">
        <v>4.0</v>
      </c>
      <c r="I175" s="359">
        <v>63.0</v>
      </c>
      <c r="J175" s="360">
        <v>0.94</v>
      </c>
      <c r="K175" s="18" t="s">
        <v>7141</v>
      </c>
      <c r="L175" s="18">
        <v>5.523854963E9</v>
      </c>
      <c r="M175" s="18" t="s">
        <v>72</v>
      </c>
      <c r="N175" s="18" t="s">
        <v>716</v>
      </c>
      <c r="O175" s="18" t="s">
        <v>2402</v>
      </c>
      <c r="P175" s="18" t="s">
        <v>7041</v>
      </c>
      <c r="Q175" s="20">
        <f>COUNTIF('Hedef Liste'!A:A,A175)</f>
        <v>1</v>
      </c>
    </row>
    <row r="176" ht="15.75" hidden="1" customHeight="1">
      <c r="A176" s="18" t="s">
        <v>692</v>
      </c>
      <c r="B176" s="18" t="s">
        <v>693</v>
      </c>
      <c r="C176" s="358" t="s">
        <v>7040</v>
      </c>
      <c r="D176" s="18" t="s">
        <v>7053</v>
      </c>
      <c r="E176" s="359">
        <v>549.0</v>
      </c>
      <c r="F176" s="359">
        <v>26.0</v>
      </c>
      <c r="G176" s="359">
        <v>10.0</v>
      </c>
      <c r="H176" s="359">
        <v>12.0</v>
      </c>
      <c r="I176" s="359">
        <v>22.0</v>
      </c>
      <c r="J176" s="360">
        <v>0.45</v>
      </c>
      <c r="K176" s="18" t="s">
        <v>694</v>
      </c>
      <c r="L176" s="18">
        <v>3.243275463E9</v>
      </c>
      <c r="M176" s="18" t="s">
        <v>72</v>
      </c>
      <c r="N176" s="18" t="s">
        <v>1298</v>
      </c>
      <c r="O176" s="18" t="s">
        <v>695</v>
      </c>
      <c r="P176" s="18" t="s">
        <v>7041</v>
      </c>
      <c r="Q176" s="20">
        <f>COUNTIF('Hedef Liste'!A:A,A176)</f>
        <v>1</v>
      </c>
    </row>
    <row r="177" ht="15.75" hidden="1" customHeight="1">
      <c r="A177" s="18" t="s">
        <v>4120</v>
      </c>
      <c r="B177" s="18" t="s">
        <v>4121</v>
      </c>
      <c r="C177" s="358" t="s">
        <v>7040</v>
      </c>
      <c r="D177" s="18" t="s">
        <v>80</v>
      </c>
      <c r="E177" s="359">
        <v>1643.0</v>
      </c>
      <c r="F177" s="359">
        <v>61.0</v>
      </c>
      <c r="G177" s="359">
        <v>0.0</v>
      </c>
      <c r="H177" s="359">
        <v>20.0</v>
      </c>
      <c r="I177" s="359">
        <v>20.0</v>
      </c>
      <c r="J177" s="360">
        <v>0.0</v>
      </c>
      <c r="K177" s="18" t="s">
        <v>4122</v>
      </c>
      <c r="L177" s="18">
        <v>3.243250605E9</v>
      </c>
      <c r="M177" s="18" t="s">
        <v>72</v>
      </c>
      <c r="N177" s="18" t="s">
        <v>181</v>
      </c>
      <c r="O177" s="18" t="s">
        <v>4123</v>
      </c>
      <c r="P177" s="18" t="s">
        <v>7041</v>
      </c>
      <c r="Q177" s="20">
        <f>COUNTIF('Hedef Liste'!A:A,A177)</f>
        <v>1</v>
      </c>
    </row>
    <row r="178" ht="15.75" hidden="1" customHeight="1">
      <c r="A178" s="18" t="s">
        <v>4005</v>
      </c>
      <c r="B178" s="18" t="s">
        <v>4006</v>
      </c>
      <c r="C178" s="358" t="s">
        <v>7040</v>
      </c>
      <c r="D178" s="18" t="s">
        <v>70</v>
      </c>
      <c r="E178" s="359">
        <v>3305.0</v>
      </c>
      <c r="F178" s="359">
        <v>89.0</v>
      </c>
      <c r="G178" s="359">
        <v>36.0</v>
      </c>
      <c r="H178" s="359">
        <v>9.0</v>
      </c>
      <c r="I178" s="359">
        <v>45.0</v>
      </c>
      <c r="J178" s="360">
        <v>0.8</v>
      </c>
      <c r="K178" s="18" t="s">
        <v>4007</v>
      </c>
      <c r="L178" s="18">
        <v>3.243283472E9</v>
      </c>
      <c r="M178" s="18" t="s">
        <v>72</v>
      </c>
      <c r="N178" s="18" t="s">
        <v>73</v>
      </c>
      <c r="O178" s="18" t="s">
        <v>4008</v>
      </c>
      <c r="P178" s="18" t="s">
        <v>7041</v>
      </c>
      <c r="Q178" s="20">
        <f>COUNTIF('Hedef Liste'!A:A,A178)</f>
        <v>1</v>
      </c>
    </row>
    <row r="179" ht="15.75" hidden="1" customHeight="1">
      <c r="A179" s="18" t="s">
        <v>7142</v>
      </c>
      <c r="B179" s="18" t="s">
        <v>7143</v>
      </c>
      <c r="C179" s="358" t="s">
        <v>7040</v>
      </c>
      <c r="D179" s="18" t="s">
        <v>372</v>
      </c>
      <c r="E179" s="359">
        <v>5001.0</v>
      </c>
      <c r="F179" s="359">
        <v>197.0</v>
      </c>
      <c r="G179" s="359">
        <v>56.0</v>
      </c>
      <c r="H179" s="359">
        <v>2.0</v>
      </c>
      <c r="I179" s="359">
        <v>58.0</v>
      </c>
      <c r="J179" s="360">
        <v>0.97</v>
      </c>
      <c r="K179" s="18" t="s">
        <v>7144</v>
      </c>
      <c r="L179" s="18">
        <v>3.249995858E9</v>
      </c>
      <c r="M179" s="18" t="s">
        <v>72</v>
      </c>
      <c r="N179" s="18" t="s">
        <v>538</v>
      </c>
      <c r="O179" s="18" t="s">
        <v>7145</v>
      </c>
      <c r="P179" s="18" t="s">
        <v>7047</v>
      </c>
      <c r="Q179" s="20">
        <f>COUNTIF('Hedef Liste'!A:A,A179)</f>
        <v>0</v>
      </c>
    </row>
    <row r="180" ht="15.75" hidden="1" customHeight="1">
      <c r="A180" s="18" t="s">
        <v>7146</v>
      </c>
      <c r="B180" s="18" t="s">
        <v>7147</v>
      </c>
      <c r="C180" s="358" t="s">
        <v>7062</v>
      </c>
      <c r="D180" s="18" t="s">
        <v>884</v>
      </c>
      <c r="E180" s="359">
        <v>802.0</v>
      </c>
      <c r="F180" s="18"/>
      <c r="G180" s="359">
        <v>100.0</v>
      </c>
      <c r="H180" s="359">
        <v>2.0</v>
      </c>
      <c r="I180" s="359">
        <v>102.0</v>
      </c>
      <c r="J180" s="360">
        <v>0.98</v>
      </c>
      <c r="K180" s="18" t="s">
        <v>7148</v>
      </c>
      <c r="L180" s="18">
        <v>3.243315488E9</v>
      </c>
      <c r="M180" s="18" t="s">
        <v>72</v>
      </c>
      <c r="N180" s="18" t="s">
        <v>73</v>
      </c>
      <c r="O180" s="18" t="s">
        <v>7149</v>
      </c>
      <c r="P180" s="18" t="s">
        <v>7047</v>
      </c>
      <c r="Q180" s="20">
        <f>COUNTIF('Hedef Liste'!A:A,A180)</f>
        <v>0</v>
      </c>
    </row>
    <row r="181" ht="15.75" hidden="1" customHeight="1">
      <c r="A181" s="18" t="s">
        <v>7150</v>
      </c>
      <c r="B181" s="18" t="s">
        <v>7151</v>
      </c>
      <c r="C181" s="358" t="s">
        <v>7062</v>
      </c>
      <c r="D181" s="18" t="s">
        <v>884</v>
      </c>
      <c r="E181" s="359">
        <v>1323.0</v>
      </c>
      <c r="F181" s="18"/>
      <c r="G181" s="359">
        <v>60.0</v>
      </c>
      <c r="H181" s="359">
        <v>2.0</v>
      </c>
      <c r="I181" s="359">
        <v>62.0</v>
      </c>
      <c r="J181" s="360">
        <v>0.97</v>
      </c>
      <c r="K181" s="18" t="s">
        <v>7148</v>
      </c>
      <c r="L181" s="18">
        <v>3.243310491E9</v>
      </c>
      <c r="M181" s="18" t="s">
        <v>72</v>
      </c>
      <c r="N181" s="18" t="s">
        <v>150</v>
      </c>
      <c r="O181" s="18" t="s">
        <v>7152</v>
      </c>
      <c r="P181" s="18" t="s">
        <v>7047</v>
      </c>
      <c r="Q181" s="20">
        <f>COUNTIF('Hedef Liste'!A:A,A181)</f>
        <v>0</v>
      </c>
    </row>
    <row r="182" ht="15.75" hidden="1" customHeight="1">
      <c r="A182" s="18" t="s">
        <v>1619</v>
      </c>
      <c r="B182" s="18" t="s">
        <v>1620</v>
      </c>
      <c r="C182" s="358" t="s">
        <v>7040</v>
      </c>
      <c r="D182" s="18" t="s">
        <v>118</v>
      </c>
      <c r="E182" s="359">
        <v>1987.0</v>
      </c>
      <c r="F182" s="359">
        <v>9.0</v>
      </c>
      <c r="G182" s="359">
        <v>17.0</v>
      </c>
      <c r="H182" s="359">
        <v>21.0</v>
      </c>
      <c r="I182" s="359">
        <v>38.0</v>
      </c>
      <c r="J182" s="360">
        <v>0.45</v>
      </c>
      <c r="K182" s="18" t="s">
        <v>1621</v>
      </c>
      <c r="L182" s="18">
        <v>3.243283733E9</v>
      </c>
      <c r="M182" s="18" t="s">
        <v>63</v>
      </c>
      <c r="N182" s="18" t="s">
        <v>93</v>
      </c>
      <c r="O182" s="18" t="s">
        <v>1622</v>
      </c>
      <c r="P182" s="18" t="s">
        <v>7041</v>
      </c>
      <c r="Q182" s="20">
        <f>COUNTIF('Hedef Liste'!A:A,A182)</f>
        <v>1</v>
      </c>
    </row>
    <row r="183" ht="15.75" hidden="1" customHeight="1">
      <c r="A183" s="18" t="s">
        <v>212</v>
      </c>
      <c r="B183" s="18" t="s">
        <v>213</v>
      </c>
      <c r="C183" s="358" t="s">
        <v>7040</v>
      </c>
      <c r="D183" s="18" t="s">
        <v>167</v>
      </c>
      <c r="E183" s="359">
        <v>564.0</v>
      </c>
      <c r="F183" s="359">
        <v>14.0</v>
      </c>
      <c r="G183" s="359">
        <v>12.0</v>
      </c>
      <c r="H183" s="359">
        <v>2.0</v>
      </c>
      <c r="I183" s="359">
        <v>14.0</v>
      </c>
      <c r="J183" s="360">
        <v>0.86</v>
      </c>
      <c r="K183" s="18" t="s">
        <v>214</v>
      </c>
      <c r="L183" s="18">
        <v>5.339134933E9</v>
      </c>
      <c r="M183" s="18" t="s">
        <v>215</v>
      </c>
      <c r="N183" s="18" t="s">
        <v>779</v>
      </c>
      <c r="O183" s="18" t="s">
        <v>217</v>
      </c>
      <c r="P183" s="18" t="s">
        <v>7041</v>
      </c>
      <c r="Q183" s="20">
        <f>COUNTIF('Hedef Liste'!A:A,A183)</f>
        <v>1</v>
      </c>
    </row>
    <row r="184" ht="15.75" hidden="1" customHeight="1">
      <c r="A184" s="18" t="s">
        <v>2943</v>
      </c>
      <c r="B184" s="18" t="s">
        <v>2944</v>
      </c>
      <c r="C184" s="358" t="s">
        <v>7062</v>
      </c>
      <c r="D184" s="18" t="s">
        <v>118</v>
      </c>
      <c r="E184" s="359">
        <v>184.0</v>
      </c>
      <c r="F184" s="18"/>
      <c r="G184" s="359">
        <v>0.0</v>
      </c>
      <c r="H184" s="359">
        <v>26.0</v>
      </c>
      <c r="I184" s="359">
        <v>26.0</v>
      </c>
      <c r="J184" s="360">
        <v>0.0</v>
      </c>
      <c r="K184" s="18" t="s">
        <v>2945</v>
      </c>
      <c r="L184" s="18">
        <v>5.42485064E9</v>
      </c>
      <c r="M184" s="18" t="s">
        <v>72</v>
      </c>
      <c r="N184" s="18" t="s">
        <v>810</v>
      </c>
      <c r="O184" s="18" t="s">
        <v>2946</v>
      </c>
      <c r="P184" s="18" t="s">
        <v>7041</v>
      </c>
      <c r="Q184" s="20">
        <f>COUNTIF('Hedef Liste'!A:A,A184)</f>
        <v>1</v>
      </c>
    </row>
    <row r="185" ht="15.75" hidden="1" customHeight="1">
      <c r="A185" s="18" t="s">
        <v>4217</v>
      </c>
      <c r="B185" s="18" t="s">
        <v>4218</v>
      </c>
      <c r="C185" s="358" t="s">
        <v>7040</v>
      </c>
      <c r="D185" s="18" t="s">
        <v>363</v>
      </c>
      <c r="E185" s="359">
        <v>809.0</v>
      </c>
      <c r="F185" s="359">
        <v>89.0</v>
      </c>
      <c r="G185" s="359">
        <v>0.0</v>
      </c>
      <c r="H185" s="359">
        <v>57.0</v>
      </c>
      <c r="I185" s="359">
        <v>57.0</v>
      </c>
      <c r="J185" s="360">
        <v>0.0</v>
      </c>
      <c r="K185" s="18" t="s">
        <v>4219</v>
      </c>
      <c r="L185" s="18">
        <v>5.303802733E9</v>
      </c>
      <c r="M185" s="18" t="s">
        <v>72</v>
      </c>
      <c r="N185" s="18" t="s">
        <v>538</v>
      </c>
      <c r="O185" s="18" t="s">
        <v>4220</v>
      </c>
      <c r="P185" s="18" t="s">
        <v>7041</v>
      </c>
      <c r="Q185" s="20">
        <f>COUNTIF('Hedef Liste'!A:A,A185)</f>
        <v>1</v>
      </c>
    </row>
    <row r="186" ht="15.75" hidden="1" customHeight="1">
      <c r="A186" s="18" t="s">
        <v>1134</v>
      </c>
      <c r="B186" s="18" t="s">
        <v>1135</v>
      </c>
      <c r="C186" s="358" t="s">
        <v>7040</v>
      </c>
      <c r="D186" s="18" t="s">
        <v>1136</v>
      </c>
      <c r="E186" s="359">
        <v>113.0</v>
      </c>
      <c r="F186" s="359">
        <v>18.0</v>
      </c>
      <c r="G186" s="359">
        <v>0.0</v>
      </c>
      <c r="H186" s="359">
        <v>101.0</v>
      </c>
      <c r="I186" s="359">
        <v>101.0</v>
      </c>
      <c r="J186" s="360">
        <v>0.0</v>
      </c>
      <c r="K186" s="18" t="s">
        <v>1137</v>
      </c>
      <c r="L186" s="18">
        <v>5.069133383E9</v>
      </c>
      <c r="M186" s="18" t="s">
        <v>72</v>
      </c>
      <c r="N186" s="18" t="s">
        <v>538</v>
      </c>
      <c r="O186" s="18" t="s">
        <v>1138</v>
      </c>
      <c r="P186" s="18" t="s">
        <v>7041</v>
      </c>
      <c r="Q186" s="20">
        <f>COUNTIF('Hedef Liste'!A:A,A186)</f>
        <v>1</v>
      </c>
    </row>
    <row r="187" ht="15.75" hidden="1" customHeight="1">
      <c r="A187" s="18" t="s">
        <v>2345</v>
      </c>
      <c r="B187" s="18" t="s">
        <v>2346</v>
      </c>
      <c r="C187" s="358" t="s">
        <v>7040</v>
      </c>
      <c r="D187" s="18" t="s">
        <v>564</v>
      </c>
      <c r="E187" s="359">
        <v>2110.0</v>
      </c>
      <c r="F187" s="359">
        <v>117.0</v>
      </c>
      <c r="G187" s="359">
        <v>17.0</v>
      </c>
      <c r="H187" s="359">
        <v>41.0</v>
      </c>
      <c r="I187" s="359">
        <v>58.0</v>
      </c>
      <c r="J187" s="360">
        <v>0.29</v>
      </c>
      <c r="K187" s="18" t="s">
        <v>2347</v>
      </c>
      <c r="L187" s="18">
        <v>3.243233023E9</v>
      </c>
      <c r="M187" s="18" t="s">
        <v>215</v>
      </c>
      <c r="N187" s="18" t="s">
        <v>263</v>
      </c>
      <c r="O187" s="18" t="s">
        <v>2348</v>
      </c>
      <c r="P187" s="18" t="s">
        <v>7041</v>
      </c>
      <c r="Q187" s="20">
        <f>COUNTIF('Hedef Liste'!A:A,A187)</f>
        <v>1</v>
      </c>
    </row>
    <row r="188" ht="15.75" hidden="1" customHeight="1">
      <c r="A188" s="18" t="s">
        <v>1777</v>
      </c>
      <c r="B188" s="18" t="s">
        <v>1778</v>
      </c>
      <c r="C188" s="358" t="s">
        <v>7040</v>
      </c>
      <c r="D188" s="18" t="s">
        <v>80</v>
      </c>
      <c r="E188" s="359">
        <v>1736.0</v>
      </c>
      <c r="F188" s="359">
        <v>95.0</v>
      </c>
      <c r="G188" s="359">
        <v>12.0</v>
      </c>
      <c r="H188" s="359">
        <v>10.0</v>
      </c>
      <c r="I188" s="359">
        <v>22.0</v>
      </c>
      <c r="J188" s="360">
        <v>0.55</v>
      </c>
      <c r="K188" s="18" t="s">
        <v>1779</v>
      </c>
      <c r="L188" s="18">
        <v>5.497323363E9</v>
      </c>
      <c r="M188" s="18" t="s">
        <v>72</v>
      </c>
      <c r="N188" s="18" t="s">
        <v>352</v>
      </c>
      <c r="O188" s="18" t="s">
        <v>1780</v>
      </c>
      <c r="P188" s="18" t="s">
        <v>7041</v>
      </c>
      <c r="Q188" s="20">
        <f>COUNTIF('Hedef Liste'!A:A,A188)</f>
        <v>1</v>
      </c>
    </row>
    <row r="189" ht="15.75" hidden="1" customHeight="1">
      <c r="A189" s="18" t="s">
        <v>1582</v>
      </c>
      <c r="B189" s="18" t="s">
        <v>7153</v>
      </c>
      <c r="C189" s="358" t="s">
        <v>7040</v>
      </c>
      <c r="D189" s="18" t="s">
        <v>118</v>
      </c>
      <c r="E189" s="359">
        <v>2313.0</v>
      </c>
      <c r="F189" s="359">
        <v>133.0</v>
      </c>
      <c r="G189" s="359">
        <v>11.0</v>
      </c>
      <c r="H189" s="359">
        <v>5.0</v>
      </c>
      <c r="I189" s="359">
        <v>16.0</v>
      </c>
      <c r="J189" s="360">
        <v>0.69</v>
      </c>
      <c r="K189" s="18" t="s">
        <v>1584</v>
      </c>
      <c r="L189" s="18">
        <v>5.412452749E9</v>
      </c>
      <c r="M189" s="18" t="s">
        <v>72</v>
      </c>
      <c r="N189" s="18" t="s">
        <v>82</v>
      </c>
      <c r="O189" s="18" t="s">
        <v>1585</v>
      </c>
      <c r="P189" s="18" t="s">
        <v>7041</v>
      </c>
      <c r="Q189" s="20">
        <f>COUNTIF('Hedef Liste'!A:A,A189)</f>
        <v>1</v>
      </c>
    </row>
    <row r="190" ht="15.75" hidden="1" customHeight="1">
      <c r="A190" s="18" t="s">
        <v>7154</v>
      </c>
      <c r="B190" s="18" t="s">
        <v>7155</v>
      </c>
      <c r="C190" s="358" t="s">
        <v>7040</v>
      </c>
      <c r="D190" s="18" t="s">
        <v>884</v>
      </c>
      <c r="E190" s="359">
        <v>953.0</v>
      </c>
      <c r="F190" s="359">
        <v>55.0</v>
      </c>
      <c r="G190" s="359">
        <v>222.0</v>
      </c>
      <c r="H190" s="359">
        <v>2.0</v>
      </c>
      <c r="I190" s="359">
        <v>224.0</v>
      </c>
      <c r="J190" s="360">
        <v>0.99</v>
      </c>
      <c r="K190" s="18" t="s">
        <v>7156</v>
      </c>
      <c r="L190" s="18">
        <v>3.243312026E9</v>
      </c>
      <c r="M190" s="18" t="s">
        <v>72</v>
      </c>
      <c r="N190" s="18" t="s">
        <v>915</v>
      </c>
      <c r="O190" s="18" t="s">
        <v>7157</v>
      </c>
      <c r="P190" s="18" t="s">
        <v>7047</v>
      </c>
      <c r="Q190" s="20">
        <f>COUNTIF('Hedef Liste'!A:A,A190)</f>
        <v>0</v>
      </c>
    </row>
    <row r="191" ht="15.75" hidden="1" customHeight="1">
      <c r="A191" s="18" t="s">
        <v>4481</v>
      </c>
      <c r="B191" s="18" t="s">
        <v>4482</v>
      </c>
      <c r="C191" s="358" t="s">
        <v>7040</v>
      </c>
      <c r="D191" s="18" t="s">
        <v>45</v>
      </c>
      <c r="E191" s="359">
        <v>263.0</v>
      </c>
      <c r="F191" s="359">
        <v>24.0</v>
      </c>
      <c r="G191" s="359">
        <v>0.0</v>
      </c>
      <c r="H191" s="359">
        <v>22.0</v>
      </c>
      <c r="I191" s="359">
        <v>22.0</v>
      </c>
      <c r="J191" s="361">
        <v>0.0</v>
      </c>
      <c r="K191" s="18" t="s">
        <v>7158</v>
      </c>
      <c r="L191" s="18">
        <v>3.243290929E9</v>
      </c>
      <c r="M191" s="18" t="s">
        <v>72</v>
      </c>
      <c r="N191" s="18" t="s">
        <v>333</v>
      </c>
      <c r="O191" s="18" t="s">
        <v>4484</v>
      </c>
      <c r="P191" s="18" t="s">
        <v>7041</v>
      </c>
      <c r="Q191" s="20">
        <f>COUNTIF('Hedef Liste'!A:A,A191)</f>
        <v>1</v>
      </c>
    </row>
    <row r="192" ht="15.75" hidden="1" customHeight="1">
      <c r="A192" s="18" t="s">
        <v>3580</v>
      </c>
      <c r="B192" s="18" t="s">
        <v>3581</v>
      </c>
      <c r="C192" s="358" t="s">
        <v>7040</v>
      </c>
      <c r="D192" s="18" t="s">
        <v>7053</v>
      </c>
      <c r="E192" s="359">
        <v>113.0</v>
      </c>
      <c r="F192" s="359">
        <v>12.0</v>
      </c>
      <c r="G192" s="359">
        <v>0.0</v>
      </c>
      <c r="H192" s="359">
        <v>5.0</v>
      </c>
      <c r="I192" s="359">
        <v>5.0</v>
      </c>
      <c r="J192" s="360">
        <v>0.0</v>
      </c>
      <c r="K192" s="18" t="s">
        <v>3582</v>
      </c>
      <c r="L192" s="18">
        <v>3.242371489E9</v>
      </c>
      <c r="M192" s="18" t="s">
        <v>137</v>
      </c>
      <c r="N192" s="18" t="s">
        <v>138</v>
      </c>
      <c r="O192" s="18" t="s">
        <v>7159</v>
      </c>
      <c r="P192" s="18" t="s">
        <v>7041</v>
      </c>
      <c r="Q192" s="20">
        <f>COUNTIF('Hedef Liste'!A:A,A192)</f>
        <v>1</v>
      </c>
    </row>
    <row r="193" ht="15.75" hidden="1" customHeight="1">
      <c r="A193" s="18" t="s">
        <v>2131</v>
      </c>
      <c r="B193" s="18" t="s">
        <v>2132</v>
      </c>
      <c r="C193" s="358" t="s">
        <v>7040</v>
      </c>
      <c r="D193" s="18" t="s">
        <v>363</v>
      </c>
      <c r="E193" s="359">
        <v>2549.0</v>
      </c>
      <c r="F193" s="359">
        <v>142.0</v>
      </c>
      <c r="G193" s="359">
        <v>39.0</v>
      </c>
      <c r="H193" s="359">
        <v>34.0</v>
      </c>
      <c r="I193" s="359">
        <v>73.0</v>
      </c>
      <c r="J193" s="360">
        <v>0.53</v>
      </c>
      <c r="K193" s="18" t="s">
        <v>2133</v>
      </c>
      <c r="L193" s="18">
        <v>5.325953321E9</v>
      </c>
      <c r="M193" s="18" t="s">
        <v>215</v>
      </c>
      <c r="N193" s="18" t="s">
        <v>216</v>
      </c>
      <c r="O193" s="18" t="s">
        <v>2134</v>
      </c>
      <c r="P193" s="18" t="s">
        <v>7041</v>
      </c>
      <c r="Q193" s="20">
        <f>COUNTIF('Hedef Liste'!A:A,A193)</f>
        <v>1</v>
      </c>
    </row>
    <row r="194" ht="15.75" hidden="1" customHeight="1">
      <c r="A194" s="18" t="s">
        <v>3142</v>
      </c>
      <c r="B194" s="18" t="s">
        <v>3143</v>
      </c>
      <c r="C194" s="358" t="s">
        <v>7040</v>
      </c>
      <c r="D194" s="18" t="s">
        <v>80</v>
      </c>
      <c r="E194" s="359">
        <v>1124.0</v>
      </c>
      <c r="F194" s="359">
        <v>13.0</v>
      </c>
      <c r="G194" s="359">
        <v>0.0</v>
      </c>
      <c r="H194" s="359">
        <v>22.0</v>
      </c>
      <c r="I194" s="359">
        <v>22.0</v>
      </c>
      <c r="J194" s="360">
        <v>0.0</v>
      </c>
      <c r="K194" s="18" t="s">
        <v>3144</v>
      </c>
      <c r="L194" s="18">
        <v>3.242381948E9</v>
      </c>
      <c r="M194" s="18" t="s">
        <v>137</v>
      </c>
      <c r="N194" s="18" t="s">
        <v>1743</v>
      </c>
      <c r="O194" s="18" t="s">
        <v>3145</v>
      </c>
      <c r="P194" s="18" t="s">
        <v>7041</v>
      </c>
      <c r="Q194" s="20">
        <f>COUNTIF('Hedef Liste'!A:A,A194)</f>
        <v>1</v>
      </c>
    </row>
    <row r="195" ht="15.75" hidden="1" customHeight="1">
      <c r="A195" s="18" t="s">
        <v>4585</v>
      </c>
      <c r="B195" s="18" t="s">
        <v>4586</v>
      </c>
      <c r="C195" s="358" t="s">
        <v>7040</v>
      </c>
      <c r="D195" s="18" t="s">
        <v>363</v>
      </c>
      <c r="E195" s="359">
        <v>1746.0</v>
      </c>
      <c r="F195" s="359">
        <v>154.0</v>
      </c>
      <c r="G195" s="359">
        <v>24.0</v>
      </c>
      <c r="H195" s="359">
        <v>31.0</v>
      </c>
      <c r="I195" s="359">
        <v>55.0</v>
      </c>
      <c r="J195" s="360">
        <v>0.44</v>
      </c>
      <c r="K195" s="18" t="s">
        <v>4587</v>
      </c>
      <c r="L195" s="18">
        <v>3.242371188E9</v>
      </c>
      <c r="M195" s="18" t="s">
        <v>137</v>
      </c>
      <c r="N195" s="18" t="s">
        <v>144</v>
      </c>
      <c r="O195" s="18" t="s">
        <v>4588</v>
      </c>
      <c r="P195" s="18" t="s">
        <v>7041</v>
      </c>
      <c r="Q195" s="20">
        <f>COUNTIF('Hedef Liste'!A:A,A195)</f>
        <v>1</v>
      </c>
    </row>
    <row r="196" ht="15.75" hidden="1" customHeight="1">
      <c r="A196" s="18" t="s">
        <v>3761</v>
      </c>
      <c r="B196" s="18" t="s">
        <v>3762</v>
      </c>
      <c r="C196" s="358" t="s">
        <v>7040</v>
      </c>
      <c r="D196" s="18" t="s">
        <v>372</v>
      </c>
      <c r="E196" s="359">
        <v>1479.0</v>
      </c>
      <c r="F196" s="359">
        <v>95.0</v>
      </c>
      <c r="G196" s="359">
        <v>0.0</v>
      </c>
      <c r="H196" s="359">
        <v>214.0</v>
      </c>
      <c r="I196" s="359">
        <v>214.0</v>
      </c>
      <c r="J196" s="360">
        <v>0.0</v>
      </c>
      <c r="K196" s="18" t="s">
        <v>3763</v>
      </c>
      <c r="L196" s="18">
        <v>3.246135565E9</v>
      </c>
      <c r="M196" s="18" t="s">
        <v>156</v>
      </c>
      <c r="N196" s="18" t="s">
        <v>596</v>
      </c>
      <c r="O196" s="18" t="s">
        <v>3764</v>
      </c>
      <c r="P196" s="18" t="s">
        <v>7041</v>
      </c>
      <c r="Q196" s="20">
        <f>COUNTIF('Hedef Liste'!A:A,A196)</f>
        <v>1</v>
      </c>
    </row>
    <row r="197" ht="15.75" hidden="1" customHeight="1">
      <c r="A197" s="18" t="s">
        <v>241</v>
      </c>
      <c r="B197" s="18" t="s">
        <v>242</v>
      </c>
      <c r="C197" s="358" t="s">
        <v>7040</v>
      </c>
      <c r="D197" s="18" t="s">
        <v>167</v>
      </c>
      <c r="E197" s="359">
        <v>348.0</v>
      </c>
      <c r="F197" s="359">
        <v>36.0</v>
      </c>
      <c r="G197" s="359">
        <v>6.0</v>
      </c>
      <c r="H197" s="359">
        <v>1.0</v>
      </c>
      <c r="I197" s="359">
        <v>7.0</v>
      </c>
      <c r="J197" s="360">
        <v>0.86</v>
      </c>
      <c r="K197" s="18" t="s">
        <v>243</v>
      </c>
      <c r="L197" s="18">
        <v>3.242338202E9</v>
      </c>
      <c r="M197" s="18" t="s">
        <v>137</v>
      </c>
      <c r="N197" s="18" t="s">
        <v>209</v>
      </c>
      <c r="O197" s="18" t="s">
        <v>244</v>
      </c>
      <c r="P197" s="18" t="s">
        <v>7041</v>
      </c>
      <c r="Q197" s="20">
        <f>COUNTIF('Hedef Liste'!A:A,A197)</f>
        <v>1</v>
      </c>
    </row>
    <row r="198" ht="15.75" hidden="1" customHeight="1">
      <c r="A198" s="18" t="s">
        <v>3552</v>
      </c>
      <c r="B198" s="18" t="s">
        <v>3553</v>
      </c>
      <c r="C198" s="358" t="s">
        <v>7040</v>
      </c>
      <c r="D198" s="18" t="s">
        <v>356</v>
      </c>
      <c r="E198" s="359">
        <v>380.0</v>
      </c>
      <c r="F198" s="359">
        <v>15.0</v>
      </c>
      <c r="G198" s="359">
        <v>9.0</v>
      </c>
      <c r="H198" s="359">
        <v>13.0</v>
      </c>
      <c r="I198" s="359">
        <v>22.0</v>
      </c>
      <c r="J198" s="360">
        <v>0.41</v>
      </c>
      <c r="K198" s="18" t="s">
        <v>3554</v>
      </c>
      <c r="L198" s="18">
        <v>3.243363071E9</v>
      </c>
      <c r="M198" s="18" t="s">
        <v>137</v>
      </c>
      <c r="N198" s="18" t="s">
        <v>209</v>
      </c>
      <c r="O198" s="18" t="s">
        <v>3555</v>
      </c>
      <c r="P198" s="18" t="s">
        <v>7041</v>
      </c>
      <c r="Q198" s="20">
        <f>COUNTIF('Hedef Liste'!A:A,A198)</f>
        <v>1</v>
      </c>
    </row>
    <row r="199" ht="15.75" hidden="1" customHeight="1">
      <c r="A199" s="18" t="s">
        <v>280</v>
      </c>
      <c r="B199" s="18" t="s">
        <v>281</v>
      </c>
      <c r="C199" s="358" t="s">
        <v>7040</v>
      </c>
      <c r="D199" s="18" t="s">
        <v>167</v>
      </c>
      <c r="E199" s="359">
        <v>335.0</v>
      </c>
      <c r="F199" s="18"/>
      <c r="G199" s="359">
        <v>5.0</v>
      </c>
      <c r="H199" s="359">
        <v>6.0</v>
      </c>
      <c r="I199" s="359">
        <v>11.0</v>
      </c>
      <c r="J199" s="360">
        <v>0.45</v>
      </c>
      <c r="K199" s="18" t="s">
        <v>282</v>
      </c>
      <c r="L199" s="18">
        <v>3.246266626E9</v>
      </c>
      <c r="M199" s="18" t="s">
        <v>156</v>
      </c>
      <c r="N199" s="18" t="s">
        <v>283</v>
      </c>
      <c r="O199" s="18" t="s">
        <v>284</v>
      </c>
      <c r="P199" s="18" t="s">
        <v>7041</v>
      </c>
      <c r="Q199" s="20">
        <f>COUNTIF('Hedef Liste'!A:A,A199)</f>
        <v>1</v>
      </c>
    </row>
    <row r="200" ht="15.75" hidden="1" customHeight="1">
      <c r="A200" s="18" t="s">
        <v>1039</v>
      </c>
      <c r="B200" s="18" t="s">
        <v>1040</v>
      </c>
      <c r="C200" s="358" t="s">
        <v>7040</v>
      </c>
      <c r="D200" s="18" t="s">
        <v>7053</v>
      </c>
      <c r="E200" s="359">
        <v>1670.0</v>
      </c>
      <c r="F200" s="359">
        <v>22.0</v>
      </c>
      <c r="G200" s="359">
        <v>13.0</v>
      </c>
      <c r="H200" s="359">
        <v>35.0</v>
      </c>
      <c r="I200" s="359">
        <v>48.0</v>
      </c>
      <c r="J200" s="360">
        <v>0.27</v>
      </c>
      <c r="K200" s="18" t="s">
        <v>1041</v>
      </c>
      <c r="L200" s="18">
        <v>3.243290001E9</v>
      </c>
      <c r="M200" s="18" t="s">
        <v>72</v>
      </c>
      <c r="N200" s="18" t="s">
        <v>716</v>
      </c>
      <c r="O200" s="18" t="s">
        <v>1042</v>
      </c>
      <c r="P200" s="18" t="s">
        <v>7041</v>
      </c>
      <c r="Q200" s="20">
        <f>COUNTIF('Hedef Liste'!A:A,A200)</f>
        <v>1</v>
      </c>
    </row>
    <row r="201" ht="15.75" hidden="1" customHeight="1">
      <c r="A201" s="18" t="s">
        <v>1600</v>
      </c>
      <c r="B201" s="18" t="s">
        <v>1601</v>
      </c>
      <c r="C201" s="358" t="s">
        <v>7062</v>
      </c>
      <c r="D201" s="18" t="s">
        <v>80</v>
      </c>
      <c r="E201" s="359">
        <v>1727.0</v>
      </c>
      <c r="F201" s="18"/>
      <c r="G201" s="359">
        <v>9.0</v>
      </c>
      <c r="H201" s="359">
        <v>7.0</v>
      </c>
      <c r="I201" s="359">
        <v>16.0</v>
      </c>
      <c r="J201" s="360">
        <v>0.56</v>
      </c>
      <c r="K201" s="18" t="s">
        <v>1602</v>
      </c>
      <c r="L201" s="18">
        <v>3.243253355E9</v>
      </c>
      <c r="M201" s="18" t="s">
        <v>72</v>
      </c>
      <c r="N201" s="18" t="s">
        <v>1298</v>
      </c>
      <c r="O201" s="18" t="s">
        <v>1603</v>
      </c>
      <c r="P201" s="18" t="s">
        <v>7041</v>
      </c>
      <c r="Q201" s="20">
        <f>COUNTIF('Hedef Liste'!A:A,A201)</f>
        <v>1</v>
      </c>
    </row>
    <row r="202" ht="15.75" hidden="1" customHeight="1">
      <c r="A202" s="18" t="s">
        <v>1887</v>
      </c>
      <c r="B202" s="18" t="s">
        <v>1888</v>
      </c>
      <c r="C202" s="358" t="s">
        <v>7040</v>
      </c>
      <c r="D202" s="18" t="s">
        <v>70</v>
      </c>
      <c r="E202" s="359">
        <v>3870.0</v>
      </c>
      <c r="F202" s="359">
        <v>159.0</v>
      </c>
      <c r="G202" s="359">
        <v>12.0</v>
      </c>
      <c r="H202" s="359">
        <v>15.0</v>
      </c>
      <c r="I202" s="359">
        <v>27.0</v>
      </c>
      <c r="J202" s="360">
        <v>0.44</v>
      </c>
      <c r="K202" s="18" t="s">
        <v>1889</v>
      </c>
      <c r="L202" s="18">
        <v>5.327809056E9</v>
      </c>
      <c r="M202" s="18" t="s">
        <v>72</v>
      </c>
      <c r="N202" s="18" t="s">
        <v>82</v>
      </c>
      <c r="O202" s="18" t="s">
        <v>1890</v>
      </c>
      <c r="P202" s="18" t="s">
        <v>7041</v>
      </c>
      <c r="Q202" s="20">
        <f>COUNTIF('Hedef Liste'!A:A,A202)</f>
        <v>1</v>
      </c>
    </row>
    <row r="203" ht="15.75" hidden="1" customHeight="1">
      <c r="A203" s="18" t="s">
        <v>2710</v>
      </c>
      <c r="B203" s="18" t="s">
        <v>2711</v>
      </c>
      <c r="C203" s="358" t="s">
        <v>7040</v>
      </c>
      <c r="D203" s="18" t="s">
        <v>45</v>
      </c>
      <c r="E203" s="359">
        <v>5105.0</v>
      </c>
      <c r="F203" s="359">
        <v>228.0</v>
      </c>
      <c r="G203" s="359">
        <v>0.0</v>
      </c>
      <c r="H203" s="359">
        <v>34.0</v>
      </c>
      <c r="I203" s="359">
        <v>34.0</v>
      </c>
      <c r="J203" s="360">
        <v>0.0</v>
      </c>
      <c r="K203" s="18" t="s">
        <v>2708</v>
      </c>
      <c r="L203" s="18">
        <v>3.246222121E9</v>
      </c>
      <c r="M203" s="18" t="s">
        <v>156</v>
      </c>
      <c r="N203" s="18" t="s">
        <v>338</v>
      </c>
      <c r="O203" s="18" t="s">
        <v>2712</v>
      </c>
      <c r="P203" s="18" t="s">
        <v>7041</v>
      </c>
      <c r="Q203" s="20">
        <f>COUNTIF('Hedef Liste'!A:A,A203)</f>
        <v>1</v>
      </c>
    </row>
    <row r="204" ht="15.75" hidden="1" customHeight="1">
      <c r="A204" s="18" t="s">
        <v>4571</v>
      </c>
      <c r="B204" s="18" t="s">
        <v>4572</v>
      </c>
      <c r="C204" s="358" t="s">
        <v>7040</v>
      </c>
      <c r="D204" s="18" t="s">
        <v>45</v>
      </c>
      <c r="E204" s="359">
        <v>459.0</v>
      </c>
      <c r="F204" s="359">
        <v>28.0</v>
      </c>
      <c r="G204" s="359">
        <v>0.0</v>
      </c>
      <c r="H204" s="359">
        <v>84.0</v>
      </c>
      <c r="I204" s="359">
        <v>84.0</v>
      </c>
      <c r="J204" s="360">
        <v>0.0</v>
      </c>
      <c r="K204" s="18" t="s">
        <v>7160</v>
      </c>
      <c r="L204" s="18">
        <v>3.246131131E9</v>
      </c>
      <c r="M204" s="18" t="s">
        <v>156</v>
      </c>
      <c r="N204" s="18" t="s">
        <v>338</v>
      </c>
      <c r="O204" s="18" t="s">
        <v>4574</v>
      </c>
      <c r="P204" s="18" t="s">
        <v>7041</v>
      </c>
      <c r="Q204" s="20">
        <f>COUNTIF('Hedef Liste'!A:A,A204)</f>
        <v>1</v>
      </c>
    </row>
    <row r="205" ht="15.75" hidden="1" customHeight="1">
      <c r="A205" s="18" t="s">
        <v>4339</v>
      </c>
      <c r="B205" s="18" t="s">
        <v>4340</v>
      </c>
      <c r="C205" s="358" t="s">
        <v>7040</v>
      </c>
      <c r="D205" s="18" t="s">
        <v>7053</v>
      </c>
      <c r="E205" s="359">
        <v>505.0</v>
      </c>
      <c r="F205" s="359">
        <v>11.0</v>
      </c>
      <c r="G205" s="359">
        <v>14.0</v>
      </c>
      <c r="H205" s="359">
        <v>26.0</v>
      </c>
      <c r="I205" s="359">
        <v>40.0</v>
      </c>
      <c r="J205" s="360">
        <v>0.35</v>
      </c>
      <c r="K205" s="18" t="s">
        <v>4341</v>
      </c>
      <c r="L205" s="18">
        <v>5.380539654E9</v>
      </c>
      <c r="M205" s="18" t="s">
        <v>137</v>
      </c>
      <c r="N205" s="18" t="s">
        <v>845</v>
      </c>
      <c r="O205" s="18" t="s">
        <v>4342</v>
      </c>
      <c r="P205" s="18" t="s">
        <v>7041</v>
      </c>
      <c r="Q205" s="20">
        <f>COUNTIF('Hedef Liste'!A:A,A205)</f>
        <v>1</v>
      </c>
    </row>
    <row r="206" ht="15.75" hidden="1" customHeight="1">
      <c r="A206" s="18" t="s">
        <v>4096</v>
      </c>
      <c r="B206" s="18" t="s">
        <v>4097</v>
      </c>
      <c r="C206" s="358" t="s">
        <v>7040</v>
      </c>
      <c r="D206" s="18" t="s">
        <v>913</v>
      </c>
      <c r="E206" s="359">
        <v>4595.0</v>
      </c>
      <c r="F206" s="359">
        <v>108.0</v>
      </c>
      <c r="G206" s="359">
        <v>0.0</v>
      </c>
      <c r="H206" s="359">
        <v>37.0</v>
      </c>
      <c r="I206" s="359">
        <v>37.0</v>
      </c>
      <c r="J206" s="360">
        <v>0.0</v>
      </c>
      <c r="K206" s="18" t="s">
        <v>4098</v>
      </c>
      <c r="L206" s="18">
        <v>5.432553338E9</v>
      </c>
      <c r="M206" s="18" t="s">
        <v>72</v>
      </c>
      <c r="N206" s="18" t="s">
        <v>82</v>
      </c>
      <c r="O206" s="18" t="s">
        <v>4099</v>
      </c>
      <c r="P206" s="18" t="s">
        <v>7041</v>
      </c>
      <c r="Q206" s="20">
        <f>COUNTIF('Hedef Liste'!A:A,A206)</f>
        <v>1</v>
      </c>
    </row>
    <row r="207" ht="15.75" hidden="1" customHeight="1">
      <c r="A207" s="18" t="s">
        <v>713</v>
      </c>
      <c r="B207" s="18" t="s">
        <v>714</v>
      </c>
      <c r="C207" s="358" t="s">
        <v>7040</v>
      </c>
      <c r="D207" s="18" t="s">
        <v>45</v>
      </c>
      <c r="E207" s="359">
        <v>6453.0</v>
      </c>
      <c r="F207" s="359">
        <v>200.0</v>
      </c>
      <c r="G207" s="359">
        <v>0.0</v>
      </c>
      <c r="H207" s="359">
        <v>23.0</v>
      </c>
      <c r="I207" s="359">
        <v>23.0</v>
      </c>
      <c r="J207" s="360">
        <v>0.0</v>
      </c>
      <c r="K207" s="18" t="s">
        <v>715</v>
      </c>
      <c r="L207" s="18">
        <v>5.442540227E9</v>
      </c>
      <c r="M207" s="18" t="s">
        <v>72</v>
      </c>
      <c r="N207" s="18" t="s">
        <v>538</v>
      </c>
      <c r="O207" s="18" t="s">
        <v>717</v>
      </c>
      <c r="P207" s="18" t="s">
        <v>7041</v>
      </c>
      <c r="Q207" s="20">
        <f>COUNTIF('Hedef Liste'!A:A,A207)</f>
        <v>1</v>
      </c>
    </row>
    <row r="208" ht="15.75" hidden="1" customHeight="1">
      <c r="A208" s="18" t="s">
        <v>7161</v>
      </c>
      <c r="B208" s="18" t="s">
        <v>7162</v>
      </c>
      <c r="C208" s="358" t="s">
        <v>7040</v>
      </c>
      <c r="D208" s="18" t="s">
        <v>167</v>
      </c>
      <c r="E208" s="18"/>
      <c r="F208" s="18"/>
      <c r="G208" s="359">
        <v>62.0</v>
      </c>
      <c r="H208" s="359">
        <v>5.0</v>
      </c>
      <c r="I208" s="359">
        <v>67.0</v>
      </c>
      <c r="J208" s="360">
        <v>0.93</v>
      </c>
      <c r="K208" s="18" t="s">
        <v>7045</v>
      </c>
      <c r="L208" s="18">
        <v>5.537408689E9</v>
      </c>
      <c r="M208" s="18" t="s">
        <v>7163</v>
      </c>
      <c r="N208" s="18" t="s">
        <v>93</v>
      </c>
      <c r="O208" s="18" t="s">
        <v>7164</v>
      </c>
      <c r="P208" s="18" t="s">
        <v>7047</v>
      </c>
      <c r="Q208" s="20">
        <f>COUNTIF('Hedef Liste'!A:A,A208)</f>
        <v>0</v>
      </c>
    </row>
    <row r="209" ht="15.75" hidden="1" customHeight="1">
      <c r="A209" s="18" t="s">
        <v>3834</v>
      </c>
      <c r="B209" s="18" t="s">
        <v>3835</v>
      </c>
      <c r="C209" s="358" t="s">
        <v>7040</v>
      </c>
      <c r="D209" s="18" t="s">
        <v>45</v>
      </c>
      <c r="E209" s="359">
        <v>112.0</v>
      </c>
      <c r="F209" s="359">
        <v>3.0</v>
      </c>
      <c r="G209" s="359">
        <v>0.0</v>
      </c>
      <c r="H209" s="359">
        <v>39.0</v>
      </c>
      <c r="I209" s="359">
        <v>39.0</v>
      </c>
      <c r="J209" s="360">
        <v>0.0</v>
      </c>
      <c r="K209" s="18" t="s">
        <v>3836</v>
      </c>
      <c r="L209" s="18">
        <v>5.375800684E9</v>
      </c>
      <c r="M209" s="18" t="s">
        <v>72</v>
      </c>
      <c r="N209" s="18" t="s">
        <v>333</v>
      </c>
      <c r="O209" s="18" t="s">
        <v>3837</v>
      </c>
      <c r="P209" s="18" t="s">
        <v>7041</v>
      </c>
      <c r="Q209" s="20">
        <f>COUNTIF('Hedef Liste'!A:A,A209)</f>
        <v>1</v>
      </c>
    </row>
    <row r="210" ht="15.75" hidden="1" customHeight="1">
      <c r="A210" s="18" t="s">
        <v>1214</v>
      </c>
      <c r="B210" s="18" t="s">
        <v>1215</v>
      </c>
      <c r="C210" s="358" t="s">
        <v>7040</v>
      </c>
      <c r="D210" s="18" t="s">
        <v>118</v>
      </c>
      <c r="E210" s="359">
        <v>3053.0</v>
      </c>
      <c r="F210" s="359">
        <v>122.0</v>
      </c>
      <c r="G210" s="359">
        <v>9.0</v>
      </c>
      <c r="H210" s="359">
        <v>1.0</v>
      </c>
      <c r="I210" s="359">
        <v>10.0</v>
      </c>
      <c r="J210" s="360">
        <v>0.9</v>
      </c>
      <c r="K210" s="18" t="s">
        <v>1216</v>
      </c>
      <c r="L210" s="18">
        <v>3.243227878E9</v>
      </c>
      <c r="M210" s="18" t="s">
        <v>215</v>
      </c>
      <c r="N210" s="18" t="s">
        <v>239</v>
      </c>
      <c r="O210" s="18" t="s">
        <v>1217</v>
      </c>
      <c r="P210" s="18" t="s">
        <v>7041</v>
      </c>
      <c r="Q210" s="20">
        <f>COUNTIF('Hedef Liste'!A:A,A210)</f>
        <v>1</v>
      </c>
    </row>
    <row r="211" ht="15.75" hidden="1" customHeight="1">
      <c r="A211" s="18" t="s">
        <v>3614</v>
      </c>
      <c r="B211" s="18" t="s">
        <v>3615</v>
      </c>
      <c r="C211" s="358" t="s">
        <v>7040</v>
      </c>
      <c r="D211" s="18" t="s">
        <v>363</v>
      </c>
      <c r="E211" s="359">
        <v>1764.0</v>
      </c>
      <c r="F211" s="359">
        <v>55.0</v>
      </c>
      <c r="G211" s="359">
        <v>0.0</v>
      </c>
      <c r="H211" s="359">
        <v>32.0</v>
      </c>
      <c r="I211" s="359">
        <v>32.0</v>
      </c>
      <c r="J211" s="360">
        <v>0.0</v>
      </c>
      <c r="K211" s="18" t="s">
        <v>3616</v>
      </c>
      <c r="L211" s="18">
        <v>5.322632668E9</v>
      </c>
      <c r="M211" s="18" t="s">
        <v>187</v>
      </c>
      <c r="N211" s="18" t="s">
        <v>188</v>
      </c>
      <c r="O211" s="18" t="s">
        <v>3617</v>
      </c>
      <c r="P211" s="18" t="s">
        <v>7041</v>
      </c>
      <c r="Q211" s="20">
        <f>COUNTIF('Hedef Liste'!A:A,A211)</f>
        <v>1</v>
      </c>
    </row>
    <row r="212" ht="15.75" hidden="1" customHeight="1">
      <c r="A212" s="18" t="s">
        <v>125</v>
      </c>
      <c r="B212" s="18" t="s">
        <v>7165</v>
      </c>
      <c r="C212" s="358" t="s">
        <v>7040</v>
      </c>
      <c r="D212" s="18" t="s">
        <v>80</v>
      </c>
      <c r="E212" s="359">
        <v>1132.0</v>
      </c>
      <c r="F212" s="359">
        <v>75.0</v>
      </c>
      <c r="G212" s="359">
        <v>8.0</v>
      </c>
      <c r="H212" s="359">
        <v>8.0</v>
      </c>
      <c r="I212" s="359">
        <v>16.0</v>
      </c>
      <c r="J212" s="360">
        <v>0.5</v>
      </c>
      <c r="K212" s="18" t="s">
        <v>127</v>
      </c>
      <c r="L212" s="18">
        <v>3.243283031E9</v>
      </c>
      <c r="M212" s="18" t="s">
        <v>72</v>
      </c>
      <c r="N212" s="18" t="s">
        <v>810</v>
      </c>
      <c r="O212" s="18" t="s">
        <v>129</v>
      </c>
      <c r="P212" s="18" t="s">
        <v>7041</v>
      </c>
      <c r="Q212" s="20">
        <f>COUNTIF('Hedef Liste'!A:A,A212)</f>
        <v>1</v>
      </c>
    </row>
    <row r="213" ht="15.75" hidden="1" customHeight="1">
      <c r="A213" s="18" t="s">
        <v>3091</v>
      </c>
      <c r="B213" s="18" t="s">
        <v>7166</v>
      </c>
      <c r="C213" s="358" t="s">
        <v>7040</v>
      </c>
      <c r="D213" s="18" t="s">
        <v>70</v>
      </c>
      <c r="E213" s="359">
        <v>2232.0</v>
      </c>
      <c r="F213" s="359">
        <v>164.0</v>
      </c>
      <c r="G213" s="359">
        <v>0.0</v>
      </c>
      <c r="H213" s="359">
        <v>46.0</v>
      </c>
      <c r="I213" s="359">
        <v>46.0</v>
      </c>
      <c r="J213" s="360">
        <v>0.0</v>
      </c>
      <c r="K213" s="18" t="s">
        <v>3093</v>
      </c>
      <c r="L213" s="18">
        <v>3.242376767E9</v>
      </c>
      <c r="M213" s="18" t="s">
        <v>137</v>
      </c>
      <c r="N213" s="18" t="s">
        <v>144</v>
      </c>
      <c r="O213" s="18" t="s">
        <v>3094</v>
      </c>
      <c r="P213" s="18" t="s">
        <v>7041</v>
      </c>
      <c r="Q213" s="20">
        <f>COUNTIF('Hedef Liste'!A:A,A213)</f>
        <v>1</v>
      </c>
    </row>
    <row r="214" ht="15.75" hidden="1" customHeight="1">
      <c r="A214" s="18" t="s">
        <v>2929</v>
      </c>
      <c r="B214" s="18" t="s">
        <v>2930</v>
      </c>
      <c r="C214" s="358" t="s">
        <v>7040</v>
      </c>
      <c r="D214" s="18" t="s">
        <v>80</v>
      </c>
      <c r="E214" s="359">
        <v>488.0</v>
      </c>
      <c r="F214" s="359">
        <v>26.0</v>
      </c>
      <c r="G214" s="359">
        <v>0.0</v>
      </c>
      <c r="H214" s="359">
        <v>11.0</v>
      </c>
      <c r="I214" s="359">
        <v>11.0</v>
      </c>
      <c r="J214" s="360">
        <v>0.0</v>
      </c>
      <c r="K214" s="18" t="s">
        <v>2931</v>
      </c>
      <c r="L214" s="18">
        <v>3.244822616E9</v>
      </c>
      <c r="M214" s="18" t="s">
        <v>63</v>
      </c>
      <c r="N214" s="18" t="s">
        <v>678</v>
      </c>
      <c r="O214" s="18" t="s">
        <v>2932</v>
      </c>
      <c r="P214" s="18" t="s">
        <v>7041</v>
      </c>
      <c r="Q214" s="20">
        <f>COUNTIF('Hedef Liste'!A:A,A214)</f>
        <v>1</v>
      </c>
    </row>
    <row r="215" ht="15.75" hidden="1" customHeight="1">
      <c r="A215" s="18" t="s">
        <v>2427</v>
      </c>
      <c r="B215" s="18" t="s">
        <v>2428</v>
      </c>
      <c r="C215" s="358" t="s">
        <v>7040</v>
      </c>
      <c r="D215" s="18" t="s">
        <v>80</v>
      </c>
      <c r="E215" s="359">
        <v>4955.0</v>
      </c>
      <c r="F215" s="359">
        <v>269.0</v>
      </c>
      <c r="G215" s="359">
        <v>16.0</v>
      </c>
      <c r="H215" s="359">
        <v>2.0</v>
      </c>
      <c r="I215" s="359">
        <v>18.0</v>
      </c>
      <c r="J215" s="360">
        <v>0.89</v>
      </c>
      <c r="K215" s="18" t="s">
        <v>2429</v>
      </c>
      <c r="L215" s="18">
        <v>5.313942433E9</v>
      </c>
      <c r="M215" s="18" t="s">
        <v>72</v>
      </c>
      <c r="N215" s="18" t="s">
        <v>128</v>
      </c>
      <c r="O215" s="18" t="s">
        <v>2430</v>
      </c>
      <c r="P215" s="18" t="s">
        <v>7041</v>
      </c>
      <c r="Q215" s="20">
        <f>COUNTIF('Hedef Liste'!A:A,A215)</f>
        <v>1</v>
      </c>
    </row>
    <row r="216" ht="15.75" hidden="1" customHeight="1">
      <c r="A216" s="18" t="s">
        <v>4321</v>
      </c>
      <c r="B216" s="18" t="s">
        <v>4322</v>
      </c>
      <c r="C216" s="358" t="s">
        <v>7040</v>
      </c>
      <c r="D216" s="18" t="s">
        <v>167</v>
      </c>
      <c r="E216" s="359">
        <v>68.0</v>
      </c>
      <c r="F216" s="18"/>
      <c r="G216" s="359">
        <v>7.0</v>
      </c>
      <c r="H216" s="359">
        <v>23.0</v>
      </c>
      <c r="I216" s="359">
        <v>30.0</v>
      </c>
      <c r="J216" s="360">
        <v>0.23</v>
      </c>
      <c r="K216" s="18" t="s">
        <v>4323</v>
      </c>
      <c r="L216" s="18">
        <v>5.303803911E9</v>
      </c>
      <c r="M216" s="18" t="s">
        <v>187</v>
      </c>
      <c r="N216" s="18" t="s">
        <v>1667</v>
      </c>
      <c r="O216" s="18" t="s">
        <v>4324</v>
      </c>
      <c r="P216" s="18" t="s">
        <v>7041</v>
      </c>
      <c r="Q216" s="20">
        <f>COUNTIF('Hedef Liste'!A:A,A216)</f>
        <v>1</v>
      </c>
    </row>
    <row r="217" ht="15.75" hidden="1" customHeight="1">
      <c r="A217" s="18" t="s">
        <v>2630</v>
      </c>
      <c r="B217" s="18" t="s">
        <v>2631</v>
      </c>
      <c r="C217" s="358" t="s">
        <v>7040</v>
      </c>
      <c r="D217" s="18" t="s">
        <v>118</v>
      </c>
      <c r="E217" s="359">
        <v>909.0</v>
      </c>
      <c r="F217" s="359">
        <v>84.0</v>
      </c>
      <c r="G217" s="359">
        <v>0.0</v>
      </c>
      <c r="H217" s="359">
        <v>12.0</v>
      </c>
      <c r="I217" s="359">
        <v>12.0</v>
      </c>
      <c r="J217" s="360">
        <v>0.0</v>
      </c>
      <c r="K217" s="18" t="s">
        <v>2632</v>
      </c>
      <c r="L217" s="18">
        <v>5.456190169E9</v>
      </c>
      <c r="M217" s="18" t="s">
        <v>156</v>
      </c>
      <c r="N217" s="18" t="s">
        <v>252</v>
      </c>
      <c r="O217" s="18" t="s">
        <v>2633</v>
      </c>
      <c r="P217" s="18" t="s">
        <v>7041</v>
      </c>
      <c r="Q217" s="20">
        <f>COUNTIF('Hedef Liste'!A:A,A217)</f>
        <v>1</v>
      </c>
    </row>
    <row r="218" ht="15.75" hidden="1" customHeight="1">
      <c r="A218" s="18" t="s">
        <v>2911</v>
      </c>
      <c r="B218" s="18" t="s">
        <v>2912</v>
      </c>
      <c r="C218" s="358" t="s">
        <v>7040</v>
      </c>
      <c r="D218" s="18" t="s">
        <v>356</v>
      </c>
      <c r="E218" s="359">
        <v>16.0</v>
      </c>
      <c r="F218" s="18"/>
      <c r="G218" s="359">
        <v>12.0</v>
      </c>
      <c r="H218" s="359">
        <v>9.0</v>
      </c>
      <c r="I218" s="359">
        <v>21.0</v>
      </c>
      <c r="J218" s="360">
        <v>0.57</v>
      </c>
      <c r="K218" s="18" t="s">
        <v>2913</v>
      </c>
      <c r="L218" s="18">
        <v>5.44698561E9</v>
      </c>
      <c r="M218" s="18" t="s">
        <v>215</v>
      </c>
      <c r="N218" s="18" t="s">
        <v>560</v>
      </c>
      <c r="O218" s="18" t="s">
        <v>2914</v>
      </c>
      <c r="P218" s="18" t="s">
        <v>7041</v>
      </c>
      <c r="Q218" s="20">
        <f>COUNTIF('Hedef Liste'!A:A,A218)</f>
        <v>1</v>
      </c>
    </row>
    <row r="219" ht="15.75" hidden="1" customHeight="1">
      <c r="A219" s="18" t="s">
        <v>2187</v>
      </c>
      <c r="B219" s="18" t="s">
        <v>2188</v>
      </c>
      <c r="C219" s="358" t="s">
        <v>7040</v>
      </c>
      <c r="D219" s="18" t="s">
        <v>356</v>
      </c>
      <c r="E219" s="359">
        <v>997.0</v>
      </c>
      <c r="F219" s="359">
        <v>22.0</v>
      </c>
      <c r="G219" s="359">
        <v>0.0</v>
      </c>
      <c r="H219" s="359">
        <v>52.0</v>
      </c>
      <c r="I219" s="359">
        <v>52.0</v>
      </c>
      <c r="J219" s="360">
        <v>0.0</v>
      </c>
      <c r="K219" s="18" t="s">
        <v>2189</v>
      </c>
      <c r="L219" s="18">
        <v>3.242380023E9</v>
      </c>
      <c r="M219" s="18" t="s">
        <v>137</v>
      </c>
      <c r="N219" s="18" t="s">
        <v>209</v>
      </c>
      <c r="O219" s="18" t="s">
        <v>2190</v>
      </c>
      <c r="P219" s="18" t="s">
        <v>7041</v>
      </c>
      <c r="Q219" s="20">
        <f>COUNTIF('Hedef Liste'!A:A,A219)</f>
        <v>1</v>
      </c>
    </row>
    <row r="220" ht="15.75" hidden="1" customHeight="1">
      <c r="A220" s="18" t="s">
        <v>2697</v>
      </c>
      <c r="B220" s="18" t="s">
        <v>2698</v>
      </c>
      <c r="C220" s="358" t="s">
        <v>7040</v>
      </c>
      <c r="D220" s="18" t="s">
        <v>363</v>
      </c>
      <c r="E220" s="359">
        <v>319.0</v>
      </c>
      <c r="F220" s="359">
        <v>14.0</v>
      </c>
      <c r="G220" s="359">
        <v>16.0</v>
      </c>
      <c r="H220" s="359">
        <v>8.0</v>
      </c>
      <c r="I220" s="359">
        <v>24.0</v>
      </c>
      <c r="J220" s="360">
        <v>0.67</v>
      </c>
      <c r="K220" s="18" t="s">
        <v>2691</v>
      </c>
      <c r="L220" s="18">
        <v>5.303294832E9</v>
      </c>
      <c r="M220" s="18" t="s">
        <v>63</v>
      </c>
      <c r="N220" s="18" t="s">
        <v>93</v>
      </c>
      <c r="O220" s="18" t="s">
        <v>2699</v>
      </c>
      <c r="P220" s="18" t="s">
        <v>7041</v>
      </c>
      <c r="Q220" s="20">
        <f>COUNTIF('Hedef Liste'!A:A,A220)</f>
        <v>1</v>
      </c>
    </row>
    <row r="221" ht="15.75" hidden="1" customHeight="1">
      <c r="A221" s="18" t="s">
        <v>3198</v>
      </c>
      <c r="B221" s="18" t="s">
        <v>3199</v>
      </c>
      <c r="C221" s="358" t="s">
        <v>7040</v>
      </c>
      <c r="D221" s="18" t="s">
        <v>118</v>
      </c>
      <c r="E221" s="359">
        <v>1225.0</v>
      </c>
      <c r="F221" s="359">
        <v>35.0</v>
      </c>
      <c r="G221" s="359">
        <v>0.0</v>
      </c>
      <c r="H221" s="359">
        <v>36.0</v>
      </c>
      <c r="I221" s="359">
        <v>36.0</v>
      </c>
      <c r="J221" s="360">
        <v>0.0</v>
      </c>
      <c r="K221" s="18" t="s">
        <v>3200</v>
      </c>
      <c r="L221" s="18">
        <v>3.246241333E9</v>
      </c>
      <c r="M221" s="18" t="s">
        <v>156</v>
      </c>
      <c r="N221" s="18" t="s">
        <v>252</v>
      </c>
      <c r="O221" s="18" t="s">
        <v>3201</v>
      </c>
      <c r="P221" s="18" t="s">
        <v>7041</v>
      </c>
      <c r="Q221" s="20">
        <f>COUNTIF('Hedef Liste'!A:A,A221)</f>
        <v>1</v>
      </c>
    </row>
    <row r="222" ht="15.75" hidden="1" customHeight="1">
      <c r="A222" s="18" t="s">
        <v>2689</v>
      </c>
      <c r="B222" s="18" t="s">
        <v>2690</v>
      </c>
      <c r="C222" s="358" t="s">
        <v>7040</v>
      </c>
      <c r="D222" s="18" t="s">
        <v>363</v>
      </c>
      <c r="E222" s="359">
        <v>1607.0</v>
      </c>
      <c r="F222" s="359">
        <v>80.0</v>
      </c>
      <c r="G222" s="359">
        <v>20.0</v>
      </c>
      <c r="H222" s="359">
        <v>5.0</v>
      </c>
      <c r="I222" s="359">
        <v>25.0</v>
      </c>
      <c r="J222" s="360">
        <v>0.8</v>
      </c>
      <c r="K222" s="18" t="s">
        <v>2691</v>
      </c>
      <c r="L222" s="18">
        <v>5.535379603E9</v>
      </c>
      <c r="M222" s="18" t="s">
        <v>72</v>
      </c>
      <c r="N222" s="18" t="s">
        <v>716</v>
      </c>
      <c r="O222" s="18" t="s">
        <v>2692</v>
      </c>
      <c r="P222" s="18" t="s">
        <v>7041</v>
      </c>
      <c r="Q222" s="20">
        <f>COUNTIF('Hedef Liste'!A:A,A222)</f>
        <v>1</v>
      </c>
    </row>
    <row r="223" ht="15.75" hidden="1" customHeight="1">
      <c r="A223" s="18" t="s">
        <v>2579</v>
      </c>
      <c r="B223" s="18" t="s">
        <v>2580</v>
      </c>
      <c r="C223" s="358" t="s">
        <v>7040</v>
      </c>
      <c r="D223" s="18" t="s">
        <v>70</v>
      </c>
      <c r="E223" s="359">
        <v>2666.0</v>
      </c>
      <c r="F223" s="359">
        <v>24.0</v>
      </c>
      <c r="G223" s="359">
        <v>0.0</v>
      </c>
      <c r="H223" s="359">
        <v>12.0</v>
      </c>
      <c r="I223" s="359">
        <v>12.0</v>
      </c>
      <c r="J223" s="360">
        <v>0.0</v>
      </c>
      <c r="K223" s="18" t="s">
        <v>2581</v>
      </c>
      <c r="L223" s="18">
        <v>3.243263335E9</v>
      </c>
      <c r="M223" s="18" t="s">
        <v>72</v>
      </c>
      <c r="N223" s="18" t="s">
        <v>113</v>
      </c>
      <c r="O223" s="18" t="s">
        <v>2582</v>
      </c>
      <c r="P223" s="18" t="s">
        <v>7041</v>
      </c>
      <c r="Q223" s="20">
        <f>COUNTIF('Hedef Liste'!A:A,A223)</f>
        <v>1</v>
      </c>
    </row>
    <row r="224" ht="15.75" hidden="1" customHeight="1">
      <c r="A224" s="18" t="s">
        <v>3659</v>
      </c>
      <c r="B224" s="18" t="s">
        <v>7167</v>
      </c>
      <c r="C224" s="358" t="s">
        <v>7040</v>
      </c>
      <c r="D224" s="18" t="s">
        <v>70</v>
      </c>
      <c r="E224" s="359">
        <v>54.0</v>
      </c>
      <c r="F224" s="18"/>
      <c r="G224" s="359">
        <v>3.0</v>
      </c>
      <c r="H224" s="359">
        <v>7.0</v>
      </c>
      <c r="I224" s="359">
        <v>10.0</v>
      </c>
      <c r="J224" s="360">
        <v>0.3</v>
      </c>
      <c r="K224" s="18" t="s">
        <v>3661</v>
      </c>
      <c r="L224" s="18">
        <v>5.307933833E9</v>
      </c>
      <c r="M224" s="18" t="s">
        <v>72</v>
      </c>
      <c r="N224" s="18" t="s">
        <v>548</v>
      </c>
      <c r="O224" s="18" t="s">
        <v>7168</v>
      </c>
      <c r="P224" s="18" t="s">
        <v>7041</v>
      </c>
      <c r="Q224" s="20">
        <f>COUNTIF('Hedef Liste'!A:A,A224)</f>
        <v>1</v>
      </c>
    </row>
    <row r="225" ht="15.75" hidden="1" customHeight="1">
      <c r="A225" s="18" t="s">
        <v>2098</v>
      </c>
      <c r="B225" s="18" t="s">
        <v>2099</v>
      </c>
      <c r="C225" s="358" t="s">
        <v>7040</v>
      </c>
      <c r="D225" s="18" t="s">
        <v>372</v>
      </c>
      <c r="E225" s="359">
        <v>2944.0</v>
      </c>
      <c r="F225" s="359">
        <v>184.0</v>
      </c>
      <c r="G225" s="359">
        <v>13.0</v>
      </c>
      <c r="H225" s="359">
        <v>37.0</v>
      </c>
      <c r="I225" s="359">
        <v>50.0</v>
      </c>
      <c r="J225" s="360">
        <v>0.26</v>
      </c>
      <c r="K225" s="18" t="s">
        <v>2100</v>
      </c>
      <c r="L225" s="18">
        <v>3.24326201E9</v>
      </c>
      <c r="M225" s="18" t="s">
        <v>72</v>
      </c>
      <c r="N225" s="18" t="s">
        <v>73</v>
      </c>
      <c r="O225" s="18" t="s">
        <v>2101</v>
      </c>
      <c r="P225" s="18" t="s">
        <v>7041</v>
      </c>
      <c r="Q225" s="20">
        <f>COUNTIF('Hedef Liste'!A:A,A225)</f>
        <v>1</v>
      </c>
    </row>
    <row r="226" ht="15.75" hidden="1" customHeight="1">
      <c r="A226" s="18" t="s">
        <v>1942</v>
      </c>
      <c r="B226" s="18" t="s">
        <v>1943</v>
      </c>
      <c r="C226" s="358" t="s">
        <v>7040</v>
      </c>
      <c r="D226" s="18" t="s">
        <v>363</v>
      </c>
      <c r="E226" s="359">
        <v>938.0</v>
      </c>
      <c r="F226" s="359">
        <v>46.0</v>
      </c>
      <c r="G226" s="359">
        <v>0.0</v>
      </c>
      <c r="H226" s="359">
        <v>38.0</v>
      </c>
      <c r="I226" s="359">
        <v>38.0</v>
      </c>
      <c r="J226" s="360">
        <v>0.0</v>
      </c>
      <c r="K226" s="18" t="s">
        <v>1939</v>
      </c>
      <c r="L226" s="18">
        <v>5.389540213E9</v>
      </c>
      <c r="M226" s="18" t="s">
        <v>72</v>
      </c>
      <c r="N226" s="18" t="s">
        <v>73</v>
      </c>
      <c r="O226" s="18" t="s">
        <v>1944</v>
      </c>
      <c r="P226" s="18" t="s">
        <v>7041</v>
      </c>
      <c r="Q226" s="20">
        <f>COUNTIF('Hedef Liste'!A:A,A226)</f>
        <v>1</v>
      </c>
    </row>
    <row r="227" ht="15.75" hidden="1" customHeight="1">
      <c r="A227" s="18" t="s">
        <v>4043</v>
      </c>
      <c r="B227" s="18" t="s">
        <v>4044</v>
      </c>
      <c r="C227" s="358" t="s">
        <v>7040</v>
      </c>
      <c r="D227" s="18" t="s">
        <v>754</v>
      </c>
      <c r="E227" s="359">
        <v>1001.0</v>
      </c>
      <c r="F227" s="359">
        <v>25.0</v>
      </c>
      <c r="G227" s="359">
        <v>10.0</v>
      </c>
      <c r="H227" s="359">
        <v>4.0</v>
      </c>
      <c r="I227" s="359">
        <v>14.0</v>
      </c>
      <c r="J227" s="360">
        <v>0.71</v>
      </c>
      <c r="K227" s="18" t="s">
        <v>4045</v>
      </c>
      <c r="L227" s="18">
        <v>5.394992733E9</v>
      </c>
      <c r="M227" s="18" t="s">
        <v>72</v>
      </c>
      <c r="N227" s="18" t="s">
        <v>333</v>
      </c>
      <c r="O227" s="18" t="s">
        <v>4046</v>
      </c>
      <c r="P227" s="18" t="s">
        <v>7041</v>
      </c>
      <c r="Q227" s="20">
        <f>COUNTIF('Hedef Liste'!A:A,A227)</f>
        <v>1</v>
      </c>
    </row>
    <row r="228" ht="15.75" hidden="1" customHeight="1">
      <c r="A228" s="18" t="s">
        <v>7169</v>
      </c>
      <c r="B228" s="18" t="s">
        <v>7170</v>
      </c>
      <c r="C228" s="358" t="s">
        <v>7040</v>
      </c>
      <c r="D228" s="18" t="s">
        <v>45</v>
      </c>
      <c r="E228" s="359">
        <v>2440.0</v>
      </c>
      <c r="F228" s="359">
        <v>19.0</v>
      </c>
      <c r="G228" s="359">
        <v>23.0</v>
      </c>
      <c r="H228" s="359">
        <v>9.0</v>
      </c>
      <c r="I228" s="359">
        <v>32.0</v>
      </c>
      <c r="J228" s="360">
        <v>0.72</v>
      </c>
      <c r="K228" s="18" t="s">
        <v>7171</v>
      </c>
      <c r="L228" s="18">
        <v>3.243284242E9</v>
      </c>
      <c r="M228" s="18" t="s">
        <v>72</v>
      </c>
      <c r="N228" s="18" t="s">
        <v>73</v>
      </c>
      <c r="O228" s="18" t="s">
        <v>7172</v>
      </c>
      <c r="P228" s="18" t="s">
        <v>7041</v>
      </c>
      <c r="Q228" s="20">
        <f>COUNTIF('Hedef Liste'!A:A,A228)</f>
        <v>0</v>
      </c>
    </row>
    <row r="229" ht="15.75" hidden="1" customHeight="1">
      <c r="A229" s="18" t="s">
        <v>3561</v>
      </c>
      <c r="B229" s="18" t="s">
        <v>3562</v>
      </c>
      <c r="C229" s="358" t="s">
        <v>7040</v>
      </c>
      <c r="D229" s="18" t="s">
        <v>451</v>
      </c>
      <c r="E229" s="359">
        <v>1110.0</v>
      </c>
      <c r="F229" s="359">
        <v>22.0</v>
      </c>
      <c r="G229" s="359">
        <v>0.0</v>
      </c>
      <c r="H229" s="359">
        <v>19.0</v>
      </c>
      <c r="I229" s="359">
        <v>19.0</v>
      </c>
      <c r="J229" s="360">
        <v>0.0</v>
      </c>
      <c r="K229" s="18" t="s">
        <v>3563</v>
      </c>
      <c r="L229" s="18">
        <v>3.24358058E9</v>
      </c>
      <c r="M229" s="18" t="s">
        <v>63</v>
      </c>
      <c r="N229" s="18" t="s">
        <v>700</v>
      </c>
      <c r="O229" s="18" t="s">
        <v>3564</v>
      </c>
      <c r="P229" s="18" t="s">
        <v>7041</v>
      </c>
      <c r="Q229" s="20">
        <f>COUNTIF('Hedef Liste'!A:A,A229)</f>
        <v>1</v>
      </c>
    </row>
    <row r="230" ht="15.75" hidden="1" customHeight="1">
      <c r="A230" s="18" t="s">
        <v>7173</v>
      </c>
      <c r="B230" s="18" t="s">
        <v>7174</v>
      </c>
      <c r="C230" s="358" t="s">
        <v>7062</v>
      </c>
      <c r="D230" s="18" t="s">
        <v>167</v>
      </c>
      <c r="E230" s="359">
        <v>127.0</v>
      </c>
      <c r="F230" s="18"/>
      <c r="G230" s="359">
        <v>57.0</v>
      </c>
      <c r="H230" s="359">
        <v>9.0</v>
      </c>
      <c r="I230" s="359">
        <v>66.0</v>
      </c>
      <c r="J230" s="360">
        <v>0.86</v>
      </c>
      <c r="K230" s="18" t="s">
        <v>7045</v>
      </c>
      <c r="L230" s="18">
        <v>5.530563604E9</v>
      </c>
      <c r="M230" s="18" t="s">
        <v>156</v>
      </c>
      <c r="N230" s="18" t="s">
        <v>596</v>
      </c>
      <c r="O230" s="18" t="s">
        <v>7175</v>
      </c>
      <c r="P230" s="18" t="s">
        <v>7047</v>
      </c>
      <c r="Q230" s="20">
        <f>COUNTIF('Hedef Liste'!A:A,A230)</f>
        <v>0</v>
      </c>
    </row>
    <row r="231" ht="15.75" hidden="1" customHeight="1">
      <c r="A231" s="18" t="s">
        <v>2639</v>
      </c>
      <c r="B231" s="18" t="s">
        <v>2640</v>
      </c>
      <c r="C231" s="358" t="s">
        <v>7040</v>
      </c>
      <c r="D231" s="18" t="s">
        <v>118</v>
      </c>
      <c r="E231" s="359">
        <v>784.0</v>
      </c>
      <c r="F231" s="359">
        <v>37.0</v>
      </c>
      <c r="G231" s="359">
        <v>0.0</v>
      </c>
      <c r="H231" s="359">
        <v>22.0</v>
      </c>
      <c r="I231" s="359">
        <v>22.0</v>
      </c>
      <c r="J231" s="360">
        <v>0.0</v>
      </c>
      <c r="K231" s="18" t="s">
        <v>2641</v>
      </c>
      <c r="L231" s="18">
        <v>5.369431356E9</v>
      </c>
      <c r="M231" s="18" t="s">
        <v>156</v>
      </c>
      <c r="N231" s="18" t="s">
        <v>338</v>
      </c>
      <c r="O231" s="18" t="s">
        <v>2642</v>
      </c>
      <c r="P231" s="18" t="s">
        <v>7041</v>
      </c>
      <c r="Q231" s="20">
        <f>COUNTIF('Hedef Liste'!A:A,A231)</f>
        <v>1</v>
      </c>
    </row>
    <row r="232" ht="15.75" hidden="1" customHeight="1">
      <c r="A232" s="18" t="s">
        <v>3401</v>
      </c>
      <c r="B232" s="18" t="s">
        <v>3402</v>
      </c>
      <c r="C232" s="358" t="s">
        <v>7040</v>
      </c>
      <c r="D232" s="18" t="s">
        <v>1992</v>
      </c>
      <c r="E232" s="359">
        <v>2329.0</v>
      </c>
      <c r="F232" s="359">
        <v>165.0</v>
      </c>
      <c r="G232" s="359">
        <v>0.0</v>
      </c>
      <c r="H232" s="359">
        <v>41.0</v>
      </c>
      <c r="I232" s="359">
        <v>41.0</v>
      </c>
      <c r="J232" s="360">
        <v>0.0</v>
      </c>
      <c r="K232" s="18" t="s">
        <v>3403</v>
      </c>
      <c r="L232" s="18">
        <v>5.336136287E9</v>
      </c>
      <c r="M232" s="18" t="s">
        <v>156</v>
      </c>
      <c r="N232" s="18" t="s">
        <v>1483</v>
      </c>
      <c r="O232" s="18" t="s">
        <v>3404</v>
      </c>
      <c r="P232" s="18" t="s">
        <v>7041</v>
      </c>
      <c r="Q232" s="20">
        <f>COUNTIF('Hedef Liste'!A:A,A232)</f>
        <v>1</v>
      </c>
    </row>
    <row r="233" ht="15.75" hidden="1" customHeight="1">
      <c r="A233" s="18" t="s">
        <v>3277</v>
      </c>
      <c r="B233" s="18" t="s">
        <v>3278</v>
      </c>
      <c r="C233" s="358" t="s">
        <v>7062</v>
      </c>
      <c r="D233" s="18" t="s">
        <v>372</v>
      </c>
      <c r="E233" s="359">
        <v>1426.0</v>
      </c>
      <c r="F233" s="18"/>
      <c r="G233" s="359">
        <v>1.0</v>
      </c>
      <c r="H233" s="359">
        <v>27.0</v>
      </c>
      <c r="I233" s="359">
        <v>28.0</v>
      </c>
      <c r="J233" s="360">
        <v>0.04</v>
      </c>
      <c r="K233" s="18" t="s">
        <v>3279</v>
      </c>
      <c r="L233" s="18">
        <v>3.245154455E9</v>
      </c>
      <c r="M233" s="18" t="s">
        <v>47</v>
      </c>
      <c r="N233" s="18" t="s">
        <v>489</v>
      </c>
      <c r="O233" s="18" t="s">
        <v>3280</v>
      </c>
      <c r="P233" s="18" t="s">
        <v>7041</v>
      </c>
      <c r="Q233" s="20">
        <f>COUNTIF('Hedef Liste'!A:A,A233)</f>
        <v>1</v>
      </c>
    </row>
    <row r="234" ht="15.75" hidden="1" customHeight="1">
      <c r="A234" s="18" t="s">
        <v>1485</v>
      </c>
      <c r="B234" s="18" t="s">
        <v>1486</v>
      </c>
      <c r="C234" s="358" t="s">
        <v>7040</v>
      </c>
      <c r="D234" s="18" t="s">
        <v>498</v>
      </c>
      <c r="E234" s="359">
        <v>468.0</v>
      </c>
      <c r="F234" s="359">
        <v>34.0</v>
      </c>
      <c r="G234" s="359">
        <v>0.0</v>
      </c>
      <c r="H234" s="359">
        <v>34.0</v>
      </c>
      <c r="I234" s="359">
        <v>34.0</v>
      </c>
      <c r="J234" s="360">
        <v>0.0</v>
      </c>
      <c r="K234" s="18" t="s">
        <v>1487</v>
      </c>
      <c r="L234" s="18">
        <v>5.452246445E9</v>
      </c>
      <c r="M234" s="18" t="s">
        <v>156</v>
      </c>
      <c r="N234" s="18" t="s">
        <v>301</v>
      </c>
      <c r="O234" s="18" t="s">
        <v>1488</v>
      </c>
      <c r="P234" s="18" t="s">
        <v>7041</v>
      </c>
      <c r="Q234" s="20">
        <f>COUNTIF('Hedef Liste'!A:A,A234)</f>
        <v>1</v>
      </c>
    </row>
    <row r="235" ht="15.75" hidden="1" customHeight="1">
      <c r="A235" s="18" t="s">
        <v>3064</v>
      </c>
      <c r="B235" s="18" t="s">
        <v>3065</v>
      </c>
      <c r="C235" s="358" t="s">
        <v>7040</v>
      </c>
      <c r="D235" s="18" t="s">
        <v>80</v>
      </c>
      <c r="E235" s="359">
        <v>596.0</v>
      </c>
      <c r="F235" s="359">
        <v>42.0</v>
      </c>
      <c r="G235" s="359">
        <v>18.0</v>
      </c>
      <c r="H235" s="359">
        <v>6.0</v>
      </c>
      <c r="I235" s="359">
        <v>24.0</v>
      </c>
      <c r="J235" s="360">
        <v>0.75</v>
      </c>
      <c r="K235" s="18" t="s">
        <v>3066</v>
      </c>
      <c r="L235" s="18">
        <v>3.243283201E9</v>
      </c>
      <c r="M235" s="18" t="s">
        <v>72</v>
      </c>
      <c r="N235" s="18" t="s">
        <v>128</v>
      </c>
      <c r="O235" s="18" t="s">
        <v>3067</v>
      </c>
      <c r="P235" s="18" t="s">
        <v>7041</v>
      </c>
      <c r="Q235" s="20">
        <f>COUNTIF('Hedef Liste'!A:A,A235)</f>
        <v>1</v>
      </c>
    </row>
    <row r="236" ht="15.75" hidden="1" customHeight="1">
      <c r="A236" s="18" t="s">
        <v>1915</v>
      </c>
      <c r="B236" s="18" t="s">
        <v>1916</v>
      </c>
      <c r="C236" s="358" t="s">
        <v>7040</v>
      </c>
      <c r="D236" s="18" t="s">
        <v>80</v>
      </c>
      <c r="E236" s="359">
        <v>1362.0</v>
      </c>
      <c r="F236" s="359">
        <v>245.0</v>
      </c>
      <c r="G236" s="359">
        <v>7.0</v>
      </c>
      <c r="H236" s="359">
        <v>6.0</v>
      </c>
      <c r="I236" s="359">
        <v>13.0</v>
      </c>
      <c r="J236" s="360">
        <v>0.54</v>
      </c>
      <c r="K236" s="18" t="s">
        <v>1917</v>
      </c>
      <c r="L236" s="18">
        <v>5.372858186E9</v>
      </c>
      <c r="M236" s="18" t="s">
        <v>63</v>
      </c>
      <c r="N236" s="18" t="s">
        <v>1148</v>
      </c>
      <c r="O236" s="18" t="s">
        <v>1918</v>
      </c>
      <c r="P236" s="18" t="s">
        <v>7041</v>
      </c>
      <c r="Q236" s="20">
        <f>COUNTIF('Hedef Liste'!A:A,A236)</f>
        <v>1</v>
      </c>
    </row>
    <row r="237" ht="15.75" hidden="1" customHeight="1">
      <c r="A237" s="18" t="s">
        <v>3585</v>
      </c>
      <c r="B237" s="18" t="s">
        <v>7176</v>
      </c>
      <c r="C237" s="358" t="s">
        <v>7040</v>
      </c>
      <c r="D237" s="18" t="s">
        <v>80</v>
      </c>
      <c r="E237" s="359">
        <v>1394.0</v>
      </c>
      <c r="F237" s="359">
        <v>70.0</v>
      </c>
      <c r="G237" s="359">
        <v>12.0</v>
      </c>
      <c r="H237" s="359">
        <v>14.0</v>
      </c>
      <c r="I237" s="359">
        <v>26.0</v>
      </c>
      <c r="J237" s="360">
        <v>0.46</v>
      </c>
      <c r="K237" s="18" t="s">
        <v>3587</v>
      </c>
      <c r="L237" s="18">
        <v>3.243212017E9</v>
      </c>
      <c r="M237" s="18" t="s">
        <v>215</v>
      </c>
      <c r="N237" s="18" t="s">
        <v>239</v>
      </c>
      <c r="O237" s="18" t="s">
        <v>3588</v>
      </c>
      <c r="P237" s="18" t="s">
        <v>7041</v>
      </c>
      <c r="Q237" s="20">
        <f>COUNTIF('Hedef Liste'!A:A,A237)</f>
        <v>1</v>
      </c>
    </row>
    <row r="238" ht="15.75" hidden="1" customHeight="1">
      <c r="A238" s="18" t="s">
        <v>2966</v>
      </c>
      <c r="B238" s="18" t="s">
        <v>2967</v>
      </c>
      <c r="C238" s="358" t="s">
        <v>7040</v>
      </c>
      <c r="D238" s="18" t="s">
        <v>356</v>
      </c>
      <c r="E238" s="359">
        <v>1358.0</v>
      </c>
      <c r="F238" s="359">
        <v>262.0</v>
      </c>
      <c r="G238" s="359">
        <v>4.0</v>
      </c>
      <c r="H238" s="359">
        <v>10.0</v>
      </c>
      <c r="I238" s="359">
        <v>14.0</v>
      </c>
      <c r="J238" s="360">
        <v>0.29</v>
      </c>
      <c r="K238" s="18" t="s">
        <v>2968</v>
      </c>
      <c r="L238" s="18">
        <v>5.437913547E9</v>
      </c>
      <c r="M238" s="18" t="s">
        <v>72</v>
      </c>
      <c r="N238" s="18" t="s">
        <v>82</v>
      </c>
      <c r="O238" s="18" t="s">
        <v>2969</v>
      </c>
      <c r="P238" s="18" t="s">
        <v>7041</v>
      </c>
      <c r="Q238" s="20">
        <f>COUNTIF('Hedef Liste'!A:A,A238)</f>
        <v>1</v>
      </c>
    </row>
    <row r="239" ht="15.75" hidden="1" customHeight="1">
      <c r="A239" s="18" t="s">
        <v>3193</v>
      </c>
      <c r="B239" s="18" t="s">
        <v>3194</v>
      </c>
      <c r="C239" s="358" t="s">
        <v>7040</v>
      </c>
      <c r="D239" s="18" t="s">
        <v>167</v>
      </c>
      <c r="E239" s="359">
        <v>1010.0</v>
      </c>
      <c r="F239" s="359">
        <v>47.0</v>
      </c>
      <c r="G239" s="359">
        <v>0.0</v>
      </c>
      <c r="H239" s="359">
        <v>14.0</v>
      </c>
      <c r="I239" s="359">
        <v>14.0</v>
      </c>
      <c r="J239" s="360">
        <v>0.0</v>
      </c>
      <c r="K239" s="18" t="s">
        <v>3195</v>
      </c>
      <c r="L239" s="18">
        <v>5.350880351E9</v>
      </c>
      <c r="M239" s="18" t="s">
        <v>215</v>
      </c>
      <c r="N239" s="18" t="s">
        <v>745</v>
      </c>
      <c r="O239" s="18" t="s">
        <v>3196</v>
      </c>
      <c r="P239" s="18" t="s">
        <v>7041</v>
      </c>
      <c r="Q239" s="20">
        <f>COUNTIF('Hedef Liste'!A:A,A239)</f>
        <v>1</v>
      </c>
    </row>
    <row r="240" ht="15.75" hidden="1" customHeight="1">
      <c r="A240" s="18" t="s">
        <v>7177</v>
      </c>
      <c r="B240" s="18" t="s">
        <v>7178</v>
      </c>
      <c r="C240" s="358" t="s">
        <v>7062</v>
      </c>
      <c r="D240" s="18" t="s">
        <v>372</v>
      </c>
      <c r="E240" s="359">
        <v>239.0</v>
      </c>
      <c r="F240" s="18"/>
      <c r="G240" s="359">
        <v>70.0</v>
      </c>
      <c r="H240" s="359">
        <v>15.0</v>
      </c>
      <c r="I240" s="359">
        <v>85.0</v>
      </c>
      <c r="J240" s="360">
        <v>0.82</v>
      </c>
      <c r="K240" s="18" t="s">
        <v>7179</v>
      </c>
      <c r="L240" s="18">
        <v>3.24715008E9</v>
      </c>
      <c r="M240" s="18" t="s">
        <v>187</v>
      </c>
      <c r="N240" s="18" t="s">
        <v>188</v>
      </c>
      <c r="O240" s="18" t="s">
        <v>7180</v>
      </c>
      <c r="P240" s="18" t="s">
        <v>7047</v>
      </c>
      <c r="Q240" s="20">
        <f>COUNTIF('Hedef Liste'!A:A,A240)</f>
        <v>0</v>
      </c>
    </row>
    <row r="241" ht="15.75" hidden="1" customHeight="1">
      <c r="A241" s="18" t="s">
        <v>7181</v>
      </c>
      <c r="B241" s="18" t="s">
        <v>7182</v>
      </c>
      <c r="C241" s="358" t="s">
        <v>7040</v>
      </c>
      <c r="D241" s="18" t="s">
        <v>372</v>
      </c>
      <c r="E241" s="359">
        <v>10492.0</v>
      </c>
      <c r="F241" s="359">
        <v>525.0</v>
      </c>
      <c r="G241" s="359">
        <v>72.0</v>
      </c>
      <c r="H241" s="359">
        <v>15.0</v>
      </c>
      <c r="I241" s="359">
        <v>87.0</v>
      </c>
      <c r="J241" s="360">
        <v>0.83</v>
      </c>
      <c r="K241" s="18" t="s">
        <v>7179</v>
      </c>
      <c r="L241" s="18">
        <v>3.24358404E9</v>
      </c>
      <c r="M241" s="18" t="s">
        <v>63</v>
      </c>
      <c r="N241" s="18" t="s">
        <v>700</v>
      </c>
      <c r="O241" s="18" t="s">
        <v>7183</v>
      </c>
      <c r="P241" s="18" t="s">
        <v>7047</v>
      </c>
      <c r="Q241" s="20">
        <f>COUNTIF('Hedef Liste'!A:A,A241)</f>
        <v>0</v>
      </c>
    </row>
    <row r="242" ht="15.75" hidden="1" customHeight="1">
      <c r="A242" s="18" t="s">
        <v>7184</v>
      </c>
      <c r="B242" s="18" t="s">
        <v>7185</v>
      </c>
      <c r="C242" s="358" t="s">
        <v>7040</v>
      </c>
      <c r="D242" s="18" t="s">
        <v>372</v>
      </c>
      <c r="E242" s="359">
        <v>1476.0</v>
      </c>
      <c r="F242" s="359">
        <v>112.0</v>
      </c>
      <c r="G242" s="359">
        <v>60.0</v>
      </c>
      <c r="H242" s="359">
        <v>23.0</v>
      </c>
      <c r="I242" s="359">
        <v>83.0</v>
      </c>
      <c r="J242" s="360">
        <v>0.72</v>
      </c>
      <c r="K242" s="18" t="s">
        <v>7179</v>
      </c>
      <c r="L242" s="18">
        <v>3.24625335E9</v>
      </c>
      <c r="M242" s="18" t="s">
        <v>156</v>
      </c>
      <c r="N242" s="18" t="s">
        <v>1365</v>
      </c>
      <c r="O242" s="18" t="s">
        <v>7186</v>
      </c>
      <c r="P242" s="18" t="s">
        <v>7047</v>
      </c>
      <c r="Q242" s="20">
        <f>COUNTIF('Hedef Liste'!A:A,A242)</f>
        <v>0</v>
      </c>
    </row>
    <row r="243" ht="15.75" hidden="1" customHeight="1">
      <c r="A243" s="18" t="s">
        <v>412</v>
      </c>
      <c r="B243" s="18" t="s">
        <v>413</v>
      </c>
      <c r="C243" s="358" t="s">
        <v>7040</v>
      </c>
      <c r="D243" s="18" t="s">
        <v>363</v>
      </c>
      <c r="E243" s="359">
        <v>4703.0</v>
      </c>
      <c r="F243" s="359">
        <v>102.0</v>
      </c>
      <c r="G243" s="359">
        <v>44.0</v>
      </c>
      <c r="H243" s="359">
        <v>12.0</v>
      </c>
      <c r="I243" s="359">
        <v>56.0</v>
      </c>
      <c r="J243" s="360">
        <v>0.79</v>
      </c>
      <c r="K243" s="18" t="s">
        <v>414</v>
      </c>
      <c r="L243" s="18">
        <v>3.243288463E9</v>
      </c>
      <c r="M243" s="18" t="s">
        <v>72</v>
      </c>
      <c r="N243" s="18" t="s">
        <v>73</v>
      </c>
      <c r="O243" s="18" t="s">
        <v>416</v>
      </c>
      <c r="P243" s="18" t="s">
        <v>7041</v>
      </c>
      <c r="Q243" s="20">
        <f>COUNTIF('Hedef Liste'!A:A,A243)</f>
        <v>1</v>
      </c>
    </row>
    <row r="244" ht="15.75" hidden="1" customHeight="1">
      <c r="A244" s="18" t="s">
        <v>492</v>
      </c>
      <c r="B244" s="18" t="s">
        <v>493</v>
      </c>
      <c r="C244" s="358" t="s">
        <v>7040</v>
      </c>
      <c r="D244" s="18" t="s">
        <v>363</v>
      </c>
      <c r="E244" s="359">
        <v>128.0</v>
      </c>
      <c r="F244" s="359">
        <v>1.0</v>
      </c>
      <c r="G244" s="359">
        <v>34.0</v>
      </c>
      <c r="H244" s="359">
        <v>73.0</v>
      </c>
      <c r="I244" s="359">
        <v>107.0</v>
      </c>
      <c r="J244" s="360">
        <v>0.32</v>
      </c>
      <c r="K244" s="18" t="s">
        <v>494</v>
      </c>
      <c r="L244" s="18">
        <v>5.312595314E9</v>
      </c>
      <c r="M244" s="18" t="s">
        <v>72</v>
      </c>
      <c r="N244" s="18" t="s">
        <v>113</v>
      </c>
      <c r="O244" s="18" t="s">
        <v>495</v>
      </c>
      <c r="P244" s="18" t="s">
        <v>7041</v>
      </c>
      <c r="Q244" s="20">
        <f>COUNTIF('Hedef Liste'!A:A,A244)</f>
        <v>1</v>
      </c>
    </row>
    <row r="245" ht="15.75" hidden="1" customHeight="1">
      <c r="A245" s="18" t="s">
        <v>2117</v>
      </c>
      <c r="B245" s="18" t="s">
        <v>2118</v>
      </c>
      <c r="C245" s="358" t="s">
        <v>7062</v>
      </c>
      <c r="D245" s="18" t="s">
        <v>118</v>
      </c>
      <c r="E245" s="359">
        <v>769.0</v>
      </c>
      <c r="F245" s="18"/>
      <c r="G245" s="359">
        <v>11.0</v>
      </c>
      <c r="H245" s="359">
        <v>111.0</v>
      </c>
      <c r="I245" s="359">
        <v>122.0</v>
      </c>
      <c r="J245" s="360">
        <v>0.09</v>
      </c>
      <c r="K245" s="18" t="s">
        <v>2119</v>
      </c>
      <c r="L245" s="18">
        <v>5.510615627E9</v>
      </c>
      <c r="M245" s="18" t="s">
        <v>63</v>
      </c>
      <c r="N245" s="18" t="s">
        <v>1808</v>
      </c>
      <c r="O245" s="18" t="s">
        <v>2120</v>
      </c>
      <c r="P245" s="18" t="s">
        <v>7041</v>
      </c>
      <c r="Q245" s="20">
        <f>COUNTIF('Hedef Liste'!A:A,A245)</f>
        <v>1</v>
      </c>
    </row>
    <row r="246" ht="15.75" hidden="1" customHeight="1">
      <c r="A246" s="18" t="s">
        <v>1310</v>
      </c>
      <c r="B246" s="18" t="s">
        <v>1311</v>
      </c>
      <c r="C246" s="358" t="s">
        <v>7062</v>
      </c>
      <c r="D246" s="18" t="s">
        <v>564</v>
      </c>
      <c r="E246" s="359">
        <v>305.0</v>
      </c>
      <c r="F246" s="18"/>
      <c r="G246" s="359">
        <v>0.0</v>
      </c>
      <c r="H246" s="359">
        <v>104.0</v>
      </c>
      <c r="I246" s="359">
        <v>104.0</v>
      </c>
      <c r="J246" s="360">
        <v>0.0</v>
      </c>
      <c r="K246" s="18" t="s">
        <v>1312</v>
      </c>
      <c r="L246" s="18">
        <v>3.246130333E9</v>
      </c>
      <c r="M246" s="18" t="s">
        <v>156</v>
      </c>
      <c r="N246" s="18" t="s">
        <v>596</v>
      </c>
      <c r="O246" s="18" t="s">
        <v>1313</v>
      </c>
      <c r="P246" s="18" t="s">
        <v>7041</v>
      </c>
      <c r="Q246" s="20">
        <f>COUNTIF('Hedef Liste'!A:A,A246)</f>
        <v>1</v>
      </c>
    </row>
    <row r="247" ht="15.75" hidden="1" customHeight="1">
      <c r="A247" s="18" t="s">
        <v>7187</v>
      </c>
      <c r="B247" s="18" t="s">
        <v>7188</v>
      </c>
      <c r="C247" s="358" t="s">
        <v>7040</v>
      </c>
      <c r="D247" s="18" t="s">
        <v>884</v>
      </c>
      <c r="E247" s="359">
        <v>1374.0</v>
      </c>
      <c r="F247" s="359">
        <v>55.0</v>
      </c>
      <c r="G247" s="359">
        <v>247.0</v>
      </c>
      <c r="H247" s="359">
        <v>2.0</v>
      </c>
      <c r="I247" s="359">
        <v>249.0</v>
      </c>
      <c r="J247" s="360">
        <v>0.99</v>
      </c>
      <c r="K247" s="18" t="s">
        <v>7156</v>
      </c>
      <c r="L247" s="18">
        <v>3.243315337E9</v>
      </c>
      <c r="M247" s="18" t="s">
        <v>72</v>
      </c>
      <c r="N247" s="18" t="s">
        <v>73</v>
      </c>
      <c r="O247" s="18" t="s">
        <v>7189</v>
      </c>
      <c r="P247" s="18" t="s">
        <v>7047</v>
      </c>
      <c r="Q247" s="20">
        <f>COUNTIF('Hedef Liste'!A:A,A247)</f>
        <v>0</v>
      </c>
    </row>
    <row r="248" ht="15.75" hidden="1" customHeight="1">
      <c r="A248" s="18" t="s">
        <v>7190</v>
      </c>
      <c r="B248" s="18" t="s">
        <v>7191</v>
      </c>
      <c r="C248" s="358" t="s">
        <v>7040</v>
      </c>
      <c r="D248" s="18" t="s">
        <v>106</v>
      </c>
      <c r="E248" s="359">
        <v>29388.0</v>
      </c>
      <c r="F248" s="359">
        <v>1361.0</v>
      </c>
      <c r="G248" s="359">
        <v>106.0</v>
      </c>
      <c r="H248" s="359">
        <v>0.0</v>
      </c>
      <c r="I248" s="359">
        <v>106.0</v>
      </c>
      <c r="J248" s="360">
        <v>1.0</v>
      </c>
      <c r="K248" s="18" t="s">
        <v>7192</v>
      </c>
      <c r="L248" s="18">
        <v>9.999999999E9</v>
      </c>
      <c r="M248" s="18" t="s">
        <v>72</v>
      </c>
      <c r="N248" s="18" t="s">
        <v>548</v>
      </c>
      <c r="O248" s="18" t="s">
        <v>7193</v>
      </c>
      <c r="P248" s="18" t="s">
        <v>7047</v>
      </c>
      <c r="Q248" s="20">
        <f>COUNTIF('Hedef Liste'!A:A,A248)</f>
        <v>0</v>
      </c>
    </row>
    <row r="249" ht="15.75" hidden="1" customHeight="1">
      <c r="A249" s="18" t="s">
        <v>4282</v>
      </c>
      <c r="B249" s="18" t="s">
        <v>4283</v>
      </c>
      <c r="C249" s="358" t="s">
        <v>7040</v>
      </c>
      <c r="D249" s="18" t="s">
        <v>70</v>
      </c>
      <c r="E249" s="359">
        <v>1709.0</v>
      </c>
      <c r="F249" s="359">
        <v>24.0</v>
      </c>
      <c r="G249" s="359">
        <v>15.0</v>
      </c>
      <c r="H249" s="359">
        <v>1.0</v>
      </c>
      <c r="I249" s="359">
        <v>16.0</v>
      </c>
      <c r="J249" s="360">
        <v>0.94</v>
      </c>
      <c r="K249" s="18" t="s">
        <v>4284</v>
      </c>
      <c r="L249" s="18">
        <v>3.2435978E9</v>
      </c>
      <c r="M249" s="18" t="s">
        <v>63</v>
      </c>
      <c r="N249" s="18" t="s">
        <v>318</v>
      </c>
      <c r="O249" s="18" t="s">
        <v>4285</v>
      </c>
      <c r="P249" s="18" t="s">
        <v>7041</v>
      </c>
      <c r="Q249" s="20">
        <f>COUNTIF('Hedef Liste'!A:A,A249)</f>
        <v>1</v>
      </c>
    </row>
    <row r="250" ht="15.75" hidden="1" customHeight="1">
      <c r="A250" s="18" t="s">
        <v>2045</v>
      </c>
      <c r="B250" s="18" t="s">
        <v>2046</v>
      </c>
      <c r="C250" s="358" t="s">
        <v>7040</v>
      </c>
      <c r="D250" s="18" t="s">
        <v>80</v>
      </c>
      <c r="E250" s="359">
        <v>696.0</v>
      </c>
      <c r="F250" s="359">
        <v>54.0</v>
      </c>
      <c r="G250" s="359">
        <v>5.0</v>
      </c>
      <c r="H250" s="359">
        <v>4.0</v>
      </c>
      <c r="I250" s="359">
        <v>9.0</v>
      </c>
      <c r="J250" s="360">
        <v>0.56</v>
      </c>
      <c r="K250" s="18" t="s">
        <v>2047</v>
      </c>
      <c r="L250" s="18">
        <v>3.243575554E9</v>
      </c>
      <c r="M250" s="18" t="s">
        <v>63</v>
      </c>
      <c r="N250" s="18" t="s">
        <v>93</v>
      </c>
      <c r="O250" s="18" t="s">
        <v>2048</v>
      </c>
      <c r="P250" s="18" t="s">
        <v>7041</v>
      </c>
      <c r="Q250" s="20">
        <f>COUNTIF('Hedef Liste'!A:A,A250)</f>
        <v>1</v>
      </c>
    </row>
    <row r="251" ht="15.75" hidden="1" customHeight="1">
      <c r="A251" s="18" t="s">
        <v>7194</v>
      </c>
      <c r="B251" s="18" t="s">
        <v>7195</v>
      </c>
      <c r="C251" s="358" t="s">
        <v>7040</v>
      </c>
      <c r="D251" s="18" t="s">
        <v>106</v>
      </c>
      <c r="E251" s="359">
        <v>7950.0</v>
      </c>
      <c r="F251" s="359">
        <v>462.0</v>
      </c>
      <c r="G251" s="359">
        <v>106.0</v>
      </c>
      <c r="H251" s="359">
        <v>0.0</v>
      </c>
      <c r="I251" s="359">
        <v>106.0</v>
      </c>
      <c r="J251" s="360">
        <v>1.0</v>
      </c>
      <c r="K251" s="18" t="s">
        <v>7192</v>
      </c>
      <c r="L251" s="18">
        <v>9.999999999E9</v>
      </c>
      <c r="M251" s="18" t="s">
        <v>156</v>
      </c>
      <c r="N251" s="18" t="s">
        <v>2057</v>
      </c>
      <c r="O251" s="18" t="s">
        <v>7196</v>
      </c>
      <c r="P251" s="18" t="s">
        <v>7047</v>
      </c>
      <c r="Q251" s="20">
        <f>COUNTIF('Hedef Liste'!A:A,A251)</f>
        <v>0</v>
      </c>
    </row>
    <row r="252" ht="15.75" hidden="1" customHeight="1">
      <c r="A252" s="18" t="s">
        <v>517</v>
      </c>
      <c r="B252" s="18" t="s">
        <v>518</v>
      </c>
      <c r="C252" s="358" t="s">
        <v>7040</v>
      </c>
      <c r="D252" s="18" t="s">
        <v>118</v>
      </c>
      <c r="E252" s="359">
        <v>4761.0</v>
      </c>
      <c r="F252" s="359">
        <v>244.0</v>
      </c>
      <c r="G252" s="359">
        <v>0.0</v>
      </c>
      <c r="H252" s="359">
        <v>34.0</v>
      </c>
      <c r="I252" s="359">
        <v>34.0</v>
      </c>
      <c r="J252" s="360">
        <v>0.0</v>
      </c>
      <c r="K252" s="18" t="s">
        <v>519</v>
      </c>
      <c r="L252" s="18">
        <v>5.524594463E9</v>
      </c>
      <c r="M252" s="18" t="s">
        <v>72</v>
      </c>
      <c r="N252" s="18" t="s">
        <v>82</v>
      </c>
      <c r="O252" s="18" t="s">
        <v>520</v>
      </c>
      <c r="P252" s="18" t="s">
        <v>7041</v>
      </c>
      <c r="Q252" s="20">
        <f>COUNTIF('Hedef Liste'!A:A,A252)</f>
        <v>1</v>
      </c>
    </row>
    <row r="253" ht="15.75" hidden="1" customHeight="1">
      <c r="A253" s="18" t="s">
        <v>3382</v>
      </c>
      <c r="B253" s="18" t="s">
        <v>3383</v>
      </c>
      <c r="C253" s="358" t="s">
        <v>7040</v>
      </c>
      <c r="D253" s="18" t="s">
        <v>884</v>
      </c>
      <c r="E253" s="359">
        <v>60.0</v>
      </c>
      <c r="F253" s="359">
        <v>6.0</v>
      </c>
      <c r="G253" s="359">
        <v>22.0</v>
      </c>
      <c r="H253" s="359">
        <v>53.0</v>
      </c>
      <c r="I253" s="359">
        <v>75.0</v>
      </c>
      <c r="J253" s="360">
        <v>0.29</v>
      </c>
      <c r="K253" s="18" t="s">
        <v>3384</v>
      </c>
      <c r="L253" s="18">
        <v>3.249995066E9</v>
      </c>
      <c r="M253" s="18" t="s">
        <v>72</v>
      </c>
      <c r="N253" s="18" t="s">
        <v>120</v>
      </c>
      <c r="O253" s="18" t="s">
        <v>3385</v>
      </c>
      <c r="P253" s="18" t="s">
        <v>7041</v>
      </c>
      <c r="Q253" s="20">
        <f>COUNTIF('Hedef Liste'!A:A,A253)</f>
        <v>1</v>
      </c>
    </row>
    <row r="254" ht="15.75" hidden="1" customHeight="1">
      <c r="A254" s="18" t="s">
        <v>1790</v>
      </c>
      <c r="B254" s="18" t="s">
        <v>1791</v>
      </c>
      <c r="C254" s="358" t="s">
        <v>7040</v>
      </c>
      <c r="D254" s="18" t="s">
        <v>80</v>
      </c>
      <c r="E254" s="359">
        <v>213.0</v>
      </c>
      <c r="F254" s="18"/>
      <c r="G254" s="359">
        <v>0.0</v>
      </c>
      <c r="H254" s="359">
        <v>10.0</v>
      </c>
      <c r="I254" s="359">
        <v>10.0</v>
      </c>
      <c r="J254" s="360">
        <v>0.0</v>
      </c>
      <c r="K254" s="18" t="s">
        <v>1792</v>
      </c>
      <c r="L254" s="18">
        <v>3.245444554E9</v>
      </c>
      <c r="M254" s="18" t="s">
        <v>47</v>
      </c>
      <c r="N254" s="18" t="s">
        <v>608</v>
      </c>
      <c r="O254" s="18" t="s">
        <v>1793</v>
      </c>
      <c r="P254" s="18" t="s">
        <v>7041</v>
      </c>
      <c r="Q254" s="20">
        <f>COUNTIF('Hedef Liste'!A:A,A254)</f>
        <v>1</v>
      </c>
    </row>
    <row r="255" ht="15.75" hidden="1" customHeight="1">
      <c r="A255" s="18" t="s">
        <v>2298</v>
      </c>
      <c r="B255" s="18" t="s">
        <v>2299</v>
      </c>
      <c r="C255" s="358" t="s">
        <v>7062</v>
      </c>
      <c r="D255" s="18" t="s">
        <v>363</v>
      </c>
      <c r="E255" s="359">
        <v>213.0</v>
      </c>
      <c r="F255" s="18"/>
      <c r="G255" s="359">
        <v>0.0</v>
      </c>
      <c r="H255" s="359">
        <v>30.0</v>
      </c>
      <c r="I255" s="359">
        <v>30.0</v>
      </c>
      <c r="J255" s="360">
        <v>0.0</v>
      </c>
      <c r="K255" s="18" t="s">
        <v>2300</v>
      </c>
      <c r="L255" s="18">
        <v>3.242393706E9</v>
      </c>
      <c r="M255" s="18" t="s">
        <v>137</v>
      </c>
      <c r="N255" s="18" t="s">
        <v>209</v>
      </c>
      <c r="O255" s="18" t="s">
        <v>2301</v>
      </c>
      <c r="P255" s="18" t="s">
        <v>7041</v>
      </c>
      <c r="Q255" s="20">
        <f>COUNTIF('Hedef Liste'!A:A,A255)</f>
        <v>1</v>
      </c>
    </row>
    <row r="256" ht="15.75" hidden="1" customHeight="1">
      <c r="A256" s="18" t="s">
        <v>7197</v>
      </c>
      <c r="B256" s="18" t="s">
        <v>7198</v>
      </c>
      <c r="C256" s="358" t="s">
        <v>7040</v>
      </c>
      <c r="D256" s="18" t="s">
        <v>45</v>
      </c>
      <c r="E256" s="359">
        <v>7622.0</v>
      </c>
      <c r="F256" s="359">
        <v>287.0</v>
      </c>
      <c r="G256" s="359">
        <v>168.0</v>
      </c>
      <c r="H256" s="359">
        <v>0.0</v>
      </c>
      <c r="I256" s="359">
        <v>168.0</v>
      </c>
      <c r="J256" s="360">
        <v>1.0</v>
      </c>
      <c r="K256" s="18" t="s">
        <v>7192</v>
      </c>
      <c r="L256" s="18">
        <v>9.999999999E9</v>
      </c>
      <c r="M256" s="18" t="s">
        <v>47</v>
      </c>
      <c r="N256" s="18" t="s">
        <v>489</v>
      </c>
      <c r="O256" s="18" t="s">
        <v>7199</v>
      </c>
      <c r="P256" s="18" t="s">
        <v>7047</v>
      </c>
      <c r="Q256" s="20">
        <f>COUNTIF('Hedef Liste'!A:A,A256)</f>
        <v>0</v>
      </c>
    </row>
    <row r="257" ht="15.75" hidden="1" customHeight="1">
      <c r="A257" s="18" t="s">
        <v>3928</v>
      </c>
      <c r="B257" s="18" t="s">
        <v>3929</v>
      </c>
      <c r="C257" s="358" t="s">
        <v>7040</v>
      </c>
      <c r="D257" s="18" t="s">
        <v>80</v>
      </c>
      <c r="E257" s="359">
        <v>5858.0</v>
      </c>
      <c r="F257" s="359">
        <v>491.0</v>
      </c>
      <c r="G257" s="359">
        <v>10.0</v>
      </c>
      <c r="H257" s="359">
        <v>29.0</v>
      </c>
      <c r="I257" s="359">
        <v>39.0</v>
      </c>
      <c r="J257" s="360">
        <v>0.26</v>
      </c>
      <c r="K257" s="18" t="s">
        <v>3930</v>
      </c>
      <c r="L257" s="18">
        <v>5.523335717E9</v>
      </c>
      <c r="M257" s="18" t="s">
        <v>72</v>
      </c>
      <c r="N257" s="18" t="s">
        <v>82</v>
      </c>
      <c r="O257" s="18" t="s">
        <v>3931</v>
      </c>
      <c r="P257" s="18" t="s">
        <v>7041</v>
      </c>
      <c r="Q257" s="20">
        <f>COUNTIF('Hedef Liste'!A:A,A257)</f>
        <v>1</v>
      </c>
    </row>
    <row r="258" ht="15.75" hidden="1" customHeight="1">
      <c r="A258" s="18" t="s">
        <v>3096</v>
      </c>
      <c r="B258" s="18" t="s">
        <v>3097</v>
      </c>
      <c r="C258" s="358" t="s">
        <v>7040</v>
      </c>
      <c r="D258" s="18" t="s">
        <v>70</v>
      </c>
      <c r="E258" s="359">
        <v>10323.0</v>
      </c>
      <c r="F258" s="359">
        <v>638.0</v>
      </c>
      <c r="G258" s="359">
        <v>0.0</v>
      </c>
      <c r="H258" s="359">
        <v>32.0</v>
      </c>
      <c r="I258" s="359">
        <v>32.0</v>
      </c>
      <c r="J258" s="360">
        <v>0.0</v>
      </c>
      <c r="K258" s="18" t="s">
        <v>3098</v>
      </c>
      <c r="L258" s="18">
        <v>5.372165664E9</v>
      </c>
      <c r="M258" s="18" t="s">
        <v>72</v>
      </c>
      <c r="N258" s="18" t="s">
        <v>810</v>
      </c>
      <c r="O258" s="18" t="s">
        <v>3099</v>
      </c>
      <c r="P258" s="18" t="s">
        <v>7041</v>
      </c>
      <c r="Q258" s="20">
        <f>COUNTIF('Hedef Liste'!A:A,A258)</f>
        <v>1</v>
      </c>
    </row>
    <row r="259" ht="15.75" hidden="1" customHeight="1">
      <c r="A259" s="18" t="s">
        <v>2200</v>
      </c>
      <c r="B259" s="18" t="s">
        <v>2201</v>
      </c>
      <c r="C259" s="358" t="s">
        <v>7040</v>
      </c>
      <c r="D259" s="18" t="s">
        <v>80</v>
      </c>
      <c r="E259" s="359">
        <v>2377.0</v>
      </c>
      <c r="F259" s="359">
        <v>115.0</v>
      </c>
      <c r="G259" s="359">
        <v>0.0</v>
      </c>
      <c r="H259" s="359">
        <v>62.0</v>
      </c>
      <c r="I259" s="359">
        <v>62.0</v>
      </c>
      <c r="J259" s="360">
        <v>0.0</v>
      </c>
      <c r="K259" s="18" t="s">
        <v>2202</v>
      </c>
      <c r="L259" s="18">
        <v>5.364702226E9</v>
      </c>
      <c r="M259" s="18" t="s">
        <v>72</v>
      </c>
      <c r="N259" s="18" t="s">
        <v>82</v>
      </c>
      <c r="O259" s="18" t="s">
        <v>2203</v>
      </c>
      <c r="P259" s="18" t="s">
        <v>7041</v>
      </c>
      <c r="Q259" s="20">
        <f>COUNTIF('Hedef Liste'!A:A,A259)</f>
        <v>1</v>
      </c>
    </row>
    <row r="260" ht="15.75" hidden="1" customHeight="1">
      <c r="A260" s="18" t="s">
        <v>1549</v>
      </c>
      <c r="B260" s="18" t="s">
        <v>1550</v>
      </c>
      <c r="C260" s="358" t="s">
        <v>7040</v>
      </c>
      <c r="D260" s="18" t="s">
        <v>118</v>
      </c>
      <c r="E260" s="359">
        <v>1436.0</v>
      </c>
      <c r="F260" s="359">
        <v>4.0</v>
      </c>
      <c r="G260" s="359">
        <v>0.0</v>
      </c>
      <c r="H260" s="359">
        <v>26.0</v>
      </c>
      <c r="I260" s="359">
        <v>26.0</v>
      </c>
      <c r="J260" s="360">
        <v>0.0</v>
      </c>
      <c r="K260" s="18" t="s">
        <v>1551</v>
      </c>
      <c r="L260" s="18">
        <v>5.434853323E9</v>
      </c>
      <c r="M260" s="18" t="s">
        <v>72</v>
      </c>
      <c r="N260" s="18" t="s">
        <v>415</v>
      </c>
      <c r="O260" s="18" t="s">
        <v>1552</v>
      </c>
      <c r="P260" s="18" t="s">
        <v>7041</v>
      </c>
      <c r="Q260" s="20">
        <f>COUNTIF('Hedef Liste'!A:A,A260)</f>
        <v>1</v>
      </c>
    </row>
    <row r="261" ht="15.75" hidden="1" customHeight="1">
      <c r="A261" s="18" t="s">
        <v>2229</v>
      </c>
      <c r="B261" s="18" t="s">
        <v>2230</v>
      </c>
      <c r="C261" s="358" t="s">
        <v>7040</v>
      </c>
      <c r="D261" s="18" t="s">
        <v>45</v>
      </c>
      <c r="E261" s="359">
        <v>3876.0</v>
      </c>
      <c r="F261" s="359">
        <v>115.0</v>
      </c>
      <c r="G261" s="359">
        <v>0.0</v>
      </c>
      <c r="H261" s="359">
        <v>28.0</v>
      </c>
      <c r="I261" s="359">
        <v>28.0</v>
      </c>
      <c r="J261" s="360">
        <v>0.0</v>
      </c>
      <c r="K261" s="18" t="s">
        <v>7141</v>
      </c>
      <c r="L261" s="18">
        <v>3.245161332E9</v>
      </c>
      <c r="M261" s="18" t="s">
        <v>47</v>
      </c>
      <c r="N261" s="18" t="s">
        <v>489</v>
      </c>
      <c r="O261" s="18" t="s">
        <v>7200</v>
      </c>
      <c r="P261" s="18" t="s">
        <v>7041</v>
      </c>
      <c r="Q261" s="20">
        <f>COUNTIF('Hedef Liste'!A:A,A261)</f>
        <v>1</v>
      </c>
    </row>
    <row r="262" ht="15.75" hidden="1" customHeight="1">
      <c r="A262" s="18" t="s">
        <v>2735</v>
      </c>
      <c r="B262" s="18" t="s">
        <v>7201</v>
      </c>
      <c r="C262" s="358" t="s">
        <v>7040</v>
      </c>
      <c r="D262" s="18" t="s">
        <v>754</v>
      </c>
      <c r="E262" s="359">
        <v>1016.0</v>
      </c>
      <c r="F262" s="359">
        <v>63.0</v>
      </c>
      <c r="G262" s="359">
        <v>0.0</v>
      </c>
      <c r="H262" s="359">
        <v>24.0</v>
      </c>
      <c r="I262" s="359">
        <v>24.0</v>
      </c>
      <c r="J262" s="360">
        <v>0.0</v>
      </c>
      <c r="K262" s="18" t="s">
        <v>2737</v>
      </c>
      <c r="L262" s="18">
        <v>5.53091881E9</v>
      </c>
      <c r="M262" s="18" t="s">
        <v>137</v>
      </c>
      <c r="N262" s="18" t="s">
        <v>318</v>
      </c>
      <c r="O262" s="18" t="s">
        <v>2738</v>
      </c>
      <c r="P262" s="18" t="s">
        <v>7041</v>
      </c>
      <c r="Q262" s="20">
        <f>COUNTIF('Hedef Liste'!A:A,A262)</f>
        <v>1</v>
      </c>
    </row>
    <row r="263" ht="15.75" hidden="1" customHeight="1">
      <c r="A263" s="18" t="s">
        <v>551</v>
      </c>
      <c r="B263" s="18" t="s">
        <v>552</v>
      </c>
      <c r="C263" s="358" t="s">
        <v>7040</v>
      </c>
      <c r="D263" s="18" t="s">
        <v>372</v>
      </c>
      <c r="E263" s="359">
        <v>2879.0</v>
      </c>
      <c r="F263" s="359">
        <v>138.0</v>
      </c>
      <c r="G263" s="359">
        <v>16.0</v>
      </c>
      <c r="H263" s="359">
        <v>36.0</v>
      </c>
      <c r="I263" s="359">
        <v>52.0</v>
      </c>
      <c r="J263" s="360">
        <v>0.31</v>
      </c>
      <c r="K263" s="18" t="s">
        <v>553</v>
      </c>
      <c r="L263" s="18">
        <v>3.243369237E9</v>
      </c>
      <c r="M263" s="18" t="s">
        <v>137</v>
      </c>
      <c r="N263" s="18" t="s">
        <v>426</v>
      </c>
      <c r="O263" s="18" t="s">
        <v>554</v>
      </c>
      <c r="P263" s="18" t="s">
        <v>7041</v>
      </c>
      <c r="Q263" s="20">
        <f>COUNTIF('Hedef Liste'!A:A,A263)</f>
        <v>1</v>
      </c>
    </row>
    <row r="264" ht="15.75" hidden="1" customHeight="1">
      <c r="A264" s="18" t="s">
        <v>1490</v>
      </c>
      <c r="B264" s="18" t="s">
        <v>1491</v>
      </c>
      <c r="C264" s="358" t="s">
        <v>7040</v>
      </c>
      <c r="D264" s="18" t="s">
        <v>70</v>
      </c>
      <c r="E264" s="359">
        <v>5199.0</v>
      </c>
      <c r="F264" s="359">
        <v>133.0</v>
      </c>
      <c r="G264" s="359">
        <v>6.0</v>
      </c>
      <c r="H264" s="359">
        <v>10.0</v>
      </c>
      <c r="I264" s="359">
        <v>16.0</v>
      </c>
      <c r="J264" s="360">
        <v>0.38</v>
      </c>
      <c r="K264" s="18" t="s">
        <v>7202</v>
      </c>
      <c r="L264" s="18">
        <v>5.541475031E9</v>
      </c>
      <c r="M264" s="18" t="s">
        <v>47</v>
      </c>
      <c r="N264" s="18" t="s">
        <v>48</v>
      </c>
      <c r="O264" s="18" t="s">
        <v>1493</v>
      </c>
      <c r="P264" s="18" t="s">
        <v>7041</v>
      </c>
      <c r="Q264" s="20">
        <f>COUNTIF('Hedef Liste'!A:A,A264)</f>
        <v>1</v>
      </c>
    </row>
    <row r="265" ht="15.75" hidden="1" customHeight="1">
      <c r="A265" s="18" t="s">
        <v>4683</v>
      </c>
      <c r="B265" s="18" t="s">
        <v>4684</v>
      </c>
      <c r="C265" s="358" t="s">
        <v>7040</v>
      </c>
      <c r="D265" s="18" t="s">
        <v>80</v>
      </c>
      <c r="E265" s="359">
        <v>9422.0</v>
      </c>
      <c r="F265" s="359">
        <v>367.0</v>
      </c>
      <c r="G265" s="359">
        <v>14.0</v>
      </c>
      <c r="H265" s="359">
        <v>1.0</v>
      </c>
      <c r="I265" s="359">
        <v>15.0</v>
      </c>
      <c r="J265" s="360">
        <v>0.93</v>
      </c>
      <c r="K265" s="18" t="s">
        <v>4685</v>
      </c>
      <c r="L265" s="18">
        <v>5.54123562E9</v>
      </c>
      <c r="M265" s="18" t="s">
        <v>72</v>
      </c>
      <c r="N265" s="18" t="s">
        <v>415</v>
      </c>
      <c r="O265" s="18" t="s">
        <v>4686</v>
      </c>
      <c r="P265" s="18" t="s">
        <v>7041</v>
      </c>
      <c r="Q265" s="20">
        <f>COUNTIF('Hedef Liste'!A:A,A265)</f>
        <v>1</v>
      </c>
    </row>
    <row r="266" ht="15.75" hidden="1" customHeight="1">
      <c r="A266" s="18" t="s">
        <v>4786</v>
      </c>
      <c r="B266" s="18" t="s">
        <v>4787</v>
      </c>
      <c r="C266" s="358" t="s">
        <v>7040</v>
      </c>
      <c r="D266" s="18" t="s">
        <v>167</v>
      </c>
      <c r="E266" s="359">
        <v>2310.0</v>
      </c>
      <c r="F266" s="359">
        <v>40.0</v>
      </c>
      <c r="G266" s="359">
        <v>15.0</v>
      </c>
      <c r="H266" s="359">
        <v>13.0</v>
      </c>
      <c r="I266" s="359">
        <v>28.0</v>
      </c>
      <c r="J266" s="360">
        <v>0.54</v>
      </c>
      <c r="K266" s="18" t="s">
        <v>4797</v>
      </c>
      <c r="L266" s="18">
        <v>5.550903333E9</v>
      </c>
      <c r="M266" s="18" t="s">
        <v>63</v>
      </c>
      <c r="N266" s="18" t="s">
        <v>137</v>
      </c>
      <c r="O266" s="18" t="s">
        <v>4789</v>
      </c>
      <c r="P266" s="18" t="s">
        <v>7041</v>
      </c>
      <c r="Q266" s="20">
        <f>COUNTIF('Hedef Liste'!A:A,A266)</f>
        <v>1</v>
      </c>
    </row>
    <row r="267" ht="15.75" hidden="1" customHeight="1">
      <c r="A267" s="18" t="s">
        <v>2257</v>
      </c>
      <c r="B267" s="18" t="s">
        <v>2258</v>
      </c>
      <c r="C267" s="358" t="s">
        <v>7040</v>
      </c>
      <c r="D267" s="18" t="s">
        <v>363</v>
      </c>
      <c r="E267" s="359">
        <v>2498.0</v>
      </c>
      <c r="F267" s="359">
        <v>104.0</v>
      </c>
      <c r="G267" s="359">
        <v>7.0</v>
      </c>
      <c r="H267" s="359">
        <v>7.0</v>
      </c>
      <c r="I267" s="359">
        <v>14.0</v>
      </c>
      <c r="J267" s="360">
        <v>0.5</v>
      </c>
      <c r="K267" s="18" t="s">
        <v>2259</v>
      </c>
      <c r="L267" s="18">
        <v>5.353178183E9</v>
      </c>
      <c r="M267" s="18" t="s">
        <v>63</v>
      </c>
      <c r="N267" s="18" t="s">
        <v>137</v>
      </c>
      <c r="O267" s="18" t="s">
        <v>2260</v>
      </c>
      <c r="P267" s="18" t="s">
        <v>7041</v>
      </c>
      <c r="Q267" s="20">
        <f>COUNTIF('Hedef Liste'!A:A,A267)</f>
        <v>1</v>
      </c>
    </row>
    <row r="268" ht="15.75" hidden="1" customHeight="1">
      <c r="A268" s="18" t="s">
        <v>569</v>
      </c>
      <c r="B268" s="18" t="s">
        <v>570</v>
      </c>
      <c r="C268" s="358" t="s">
        <v>7040</v>
      </c>
      <c r="D268" s="18" t="s">
        <v>564</v>
      </c>
      <c r="E268" s="359">
        <v>1228.0</v>
      </c>
      <c r="F268" s="359">
        <v>42.0</v>
      </c>
      <c r="G268" s="359">
        <v>0.0</v>
      </c>
      <c r="H268" s="359">
        <v>36.0</v>
      </c>
      <c r="I268" s="359">
        <v>36.0</v>
      </c>
      <c r="J268" s="360">
        <v>0.0</v>
      </c>
      <c r="K268" s="18" t="s">
        <v>571</v>
      </c>
      <c r="L268" s="18">
        <v>3.24502143E9</v>
      </c>
      <c r="M268" s="18" t="s">
        <v>63</v>
      </c>
      <c r="N268" s="18" t="s">
        <v>137</v>
      </c>
      <c r="O268" s="18" t="s">
        <v>572</v>
      </c>
      <c r="P268" s="18" t="s">
        <v>7041</v>
      </c>
      <c r="Q268" s="20">
        <f>COUNTIF('Hedef Liste'!A:A,A268)</f>
        <v>1</v>
      </c>
    </row>
    <row r="269" ht="15.75" hidden="1" customHeight="1">
      <c r="A269" s="18" t="s">
        <v>3435</v>
      </c>
      <c r="B269" s="18" t="s">
        <v>3436</v>
      </c>
      <c r="C269" s="358" t="s">
        <v>7040</v>
      </c>
      <c r="D269" s="18" t="s">
        <v>80</v>
      </c>
      <c r="E269" s="359">
        <v>480.0</v>
      </c>
      <c r="F269" s="359">
        <v>21.0</v>
      </c>
      <c r="G269" s="359">
        <v>7.0</v>
      </c>
      <c r="H269" s="359">
        <v>3.0</v>
      </c>
      <c r="I269" s="359">
        <v>10.0</v>
      </c>
      <c r="J269" s="360">
        <v>0.7</v>
      </c>
      <c r="K269" s="18" t="s">
        <v>953</v>
      </c>
      <c r="L269" s="18">
        <v>5.338183E9</v>
      </c>
      <c r="M269" s="18" t="s">
        <v>215</v>
      </c>
      <c r="N269" s="18" t="s">
        <v>648</v>
      </c>
      <c r="O269" s="18" t="s">
        <v>3437</v>
      </c>
      <c r="P269" s="18" t="s">
        <v>7041</v>
      </c>
      <c r="Q269" s="20">
        <f>COUNTIF('Hedef Liste'!A:A,A269)</f>
        <v>1</v>
      </c>
    </row>
    <row r="270" ht="15.75" hidden="1" customHeight="1">
      <c r="A270" s="18" t="s">
        <v>4678</v>
      </c>
      <c r="B270" s="18" t="s">
        <v>4679</v>
      </c>
      <c r="C270" s="358" t="s">
        <v>7040</v>
      </c>
      <c r="D270" s="18" t="s">
        <v>7053</v>
      </c>
      <c r="E270" s="359">
        <v>1147.0</v>
      </c>
      <c r="F270" s="359">
        <v>151.0</v>
      </c>
      <c r="G270" s="359">
        <v>5.0</v>
      </c>
      <c r="H270" s="359">
        <v>27.0</v>
      </c>
      <c r="I270" s="359">
        <v>32.0</v>
      </c>
      <c r="J270" s="360">
        <v>0.16</v>
      </c>
      <c r="K270" s="18" t="s">
        <v>4680</v>
      </c>
      <c r="L270" s="18">
        <v>5.443140429E9</v>
      </c>
      <c r="M270" s="18" t="s">
        <v>63</v>
      </c>
      <c r="N270" s="18" t="s">
        <v>566</v>
      </c>
      <c r="O270" s="18" t="s">
        <v>4681</v>
      </c>
      <c r="P270" s="18" t="s">
        <v>7041</v>
      </c>
      <c r="Q270" s="20">
        <f>COUNTIF('Hedef Liste'!A:A,A270)</f>
        <v>1</v>
      </c>
    </row>
    <row r="271" ht="15.75" hidden="1" customHeight="1">
      <c r="A271" s="18" t="s">
        <v>4188</v>
      </c>
      <c r="B271" s="18" t="s">
        <v>4189</v>
      </c>
      <c r="C271" s="358" t="s">
        <v>7062</v>
      </c>
      <c r="D271" s="18" t="s">
        <v>118</v>
      </c>
      <c r="E271" s="359">
        <v>345.0</v>
      </c>
      <c r="F271" s="18"/>
      <c r="G271" s="359">
        <v>9.0</v>
      </c>
      <c r="H271" s="359">
        <v>2.0</v>
      </c>
      <c r="I271" s="359">
        <v>11.0</v>
      </c>
      <c r="J271" s="360">
        <v>0.82</v>
      </c>
      <c r="K271" s="18" t="s">
        <v>4190</v>
      </c>
      <c r="L271" s="18">
        <v>3.243262631E9</v>
      </c>
      <c r="M271" s="18" t="s">
        <v>72</v>
      </c>
      <c r="N271" s="18" t="s">
        <v>333</v>
      </c>
      <c r="O271" s="18" t="s">
        <v>4191</v>
      </c>
      <c r="P271" s="18" t="s">
        <v>7041</v>
      </c>
      <c r="Q271" s="20">
        <f>COUNTIF('Hedef Liste'!A:A,A271)</f>
        <v>1</v>
      </c>
    </row>
    <row r="272" ht="15.75" hidden="1" customHeight="1">
      <c r="A272" s="18" t="s">
        <v>1018</v>
      </c>
      <c r="B272" s="18" t="s">
        <v>1019</v>
      </c>
      <c r="C272" s="358" t="s">
        <v>7062</v>
      </c>
      <c r="D272" s="18" t="s">
        <v>498</v>
      </c>
      <c r="E272" s="359">
        <v>453.0</v>
      </c>
      <c r="F272" s="18"/>
      <c r="G272" s="359">
        <v>0.0</v>
      </c>
      <c r="H272" s="359">
        <v>58.0</v>
      </c>
      <c r="I272" s="359">
        <v>58.0</v>
      </c>
      <c r="J272" s="360">
        <v>0.0</v>
      </c>
      <c r="K272" s="18" t="s">
        <v>1020</v>
      </c>
      <c r="L272" s="18">
        <v>3.246226665E9</v>
      </c>
      <c r="M272" s="18" t="s">
        <v>156</v>
      </c>
      <c r="N272" s="18" t="s">
        <v>301</v>
      </c>
      <c r="O272" s="18" t="s">
        <v>1021</v>
      </c>
      <c r="P272" s="18" t="s">
        <v>7041</v>
      </c>
      <c r="Q272" s="20">
        <f>COUNTIF('Hedef Liste'!A:A,A272)</f>
        <v>1</v>
      </c>
    </row>
    <row r="273" ht="15.75" hidden="1" customHeight="1">
      <c r="A273" s="18" t="s">
        <v>7203</v>
      </c>
      <c r="B273" s="18" t="s">
        <v>7204</v>
      </c>
      <c r="C273" s="358" t="s">
        <v>7040</v>
      </c>
      <c r="D273" s="18" t="s">
        <v>884</v>
      </c>
      <c r="E273" s="359">
        <v>177.0</v>
      </c>
      <c r="F273" s="359">
        <v>10.0</v>
      </c>
      <c r="G273" s="359">
        <v>52.0</v>
      </c>
      <c r="H273" s="359">
        <v>25.0</v>
      </c>
      <c r="I273" s="359">
        <v>77.0</v>
      </c>
      <c r="J273" s="360">
        <v>0.68</v>
      </c>
      <c r="K273" s="18" t="s">
        <v>7205</v>
      </c>
      <c r="L273" s="18">
        <v>3.243416162E9</v>
      </c>
      <c r="M273" s="18" t="s">
        <v>72</v>
      </c>
      <c r="N273" s="18" t="s">
        <v>548</v>
      </c>
      <c r="O273" s="18" t="s">
        <v>7206</v>
      </c>
      <c r="P273" s="18" t="s">
        <v>7047</v>
      </c>
      <c r="Q273" s="20">
        <f>COUNTIF('Hedef Liste'!A:A,A273)</f>
        <v>0</v>
      </c>
    </row>
    <row r="274" ht="15.75" hidden="1" customHeight="1">
      <c r="A274" s="18" t="s">
        <v>3325</v>
      </c>
      <c r="B274" s="18" t="s">
        <v>3326</v>
      </c>
      <c r="C274" s="358" t="s">
        <v>7040</v>
      </c>
      <c r="D274" s="18" t="s">
        <v>80</v>
      </c>
      <c r="E274" s="359">
        <v>854.0</v>
      </c>
      <c r="F274" s="359">
        <v>32.0</v>
      </c>
      <c r="G274" s="359">
        <v>13.0</v>
      </c>
      <c r="H274" s="359">
        <v>12.0</v>
      </c>
      <c r="I274" s="359">
        <v>25.0</v>
      </c>
      <c r="J274" s="360">
        <v>0.52</v>
      </c>
      <c r="K274" s="18" t="s">
        <v>3327</v>
      </c>
      <c r="L274" s="18">
        <v>3.242390979E9</v>
      </c>
      <c r="M274" s="18" t="s">
        <v>137</v>
      </c>
      <c r="N274" s="18" t="s">
        <v>1283</v>
      </c>
      <c r="O274" s="18" t="s">
        <v>3328</v>
      </c>
      <c r="P274" s="18" t="s">
        <v>7041</v>
      </c>
      <c r="Q274" s="20">
        <f>COUNTIF('Hedef Liste'!A:A,A274)</f>
        <v>1</v>
      </c>
    </row>
    <row r="275" ht="15.75" hidden="1" customHeight="1">
      <c r="A275" s="18" t="s">
        <v>7207</v>
      </c>
      <c r="B275" s="18" t="s">
        <v>7208</v>
      </c>
      <c r="C275" s="358" t="s">
        <v>7040</v>
      </c>
      <c r="D275" s="18" t="s">
        <v>167</v>
      </c>
      <c r="E275" s="359">
        <v>2777.0</v>
      </c>
      <c r="F275" s="359">
        <v>159.0</v>
      </c>
      <c r="G275" s="359">
        <v>73.0</v>
      </c>
      <c r="H275" s="359">
        <v>3.0</v>
      </c>
      <c r="I275" s="359">
        <v>76.0</v>
      </c>
      <c r="J275" s="360">
        <v>0.96</v>
      </c>
      <c r="K275" s="18" t="s">
        <v>7045</v>
      </c>
      <c r="L275" s="18">
        <v>5.0753658E9</v>
      </c>
      <c r="M275" s="18" t="s">
        <v>156</v>
      </c>
      <c r="N275" s="18" t="s">
        <v>318</v>
      </c>
      <c r="O275" s="18" t="s">
        <v>7209</v>
      </c>
      <c r="P275" s="18" t="s">
        <v>7047</v>
      </c>
      <c r="Q275" s="20">
        <f>COUNTIF('Hedef Liste'!A:A,A275)</f>
        <v>0</v>
      </c>
    </row>
    <row r="276" ht="15.75" hidden="1" customHeight="1">
      <c r="A276" s="18" t="s">
        <v>7210</v>
      </c>
      <c r="B276" s="18" t="s">
        <v>7211</v>
      </c>
      <c r="C276" s="358" t="s">
        <v>7040</v>
      </c>
      <c r="D276" s="18" t="s">
        <v>372</v>
      </c>
      <c r="E276" s="359">
        <v>4012.0</v>
      </c>
      <c r="F276" s="359">
        <v>243.0</v>
      </c>
      <c r="G276" s="359">
        <v>72.0</v>
      </c>
      <c r="H276" s="359">
        <v>15.0</v>
      </c>
      <c r="I276" s="359">
        <v>87.0</v>
      </c>
      <c r="J276" s="360">
        <v>0.83</v>
      </c>
      <c r="K276" s="18" t="s">
        <v>7179</v>
      </c>
      <c r="L276" s="18">
        <v>3.242393737E9</v>
      </c>
      <c r="M276" s="18" t="s">
        <v>137</v>
      </c>
      <c r="N276" s="18" t="s">
        <v>144</v>
      </c>
      <c r="O276" s="18" t="s">
        <v>7212</v>
      </c>
      <c r="P276" s="18" t="s">
        <v>7047</v>
      </c>
      <c r="Q276" s="20">
        <f>COUNTIF('Hedef Liste'!A:A,A276)</f>
        <v>0</v>
      </c>
    </row>
    <row r="277" ht="15.75" hidden="1" customHeight="1">
      <c r="A277" s="18" t="s">
        <v>4226</v>
      </c>
      <c r="B277" s="18" t="s">
        <v>4227</v>
      </c>
      <c r="C277" s="358" t="s">
        <v>7040</v>
      </c>
      <c r="D277" s="18" t="s">
        <v>118</v>
      </c>
      <c r="E277" s="359">
        <v>637.0</v>
      </c>
      <c r="F277" s="359">
        <v>23.0</v>
      </c>
      <c r="G277" s="359">
        <v>8.0</v>
      </c>
      <c r="H277" s="359">
        <v>22.0</v>
      </c>
      <c r="I277" s="359">
        <v>30.0</v>
      </c>
      <c r="J277" s="360">
        <v>0.27</v>
      </c>
      <c r="K277" s="18" t="s">
        <v>4228</v>
      </c>
      <c r="L277" s="18">
        <v>5.326116239E9</v>
      </c>
      <c r="M277" s="18" t="s">
        <v>137</v>
      </c>
      <c r="N277" s="18" t="s">
        <v>1283</v>
      </c>
      <c r="O277" s="18" t="s">
        <v>4229</v>
      </c>
      <c r="P277" s="18" t="s">
        <v>7041</v>
      </c>
      <c r="Q277" s="20">
        <f>COUNTIF('Hedef Liste'!A:A,A277)</f>
        <v>1</v>
      </c>
    </row>
    <row r="278" ht="15.75" hidden="1" customHeight="1">
      <c r="A278" s="18" t="s">
        <v>3244</v>
      </c>
      <c r="B278" s="18" t="s">
        <v>3245</v>
      </c>
      <c r="C278" s="358" t="s">
        <v>7040</v>
      </c>
      <c r="D278" s="18" t="s">
        <v>80</v>
      </c>
      <c r="E278" s="359">
        <v>7139.0</v>
      </c>
      <c r="F278" s="359">
        <v>215.0</v>
      </c>
      <c r="G278" s="359">
        <v>0.0</v>
      </c>
      <c r="H278" s="359">
        <v>24.0</v>
      </c>
      <c r="I278" s="359">
        <v>24.0</v>
      </c>
      <c r="J278" s="360">
        <v>0.0</v>
      </c>
      <c r="K278" s="18" t="s">
        <v>3246</v>
      </c>
      <c r="L278" s="18">
        <v>3.243362606E9</v>
      </c>
      <c r="M278" s="18" t="s">
        <v>137</v>
      </c>
      <c r="N278" s="18" t="s">
        <v>526</v>
      </c>
      <c r="O278" s="18" t="s">
        <v>3247</v>
      </c>
      <c r="P278" s="18" t="s">
        <v>7041</v>
      </c>
      <c r="Q278" s="20">
        <f>COUNTIF('Hedef Liste'!A:A,A278)</f>
        <v>1</v>
      </c>
    </row>
    <row r="279" ht="15.75" hidden="1" customHeight="1">
      <c r="A279" s="18" t="s">
        <v>7213</v>
      </c>
      <c r="B279" s="18" t="s">
        <v>7214</v>
      </c>
      <c r="C279" s="358" t="s">
        <v>7040</v>
      </c>
      <c r="D279" s="18" t="s">
        <v>372</v>
      </c>
      <c r="E279" s="359">
        <v>5241.0</v>
      </c>
      <c r="F279" s="359">
        <v>216.0</v>
      </c>
      <c r="G279" s="359">
        <v>74.0</v>
      </c>
      <c r="H279" s="359">
        <v>22.0</v>
      </c>
      <c r="I279" s="359">
        <v>96.0</v>
      </c>
      <c r="J279" s="360">
        <v>0.77</v>
      </c>
      <c r="K279" s="18" t="s">
        <v>7179</v>
      </c>
      <c r="L279" s="18">
        <v>3.248168081E9</v>
      </c>
      <c r="M279" s="18" t="s">
        <v>902</v>
      </c>
      <c r="N279" s="18" t="s">
        <v>1483</v>
      </c>
      <c r="O279" s="18" t="s">
        <v>7215</v>
      </c>
      <c r="P279" s="18" t="s">
        <v>7047</v>
      </c>
      <c r="Q279" s="20">
        <f>COUNTIF('Hedef Liste'!A:A,A279)</f>
        <v>0</v>
      </c>
    </row>
    <row r="280" ht="15.75" hidden="1" customHeight="1">
      <c r="A280" s="18" t="s">
        <v>7216</v>
      </c>
      <c r="B280" s="18" t="s">
        <v>7217</v>
      </c>
      <c r="C280" s="358" t="s">
        <v>7040</v>
      </c>
      <c r="D280" s="18" t="s">
        <v>372</v>
      </c>
      <c r="E280" s="359">
        <v>6650.0</v>
      </c>
      <c r="F280" s="359">
        <v>369.0</v>
      </c>
      <c r="G280" s="359">
        <v>75.0</v>
      </c>
      <c r="H280" s="359">
        <v>25.0</v>
      </c>
      <c r="I280" s="359">
        <v>100.0</v>
      </c>
      <c r="J280" s="360">
        <v>0.75</v>
      </c>
      <c r="K280" s="18" t="s">
        <v>7179</v>
      </c>
      <c r="L280" s="18">
        <v>3.24325505E9</v>
      </c>
      <c r="M280" s="18" t="s">
        <v>72</v>
      </c>
      <c r="N280" s="18" t="s">
        <v>150</v>
      </c>
      <c r="O280" s="18" t="s">
        <v>7218</v>
      </c>
      <c r="P280" s="18" t="s">
        <v>7047</v>
      </c>
      <c r="Q280" s="20">
        <f>COUNTIF('Hedef Liste'!A:A,A280)</f>
        <v>0</v>
      </c>
    </row>
    <row r="281" ht="15.75" hidden="1" customHeight="1">
      <c r="A281" s="18" t="s">
        <v>2447</v>
      </c>
      <c r="B281" s="18" t="s">
        <v>2448</v>
      </c>
      <c r="C281" s="358" t="s">
        <v>7040</v>
      </c>
      <c r="D281" s="18" t="s">
        <v>70</v>
      </c>
      <c r="E281" s="359">
        <v>523.0</v>
      </c>
      <c r="F281" s="359">
        <v>18.0</v>
      </c>
      <c r="G281" s="359">
        <v>14.0</v>
      </c>
      <c r="H281" s="359">
        <v>2.0</v>
      </c>
      <c r="I281" s="359">
        <v>16.0</v>
      </c>
      <c r="J281" s="360">
        <v>0.88</v>
      </c>
      <c r="K281" s="18" t="s">
        <v>7219</v>
      </c>
      <c r="L281" s="18">
        <v>5.527983313E9</v>
      </c>
      <c r="M281" s="18" t="s">
        <v>72</v>
      </c>
      <c r="N281" s="18" t="s">
        <v>73</v>
      </c>
      <c r="O281" s="18" t="s">
        <v>2450</v>
      </c>
      <c r="P281" s="18" t="s">
        <v>7041</v>
      </c>
      <c r="Q281" s="20">
        <f>COUNTIF('Hedef Liste'!A:A,A281)</f>
        <v>1</v>
      </c>
    </row>
    <row r="282" ht="15.75" hidden="1" customHeight="1">
      <c r="A282" s="18" t="s">
        <v>3824</v>
      </c>
      <c r="B282" s="18" t="s">
        <v>3825</v>
      </c>
      <c r="C282" s="358" t="s">
        <v>7040</v>
      </c>
      <c r="D282" s="18" t="s">
        <v>118</v>
      </c>
      <c r="E282" s="359">
        <v>7638.0</v>
      </c>
      <c r="F282" s="359">
        <v>351.0</v>
      </c>
      <c r="G282" s="359">
        <v>6.0</v>
      </c>
      <c r="H282" s="359">
        <v>2.0</v>
      </c>
      <c r="I282" s="359">
        <v>8.0</v>
      </c>
      <c r="J282" s="360">
        <v>0.75</v>
      </c>
      <c r="K282" s="18" t="s">
        <v>3826</v>
      </c>
      <c r="L282" s="18">
        <v>5.313857421E9</v>
      </c>
      <c r="M282" s="18" t="s">
        <v>72</v>
      </c>
      <c r="N282" s="18" t="s">
        <v>73</v>
      </c>
      <c r="O282" s="18" t="s">
        <v>3827</v>
      </c>
      <c r="P282" s="18" t="s">
        <v>7041</v>
      </c>
      <c r="Q282" s="20">
        <f>COUNTIF('Hedef Liste'!A:A,A282)</f>
        <v>1</v>
      </c>
    </row>
    <row r="283" ht="15.75" hidden="1" customHeight="1">
      <c r="A283" s="18" t="s">
        <v>2050</v>
      </c>
      <c r="B283" s="18" t="s">
        <v>2051</v>
      </c>
      <c r="C283" s="358" t="s">
        <v>7040</v>
      </c>
      <c r="D283" s="18" t="s">
        <v>80</v>
      </c>
      <c r="E283" s="359">
        <v>2468.0</v>
      </c>
      <c r="F283" s="359">
        <v>124.0</v>
      </c>
      <c r="G283" s="359">
        <v>0.0</v>
      </c>
      <c r="H283" s="359">
        <v>18.0</v>
      </c>
      <c r="I283" s="359">
        <v>18.0</v>
      </c>
      <c r="J283" s="360">
        <v>0.0</v>
      </c>
      <c r="K283" s="18" t="s">
        <v>2052</v>
      </c>
      <c r="L283" s="18">
        <v>3.247143737E9</v>
      </c>
      <c r="M283" s="18" t="s">
        <v>187</v>
      </c>
      <c r="N283" s="18" t="s">
        <v>188</v>
      </c>
      <c r="O283" s="18" t="s">
        <v>2053</v>
      </c>
      <c r="P283" s="18" t="s">
        <v>7041</v>
      </c>
      <c r="Q283" s="20">
        <f>COUNTIF('Hedef Liste'!A:A,A283)</f>
        <v>1</v>
      </c>
    </row>
    <row r="284" ht="15.75" hidden="1" customHeight="1">
      <c r="A284" s="18" t="s">
        <v>911</v>
      </c>
      <c r="B284" s="18" t="s">
        <v>912</v>
      </c>
      <c r="C284" s="358" t="s">
        <v>7040</v>
      </c>
      <c r="D284" s="18" t="s">
        <v>913</v>
      </c>
      <c r="E284" s="359">
        <v>54.0</v>
      </c>
      <c r="F284" s="359">
        <v>2.0</v>
      </c>
      <c r="G284" s="359">
        <v>0.0</v>
      </c>
      <c r="H284" s="359">
        <v>24.0</v>
      </c>
      <c r="I284" s="359">
        <v>24.0</v>
      </c>
      <c r="J284" s="360">
        <v>0.0</v>
      </c>
      <c r="K284" s="18" t="s">
        <v>914</v>
      </c>
      <c r="L284" s="18">
        <v>3.24326189E9</v>
      </c>
      <c r="M284" s="18" t="s">
        <v>72</v>
      </c>
      <c r="N284" s="18" t="s">
        <v>915</v>
      </c>
      <c r="O284" s="18" t="s">
        <v>916</v>
      </c>
      <c r="P284" s="18" t="s">
        <v>7041</v>
      </c>
      <c r="Q284" s="20">
        <f>COUNTIF('Hedef Liste'!A:A,A284)</f>
        <v>1</v>
      </c>
    </row>
    <row r="285" ht="15.75" hidden="1" customHeight="1">
      <c r="A285" s="18" t="s">
        <v>2173</v>
      </c>
      <c r="B285" s="18" t="s">
        <v>2174</v>
      </c>
      <c r="C285" s="358" t="s">
        <v>7040</v>
      </c>
      <c r="D285" s="18" t="s">
        <v>106</v>
      </c>
      <c r="E285" s="359">
        <v>164.0</v>
      </c>
      <c r="F285" s="18"/>
      <c r="G285" s="359">
        <v>0.0</v>
      </c>
      <c r="H285" s="359">
        <v>26.0</v>
      </c>
      <c r="I285" s="359">
        <v>26.0</v>
      </c>
      <c r="J285" s="360">
        <v>0.0</v>
      </c>
      <c r="K285" s="18" t="s">
        <v>2175</v>
      </c>
      <c r="L285" s="18">
        <v>5.350519063E9</v>
      </c>
      <c r="M285" s="18" t="s">
        <v>215</v>
      </c>
      <c r="N285" s="18" t="s">
        <v>613</v>
      </c>
      <c r="O285" s="18" t="s">
        <v>2176</v>
      </c>
      <c r="P285" s="18" t="s">
        <v>7041</v>
      </c>
      <c r="Q285" s="20">
        <f>COUNTIF('Hedef Liste'!A:A,A285)</f>
        <v>1</v>
      </c>
    </row>
    <row r="286" ht="15.75" hidden="1" customHeight="1">
      <c r="A286" s="18" t="s">
        <v>3282</v>
      </c>
      <c r="B286" s="18" t="s">
        <v>3283</v>
      </c>
      <c r="C286" s="358" t="s">
        <v>7040</v>
      </c>
      <c r="D286" s="18" t="s">
        <v>1063</v>
      </c>
      <c r="E286" s="359">
        <v>165.0</v>
      </c>
      <c r="F286" s="359">
        <v>32.0</v>
      </c>
      <c r="G286" s="359">
        <v>20.0</v>
      </c>
      <c r="H286" s="359">
        <v>3.0</v>
      </c>
      <c r="I286" s="359">
        <v>23.0</v>
      </c>
      <c r="J286" s="360">
        <v>0.87</v>
      </c>
      <c r="K286" s="18" t="s">
        <v>7220</v>
      </c>
      <c r="L286" s="18">
        <v>3.243294783E9</v>
      </c>
      <c r="M286" s="18" t="s">
        <v>72</v>
      </c>
      <c r="N286" s="18" t="s">
        <v>716</v>
      </c>
      <c r="O286" s="18" t="s">
        <v>3285</v>
      </c>
      <c r="P286" s="18" t="s">
        <v>7041</v>
      </c>
      <c r="Q286" s="20">
        <f>COUNTIF('Hedef Liste'!A:A,A286)</f>
        <v>1</v>
      </c>
    </row>
    <row r="287" ht="15.75" hidden="1" customHeight="1">
      <c r="A287" s="18" t="s">
        <v>2584</v>
      </c>
      <c r="B287" s="18" t="s">
        <v>7221</v>
      </c>
      <c r="C287" s="358" t="s">
        <v>7040</v>
      </c>
      <c r="D287" s="18" t="s">
        <v>70</v>
      </c>
      <c r="E287" s="359">
        <v>5413.0</v>
      </c>
      <c r="F287" s="359">
        <v>241.0</v>
      </c>
      <c r="G287" s="359">
        <v>16.0</v>
      </c>
      <c r="H287" s="359">
        <v>18.0</v>
      </c>
      <c r="I287" s="359">
        <v>34.0</v>
      </c>
      <c r="J287" s="360">
        <v>0.47</v>
      </c>
      <c r="K287" s="18" t="s">
        <v>2586</v>
      </c>
      <c r="L287" s="18">
        <v>3.243610272E9</v>
      </c>
      <c r="M287" s="18" t="s">
        <v>72</v>
      </c>
      <c r="N287" s="18" t="s">
        <v>82</v>
      </c>
      <c r="O287" s="18" t="s">
        <v>2587</v>
      </c>
      <c r="P287" s="18" t="s">
        <v>7041</v>
      </c>
      <c r="Q287" s="20">
        <f>COUNTIF('Hedef Liste'!A:A,A287)</f>
        <v>1</v>
      </c>
    </row>
    <row r="288" ht="15.75" hidden="1" customHeight="1">
      <c r="A288" s="18" t="s">
        <v>882</v>
      </c>
      <c r="B288" s="18" t="s">
        <v>883</v>
      </c>
      <c r="C288" s="358" t="s">
        <v>7040</v>
      </c>
      <c r="D288" s="18" t="s">
        <v>884</v>
      </c>
      <c r="E288" s="18"/>
      <c r="F288" s="18"/>
      <c r="G288" s="359">
        <v>0.0</v>
      </c>
      <c r="H288" s="359">
        <v>15.0</v>
      </c>
      <c r="I288" s="359">
        <v>15.0</v>
      </c>
      <c r="J288" s="360">
        <v>0.0</v>
      </c>
      <c r="K288" s="18" t="s">
        <v>885</v>
      </c>
      <c r="L288" s="18">
        <v>5.526476232E9</v>
      </c>
      <c r="M288" s="18" t="s">
        <v>72</v>
      </c>
      <c r="N288" s="18" t="s">
        <v>1298</v>
      </c>
      <c r="O288" s="18" t="s">
        <v>886</v>
      </c>
      <c r="P288" s="18" t="s">
        <v>7041</v>
      </c>
      <c r="Q288" s="20">
        <f>COUNTIF('Hedef Liste'!A:A,A288)</f>
        <v>1</v>
      </c>
    </row>
    <row r="289" ht="15.75" hidden="1" customHeight="1">
      <c r="A289" s="18" t="s">
        <v>5177</v>
      </c>
      <c r="B289" s="18" t="s">
        <v>5178</v>
      </c>
      <c r="C289" s="358" t="s">
        <v>7040</v>
      </c>
      <c r="D289" s="18" t="s">
        <v>80</v>
      </c>
      <c r="E289" s="359">
        <v>18.0</v>
      </c>
      <c r="F289" s="18"/>
      <c r="G289" s="359">
        <v>9.0</v>
      </c>
      <c r="H289" s="359">
        <v>4.0</v>
      </c>
      <c r="I289" s="359">
        <v>13.0</v>
      </c>
      <c r="J289" s="360">
        <v>0.69</v>
      </c>
      <c r="K289" s="18" t="s">
        <v>7222</v>
      </c>
      <c r="L289" s="18">
        <v>5.308501975E9</v>
      </c>
      <c r="M289" s="18" t="s">
        <v>63</v>
      </c>
      <c r="N289" s="18" t="s">
        <v>137</v>
      </c>
      <c r="O289" s="18" t="s">
        <v>7223</v>
      </c>
      <c r="P289" s="18" t="s">
        <v>7041</v>
      </c>
      <c r="Q289" s="20">
        <f>COUNTIF('Hedef Liste'!A:A,A289)</f>
        <v>0</v>
      </c>
    </row>
    <row r="290" ht="15.75" hidden="1" customHeight="1">
      <c r="A290" s="18" t="s">
        <v>2530</v>
      </c>
      <c r="B290" s="18" t="s">
        <v>2531</v>
      </c>
      <c r="C290" s="358" t="s">
        <v>7040</v>
      </c>
      <c r="D290" s="18" t="s">
        <v>884</v>
      </c>
      <c r="E290" s="359">
        <v>34.0</v>
      </c>
      <c r="F290" s="359">
        <v>4.0</v>
      </c>
      <c r="G290" s="359">
        <v>20.0</v>
      </c>
      <c r="H290" s="359">
        <v>31.0</v>
      </c>
      <c r="I290" s="359">
        <v>51.0</v>
      </c>
      <c r="J290" s="360">
        <v>0.39</v>
      </c>
      <c r="K290" s="18" t="s">
        <v>2532</v>
      </c>
      <c r="L290" s="18">
        <v>5.36622408E9</v>
      </c>
      <c r="M290" s="18" t="s">
        <v>63</v>
      </c>
      <c r="N290" s="18" t="s">
        <v>93</v>
      </c>
      <c r="O290" s="18" t="s">
        <v>2533</v>
      </c>
      <c r="P290" s="18" t="s">
        <v>7041</v>
      </c>
      <c r="Q290" s="20">
        <f>COUNTIF('Hedef Liste'!A:A,A290)</f>
        <v>1</v>
      </c>
    </row>
    <row r="291" ht="15.75" hidden="1" customHeight="1">
      <c r="A291" s="18" t="s">
        <v>4692</v>
      </c>
      <c r="B291" s="18" t="s">
        <v>4693</v>
      </c>
      <c r="C291" s="358" t="s">
        <v>7040</v>
      </c>
      <c r="D291" s="18" t="s">
        <v>451</v>
      </c>
      <c r="E291" s="359">
        <v>89.0</v>
      </c>
      <c r="F291" s="18"/>
      <c r="G291" s="359">
        <v>0.0</v>
      </c>
      <c r="H291" s="359">
        <v>58.0</v>
      </c>
      <c r="I291" s="359">
        <v>58.0</v>
      </c>
      <c r="J291" s="360">
        <v>0.0</v>
      </c>
      <c r="K291" s="18" t="s">
        <v>4694</v>
      </c>
      <c r="L291" s="18">
        <v>5.382625594E9</v>
      </c>
      <c r="M291" s="18" t="s">
        <v>156</v>
      </c>
      <c r="N291" s="18" t="s">
        <v>181</v>
      </c>
      <c r="O291" s="18" t="s">
        <v>4695</v>
      </c>
      <c r="P291" s="18" t="s">
        <v>7041</v>
      </c>
      <c r="Q291" s="20">
        <f>COUNTIF('Hedef Liste'!A:A,A291)</f>
        <v>1</v>
      </c>
    </row>
    <row r="292" ht="15.75" hidden="1" customHeight="1">
      <c r="A292" s="18" t="s">
        <v>1357</v>
      </c>
      <c r="B292" s="18" t="s">
        <v>1358</v>
      </c>
      <c r="C292" s="358" t="s">
        <v>7040</v>
      </c>
      <c r="D292" s="18" t="s">
        <v>80</v>
      </c>
      <c r="E292" s="359">
        <v>4571.0</v>
      </c>
      <c r="F292" s="359">
        <v>157.0</v>
      </c>
      <c r="G292" s="359">
        <v>6.0</v>
      </c>
      <c r="H292" s="359">
        <v>32.0</v>
      </c>
      <c r="I292" s="359">
        <v>38.0</v>
      </c>
      <c r="J292" s="360">
        <v>0.16</v>
      </c>
      <c r="K292" s="18" t="s">
        <v>1359</v>
      </c>
      <c r="L292" s="18">
        <v>5.539128499E9</v>
      </c>
      <c r="M292" s="18" t="s">
        <v>72</v>
      </c>
      <c r="N292" s="18" t="s">
        <v>82</v>
      </c>
      <c r="O292" s="18" t="s">
        <v>1360</v>
      </c>
      <c r="P292" s="18" t="s">
        <v>7041</v>
      </c>
      <c r="Q292" s="20">
        <f>COUNTIF('Hedef Liste'!A:A,A292)</f>
        <v>1</v>
      </c>
    </row>
    <row r="293" ht="15.75" hidden="1" customHeight="1">
      <c r="A293" s="18" t="s">
        <v>3101</v>
      </c>
      <c r="B293" s="18" t="s">
        <v>3102</v>
      </c>
      <c r="C293" s="358" t="s">
        <v>7040</v>
      </c>
      <c r="D293" s="18" t="s">
        <v>70</v>
      </c>
      <c r="E293" s="359">
        <v>3656.0</v>
      </c>
      <c r="F293" s="359">
        <v>42.0</v>
      </c>
      <c r="G293" s="359">
        <v>0.0</v>
      </c>
      <c r="H293" s="359">
        <v>23.0</v>
      </c>
      <c r="I293" s="359">
        <v>23.0</v>
      </c>
      <c r="J293" s="360">
        <v>0.0</v>
      </c>
      <c r="K293" s="18" t="s">
        <v>3103</v>
      </c>
      <c r="L293" s="18">
        <v>3.243585353E9</v>
      </c>
      <c r="M293" s="18" t="s">
        <v>63</v>
      </c>
      <c r="N293" s="18" t="s">
        <v>3104</v>
      </c>
      <c r="O293" s="18" t="s">
        <v>3105</v>
      </c>
      <c r="P293" s="18" t="s">
        <v>7041</v>
      </c>
      <c r="Q293" s="20">
        <f>COUNTIF('Hedef Liste'!A:A,A293)</f>
        <v>1</v>
      </c>
    </row>
    <row r="294" ht="15.75" hidden="1" customHeight="1">
      <c r="A294" s="18" t="s">
        <v>4278</v>
      </c>
      <c r="B294" s="18" t="s">
        <v>4279</v>
      </c>
      <c r="C294" s="358" t="s">
        <v>7040</v>
      </c>
      <c r="D294" s="18" t="s">
        <v>70</v>
      </c>
      <c r="E294" s="359">
        <v>2378.0</v>
      </c>
      <c r="F294" s="359">
        <v>43.0</v>
      </c>
      <c r="G294" s="359">
        <v>12.0</v>
      </c>
      <c r="H294" s="359">
        <v>1.0</v>
      </c>
      <c r="I294" s="359">
        <v>13.0</v>
      </c>
      <c r="J294" s="360">
        <v>0.92</v>
      </c>
      <c r="K294" s="18" t="s">
        <v>4280</v>
      </c>
      <c r="L294" s="18">
        <v>3.2450242E9</v>
      </c>
      <c r="M294" s="18" t="s">
        <v>63</v>
      </c>
      <c r="N294" s="18" t="s">
        <v>93</v>
      </c>
      <c r="O294" s="18" t="s">
        <v>4281</v>
      </c>
      <c r="P294" s="18" t="s">
        <v>7041</v>
      </c>
      <c r="Q294" s="20">
        <f>COUNTIF('Hedef Liste'!A:A,A294)</f>
        <v>1</v>
      </c>
    </row>
    <row r="295" ht="15.75" hidden="1" customHeight="1">
      <c r="A295" s="18" t="s">
        <v>2373</v>
      </c>
      <c r="B295" s="18" t="s">
        <v>7224</v>
      </c>
      <c r="C295" s="358" t="s">
        <v>7040</v>
      </c>
      <c r="D295" s="18" t="s">
        <v>363</v>
      </c>
      <c r="E295" s="359">
        <v>418.0</v>
      </c>
      <c r="F295" s="359">
        <v>13.0</v>
      </c>
      <c r="G295" s="359">
        <v>25.0</v>
      </c>
      <c r="H295" s="359">
        <v>10.0</v>
      </c>
      <c r="I295" s="359">
        <v>35.0</v>
      </c>
      <c r="J295" s="360">
        <v>0.71</v>
      </c>
      <c r="K295" s="18" t="s">
        <v>2375</v>
      </c>
      <c r="L295" s="18">
        <v>5.301560633E9</v>
      </c>
      <c r="M295" s="18" t="s">
        <v>137</v>
      </c>
      <c r="N295" s="18" t="s">
        <v>175</v>
      </c>
      <c r="O295" s="18" t="s">
        <v>7225</v>
      </c>
      <c r="P295" s="18" t="s">
        <v>7041</v>
      </c>
      <c r="Q295" s="20">
        <f>COUNTIF('Hedef Liste'!A:A,A295)</f>
        <v>1</v>
      </c>
    </row>
    <row r="296" ht="15.75" hidden="1" customHeight="1">
      <c r="A296" s="18" t="s">
        <v>4265</v>
      </c>
      <c r="B296" s="18" t="s">
        <v>4266</v>
      </c>
      <c r="C296" s="358" t="s">
        <v>7040</v>
      </c>
      <c r="D296" s="18" t="s">
        <v>80</v>
      </c>
      <c r="E296" s="359">
        <v>758.0</v>
      </c>
      <c r="F296" s="359">
        <v>17.0</v>
      </c>
      <c r="G296" s="359">
        <v>9.0</v>
      </c>
      <c r="H296" s="359">
        <v>20.0</v>
      </c>
      <c r="I296" s="359">
        <v>29.0</v>
      </c>
      <c r="J296" s="360">
        <v>0.31</v>
      </c>
      <c r="K296" s="18" t="s">
        <v>4267</v>
      </c>
      <c r="L296" s="18">
        <v>3.242383552E9</v>
      </c>
      <c r="M296" s="18" t="s">
        <v>137</v>
      </c>
      <c r="N296" s="18" t="s">
        <v>138</v>
      </c>
      <c r="O296" s="18" t="s">
        <v>4268</v>
      </c>
      <c r="P296" s="18" t="s">
        <v>7041</v>
      </c>
      <c r="Q296" s="20">
        <f>COUNTIF('Hedef Liste'!A:A,A296)</f>
        <v>1</v>
      </c>
    </row>
    <row r="297" ht="15.75" hidden="1" customHeight="1">
      <c r="A297" s="18" t="s">
        <v>512</v>
      </c>
      <c r="B297" s="18" t="s">
        <v>513</v>
      </c>
      <c r="C297" s="358" t="s">
        <v>7062</v>
      </c>
      <c r="D297" s="18" t="s">
        <v>80</v>
      </c>
      <c r="E297" s="359">
        <v>239.0</v>
      </c>
      <c r="F297" s="18"/>
      <c r="G297" s="359">
        <v>0.0</v>
      </c>
      <c r="H297" s="359">
        <v>7.0</v>
      </c>
      <c r="I297" s="359">
        <v>7.0</v>
      </c>
      <c r="J297" s="360">
        <v>0.0</v>
      </c>
      <c r="K297" s="18" t="s">
        <v>514</v>
      </c>
      <c r="L297" s="18">
        <v>3.245153438E9</v>
      </c>
      <c r="M297" s="18" t="s">
        <v>47</v>
      </c>
      <c r="N297" s="18" t="s">
        <v>515</v>
      </c>
      <c r="O297" s="18" t="s">
        <v>516</v>
      </c>
      <c r="P297" s="18" t="s">
        <v>7041</v>
      </c>
      <c r="Q297" s="20">
        <f>COUNTIF('Hedef Liste'!A:A,A297)</f>
        <v>1</v>
      </c>
    </row>
    <row r="298" ht="15.75" hidden="1" customHeight="1">
      <c r="A298" s="18" t="s">
        <v>2156</v>
      </c>
      <c r="B298" s="18" t="s">
        <v>2157</v>
      </c>
      <c r="C298" s="358" t="s">
        <v>7040</v>
      </c>
      <c r="D298" s="18" t="s">
        <v>70</v>
      </c>
      <c r="E298" s="359">
        <v>2195.0</v>
      </c>
      <c r="F298" s="359">
        <v>74.0</v>
      </c>
      <c r="G298" s="359">
        <v>6.0</v>
      </c>
      <c r="H298" s="359">
        <v>13.0</v>
      </c>
      <c r="I298" s="359">
        <v>19.0</v>
      </c>
      <c r="J298" s="360">
        <v>0.32</v>
      </c>
      <c r="K298" s="18" t="s">
        <v>2150</v>
      </c>
      <c r="L298" s="18">
        <v>3.243584411E9</v>
      </c>
      <c r="M298" s="18" t="s">
        <v>63</v>
      </c>
      <c r="N298" s="18" t="s">
        <v>566</v>
      </c>
      <c r="O298" s="18" t="s">
        <v>2158</v>
      </c>
      <c r="P298" s="18" t="s">
        <v>7041</v>
      </c>
      <c r="Q298" s="20">
        <f>COUNTIF('Hedef Liste'!A:A,A298)</f>
        <v>1</v>
      </c>
    </row>
    <row r="299" ht="15.75" hidden="1" customHeight="1">
      <c r="A299" s="18" t="s">
        <v>3387</v>
      </c>
      <c r="B299" s="18" t="s">
        <v>3388</v>
      </c>
      <c r="C299" s="358" t="s">
        <v>7040</v>
      </c>
      <c r="D299" s="18" t="s">
        <v>363</v>
      </c>
      <c r="E299" s="359">
        <v>2020.0</v>
      </c>
      <c r="F299" s="359">
        <v>119.0</v>
      </c>
      <c r="G299" s="359">
        <v>50.0</v>
      </c>
      <c r="H299" s="359">
        <v>24.0</v>
      </c>
      <c r="I299" s="359">
        <v>74.0</v>
      </c>
      <c r="J299" s="360">
        <v>0.68</v>
      </c>
      <c r="K299" s="18" t="s">
        <v>3389</v>
      </c>
      <c r="L299" s="18">
        <v>3.249990809E9</v>
      </c>
      <c r="M299" s="18" t="s">
        <v>63</v>
      </c>
      <c r="N299" s="18" t="s">
        <v>93</v>
      </c>
      <c r="O299" s="18" t="s">
        <v>3390</v>
      </c>
      <c r="P299" s="18" t="s">
        <v>7041</v>
      </c>
      <c r="Q299" s="20">
        <f>COUNTIF('Hedef Liste'!A:A,A299)</f>
        <v>1</v>
      </c>
    </row>
    <row r="300" ht="15.75" hidden="1" customHeight="1">
      <c r="A300" s="18" t="s">
        <v>2719</v>
      </c>
      <c r="B300" s="18" t="s">
        <v>2720</v>
      </c>
      <c r="C300" s="358" t="s">
        <v>7040</v>
      </c>
      <c r="D300" s="18" t="s">
        <v>363</v>
      </c>
      <c r="E300" s="359">
        <v>994.0</v>
      </c>
      <c r="F300" s="359">
        <v>36.0</v>
      </c>
      <c r="G300" s="359">
        <v>0.0</v>
      </c>
      <c r="H300" s="359">
        <v>86.0</v>
      </c>
      <c r="I300" s="359">
        <v>86.0</v>
      </c>
      <c r="J300" s="360">
        <v>0.0</v>
      </c>
      <c r="K300" s="18" t="s">
        <v>2721</v>
      </c>
      <c r="L300" s="18">
        <v>3.245150335E9</v>
      </c>
      <c r="M300" s="18" t="s">
        <v>47</v>
      </c>
      <c r="N300" s="18" t="s">
        <v>365</v>
      </c>
      <c r="O300" s="18" t="s">
        <v>2722</v>
      </c>
      <c r="P300" s="18" t="s">
        <v>7041</v>
      </c>
      <c r="Q300" s="20">
        <f>COUNTIF('Hedef Liste'!A:A,A300)</f>
        <v>1</v>
      </c>
    </row>
    <row r="301" ht="15.75" hidden="1" customHeight="1">
      <c r="A301" s="18" t="s">
        <v>1683</v>
      </c>
      <c r="B301" s="18" t="s">
        <v>4053</v>
      </c>
      <c r="C301" s="358" t="s">
        <v>7040</v>
      </c>
      <c r="D301" s="18" t="s">
        <v>372</v>
      </c>
      <c r="E301" s="359">
        <v>1073.0</v>
      </c>
      <c r="F301" s="359">
        <v>73.0</v>
      </c>
      <c r="G301" s="359">
        <v>0.0</v>
      </c>
      <c r="H301" s="359">
        <v>52.0</v>
      </c>
      <c r="I301" s="359">
        <v>52.0</v>
      </c>
      <c r="J301" s="360">
        <v>0.0</v>
      </c>
      <c r="K301" s="18" t="s">
        <v>4054</v>
      </c>
      <c r="L301" s="18">
        <v>3.243592639E9</v>
      </c>
      <c r="M301" s="18" t="s">
        <v>63</v>
      </c>
      <c r="N301" s="18" t="s">
        <v>700</v>
      </c>
      <c r="O301" s="18" t="s">
        <v>4055</v>
      </c>
      <c r="P301" s="18" t="s">
        <v>7041</v>
      </c>
      <c r="Q301" s="20">
        <f>COUNTIF('Hedef Liste'!A:A,A301)</f>
        <v>1</v>
      </c>
    </row>
    <row r="302" ht="15.75" hidden="1" customHeight="1">
      <c r="A302" s="18" t="s">
        <v>2662</v>
      </c>
      <c r="B302" s="18" t="s">
        <v>2663</v>
      </c>
      <c r="C302" s="358" t="s">
        <v>7040</v>
      </c>
      <c r="D302" s="18" t="s">
        <v>363</v>
      </c>
      <c r="E302" s="359">
        <v>319.0</v>
      </c>
      <c r="F302" s="359">
        <v>51.0</v>
      </c>
      <c r="G302" s="359">
        <v>16.0</v>
      </c>
      <c r="H302" s="359">
        <v>4.0</v>
      </c>
      <c r="I302" s="359">
        <v>20.0</v>
      </c>
      <c r="J302" s="360">
        <v>0.8</v>
      </c>
      <c r="K302" s="18" t="s">
        <v>2664</v>
      </c>
      <c r="L302" s="18">
        <v>3.243277069E9</v>
      </c>
      <c r="M302" s="18" t="s">
        <v>72</v>
      </c>
      <c r="N302" s="18" t="s">
        <v>915</v>
      </c>
      <c r="O302" s="18" t="s">
        <v>2665</v>
      </c>
      <c r="P302" s="18" t="s">
        <v>7041</v>
      </c>
      <c r="Q302" s="20">
        <f>COUNTIF('Hedef Liste'!A:A,A302)</f>
        <v>1</v>
      </c>
    </row>
    <row r="303" ht="15.75" hidden="1" customHeight="1">
      <c r="A303" s="18" t="s">
        <v>1966</v>
      </c>
      <c r="B303" s="18" t="s">
        <v>1967</v>
      </c>
      <c r="C303" s="358" t="s">
        <v>7062</v>
      </c>
      <c r="D303" s="18" t="s">
        <v>106</v>
      </c>
      <c r="E303" s="359">
        <v>523.0</v>
      </c>
      <c r="F303" s="18"/>
      <c r="G303" s="359">
        <v>0.0</v>
      </c>
      <c r="H303" s="359">
        <v>35.0</v>
      </c>
      <c r="I303" s="359">
        <v>35.0</v>
      </c>
      <c r="J303" s="360">
        <v>0.0</v>
      </c>
      <c r="K303" s="18" t="s">
        <v>1968</v>
      </c>
      <c r="L303" s="18">
        <v>5.51447776E9</v>
      </c>
      <c r="M303" s="18" t="s">
        <v>137</v>
      </c>
      <c r="N303" s="18" t="s">
        <v>209</v>
      </c>
      <c r="O303" s="18" t="s">
        <v>1969</v>
      </c>
      <c r="P303" s="18" t="s">
        <v>7041</v>
      </c>
      <c r="Q303" s="20">
        <f>COUNTIF('Hedef Liste'!A:A,A303)</f>
        <v>1</v>
      </c>
    </row>
    <row r="304" ht="15.75" hidden="1" customHeight="1">
      <c r="A304" s="18" t="s">
        <v>3686</v>
      </c>
      <c r="B304" s="18" t="s">
        <v>3687</v>
      </c>
      <c r="C304" s="358" t="s">
        <v>7040</v>
      </c>
      <c r="D304" s="18" t="s">
        <v>363</v>
      </c>
      <c r="E304" s="359">
        <v>315.0</v>
      </c>
      <c r="F304" s="359">
        <v>14.0</v>
      </c>
      <c r="G304" s="359">
        <v>19.0</v>
      </c>
      <c r="H304" s="359">
        <v>51.0</v>
      </c>
      <c r="I304" s="359">
        <v>70.0</v>
      </c>
      <c r="J304" s="360">
        <v>0.27</v>
      </c>
      <c r="K304" s="18" t="s">
        <v>3688</v>
      </c>
      <c r="L304" s="18">
        <v>5.30220328E9</v>
      </c>
      <c r="M304" s="18" t="s">
        <v>63</v>
      </c>
      <c r="N304" s="18" t="s">
        <v>64</v>
      </c>
      <c r="O304" s="18" t="s">
        <v>3689</v>
      </c>
      <c r="P304" s="18" t="s">
        <v>7041</v>
      </c>
      <c r="Q304" s="20">
        <f>COUNTIF('Hedef Liste'!A:A,A304)</f>
        <v>1</v>
      </c>
    </row>
    <row r="305" ht="15.75" hidden="1" customHeight="1">
      <c r="A305" s="18" t="s">
        <v>3857</v>
      </c>
      <c r="B305" s="18" t="s">
        <v>3858</v>
      </c>
      <c r="C305" s="358" t="s">
        <v>7040</v>
      </c>
      <c r="D305" s="18" t="s">
        <v>167</v>
      </c>
      <c r="E305" s="359">
        <v>162.0</v>
      </c>
      <c r="F305" s="359">
        <v>1.0</v>
      </c>
      <c r="G305" s="359">
        <v>0.0</v>
      </c>
      <c r="H305" s="359">
        <v>17.0</v>
      </c>
      <c r="I305" s="359">
        <v>17.0</v>
      </c>
      <c r="J305" s="360">
        <v>0.0</v>
      </c>
      <c r="K305" s="18" t="s">
        <v>3859</v>
      </c>
      <c r="L305" s="18">
        <v>5.510885133E9</v>
      </c>
      <c r="M305" s="18" t="s">
        <v>187</v>
      </c>
      <c r="N305" s="18" t="s">
        <v>3860</v>
      </c>
      <c r="O305" s="18" t="s">
        <v>3861</v>
      </c>
      <c r="P305" s="18" t="s">
        <v>7041</v>
      </c>
      <c r="Q305" s="20">
        <f>COUNTIF('Hedef Liste'!A:A,A305)</f>
        <v>1</v>
      </c>
    </row>
    <row r="306" ht="15.75" hidden="1" customHeight="1">
      <c r="A306" s="18" t="s">
        <v>2535</v>
      </c>
      <c r="B306" s="18" t="s">
        <v>2536</v>
      </c>
      <c r="C306" s="358" t="s">
        <v>7040</v>
      </c>
      <c r="D306" s="18" t="s">
        <v>884</v>
      </c>
      <c r="E306" s="359">
        <v>18.0</v>
      </c>
      <c r="F306" s="18"/>
      <c r="G306" s="359">
        <v>21.0</v>
      </c>
      <c r="H306" s="359">
        <v>34.0</v>
      </c>
      <c r="I306" s="359">
        <v>55.0</v>
      </c>
      <c r="J306" s="360">
        <v>0.38</v>
      </c>
      <c r="K306" s="18" t="s">
        <v>2532</v>
      </c>
      <c r="L306" s="18">
        <v>5.305915033E9</v>
      </c>
      <c r="M306" s="18" t="s">
        <v>72</v>
      </c>
      <c r="N306" s="18" t="s">
        <v>915</v>
      </c>
      <c r="O306" s="18" t="s">
        <v>2537</v>
      </c>
      <c r="P306" s="18" t="s">
        <v>7041</v>
      </c>
      <c r="Q306" s="20">
        <f>COUNTIF('Hedef Liste'!A:A,A306)</f>
        <v>1</v>
      </c>
    </row>
    <row r="307" ht="15.75" hidden="1" customHeight="1">
      <c r="A307" s="18" t="s">
        <v>3872</v>
      </c>
      <c r="B307" s="18" t="s">
        <v>3873</v>
      </c>
      <c r="C307" s="358" t="s">
        <v>7040</v>
      </c>
      <c r="D307" s="18" t="s">
        <v>363</v>
      </c>
      <c r="E307" s="359">
        <v>85.0</v>
      </c>
      <c r="F307" s="359">
        <v>10.0</v>
      </c>
      <c r="G307" s="359">
        <v>36.0</v>
      </c>
      <c r="H307" s="359">
        <v>5.0</v>
      </c>
      <c r="I307" s="359">
        <v>41.0</v>
      </c>
      <c r="J307" s="360">
        <v>0.88</v>
      </c>
      <c r="K307" s="18" t="s">
        <v>3874</v>
      </c>
      <c r="L307" s="18">
        <v>5.459630821E9</v>
      </c>
      <c r="M307" s="18" t="s">
        <v>72</v>
      </c>
      <c r="N307" s="18" t="s">
        <v>548</v>
      </c>
      <c r="O307" s="18" t="s">
        <v>3875</v>
      </c>
      <c r="P307" s="18" t="s">
        <v>7041</v>
      </c>
      <c r="Q307" s="20">
        <f>COUNTIF('Hedef Liste'!A:A,A307)</f>
        <v>1</v>
      </c>
    </row>
    <row r="308" ht="15.75" hidden="1" customHeight="1">
      <c r="A308" s="18" t="s">
        <v>3691</v>
      </c>
      <c r="B308" s="18" t="s">
        <v>3692</v>
      </c>
      <c r="C308" s="358" t="s">
        <v>7040</v>
      </c>
      <c r="D308" s="18" t="s">
        <v>363</v>
      </c>
      <c r="E308" s="359">
        <v>582.0</v>
      </c>
      <c r="F308" s="359">
        <v>60.0</v>
      </c>
      <c r="G308" s="359">
        <v>11.0</v>
      </c>
      <c r="H308" s="359">
        <v>11.0</v>
      </c>
      <c r="I308" s="359">
        <v>22.0</v>
      </c>
      <c r="J308" s="360">
        <v>0.5</v>
      </c>
      <c r="K308" s="18" t="s">
        <v>3693</v>
      </c>
      <c r="L308" s="18">
        <v>3.243293E9</v>
      </c>
      <c r="M308" s="18" t="s">
        <v>72</v>
      </c>
      <c r="N308" s="18" t="s">
        <v>120</v>
      </c>
      <c r="O308" s="18" t="s">
        <v>3694</v>
      </c>
      <c r="P308" s="18" t="s">
        <v>7041</v>
      </c>
      <c r="Q308" s="20">
        <f>COUNTIF('Hedef Liste'!A:A,A308)</f>
        <v>1</v>
      </c>
    </row>
    <row r="309" ht="15.75" hidden="1" customHeight="1">
      <c r="A309" s="18" t="s">
        <v>4630</v>
      </c>
      <c r="B309" s="18" t="s">
        <v>4631</v>
      </c>
      <c r="C309" s="358" t="s">
        <v>7040</v>
      </c>
      <c r="D309" s="18" t="s">
        <v>363</v>
      </c>
      <c r="E309" s="359">
        <v>61.0</v>
      </c>
      <c r="F309" s="18"/>
      <c r="G309" s="359">
        <v>16.0</v>
      </c>
      <c r="H309" s="359">
        <v>13.0</v>
      </c>
      <c r="I309" s="359">
        <v>29.0</v>
      </c>
      <c r="J309" s="360">
        <v>0.55</v>
      </c>
      <c r="K309" s="18" t="s">
        <v>4632</v>
      </c>
      <c r="L309" s="18">
        <v>5.39641992E9</v>
      </c>
      <c r="M309" s="18" t="s">
        <v>137</v>
      </c>
      <c r="N309" s="18" t="s">
        <v>4633</v>
      </c>
      <c r="O309" s="18" t="s">
        <v>4634</v>
      </c>
      <c r="P309" s="18" t="s">
        <v>7041</v>
      </c>
      <c r="Q309" s="20">
        <f>COUNTIF('Hedef Liste'!A:A,A309)</f>
        <v>1</v>
      </c>
    </row>
    <row r="310" ht="15.75" hidden="1" customHeight="1">
      <c r="A310" s="18" t="s">
        <v>1305</v>
      </c>
      <c r="B310" s="18" t="s">
        <v>1306</v>
      </c>
      <c r="C310" s="358" t="s">
        <v>7040</v>
      </c>
      <c r="D310" s="18" t="s">
        <v>372</v>
      </c>
      <c r="E310" s="359">
        <v>410.0</v>
      </c>
      <c r="F310" s="359">
        <v>21.0</v>
      </c>
      <c r="G310" s="359">
        <v>11.0</v>
      </c>
      <c r="H310" s="359">
        <v>85.0</v>
      </c>
      <c r="I310" s="359">
        <v>96.0</v>
      </c>
      <c r="J310" s="360">
        <v>0.11</v>
      </c>
      <c r="K310" s="18" t="s">
        <v>1307</v>
      </c>
      <c r="L310" s="18">
        <v>3.24515335E9</v>
      </c>
      <c r="M310" s="18" t="s">
        <v>47</v>
      </c>
      <c r="N310" s="18" t="s">
        <v>489</v>
      </c>
      <c r="O310" s="18" t="s">
        <v>1308</v>
      </c>
      <c r="P310" s="18" t="s">
        <v>7041</v>
      </c>
      <c r="Q310" s="20">
        <f>COUNTIF('Hedef Liste'!A:A,A310)</f>
        <v>1</v>
      </c>
    </row>
    <row r="311" ht="15.75" hidden="1" customHeight="1">
      <c r="A311" s="18" t="s">
        <v>530</v>
      </c>
      <c r="B311" s="18" t="s">
        <v>531</v>
      </c>
      <c r="C311" s="358" t="s">
        <v>7040</v>
      </c>
      <c r="D311" s="18" t="s">
        <v>80</v>
      </c>
      <c r="E311" s="359">
        <v>3779.0</v>
      </c>
      <c r="F311" s="359">
        <v>207.0</v>
      </c>
      <c r="G311" s="359">
        <v>13.0</v>
      </c>
      <c r="H311" s="359">
        <v>9.0</v>
      </c>
      <c r="I311" s="359">
        <v>22.0</v>
      </c>
      <c r="J311" s="360">
        <v>0.59</v>
      </c>
      <c r="K311" s="18" t="s">
        <v>532</v>
      </c>
      <c r="L311" s="18">
        <v>3.243415161E9</v>
      </c>
      <c r="M311" s="18" t="s">
        <v>72</v>
      </c>
      <c r="N311" s="18" t="s">
        <v>915</v>
      </c>
      <c r="O311" s="18" t="s">
        <v>7226</v>
      </c>
      <c r="P311" s="18" t="s">
        <v>7041</v>
      </c>
      <c r="Q311" s="20">
        <f>COUNTIF('Hedef Liste'!A:A,A311)</f>
        <v>1</v>
      </c>
    </row>
    <row r="312" ht="15.75" hidden="1" customHeight="1">
      <c r="A312" s="18" t="s">
        <v>1945</v>
      </c>
      <c r="B312" s="18" t="s">
        <v>1946</v>
      </c>
      <c r="C312" s="358" t="s">
        <v>7040</v>
      </c>
      <c r="D312" s="18" t="s">
        <v>1947</v>
      </c>
      <c r="E312" s="359">
        <v>2670.0</v>
      </c>
      <c r="F312" s="359">
        <v>132.0</v>
      </c>
      <c r="G312" s="359">
        <v>12.0</v>
      </c>
      <c r="H312" s="359">
        <v>5.0</v>
      </c>
      <c r="I312" s="359">
        <v>17.0</v>
      </c>
      <c r="J312" s="360">
        <v>0.71</v>
      </c>
      <c r="K312" s="18" t="s">
        <v>7227</v>
      </c>
      <c r="L312" s="18">
        <v>3.243272721E9</v>
      </c>
      <c r="M312" s="18" t="s">
        <v>72</v>
      </c>
      <c r="N312" s="18" t="s">
        <v>1298</v>
      </c>
      <c r="O312" s="18" t="s">
        <v>1949</v>
      </c>
      <c r="P312" s="18" t="s">
        <v>7041</v>
      </c>
      <c r="Q312" s="20">
        <f>COUNTIF('Hedef Liste'!A:A,A312)</f>
        <v>1</v>
      </c>
    </row>
    <row r="313" ht="15.75" hidden="1" customHeight="1">
      <c r="A313" s="18" t="s">
        <v>1564</v>
      </c>
      <c r="B313" s="18" t="s">
        <v>1565</v>
      </c>
      <c r="C313" s="358" t="s">
        <v>7040</v>
      </c>
      <c r="D313" s="18" t="s">
        <v>363</v>
      </c>
      <c r="E313" s="359">
        <v>1389.0</v>
      </c>
      <c r="F313" s="359">
        <v>62.0</v>
      </c>
      <c r="G313" s="359">
        <v>57.0</v>
      </c>
      <c r="H313" s="359">
        <v>23.0</v>
      </c>
      <c r="I313" s="359">
        <v>80.0</v>
      </c>
      <c r="J313" s="360">
        <v>0.71</v>
      </c>
      <c r="K313" s="18" t="s">
        <v>1566</v>
      </c>
      <c r="L313" s="18">
        <v>3.242312315E9</v>
      </c>
      <c r="M313" s="18" t="s">
        <v>137</v>
      </c>
      <c r="N313" s="18" t="s">
        <v>209</v>
      </c>
      <c r="O313" s="18" t="s">
        <v>1567</v>
      </c>
      <c r="P313" s="18" t="s">
        <v>7041</v>
      </c>
      <c r="Q313" s="20">
        <f>COUNTIF('Hedef Liste'!A:A,A313)</f>
        <v>1</v>
      </c>
    </row>
    <row r="314" ht="15.75" hidden="1" customHeight="1">
      <c r="A314" s="18" t="s">
        <v>7228</v>
      </c>
      <c r="B314" s="18" t="s">
        <v>7229</v>
      </c>
      <c r="C314" s="358" t="s">
        <v>7040</v>
      </c>
      <c r="D314" s="18" t="s">
        <v>363</v>
      </c>
      <c r="E314" s="359">
        <v>250.0</v>
      </c>
      <c r="F314" s="359">
        <v>20.0</v>
      </c>
      <c r="G314" s="359">
        <v>36.0</v>
      </c>
      <c r="H314" s="359">
        <v>103.0</v>
      </c>
      <c r="I314" s="359">
        <v>139.0</v>
      </c>
      <c r="J314" s="360">
        <v>0.26</v>
      </c>
      <c r="K314" s="18" t="s">
        <v>7230</v>
      </c>
      <c r="L314" s="18">
        <v>3.243257735E9</v>
      </c>
      <c r="M314" s="18" t="s">
        <v>72</v>
      </c>
      <c r="N314" s="18" t="s">
        <v>113</v>
      </c>
      <c r="O314" s="18" t="s">
        <v>7231</v>
      </c>
      <c r="P314" s="18" t="s">
        <v>7047</v>
      </c>
      <c r="Q314" s="20">
        <f>COUNTIF('Hedef Liste'!A:A,A314)</f>
        <v>0</v>
      </c>
    </row>
    <row r="315" ht="15.75" hidden="1" customHeight="1">
      <c r="A315" s="18" t="s">
        <v>4000</v>
      </c>
      <c r="B315" s="18" t="s">
        <v>4001</v>
      </c>
      <c r="C315" s="358" t="s">
        <v>7040</v>
      </c>
      <c r="D315" s="18" t="s">
        <v>754</v>
      </c>
      <c r="E315" s="359">
        <v>3032.0</v>
      </c>
      <c r="F315" s="359">
        <v>131.0</v>
      </c>
      <c r="G315" s="359">
        <v>10.0</v>
      </c>
      <c r="H315" s="359">
        <v>1.0</v>
      </c>
      <c r="I315" s="359">
        <v>11.0</v>
      </c>
      <c r="J315" s="360">
        <v>0.91</v>
      </c>
      <c r="K315" s="18" t="s">
        <v>4002</v>
      </c>
      <c r="L315" s="18">
        <v>3.243277525E9</v>
      </c>
      <c r="M315" s="18" t="s">
        <v>72</v>
      </c>
      <c r="N315" s="18" t="s">
        <v>73</v>
      </c>
      <c r="O315" s="18" t="s">
        <v>4003</v>
      </c>
      <c r="P315" s="18" t="s">
        <v>7041</v>
      </c>
      <c r="Q315" s="20">
        <f>COUNTIF('Hedef Liste'!A:A,A315)</f>
        <v>1</v>
      </c>
    </row>
    <row r="316" ht="15.75" hidden="1" customHeight="1">
      <c r="A316" s="18" t="s">
        <v>1615</v>
      </c>
      <c r="B316" s="18" t="s">
        <v>1616</v>
      </c>
      <c r="C316" s="358" t="s">
        <v>7040</v>
      </c>
      <c r="D316" s="18" t="s">
        <v>363</v>
      </c>
      <c r="E316" s="359">
        <v>871.0</v>
      </c>
      <c r="F316" s="359">
        <v>3.0</v>
      </c>
      <c r="G316" s="359">
        <v>47.0</v>
      </c>
      <c r="H316" s="359">
        <v>47.0</v>
      </c>
      <c r="I316" s="359">
        <v>94.0</v>
      </c>
      <c r="J316" s="360">
        <v>0.5</v>
      </c>
      <c r="K316" s="18" t="s">
        <v>1617</v>
      </c>
      <c r="L316" s="18">
        <v>5.434659879E9</v>
      </c>
      <c r="M316" s="18" t="s">
        <v>63</v>
      </c>
      <c r="N316" s="18" t="s">
        <v>64</v>
      </c>
      <c r="O316" s="18" t="s">
        <v>1618</v>
      </c>
      <c r="P316" s="18" t="s">
        <v>7041</v>
      </c>
      <c r="Q316" s="20">
        <f>COUNTIF('Hedef Liste'!A:A,A316)</f>
        <v>1</v>
      </c>
    </row>
    <row r="317" ht="15.75" hidden="1" customHeight="1">
      <c r="A317" s="18" t="s">
        <v>2251</v>
      </c>
      <c r="B317" s="18" t="s">
        <v>2252</v>
      </c>
      <c r="C317" s="358" t="s">
        <v>7040</v>
      </c>
      <c r="D317" s="18" t="s">
        <v>363</v>
      </c>
      <c r="E317" s="359">
        <v>76.0</v>
      </c>
      <c r="F317" s="359">
        <v>3.0</v>
      </c>
      <c r="G317" s="359">
        <v>12.0</v>
      </c>
      <c r="H317" s="359">
        <v>10.0</v>
      </c>
      <c r="I317" s="359">
        <v>22.0</v>
      </c>
      <c r="J317" s="360">
        <v>0.55</v>
      </c>
      <c r="K317" s="18" t="s">
        <v>2241</v>
      </c>
      <c r="L317" s="18">
        <v>5.498207303E9</v>
      </c>
      <c r="M317" s="18" t="s">
        <v>215</v>
      </c>
      <c r="N317" s="18" t="s">
        <v>671</v>
      </c>
      <c r="O317" s="18" t="s">
        <v>2253</v>
      </c>
      <c r="P317" s="18" t="s">
        <v>7041</v>
      </c>
      <c r="Q317" s="20">
        <f>COUNTIF('Hedef Liste'!A:A,A317)</f>
        <v>1</v>
      </c>
    </row>
    <row r="318" ht="15.75" hidden="1" customHeight="1">
      <c r="A318" s="18" t="s">
        <v>3650</v>
      </c>
      <c r="B318" s="18" t="s">
        <v>3656</v>
      </c>
      <c r="C318" s="358" t="s">
        <v>7062</v>
      </c>
      <c r="D318" s="18" t="s">
        <v>61</v>
      </c>
      <c r="E318" s="359">
        <v>212.0</v>
      </c>
      <c r="F318" s="18"/>
      <c r="G318" s="359">
        <v>45.0</v>
      </c>
      <c r="H318" s="359">
        <v>15.0</v>
      </c>
      <c r="I318" s="359">
        <v>60.0</v>
      </c>
      <c r="J318" s="360">
        <v>0.75</v>
      </c>
      <c r="K318" s="18" t="s">
        <v>3652</v>
      </c>
      <c r="L318" s="18">
        <v>5.352340532E9</v>
      </c>
      <c r="M318" s="18" t="s">
        <v>72</v>
      </c>
      <c r="N318" s="18" t="s">
        <v>150</v>
      </c>
      <c r="O318" s="18" t="s">
        <v>3653</v>
      </c>
      <c r="P318" s="18" t="s">
        <v>7041</v>
      </c>
      <c r="Q318" s="20">
        <f>COUNTIF('Hedef Liste'!A:A,A318)</f>
        <v>1</v>
      </c>
    </row>
    <row r="319" ht="15.75" hidden="1" customHeight="1">
      <c r="A319" s="18" t="s">
        <v>2368</v>
      </c>
      <c r="B319" s="18" t="s">
        <v>7232</v>
      </c>
      <c r="C319" s="358" t="s">
        <v>7040</v>
      </c>
      <c r="D319" s="18" t="s">
        <v>363</v>
      </c>
      <c r="E319" s="359">
        <v>1646.0</v>
      </c>
      <c r="F319" s="359">
        <v>199.0</v>
      </c>
      <c r="G319" s="359">
        <v>17.0</v>
      </c>
      <c r="H319" s="359">
        <v>82.0</v>
      </c>
      <c r="I319" s="359">
        <v>99.0</v>
      </c>
      <c r="J319" s="360">
        <v>0.17</v>
      </c>
      <c r="K319" s="18" t="s">
        <v>2370</v>
      </c>
      <c r="L319" s="18">
        <v>5.435585133E9</v>
      </c>
      <c r="M319" s="18" t="s">
        <v>72</v>
      </c>
      <c r="N319" s="18" t="s">
        <v>113</v>
      </c>
      <c r="O319" s="18" t="s">
        <v>2371</v>
      </c>
      <c r="P319" s="18" t="s">
        <v>7041</v>
      </c>
      <c r="Q319" s="20">
        <f>COUNTIF('Hedef Liste'!A:A,A319)</f>
        <v>1</v>
      </c>
    </row>
    <row r="320" ht="15.75" hidden="1" customHeight="1">
      <c r="A320" s="18" t="s">
        <v>1156</v>
      </c>
      <c r="B320" s="18" t="s">
        <v>1157</v>
      </c>
      <c r="C320" s="358" t="s">
        <v>7040</v>
      </c>
      <c r="D320" s="18" t="s">
        <v>45</v>
      </c>
      <c r="E320" s="359">
        <v>514.0</v>
      </c>
      <c r="F320" s="18"/>
      <c r="G320" s="359">
        <v>0.0</v>
      </c>
      <c r="H320" s="359">
        <v>33.0</v>
      </c>
      <c r="I320" s="359">
        <v>33.0</v>
      </c>
      <c r="J320" s="360">
        <v>0.0</v>
      </c>
      <c r="K320" s="18" t="s">
        <v>1158</v>
      </c>
      <c r="L320" s="18">
        <v>3.248165252E9</v>
      </c>
      <c r="M320" s="18" t="s">
        <v>902</v>
      </c>
      <c r="N320" s="18" t="s">
        <v>903</v>
      </c>
      <c r="O320" s="18" t="s">
        <v>1159</v>
      </c>
      <c r="P320" s="18" t="s">
        <v>7041</v>
      </c>
      <c r="Q320" s="20">
        <f>COUNTIF('Hedef Liste'!A:A,A320)</f>
        <v>1</v>
      </c>
    </row>
    <row r="321" ht="15.75" hidden="1" customHeight="1">
      <c r="A321" s="18" t="s">
        <v>3890</v>
      </c>
      <c r="B321" s="18" t="s">
        <v>3891</v>
      </c>
      <c r="C321" s="358" t="s">
        <v>7040</v>
      </c>
      <c r="D321" s="18" t="s">
        <v>884</v>
      </c>
      <c r="E321" s="359">
        <v>283.0</v>
      </c>
      <c r="F321" s="359">
        <v>6.0</v>
      </c>
      <c r="G321" s="359">
        <v>43.0</v>
      </c>
      <c r="H321" s="359">
        <v>15.0</v>
      </c>
      <c r="I321" s="359">
        <v>58.0</v>
      </c>
      <c r="J321" s="360">
        <v>0.74</v>
      </c>
      <c r="K321" s="18" t="s">
        <v>3892</v>
      </c>
      <c r="L321" s="18">
        <v>5.32405069E9</v>
      </c>
      <c r="M321" s="18" t="s">
        <v>72</v>
      </c>
      <c r="N321" s="18" t="s">
        <v>120</v>
      </c>
      <c r="O321" s="18" t="s">
        <v>3893</v>
      </c>
      <c r="P321" s="18" t="s">
        <v>7041</v>
      </c>
      <c r="Q321" s="20">
        <f>COUNTIF('Hedef Liste'!A:A,A321)</f>
        <v>1</v>
      </c>
    </row>
    <row r="322" ht="15.75" hidden="1" customHeight="1">
      <c r="A322" s="18" t="s">
        <v>4700</v>
      </c>
      <c r="B322" s="18" t="s">
        <v>4701</v>
      </c>
      <c r="C322" s="358" t="s">
        <v>7040</v>
      </c>
      <c r="D322" s="18" t="s">
        <v>80</v>
      </c>
      <c r="E322" s="359">
        <v>1084.0</v>
      </c>
      <c r="F322" s="18"/>
      <c r="G322" s="359">
        <v>18.0</v>
      </c>
      <c r="H322" s="359">
        <v>9.0</v>
      </c>
      <c r="I322" s="359">
        <v>27.0</v>
      </c>
      <c r="J322" s="360">
        <v>0.67</v>
      </c>
      <c r="K322" s="18" t="s">
        <v>4702</v>
      </c>
      <c r="L322" s="18">
        <v>3.243367465E9</v>
      </c>
      <c r="M322" s="18" t="s">
        <v>137</v>
      </c>
      <c r="N322" s="18" t="s">
        <v>175</v>
      </c>
      <c r="O322" s="18" t="s">
        <v>4703</v>
      </c>
      <c r="P322" s="18" t="s">
        <v>7041</v>
      </c>
      <c r="Q322" s="20">
        <f>COUNTIF('Hedef Liste'!A:A,A322)</f>
        <v>1</v>
      </c>
    </row>
    <row r="323" ht="15.75" hidden="1" customHeight="1">
      <c r="A323" s="18" t="s">
        <v>1116</v>
      </c>
      <c r="B323" s="18" t="s">
        <v>1117</v>
      </c>
      <c r="C323" s="358" t="s">
        <v>7040</v>
      </c>
      <c r="D323" s="18" t="s">
        <v>118</v>
      </c>
      <c r="E323" s="359">
        <v>1377.0</v>
      </c>
      <c r="F323" s="359">
        <v>53.0</v>
      </c>
      <c r="G323" s="359">
        <v>0.0</v>
      </c>
      <c r="H323" s="359">
        <v>32.0</v>
      </c>
      <c r="I323" s="359">
        <v>32.0</v>
      </c>
      <c r="J323" s="360">
        <v>0.0</v>
      </c>
      <c r="K323" s="18" t="s">
        <v>1118</v>
      </c>
      <c r="L323" s="18">
        <v>5.31781433E9</v>
      </c>
      <c r="M323" s="18" t="s">
        <v>47</v>
      </c>
      <c r="N323" s="18" t="s">
        <v>365</v>
      </c>
      <c r="O323" s="18" t="s">
        <v>1119</v>
      </c>
      <c r="P323" s="18" t="s">
        <v>7041</v>
      </c>
      <c r="Q323" s="20">
        <f>COUNTIF('Hedef Liste'!A:A,A323)</f>
        <v>1</v>
      </c>
    </row>
    <row r="324" ht="15.75" hidden="1" customHeight="1">
      <c r="A324" s="18" t="s">
        <v>2478</v>
      </c>
      <c r="B324" s="18" t="s">
        <v>2479</v>
      </c>
      <c r="C324" s="358" t="s">
        <v>7040</v>
      </c>
      <c r="D324" s="18" t="s">
        <v>61</v>
      </c>
      <c r="E324" s="362">
        <v>1866.0</v>
      </c>
      <c r="F324" s="359">
        <v>95.0</v>
      </c>
      <c r="G324" s="359">
        <v>20.0</v>
      </c>
      <c r="H324" s="359">
        <v>10.0</v>
      </c>
      <c r="I324" s="359">
        <v>30.0</v>
      </c>
      <c r="J324" s="360">
        <v>0.67</v>
      </c>
      <c r="K324" s="18" t="s">
        <v>2476</v>
      </c>
      <c r="L324" s="18">
        <v>3.243370553E9</v>
      </c>
      <c r="M324" s="18" t="s">
        <v>137</v>
      </c>
      <c r="N324" s="18" t="s">
        <v>374</v>
      </c>
      <c r="O324" s="18" t="s">
        <v>2480</v>
      </c>
      <c r="P324" s="18" t="s">
        <v>7041</v>
      </c>
      <c r="Q324" s="20">
        <f>COUNTIF('Hedef Liste'!A:A,A324)</f>
        <v>1</v>
      </c>
    </row>
    <row r="325" ht="15.75" hidden="1" customHeight="1">
      <c r="A325" s="18" t="s">
        <v>723</v>
      </c>
      <c r="B325" s="18" t="s">
        <v>724</v>
      </c>
      <c r="C325" s="358" t="s">
        <v>7040</v>
      </c>
      <c r="D325" s="18" t="s">
        <v>451</v>
      </c>
      <c r="E325" s="359">
        <v>4006.0</v>
      </c>
      <c r="F325" s="359">
        <v>107.0</v>
      </c>
      <c r="G325" s="359">
        <v>0.0</v>
      </c>
      <c r="H325" s="359">
        <v>23.0</v>
      </c>
      <c r="I325" s="359">
        <v>23.0</v>
      </c>
      <c r="J325" s="360">
        <v>0.0</v>
      </c>
      <c r="K325" s="18" t="s">
        <v>725</v>
      </c>
      <c r="L325" s="18">
        <v>3.243581302E9</v>
      </c>
      <c r="M325" s="18" t="s">
        <v>63</v>
      </c>
      <c r="N325" s="18" t="s">
        <v>318</v>
      </c>
      <c r="O325" s="18" t="s">
        <v>726</v>
      </c>
      <c r="P325" s="18" t="s">
        <v>7041</v>
      </c>
      <c r="Q325" s="20">
        <f>COUNTIF('Hedef Liste'!A:A,A325)</f>
        <v>1</v>
      </c>
    </row>
    <row r="326" ht="15.75" hidden="1" customHeight="1">
      <c r="A326" s="18" t="s">
        <v>4193</v>
      </c>
      <c r="B326" s="18" t="s">
        <v>4194</v>
      </c>
      <c r="C326" s="358" t="s">
        <v>7040</v>
      </c>
      <c r="D326" s="18" t="s">
        <v>118</v>
      </c>
      <c r="E326" s="359">
        <v>1516.0</v>
      </c>
      <c r="F326" s="359">
        <v>95.0</v>
      </c>
      <c r="G326" s="359">
        <v>0.0</v>
      </c>
      <c r="H326" s="359">
        <v>20.0</v>
      </c>
      <c r="I326" s="359">
        <v>20.0</v>
      </c>
      <c r="J326" s="360">
        <v>0.0</v>
      </c>
      <c r="K326" s="18" t="s">
        <v>4195</v>
      </c>
      <c r="L326" s="18">
        <v>5.396465833E9</v>
      </c>
      <c r="M326" s="18" t="s">
        <v>63</v>
      </c>
      <c r="N326" s="18" t="s">
        <v>100</v>
      </c>
      <c r="O326" s="18" t="s">
        <v>4196</v>
      </c>
      <c r="P326" s="18" t="s">
        <v>7041</v>
      </c>
      <c r="Q326" s="20">
        <f>COUNTIF('Hedef Liste'!A:A,A326)</f>
        <v>1</v>
      </c>
    </row>
    <row r="327" ht="15.75" hidden="1" customHeight="1">
      <c r="A327" s="18" t="s">
        <v>3918</v>
      </c>
      <c r="B327" s="18" t="s">
        <v>3919</v>
      </c>
      <c r="C327" s="358" t="s">
        <v>7040</v>
      </c>
      <c r="D327" s="18" t="s">
        <v>884</v>
      </c>
      <c r="E327" s="359">
        <v>2.0</v>
      </c>
      <c r="F327" s="18"/>
      <c r="G327" s="359">
        <v>1.0</v>
      </c>
      <c r="H327" s="359">
        <v>23.0</v>
      </c>
      <c r="I327" s="359">
        <v>24.0</v>
      </c>
      <c r="J327" s="360">
        <v>0.04</v>
      </c>
      <c r="K327" s="18" t="s">
        <v>3920</v>
      </c>
      <c r="L327" s="18">
        <v>5.546945245E9</v>
      </c>
      <c r="M327" s="18" t="s">
        <v>72</v>
      </c>
      <c r="N327" s="18" t="s">
        <v>113</v>
      </c>
      <c r="O327" s="18" t="s">
        <v>3921</v>
      </c>
      <c r="P327" s="18" t="s">
        <v>7041</v>
      </c>
      <c r="Q327" s="20">
        <f>COUNTIF('Hedef Liste'!A:A,A327)</f>
        <v>1</v>
      </c>
    </row>
    <row r="328" ht="15.75" hidden="1" customHeight="1">
      <c r="A328" s="18" t="s">
        <v>772</v>
      </c>
      <c r="B328" s="18" t="s">
        <v>773</v>
      </c>
      <c r="C328" s="358" t="s">
        <v>7040</v>
      </c>
      <c r="D328" s="18" t="s">
        <v>70</v>
      </c>
      <c r="E328" s="359">
        <v>4017.0</v>
      </c>
      <c r="F328" s="359">
        <v>120.0</v>
      </c>
      <c r="G328" s="359">
        <v>15.0</v>
      </c>
      <c r="H328" s="359">
        <v>6.0</v>
      </c>
      <c r="I328" s="359">
        <v>21.0</v>
      </c>
      <c r="J328" s="360">
        <v>0.71</v>
      </c>
      <c r="K328" s="18" t="s">
        <v>774</v>
      </c>
      <c r="L328" s="18">
        <v>5.535799292E9</v>
      </c>
      <c r="M328" s="18" t="s">
        <v>215</v>
      </c>
      <c r="N328" s="18" t="s">
        <v>227</v>
      </c>
      <c r="O328" s="18" t="s">
        <v>672</v>
      </c>
      <c r="P328" s="18" t="s">
        <v>7041</v>
      </c>
      <c r="Q328" s="20">
        <f>COUNTIF('Hedef Liste'!A:A,A328)</f>
        <v>1</v>
      </c>
    </row>
    <row r="329" ht="15.75" hidden="1" customHeight="1">
      <c r="A329" s="18" t="s">
        <v>4498</v>
      </c>
      <c r="B329" s="18" t="s">
        <v>4499</v>
      </c>
      <c r="C329" s="358" t="s">
        <v>7040</v>
      </c>
      <c r="D329" s="18" t="s">
        <v>363</v>
      </c>
      <c r="E329" s="359">
        <v>95.0</v>
      </c>
      <c r="F329" s="18"/>
      <c r="G329" s="359">
        <v>7.0</v>
      </c>
      <c r="H329" s="359">
        <v>72.0</v>
      </c>
      <c r="I329" s="359">
        <v>79.0</v>
      </c>
      <c r="J329" s="360">
        <v>0.09</v>
      </c>
      <c r="K329" s="18" t="s">
        <v>4500</v>
      </c>
      <c r="L329" s="18">
        <v>5.304145535E9</v>
      </c>
      <c r="M329" s="18" t="s">
        <v>72</v>
      </c>
      <c r="N329" s="18" t="s">
        <v>113</v>
      </c>
      <c r="O329" s="18" t="s">
        <v>4501</v>
      </c>
      <c r="P329" s="18" t="s">
        <v>7041</v>
      </c>
      <c r="Q329" s="20">
        <f>COUNTIF('Hedef Liste'!A:A,A329)</f>
        <v>1</v>
      </c>
    </row>
    <row r="330" ht="15.75" hidden="1" customHeight="1">
      <c r="A330" s="18" t="s">
        <v>802</v>
      </c>
      <c r="B330" s="18" t="s">
        <v>803</v>
      </c>
      <c r="C330" s="358" t="s">
        <v>7040</v>
      </c>
      <c r="D330" s="18" t="s">
        <v>80</v>
      </c>
      <c r="E330" s="359">
        <v>9349.0</v>
      </c>
      <c r="F330" s="359">
        <v>683.0</v>
      </c>
      <c r="G330" s="359">
        <v>0.0</v>
      </c>
      <c r="H330" s="359">
        <v>26.0</v>
      </c>
      <c r="I330" s="359">
        <v>26.0</v>
      </c>
      <c r="J330" s="360">
        <v>0.0</v>
      </c>
      <c r="K330" s="18" t="s">
        <v>804</v>
      </c>
      <c r="L330" s="18">
        <v>3.243221115E9</v>
      </c>
      <c r="M330" s="18" t="s">
        <v>215</v>
      </c>
      <c r="N330" s="18" t="s">
        <v>671</v>
      </c>
      <c r="O330" s="18" t="s">
        <v>805</v>
      </c>
      <c r="P330" s="18" t="s">
        <v>7041</v>
      </c>
      <c r="Q330" s="20">
        <f>COUNTIF('Hedef Liste'!A:A,A330)</f>
        <v>1</v>
      </c>
    </row>
    <row r="331" ht="15.75" hidden="1" customHeight="1">
      <c r="A331" s="18" t="s">
        <v>231</v>
      </c>
      <c r="B331" s="18" t="s">
        <v>232</v>
      </c>
      <c r="C331" s="358" t="s">
        <v>7040</v>
      </c>
      <c r="D331" s="18" t="s">
        <v>167</v>
      </c>
      <c r="E331" s="359">
        <v>81.0</v>
      </c>
      <c r="F331" s="18"/>
      <c r="G331" s="359">
        <v>0.0</v>
      </c>
      <c r="H331" s="359">
        <v>23.0</v>
      </c>
      <c r="I331" s="359">
        <v>23.0</v>
      </c>
      <c r="J331" s="360">
        <v>0.0</v>
      </c>
      <c r="K331" s="18" t="s">
        <v>233</v>
      </c>
      <c r="L331" s="18">
        <v>5.316163321E9</v>
      </c>
      <c r="M331" s="18" t="s">
        <v>156</v>
      </c>
      <c r="N331" s="18" t="s">
        <v>234</v>
      </c>
      <c r="O331" s="18" t="s">
        <v>235</v>
      </c>
      <c r="P331" s="18" t="s">
        <v>7041</v>
      </c>
      <c r="Q331" s="20">
        <f>COUNTIF('Hedef Liste'!A:A,A331)</f>
        <v>1</v>
      </c>
    </row>
    <row r="332" ht="15.75" hidden="1" customHeight="1">
      <c r="A332" s="18" t="s">
        <v>4015</v>
      </c>
      <c r="B332" s="18" t="s">
        <v>4016</v>
      </c>
      <c r="C332" s="358" t="s">
        <v>7040</v>
      </c>
      <c r="D332" s="18" t="s">
        <v>106</v>
      </c>
      <c r="E332" s="359">
        <v>2905.0</v>
      </c>
      <c r="F332" s="359">
        <v>60.0</v>
      </c>
      <c r="G332" s="359">
        <v>0.0</v>
      </c>
      <c r="H332" s="359">
        <v>50.0</v>
      </c>
      <c r="I332" s="359">
        <v>50.0</v>
      </c>
      <c r="J332" s="360">
        <v>0.0</v>
      </c>
      <c r="K332" s="18" t="s">
        <v>4017</v>
      </c>
      <c r="L332" s="18">
        <v>5.394083931E9</v>
      </c>
      <c r="M332" s="18" t="s">
        <v>137</v>
      </c>
      <c r="N332" s="18" t="s">
        <v>1283</v>
      </c>
      <c r="O332" s="18" t="s">
        <v>4018</v>
      </c>
      <c r="P332" s="18" t="s">
        <v>7041</v>
      </c>
      <c r="Q332" s="20">
        <f>COUNTIF('Hedef Liste'!A:A,A332)</f>
        <v>1</v>
      </c>
    </row>
    <row r="333" ht="15.75" hidden="1" customHeight="1">
      <c r="A333" s="18" t="s">
        <v>116</v>
      </c>
      <c r="B333" s="18" t="s">
        <v>117</v>
      </c>
      <c r="C333" s="358" t="s">
        <v>7040</v>
      </c>
      <c r="D333" s="18" t="s">
        <v>118</v>
      </c>
      <c r="E333" s="359">
        <v>2176.0</v>
      </c>
      <c r="F333" s="359">
        <v>72.0</v>
      </c>
      <c r="G333" s="359">
        <v>9.0</v>
      </c>
      <c r="H333" s="359">
        <v>21.0</v>
      </c>
      <c r="I333" s="359">
        <v>30.0</v>
      </c>
      <c r="J333" s="360">
        <v>0.3</v>
      </c>
      <c r="K333" s="18" t="s">
        <v>119</v>
      </c>
      <c r="L333" s="18">
        <v>3.243271463E9</v>
      </c>
      <c r="M333" s="18" t="s">
        <v>72</v>
      </c>
      <c r="N333" s="18" t="s">
        <v>120</v>
      </c>
      <c r="O333" s="18" t="s">
        <v>121</v>
      </c>
      <c r="P333" s="18" t="s">
        <v>7041</v>
      </c>
      <c r="Q333" s="20">
        <f>COUNTIF('Hedef Liste'!A:A,A333)</f>
        <v>1</v>
      </c>
    </row>
    <row r="334" ht="15.75" hidden="1" customHeight="1">
      <c r="A334" s="18" t="s">
        <v>3167</v>
      </c>
      <c r="B334" s="18" t="s">
        <v>3168</v>
      </c>
      <c r="C334" s="358" t="s">
        <v>7040</v>
      </c>
      <c r="D334" s="18" t="s">
        <v>363</v>
      </c>
      <c r="E334" s="359">
        <v>2324.0</v>
      </c>
      <c r="F334" s="359">
        <v>89.0</v>
      </c>
      <c r="G334" s="359">
        <v>4.0</v>
      </c>
      <c r="H334" s="359">
        <v>11.0</v>
      </c>
      <c r="I334" s="359">
        <v>15.0</v>
      </c>
      <c r="J334" s="360">
        <v>0.27</v>
      </c>
      <c r="K334" s="18" t="s">
        <v>3169</v>
      </c>
      <c r="L334" s="18">
        <v>3.243252779E9</v>
      </c>
      <c r="M334" s="18" t="s">
        <v>72</v>
      </c>
      <c r="N334" s="18" t="s">
        <v>1298</v>
      </c>
      <c r="O334" s="18" t="s">
        <v>3170</v>
      </c>
      <c r="P334" s="18" t="s">
        <v>7041</v>
      </c>
      <c r="Q334" s="20">
        <f>COUNTIF('Hedef Liste'!A:A,A334)</f>
        <v>1</v>
      </c>
    </row>
    <row r="335" ht="15.75" hidden="1" customHeight="1">
      <c r="A335" s="18" t="s">
        <v>2107</v>
      </c>
      <c r="B335" s="18" t="s">
        <v>2108</v>
      </c>
      <c r="C335" s="358" t="s">
        <v>7040</v>
      </c>
      <c r="D335" s="18" t="s">
        <v>363</v>
      </c>
      <c r="E335" s="359">
        <v>42.0</v>
      </c>
      <c r="F335" s="18"/>
      <c r="G335" s="359">
        <v>0.0</v>
      </c>
      <c r="H335" s="359">
        <v>65.0</v>
      </c>
      <c r="I335" s="359">
        <v>65.0</v>
      </c>
      <c r="J335" s="360">
        <v>0.0</v>
      </c>
      <c r="K335" s="18" t="s">
        <v>2109</v>
      </c>
      <c r="L335" s="18">
        <v>3.246222E9</v>
      </c>
      <c r="M335" s="18" t="s">
        <v>156</v>
      </c>
      <c r="N335" s="18" t="s">
        <v>1365</v>
      </c>
      <c r="O335" s="18" t="s">
        <v>2110</v>
      </c>
      <c r="P335" s="18" t="s">
        <v>7041</v>
      </c>
      <c r="Q335" s="20">
        <f>COUNTIF('Hedef Liste'!A:A,A335)</f>
        <v>1</v>
      </c>
    </row>
    <row r="336" ht="15.75" hidden="1" customHeight="1">
      <c r="A336" s="18" t="s">
        <v>90</v>
      </c>
      <c r="B336" s="18" t="s">
        <v>91</v>
      </c>
      <c r="C336" s="358" t="s">
        <v>7040</v>
      </c>
      <c r="D336" s="18" t="s">
        <v>80</v>
      </c>
      <c r="E336" s="359">
        <v>2608.0</v>
      </c>
      <c r="F336" s="359">
        <v>135.0</v>
      </c>
      <c r="G336" s="359">
        <v>10.0</v>
      </c>
      <c r="H336" s="359">
        <v>10.0</v>
      </c>
      <c r="I336" s="359">
        <v>20.0</v>
      </c>
      <c r="J336" s="360">
        <v>0.5</v>
      </c>
      <c r="K336" s="18" t="s">
        <v>92</v>
      </c>
      <c r="L336" s="18">
        <v>5.378913233E9</v>
      </c>
      <c r="M336" s="18" t="s">
        <v>63</v>
      </c>
      <c r="N336" s="18" t="s">
        <v>93</v>
      </c>
      <c r="O336" s="18" t="s">
        <v>94</v>
      </c>
      <c r="P336" s="18" t="s">
        <v>7041</v>
      </c>
      <c r="Q336" s="20">
        <f>COUNTIF('Hedef Liste'!A:A,A336)</f>
        <v>1</v>
      </c>
    </row>
    <row r="337" ht="15.75" hidden="1" customHeight="1">
      <c r="A337" s="18" t="s">
        <v>1554</v>
      </c>
      <c r="B337" s="18" t="s">
        <v>1555</v>
      </c>
      <c r="C337" s="358" t="s">
        <v>7040</v>
      </c>
      <c r="D337" s="18" t="s">
        <v>70</v>
      </c>
      <c r="E337" s="359">
        <v>223.0</v>
      </c>
      <c r="F337" s="359">
        <v>7.0</v>
      </c>
      <c r="G337" s="359">
        <v>4.0</v>
      </c>
      <c r="H337" s="359">
        <v>5.0</v>
      </c>
      <c r="I337" s="359">
        <v>9.0</v>
      </c>
      <c r="J337" s="360">
        <v>0.44</v>
      </c>
      <c r="K337" s="18" t="s">
        <v>1556</v>
      </c>
      <c r="L337" s="18">
        <v>5.07989028E9</v>
      </c>
      <c r="M337" s="18" t="s">
        <v>137</v>
      </c>
      <c r="N337" s="18" t="s">
        <v>526</v>
      </c>
      <c r="O337" s="18" t="s">
        <v>1557</v>
      </c>
      <c r="P337" s="18" t="s">
        <v>7041</v>
      </c>
      <c r="Q337" s="20">
        <f>COUNTIF('Hedef Liste'!A:A,A337)</f>
        <v>1</v>
      </c>
    </row>
    <row r="338" ht="15.75" hidden="1" customHeight="1">
      <c r="A338" s="18" t="s">
        <v>2159</v>
      </c>
      <c r="B338" s="18" t="s">
        <v>2160</v>
      </c>
      <c r="C338" s="358" t="s">
        <v>7040</v>
      </c>
      <c r="D338" s="18" t="s">
        <v>70</v>
      </c>
      <c r="E338" s="359">
        <v>3770.0</v>
      </c>
      <c r="F338" s="359">
        <v>175.0</v>
      </c>
      <c r="G338" s="359">
        <v>7.0</v>
      </c>
      <c r="H338" s="359">
        <v>11.0</v>
      </c>
      <c r="I338" s="359">
        <v>18.0</v>
      </c>
      <c r="J338" s="360">
        <v>0.39</v>
      </c>
      <c r="K338" s="18" t="s">
        <v>2150</v>
      </c>
      <c r="L338" s="18">
        <v>3.243251212E9</v>
      </c>
      <c r="M338" s="18" t="s">
        <v>72</v>
      </c>
      <c r="N338" s="18" t="s">
        <v>113</v>
      </c>
      <c r="O338" s="18" t="s">
        <v>2161</v>
      </c>
      <c r="P338" s="18" t="s">
        <v>7041</v>
      </c>
      <c r="Q338" s="20">
        <f>COUNTIF('Hedef Liste'!A:A,A338)</f>
        <v>1</v>
      </c>
    </row>
    <row r="339" ht="15.75" hidden="1" customHeight="1">
      <c r="A339" s="18" t="s">
        <v>2902</v>
      </c>
      <c r="B339" s="18" t="s">
        <v>2903</v>
      </c>
      <c r="C339" s="358" t="s">
        <v>7062</v>
      </c>
      <c r="D339" s="18" t="s">
        <v>118</v>
      </c>
      <c r="E339" s="359">
        <v>17.0</v>
      </c>
      <c r="F339" s="18"/>
      <c r="G339" s="359">
        <v>0.0</v>
      </c>
      <c r="H339" s="359">
        <v>19.0</v>
      </c>
      <c r="I339" s="359">
        <v>19.0</v>
      </c>
      <c r="J339" s="360">
        <v>0.0</v>
      </c>
      <c r="K339" s="18" t="s">
        <v>2904</v>
      </c>
      <c r="L339" s="18">
        <v>5.358301929E9</v>
      </c>
      <c r="M339" s="18" t="s">
        <v>63</v>
      </c>
      <c r="N339" s="18" t="s">
        <v>1148</v>
      </c>
      <c r="O339" s="18" t="s">
        <v>2905</v>
      </c>
      <c r="P339" s="18" t="s">
        <v>7041</v>
      </c>
      <c r="Q339" s="20">
        <f>COUNTIF('Hedef Liste'!A:A,A339)</f>
        <v>1</v>
      </c>
    </row>
    <row r="340" ht="15.75" hidden="1" customHeight="1">
      <c r="A340" s="18" t="s">
        <v>2995</v>
      </c>
      <c r="B340" s="18" t="s">
        <v>2996</v>
      </c>
      <c r="C340" s="358" t="s">
        <v>7040</v>
      </c>
      <c r="D340" s="18" t="s">
        <v>913</v>
      </c>
      <c r="E340" s="359">
        <v>4856.0</v>
      </c>
      <c r="F340" s="359">
        <v>346.0</v>
      </c>
      <c r="G340" s="359">
        <v>0.0</v>
      </c>
      <c r="H340" s="359">
        <v>134.0</v>
      </c>
      <c r="I340" s="359">
        <v>134.0</v>
      </c>
      <c r="J340" s="360">
        <v>0.0</v>
      </c>
      <c r="K340" s="18" t="s">
        <v>2997</v>
      </c>
      <c r="L340" s="18">
        <v>3.243293363E9</v>
      </c>
      <c r="M340" s="18" t="s">
        <v>72</v>
      </c>
      <c r="N340" s="18" t="s">
        <v>113</v>
      </c>
      <c r="O340" s="18" t="s">
        <v>2998</v>
      </c>
      <c r="P340" s="18" t="s">
        <v>7041</v>
      </c>
      <c r="Q340" s="20">
        <f>COUNTIF('Hedef Liste'!A:A,A340)</f>
        <v>1</v>
      </c>
    </row>
    <row r="341" ht="15.75" hidden="1" customHeight="1">
      <c r="A341" s="18" t="s">
        <v>2794</v>
      </c>
      <c r="B341" s="18" t="s">
        <v>2795</v>
      </c>
      <c r="C341" s="358" t="s">
        <v>7040</v>
      </c>
      <c r="D341" s="18" t="s">
        <v>80</v>
      </c>
      <c r="E341" s="359">
        <v>183.0</v>
      </c>
      <c r="F341" s="359">
        <v>18.0</v>
      </c>
      <c r="G341" s="359">
        <v>14.0</v>
      </c>
      <c r="H341" s="359">
        <v>32.0</v>
      </c>
      <c r="I341" s="359">
        <v>46.0</v>
      </c>
      <c r="J341" s="360">
        <v>0.3</v>
      </c>
      <c r="K341" s="18" t="s">
        <v>2796</v>
      </c>
      <c r="L341" s="18">
        <v>3.242326067E9</v>
      </c>
      <c r="M341" s="18" t="s">
        <v>137</v>
      </c>
      <c r="N341" s="18" t="s">
        <v>318</v>
      </c>
      <c r="O341" s="18" t="s">
        <v>2797</v>
      </c>
      <c r="P341" s="18" t="s">
        <v>7041</v>
      </c>
      <c r="Q341" s="20">
        <f>COUNTIF('Hedef Liste'!A:A,A341)</f>
        <v>1</v>
      </c>
    </row>
    <row r="342" ht="15.75" hidden="1" customHeight="1">
      <c r="A342" s="18" t="s">
        <v>4140</v>
      </c>
      <c r="B342" s="18" t="s">
        <v>4141</v>
      </c>
      <c r="C342" s="358" t="s">
        <v>7040</v>
      </c>
      <c r="D342" s="18" t="s">
        <v>61</v>
      </c>
      <c r="E342" s="359">
        <v>611.0</v>
      </c>
      <c r="F342" s="359">
        <v>37.0</v>
      </c>
      <c r="G342" s="359">
        <v>6.0</v>
      </c>
      <c r="H342" s="359">
        <v>0.0</v>
      </c>
      <c r="I342" s="359">
        <v>6.0</v>
      </c>
      <c r="J342" s="360">
        <v>1.0</v>
      </c>
      <c r="K342" s="18" t="s">
        <v>4142</v>
      </c>
      <c r="L342" s="18">
        <v>5.357251918E9</v>
      </c>
      <c r="M342" s="18" t="s">
        <v>137</v>
      </c>
      <c r="N342" s="18" t="s">
        <v>209</v>
      </c>
      <c r="O342" s="18" t="s">
        <v>4143</v>
      </c>
      <c r="P342" s="18" t="s">
        <v>7041</v>
      </c>
      <c r="Q342" s="20">
        <f>COUNTIF('Hedef Liste'!A:A,A342)</f>
        <v>1</v>
      </c>
    </row>
    <row r="343" ht="15.75" hidden="1" customHeight="1">
      <c r="A343" s="18" t="s">
        <v>2036</v>
      </c>
      <c r="B343" s="18" t="s">
        <v>2037</v>
      </c>
      <c r="C343" s="358" t="s">
        <v>7040</v>
      </c>
      <c r="D343" s="18" t="s">
        <v>80</v>
      </c>
      <c r="E343" s="359">
        <v>966.0</v>
      </c>
      <c r="F343" s="359">
        <v>36.0</v>
      </c>
      <c r="G343" s="359">
        <v>4.0</v>
      </c>
      <c r="H343" s="359">
        <v>24.0</v>
      </c>
      <c r="I343" s="359">
        <v>28.0</v>
      </c>
      <c r="J343" s="360">
        <v>0.14</v>
      </c>
      <c r="K343" s="18" t="s">
        <v>2038</v>
      </c>
      <c r="L343" s="18">
        <v>3.245032323E9</v>
      </c>
      <c r="M343" s="18" t="s">
        <v>72</v>
      </c>
      <c r="N343" s="18" t="s">
        <v>538</v>
      </c>
      <c r="O343" s="18" t="s">
        <v>2039</v>
      </c>
      <c r="P343" s="18" t="s">
        <v>7041</v>
      </c>
      <c r="Q343" s="20">
        <f>COUNTIF('Hedef Liste'!A:A,A343)</f>
        <v>1</v>
      </c>
    </row>
    <row r="344" ht="15.75" hidden="1" customHeight="1">
      <c r="A344" s="18" t="s">
        <v>4109</v>
      </c>
      <c r="B344" s="18" t="s">
        <v>4110</v>
      </c>
      <c r="C344" s="358" t="s">
        <v>7040</v>
      </c>
      <c r="D344" s="18" t="s">
        <v>70</v>
      </c>
      <c r="E344" s="359">
        <v>5767.0</v>
      </c>
      <c r="F344" s="359">
        <v>268.0</v>
      </c>
      <c r="G344" s="359">
        <v>10.0</v>
      </c>
      <c r="H344" s="359">
        <v>40.0</v>
      </c>
      <c r="I344" s="359">
        <v>50.0</v>
      </c>
      <c r="J344" s="360">
        <v>0.2</v>
      </c>
      <c r="K344" s="18" t="s">
        <v>4111</v>
      </c>
      <c r="L344" s="18">
        <v>3.243273131E9</v>
      </c>
      <c r="M344" s="18" t="s">
        <v>72</v>
      </c>
      <c r="N344" s="18" t="s">
        <v>128</v>
      </c>
      <c r="O344" s="18" t="s">
        <v>4112</v>
      </c>
      <c r="P344" s="18" t="s">
        <v>7041</v>
      </c>
      <c r="Q344" s="20">
        <f>COUNTIF('Hedef Liste'!A:A,A344)</f>
        <v>1</v>
      </c>
    </row>
    <row r="345" ht="15.75" hidden="1" customHeight="1">
      <c r="A345" s="18" t="s">
        <v>2234</v>
      </c>
      <c r="B345" s="18" t="s">
        <v>2235</v>
      </c>
      <c r="C345" s="358" t="s">
        <v>7040</v>
      </c>
      <c r="D345" s="18" t="s">
        <v>363</v>
      </c>
      <c r="E345" s="359">
        <v>313.0</v>
      </c>
      <c r="F345" s="359">
        <v>18.0</v>
      </c>
      <c r="G345" s="359">
        <v>16.0</v>
      </c>
      <c r="H345" s="359">
        <v>22.0</v>
      </c>
      <c r="I345" s="359">
        <v>38.0</v>
      </c>
      <c r="J345" s="360">
        <v>0.42</v>
      </c>
      <c r="K345" s="18" t="s">
        <v>2236</v>
      </c>
      <c r="L345" s="18">
        <v>5.332980612E9</v>
      </c>
      <c r="M345" s="18" t="s">
        <v>72</v>
      </c>
      <c r="N345" s="18" t="s">
        <v>82</v>
      </c>
      <c r="O345" s="18" t="s">
        <v>2237</v>
      </c>
      <c r="P345" s="18" t="s">
        <v>7041</v>
      </c>
      <c r="Q345" s="20">
        <f>COUNTIF('Hedef Liste'!A:A,A345)</f>
        <v>1</v>
      </c>
    </row>
    <row r="346" ht="15.75" hidden="1" customHeight="1">
      <c r="A346" s="18" t="s">
        <v>1816</v>
      </c>
      <c r="B346" s="18" t="s">
        <v>1817</v>
      </c>
      <c r="C346" s="358" t="s">
        <v>7040</v>
      </c>
      <c r="D346" s="18" t="s">
        <v>363</v>
      </c>
      <c r="E346" s="359">
        <v>1554.0</v>
      </c>
      <c r="F346" s="359">
        <v>120.0</v>
      </c>
      <c r="G346" s="359">
        <v>13.0</v>
      </c>
      <c r="H346" s="359">
        <v>15.0</v>
      </c>
      <c r="I346" s="359">
        <v>28.0</v>
      </c>
      <c r="J346" s="360">
        <v>0.46</v>
      </c>
      <c r="K346" s="18" t="s">
        <v>1818</v>
      </c>
      <c r="L346" s="18">
        <v>5.367997163E9</v>
      </c>
      <c r="M346" s="18" t="s">
        <v>215</v>
      </c>
      <c r="N346" s="18" t="s">
        <v>745</v>
      </c>
      <c r="O346" s="18" t="s">
        <v>1819</v>
      </c>
      <c r="P346" s="18" t="s">
        <v>7041</v>
      </c>
      <c r="Q346" s="20">
        <f>COUNTIF('Hedef Liste'!A:A,A346)</f>
        <v>1</v>
      </c>
    </row>
    <row r="347" ht="15.75" hidden="1" customHeight="1">
      <c r="A347" s="18" t="s">
        <v>4130</v>
      </c>
      <c r="B347" s="18" t="s">
        <v>4131</v>
      </c>
      <c r="C347" s="358" t="s">
        <v>7040</v>
      </c>
      <c r="D347" s="18" t="s">
        <v>80</v>
      </c>
      <c r="E347" s="359">
        <v>2358.0</v>
      </c>
      <c r="F347" s="359">
        <v>130.0</v>
      </c>
      <c r="G347" s="359">
        <v>6.0</v>
      </c>
      <c r="H347" s="359">
        <v>12.0</v>
      </c>
      <c r="I347" s="359">
        <v>18.0</v>
      </c>
      <c r="J347" s="360">
        <v>0.33</v>
      </c>
      <c r="K347" s="18" t="s">
        <v>4132</v>
      </c>
      <c r="L347" s="18">
        <v>5.421100733E9</v>
      </c>
      <c r="M347" s="18" t="s">
        <v>63</v>
      </c>
      <c r="N347" s="18" t="s">
        <v>318</v>
      </c>
      <c r="O347" s="18" t="s">
        <v>4133</v>
      </c>
      <c r="P347" s="18" t="s">
        <v>7041</v>
      </c>
      <c r="Q347" s="20">
        <f>COUNTIF('Hedef Liste'!A:A,A347)</f>
        <v>1</v>
      </c>
    </row>
    <row r="348" ht="15.75" hidden="1" customHeight="1">
      <c r="A348" s="18" t="s">
        <v>7233</v>
      </c>
      <c r="B348" s="18" t="s">
        <v>7234</v>
      </c>
      <c r="C348" s="358" t="s">
        <v>7040</v>
      </c>
      <c r="D348" s="18" t="s">
        <v>372</v>
      </c>
      <c r="E348" s="359">
        <v>3280.0</v>
      </c>
      <c r="F348" s="359">
        <v>256.0</v>
      </c>
      <c r="G348" s="359">
        <v>47.0</v>
      </c>
      <c r="H348" s="359">
        <v>54.0</v>
      </c>
      <c r="I348" s="359">
        <v>101.0</v>
      </c>
      <c r="J348" s="360">
        <v>0.47</v>
      </c>
      <c r="K348" s="18" t="s">
        <v>7115</v>
      </c>
      <c r="L348" s="18">
        <v>5.352532922E9</v>
      </c>
      <c r="M348" s="18" t="s">
        <v>63</v>
      </c>
      <c r="N348" s="18" t="s">
        <v>1148</v>
      </c>
      <c r="O348" s="18" t="s">
        <v>7235</v>
      </c>
      <c r="P348" s="18" t="s">
        <v>7041</v>
      </c>
      <c r="Q348" s="20">
        <f>COUNTIF('Hedef Liste'!A:A,A348)</f>
        <v>0</v>
      </c>
    </row>
    <row r="349" ht="15.75" hidden="1" customHeight="1">
      <c r="A349" s="18" t="s">
        <v>905</v>
      </c>
      <c r="B349" s="18" t="s">
        <v>906</v>
      </c>
      <c r="C349" s="358" t="s">
        <v>7062</v>
      </c>
      <c r="D349" s="18" t="s">
        <v>80</v>
      </c>
      <c r="E349" s="359">
        <v>229.0</v>
      </c>
      <c r="F349" s="18"/>
      <c r="G349" s="359">
        <v>4.0</v>
      </c>
      <c r="H349" s="359">
        <v>2.0</v>
      </c>
      <c r="I349" s="359">
        <v>6.0</v>
      </c>
      <c r="J349" s="360">
        <v>0.67</v>
      </c>
      <c r="K349" s="18" t="s">
        <v>907</v>
      </c>
      <c r="L349" s="18">
        <v>5.435007915E9</v>
      </c>
      <c r="M349" s="18" t="s">
        <v>72</v>
      </c>
      <c r="N349" s="18" t="s">
        <v>128</v>
      </c>
      <c r="O349" s="18" t="s">
        <v>908</v>
      </c>
      <c r="P349" s="18" t="s">
        <v>7041</v>
      </c>
      <c r="Q349" s="20">
        <f>COUNTIF('Hedef Liste'!A:A,A349)</f>
        <v>1</v>
      </c>
    </row>
    <row r="350" ht="15.75" hidden="1" customHeight="1">
      <c r="A350" s="18" t="s">
        <v>4657</v>
      </c>
      <c r="B350" s="18" t="s">
        <v>4658</v>
      </c>
      <c r="C350" s="358" t="s">
        <v>7040</v>
      </c>
      <c r="D350" s="18" t="s">
        <v>356</v>
      </c>
      <c r="E350" s="359">
        <v>994.0</v>
      </c>
      <c r="F350" s="359">
        <v>46.0</v>
      </c>
      <c r="G350" s="359">
        <v>13.0</v>
      </c>
      <c r="H350" s="359">
        <v>31.0</v>
      </c>
      <c r="I350" s="359">
        <v>44.0</v>
      </c>
      <c r="J350" s="360">
        <v>0.3</v>
      </c>
      <c r="K350" s="18" t="s">
        <v>4659</v>
      </c>
      <c r="L350" s="18">
        <v>3.243283434E9</v>
      </c>
      <c r="M350" s="18" t="s">
        <v>72</v>
      </c>
      <c r="N350" s="18" t="s">
        <v>73</v>
      </c>
      <c r="O350" s="18" t="s">
        <v>4660</v>
      </c>
      <c r="P350" s="18" t="s">
        <v>7041</v>
      </c>
      <c r="Q350" s="20">
        <f>COUNTIF('Hedef Liste'!A:A,A350)</f>
        <v>1</v>
      </c>
    </row>
    <row r="351" ht="15.75" hidden="1" customHeight="1">
      <c r="A351" s="18" t="s">
        <v>4635</v>
      </c>
      <c r="B351" s="18" t="s">
        <v>4636</v>
      </c>
      <c r="C351" s="358" t="s">
        <v>7040</v>
      </c>
      <c r="D351" s="18" t="s">
        <v>363</v>
      </c>
      <c r="E351" s="359">
        <v>1093.0</v>
      </c>
      <c r="F351" s="359">
        <v>61.0</v>
      </c>
      <c r="G351" s="359">
        <v>53.0</v>
      </c>
      <c r="H351" s="359">
        <v>5.0</v>
      </c>
      <c r="I351" s="359">
        <v>58.0</v>
      </c>
      <c r="J351" s="360">
        <v>0.91</v>
      </c>
      <c r="K351" s="18" t="s">
        <v>4637</v>
      </c>
      <c r="L351" s="18">
        <v>5.516333001E9</v>
      </c>
      <c r="M351" s="18" t="s">
        <v>72</v>
      </c>
      <c r="N351" s="18" t="s">
        <v>1298</v>
      </c>
      <c r="O351" s="18" t="s">
        <v>4638</v>
      </c>
      <c r="P351" s="18" t="s">
        <v>7041</v>
      </c>
      <c r="Q351" s="20">
        <f>COUNTIF('Hedef Liste'!A:A,A351)</f>
        <v>1</v>
      </c>
    </row>
    <row r="352" ht="15.75" hidden="1" customHeight="1">
      <c r="A352" s="18" t="s">
        <v>2749</v>
      </c>
      <c r="B352" s="18" t="s">
        <v>2750</v>
      </c>
      <c r="C352" s="358" t="s">
        <v>7040</v>
      </c>
      <c r="D352" s="18" t="s">
        <v>118</v>
      </c>
      <c r="E352" s="359">
        <v>1949.0</v>
      </c>
      <c r="F352" s="359">
        <v>83.0</v>
      </c>
      <c r="G352" s="359">
        <v>0.0</v>
      </c>
      <c r="H352" s="359">
        <v>18.0</v>
      </c>
      <c r="I352" s="359">
        <v>18.0</v>
      </c>
      <c r="J352" s="360">
        <v>0.0</v>
      </c>
      <c r="K352" s="18" t="s">
        <v>2751</v>
      </c>
      <c r="L352" s="18">
        <v>3.242322101E9</v>
      </c>
      <c r="M352" s="18" t="s">
        <v>137</v>
      </c>
      <c r="N352" s="18" t="s">
        <v>318</v>
      </c>
      <c r="O352" s="18" t="s">
        <v>2752</v>
      </c>
      <c r="P352" s="18" t="s">
        <v>7041</v>
      </c>
      <c r="Q352" s="20">
        <f>COUNTIF('Hedef Liste'!A:A,A352)</f>
        <v>1</v>
      </c>
    </row>
    <row r="353" ht="15.75" hidden="1" customHeight="1">
      <c r="A353" s="18" t="s">
        <v>3445</v>
      </c>
      <c r="B353" s="18" t="s">
        <v>7236</v>
      </c>
      <c r="C353" s="358" t="s">
        <v>7040</v>
      </c>
      <c r="D353" s="18" t="s">
        <v>167</v>
      </c>
      <c r="E353" s="359">
        <v>397.0</v>
      </c>
      <c r="F353" s="359">
        <v>5.0</v>
      </c>
      <c r="G353" s="359">
        <v>16.0</v>
      </c>
      <c r="H353" s="359">
        <v>0.0</v>
      </c>
      <c r="I353" s="359">
        <v>16.0</v>
      </c>
      <c r="J353" s="360">
        <v>1.0</v>
      </c>
      <c r="K353" s="18" t="s">
        <v>3447</v>
      </c>
      <c r="L353" s="18">
        <v>5.3528052E9</v>
      </c>
      <c r="M353" s="18" t="s">
        <v>63</v>
      </c>
      <c r="N353" s="18" t="s">
        <v>100</v>
      </c>
      <c r="O353" s="18" t="s">
        <v>3448</v>
      </c>
      <c r="P353" s="18" t="s">
        <v>7047</v>
      </c>
      <c r="Q353" s="20">
        <f>COUNTIF('Hedef Liste'!A:A,A353)</f>
        <v>1</v>
      </c>
    </row>
    <row r="354" ht="15.75" hidden="1" customHeight="1">
      <c r="A354" s="18" t="s">
        <v>3476</v>
      </c>
      <c r="B354" s="18" t="s">
        <v>3477</v>
      </c>
      <c r="C354" s="358" t="s">
        <v>7040</v>
      </c>
      <c r="D354" s="18" t="s">
        <v>167</v>
      </c>
      <c r="E354" s="359">
        <v>399.0</v>
      </c>
      <c r="F354" s="359">
        <v>22.0</v>
      </c>
      <c r="G354" s="359">
        <v>65.0</v>
      </c>
      <c r="H354" s="359">
        <v>0.0</v>
      </c>
      <c r="I354" s="359">
        <v>65.0</v>
      </c>
      <c r="J354" s="360">
        <v>1.0</v>
      </c>
      <c r="K354" s="18" t="s">
        <v>3478</v>
      </c>
      <c r="L354" s="18">
        <v>3.24515594E9</v>
      </c>
      <c r="M354" s="18" t="s">
        <v>47</v>
      </c>
      <c r="N354" s="18" t="s">
        <v>48</v>
      </c>
      <c r="O354" s="18" t="s">
        <v>3479</v>
      </c>
      <c r="P354" s="18" t="s">
        <v>7047</v>
      </c>
      <c r="Q354" s="20">
        <f>COUNTIF('Hedef Liste'!A:A,A354)</f>
        <v>1</v>
      </c>
    </row>
    <row r="355" ht="15.75" hidden="1" customHeight="1">
      <c r="A355" s="18" t="s">
        <v>3423</v>
      </c>
      <c r="B355" s="18" t="s">
        <v>3424</v>
      </c>
      <c r="C355" s="358" t="s">
        <v>7040</v>
      </c>
      <c r="D355" s="18" t="s">
        <v>80</v>
      </c>
      <c r="E355" s="359">
        <v>1566.0</v>
      </c>
      <c r="F355" s="359">
        <v>97.0</v>
      </c>
      <c r="G355" s="359">
        <v>9.0</v>
      </c>
      <c r="H355" s="359">
        <v>15.0</v>
      </c>
      <c r="I355" s="359">
        <v>24.0</v>
      </c>
      <c r="J355" s="360">
        <v>0.38</v>
      </c>
      <c r="K355" s="18" t="s">
        <v>953</v>
      </c>
      <c r="L355" s="18">
        <v>5.071651406E9</v>
      </c>
      <c r="M355" s="18" t="s">
        <v>215</v>
      </c>
      <c r="N355" s="18" t="s">
        <v>745</v>
      </c>
      <c r="O355" s="18" t="s">
        <v>3425</v>
      </c>
      <c r="P355" s="18" t="s">
        <v>7041</v>
      </c>
      <c r="Q355" s="20">
        <f>COUNTIF('Hedef Liste'!A:A,A355)</f>
        <v>1</v>
      </c>
    </row>
    <row r="356" ht="15.75" hidden="1" customHeight="1">
      <c r="A356" s="18" t="s">
        <v>7237</v>
      </c>
      <c r="B356" s="18" t="s">
        <v>7238</v>
      </c>
      <c r="C356" s="358" t="s">
        <v>7040</v>
      </c>
      <c r="D356" s="18" t="s">
        <v>167</v>
      </c>
      <c r="E356" s="359">
        <v>1659.0</v>
      </c>
      <c r="F356" s="359">
        <v>91.0</v>
      </c>
      <c r="G356" s="359">
        <v>52.0</v>
      </c>
      <c r="H356" s="359">
        <v>3.0</v>
      </c>
      <c r="I356" s="359">
        <v>55.0</v>
      </c>
      <c r="J356" s="360">
        <v>0.95</v>
      </c>
      <c r="K356" s="18" t="s">
        <v>7045</v>
      </c>
      <c r="L356" s="18">
        <v>3.245153477E9</v>
      </c>
      <c r="M356" s="18" t="s">
        <v>47</v>
      </c>
      <c r="N356" s="18" t="s">
        <v>48</v>
      </c>
      <c r="O356" s="18" t="s">
        <v>7239</v>
      </c>
      <c r="P356" s="18" t="s">
        <v>7047</v>
      </c>
      <c r="Q356" s="20">
        <f>COUNTIF('Hedef Liste'!A:A,A356)</f>
        <v>0</v>
      </c>
    </row>
    <row r="357" ht="15.75" hidden="1" customHeight="1">
      <c r="A357" s="18" t="s">
        <v>1253</v>
      </c>
      <c r="B357" s="18" t="s">
        <v>1254</v>
      </c>
      <c r="C357" s="358" t="s">
        <v>7040</v>
      </c>
      <c r="D357" s="18" t="s">
        <v>118</v>
      </c>
      <c r="E357" s="359">
        <v>970.0</v>
      </c>
      <c r="F357" s="359">
        <v>123.0</v>
      </c>
      <c r="G357" s="359">
        <v>1.0</v>
      </c>
      <c r="H357" s="359">
        <v>10.0</v>
      </c>
      <c r="I357" s="359">
        <v>11.0</v>
      </c>
      <c r="J357" s="360">
        <v>0.09</v>
      </c>
      <c r="K357" s="18" t="s">
        <v>1255</v>
      </c>
      <c r="L357" s="18">
        <v>5.309789676E9</v>
      </c>
      <c r="M357" s="18" t="s">
        <v>63</v>
      </c>
      <c r="N357" s="18" t="s">
        <v>700</v>
      </c>
      <c r="O357" s="18" t="s">
        <v>1256</v>
      </c>
      <c r="P357" s="18" t="s">
        <v>7041</v>
      </c>
      <c r="Q357" s="20">
        <f>COUNTIF('Hedef Liste'!A:A,A357)</f>
        <v>1</v>
      </c>
    </row>
    <row r="358" ht="15.75" hidden="1" customHeight="1">
      <c r="A358" s="18" t="s">
        <v>4145</v>
      </c>
      <c r="B358" s="18" t="s">
        <v>4146</v>
      </c>
      <c r="C358" s="358" t="s">
        <v>7040</v>
      </c>
      <c r="D358" s="18" t="s">
        <v>558</v>
      </c>
      <c r="E358" s="359">
        <v>602.0</v>
      </c>
      <c r="F358" s="359">
        <v>27.0</v>
      </c>
      <c r="G358" s="359">
        <v>29.0</v>
      </c>
      <c r="H358" s="359">
        <v>22.0</v>
      </c>
      <c r="I358" s="359">
        <v>51.0</v>
      </c>
      <c r="J358" s="360">
        <v>0.57</v>
      </c>
      <c r="K358" s="18" t="s">
        <v>4147</v>
      </c>
      <c r="L358" s="18">
        <v>5.330218033E9</v>
      </c>
      <c r="M358" s="18" t="s">
        <v>72</v>
      </c>
      <c r="N358" s="18" t="s">
        <v>82</v>
      </c>
      <c r="O358" s="18" t="s">
        <v>4148</v>
      </c>
      <c r="P358" s="18" t="s">
        <v>7041</v>
      </c>
      <c r="Q358" s="20">
        <f>COUNTIF('Hedef Liste'!A:A,A358)</f>
        <v>1</v>
      </c>
    </row>
    <row r="359" ht="15.75" hidden="1" customHeight="1">
      <c r="A359" s="18" t="s">
        <v>142</v>
      </c>
      <c r="B359" s="18" t="s">
        <v>143</v>
      </c>
      <c r="C359" s="358" t="s">
        <v>7040</v>
      </c>
      <c r="D359" s="18" t="s">
        <v>80</v>
      </c>
      <c r="E359" s="359">
        <v>1837.0</v>
      </c>
      <c r="F359" s="359">
        <v>50.0</v>
      </c>
      <c r="G359" s="359">
        <v>18.0</v>
      </c>
      <c r="H359" s="359">
        <v>5.0</v>
      </c>
      <c r="I359" s="359">
        <v>23.0</v>
      </c>
      <c r="J359" s="360">
        <v>0.78</v>
      </c>
      <c r="K359" s="18" t="s">
        <v>136</v>
      </c>
      <c r="L359" s="18">
        <v>5.39424248E9</v>
      </c>
      <c r="M359" s="18" t="s">
        <v>137</v>
      </c>
      <c r="N359" s="18" t="s">
        <v>144</v>
      </c>
      <c r="O359" s="18" t="s">
        <v>145</v>
      </c>
      <c r="P359" s="18" t="s">
        <v>7041</v>
      </c>
      <c r="Q359" s="20">
        <f>COUNTIF('Hedef Liste'!A:A,A359)</f>
        <v>1</v>
      </c>
    </row>
    <row r="360" ht="15.75" hidden="1" customHeight="1">
      <c r="A360" s="18" t="s">
        <v>4640</v>
      </c>
      <c r="B360" s="18" t="s">
        <v>4641</v>
      </c>
      <c r="C360" s="358" t="s">
        <v>7040</v>
      </c>
      <c r="D360" s="18" t="s">
        <v>167</v>
      </c>
      <c r="E360" s="359">
        <v>237.0</v>
      </c>
      <c r="F360" s="359">
        <v>19.0</v>
      </c>
      <c r="G360" s="359">
        <v>0.0</v>
      </c>
      <c r="H360" s="359">
        <v>13.0</v>
      </c>
      <c r="I360" s="359">
        <v>13.0</v>
      </c>
      <c r="J360" s="360">
        <v>0.0</v>
      </c>
      <c r="K360" s="18" t="s">
        <v>4642</v>
      </c>
      <c r="L360" s="18">
        <v>3.243595534E9</v>
      </c>
      <c r="M360" s="18" t="s">
        <v>63</v>
      </c>
      <c r="N360" s="18" t="s">
        <v>566</v>
      </c>
      <c r="O360" s="18" t="s">
        <v>4643</v>
      </c>
      <c r="P360" s="18" t="s">
        <v>7041</v>
      </c>
      <c r="Q360" s="20">
        <f>COUNTIF('Hedef Liste'!A:A,A360)</f>
        <v>1</v>
      </c>
    </row>
    <row r="361" ht="15.75" hidden="1" customHeight="1">
      <c r="A361" s="18" t="s">
        <v>2680</v>
      </c>
      <c r="B361" s="18" t="s">
        <v>2681</v>
      </c>
      <c r="C361" s="358" t="s">
        <v>7040</v>
      </c>
      <c r="D361" s="18" t="s">
        <v>363</v>
      </c>
      <c r="E361" s="359">
        <v>489.0</v>
      </c>
      <c r="F361" s="359">
        <v>86.0</v>
      </c>
      <c r="G361" s="359">
        <v>8.0</v>
      </c>
      <c r="H361" s="359">
        <v>1.0</v>
      </c>
      <c r="I361" s="359">
        <v>9.0</v>
      </c>
      <c r="J361" s="360">
        <v>0.89</v>
      </c>
      <c r="K361" s="18" t="s">
        <v>2682</v>
      </c>
      <c r="L361" s="18">
        <v>5.416014088E9</v>
      </c>
      <c r="M361" s="18" t="s">
        <v>72</v>
      </c>
      <c r="N361" s="18" t="s">
        <v>915</v>
      </c>
      <c r="O361" s="18" t="s">
        <v>2683</v>
      </c>
      <c r="P361" s="18" t="s">
        <v>7041</v>
      </c>
      <c r="Q361" s="20">
        <f>COUNTIF('Hedef Liste'!A:A,A361)</f>
        <v>1</v>
      </c>
    </row>
    <row r="362" ht="15.75" hidden="1" customHeight="1">
      <c r="A362" s="18" t="s">
        <v>3292</v>
      </c>
      <c r="B362" s="18" t="s">
        <v>3293</v>
      </c>
      <c r="C362" s="358" t="s">
        <v>7040</v>
      </c>
      <c r="D362" s="18" t="s">
        <v>80</v>
      </c>
      <c r="E362" s="359">
        <v>673.0</v>
      </c>
      <c r="F362" s="359">
        <v>4.0</v>
      </c>
      <c r="G362" s="359">
        <v>4.0</v>
      </c>
      <c r="H362" s="359">
        <v>4.0</v>
      </c>
      <c r="I362" s="359">
        <v>8.0</v>
      </c>
      <c r="J362" s="360">
        <v>0.5</v>
      </c>
      <c r="K362" s="18" t="s">
        <v>3294</v>
      </c>
      <c r="L362" s="18">
        <v>3.243360337E9</v>
      </c>
      <c r="M362" s="18" t="s">
        <v>137</v>
      </c>
      <c r="N362" s="18" t="s">
        <v>526</v>
      </c>
      <c r="O362" s="18" t="s">
        <v>3295</v>
      </c>
      <c r="P362" s="18" t="s">
        <v>7041</v>
      </c>
      <c r="Q362" s="20">
        <f>COUNTIF('Hedef Liste'!A:A,A362)</f>
        <v>1</v>
      </c>
    </row>
    <row r="363" ht="15.75" hidden="1" customHeight="1">
      <c r="A363" s="18" t="s">
        <v>506</v>
      </c>
      <c r="B363" s="18" t="s">
        <v>507</v>
      </c>
      <c r="C363" s="358" t="s">
        <v>7040</v>
      </c>
      <c r="D363" s="18" t="s">
        <v>363</v>
      </c>
      <c r="E363" s="359">
        <v>8414.0</v>
      </c>
      <c r="F363" s="359">
        <v>153.0</v>
      </c>
      <c r="G363" s="359">
        <v>6.0</v>
      </c>
      <c r="H363" s="359">
        <v>31.0</v>
      </c>
      <c r="I363" s="359">
        <v>37.0</v>
      </c>
      <c r="J363" s="360">
        <v>0.16</v>
      </c>
      <c r="K363" s="18" t="s">
        <v>508</v>
      </c>
      <c r="L363" s="18">
        <v>3.244732011E9</v>
      </c>
      <c r="M363" s="18" t="s">
        <v>72</v>
      </c>
      <c r="N363" s="18" t="s">
        <v>509</v>
      </c>
      <c r="O363" s="18" t="s">
        <v>7240</v>
      </c>
      <c r="P363" s="18" t="s">
        <v>7041</v>
      </c>
      <c r="Q363" s="20">
        <f>COUNTIF('Hedef Liste'!A:A,A363)</f>
        <v>1</v>
      </c>
    </row>
    <row r="364" ht="15.75" hidden="1" customHeight="1">
      <c r="A364" s="18" t="s">
        <v>7241</v>
      </c>
      <c r="B364" s="18" t="s">
        <v>7242</v>
      </c>
      <c r="C364" s="358" t="s">
        <v>7040</v>
      </c>
      <c r="D364" s="18" t="s">
        <v>372</v>
      </c>
      <c r="E364" s="359">
        <v>1640.0</v>
      </c>
      <c r="F364" s="359">
        <v>118.0</v>
      </c>
      <c r="G364" s="359">
        <v>86.0</v>
      </c>
      <c r="H364" s="359">
        <v>0.0</v>
      </c>
      <c r="I364" s="359">
        <v>86.0</v>
      </c>
      <c r="J364" s="360">
        <v>1.0</v>
      </c>
      <c r="K364" s="18" t="s">
        <v>7192</v>
      </c>
      <c r="L364" s="18">
        <v>9.999999999E9</v>
      </c>
      <c r="M364" s="18" t="s">
        <v>156</v>
      </c>
      <c r="N364" s="18" t="s">
        <v>2057</v>
      </c>
      <c r="O364" s="18" t="s">
        <v>7243</v>
      </c>
      <c r="P364" s="18" t="s">
        <v>7047</v>
      </c>
      <c r="Q364" s="20">
        <f>COUNTIF('Hedef Liste'!A:A,A364)</f>
        <v>0</v>
      </c>
    </row>
    <row r="365" ht="15.75" hidden="1" customHeight="1">
      <c r="A365" s="18" t="s">
        <v>2884</v>
      </c>
      <c r="B365" s="18" t="s">
        <v>2885</v>
      </c>
      <c r="C365" s="358" t="s">
        <v>7040</v>
      </c>
      <c r="D365" s="18" t="s">
        <v>372</v>
      </c>
      <c r="E365" s="359">
        <v>278.0</v>
      </c>
      <c r="F365" s="18"/>
      <c r="G365" s="359">
        <v>19.0</v>
      </c>
      <c r="H365" s="359">
        <v>14.0</v>
      </c>
      <c r="I365" s="359">
        <v>33.0</v>
      </c>
      <c r="J365" s="360">
        <v>0.58</v>
      </c>
      <c r="K365" s="18" t="s">
        <v>2886</v>
      </c>
      <c r="L365" s="18">
        <v>5.512705292E9</v>
      </c>
      <c r="M365" s="18" t="s">
        <v>63</v>
      </c>
      <c r="N365" s="18" t="s">
        <v>93</v>
      </c>
      <c r="O365" s="18" t="s">
        <v>2887</v>
      </c>
      <c r="P365" s="18" t="s">
        <v>7041</v>
      </c>
      <c r="Q365" s="20">
        <f>COUNTIF('Hedef Liste'!A:A,A365)</f>
        <v>1</v>
      </c>
    </row>
    <row r="366" ht="15.75" hidden="1" customHeight="1">
      <c r="A366" s="18" t="s">
        <v>3014</v>
      </c>
      <c r="B366" s="18" t="s">
        <v>3015</v>
      </c>
      <c r="C366" s="358" t="s">
        <v>7040</v>
      </c>
      <c r="D366" s="18" t="s">
        <v>167</v>
      </c>
      <c r="E366" s="359">
        <v>2022.0</v>
      </c>
      <c r="F366" s="359">
        <v>165.0</v>
      </c>
      <c r="G366" s="359">
        <v>14.0</v>
      </c>
      <c r="H366" s="359">
        <v>15.0</v>
      </c>
      <c r="I366" s="359">
        <v>29.0</v>
      </c>
      <c r="J366" s="360">
        <v>0.48</v>
      </c>
      <c r="K366" s="18" t="s">
        <v>3016</v>
      </c>
      <c r="L366" s="18">
        <v>5.321000333E9</v>
      </c>
      <c r="M366" s="18" t="s">
        <v>72</v>
      </c>
      <c r="N366" s="18" t="s">
        <v>1298</v>
      </c>
      <c r="O366" s="18" t="s">
        <v>3017</v>
      </c>
      <c r="P366" s="18" t="s">
        <v>7041</v>
      </c>
      <c r="Q366" s="20">
        <f>COUNTIF('Hedef Liste'!A:A,A366)</f>
        <v>1</v>
      </c>
    </row>
    <row r="367" ht="15.75" hidden="1" customHeight="1">
      <c r="A367" s="18" t="s">
        <v>2839</v>
      </c>
      <c r="B367" s="18" t="s">
        <v>2840</v>
      </c>
      <c r="C367" s="358" t="s">
        <v>7040</v>
      </c>
      <c r="D367" s="18" t="s">
        <v>356</v>
      </c>
      <c r="E367" s="359">
        <v>290.0</v>
      </c>
      <c r="F367" s="359">
        <v>17.0</v>
      </c>
      <c r="G367" s="359">
        <v>17.0</v>
      </c>
      <c r="H367" s="359">
        <v>2.0</v>
      </c>
      <c r="I367" s="359">
        <v>19.0</v>
      </c>
      <c r="J367" s="360">
        <v>0.89</v>
      </c>
      <c r="K367" s="18" t="s">
        <v>2841</v>
      </c>
      <c r="L367" s="18">
        <v>5.39229078E9</v>
      </c>
      <c r="M367" s="18" t="s">
        <v>215</v>
      </c>
      <c r="N367" s="18" t="s">
        <v>239</v>
      </c>
      <c r="O367" s="18" t="s">
        <v>2842</v>
      </c>
      <c r="P367" s="18" t="s">
        <v>7041</v>
      </c>
      <c r="Q367" s="20">
        <f>COUNTIF('Hedef Liste'!A:A,A367)</f>
        <v>1</v>
      </c>
    </row>
    <row r="368" ht="15.75" hidden="1" customHeight="1">
      <c r="A368" s="18" t="s">
        <v>3406</v>
      </c>
      <c r="B368" s="18" t="s">
        <v>3407</v>
      </c>
      <c r="C368" s="358" t="s">
        <v>7040</v>
      </c>
      <c r="D368" s="18" t="s">
        <v>363</v>
      </c>
      <c r="E368" s="359">
        <v>1024.0</v>
      </c>
      <c r="F368" s="18"/>
      <c r="G368" s="359">
        <v>66.0</v>
      </c>
      <c r="H368" s="359">
        <v>16.0</v>
      </c>
      <c r="I368" s="359">
        <v>82.0</v>
      </c>
      <c r="J368" s="360">
        <v>0.8</v>
      </c>
      <c r="K368" s="18" t="s">
        <v>3408</v>
      </c>
      <c r="L368" s="18">
        <v>5.395102033E9</v>
      </c>
      <c r="M368" s="18" t="s">
        <v>215</v>
      </c>
      <c r="N368" s="18" t="s">
        <v>779</v>
      </c>
      <c r="O368" s="18" t="s">
        <v>3409</v>
      </c>
      <c r="P368" s="18" t="s">
        <v>7041</v>
      </c>
      <c r="Q368" s="20">
        <f>COUNTIF('Hedef Liste'!A:A,A368)</f>
        <v>1</v>
      </c>
    </row>
    <row r="369" ht="15.75" hidden="1" customHeight="1">
      <c r="A369" s="18" t="s">
        <v>3909</v>
      </c>
      <c r="B369" s="18" t="s">
        <v>3910</v>
      </c>
      <c r="C369" s="358" t="s">
        <v>7040</v>
      </c>
      <c r="D369" s="18" t="s">
        <v>913</v>
      </c>
      <c r="E369" s="359">
        <v>320.0</v>
      </c>
      <c r="F369" s="359">
        <v>17.0</v>
      </c>
      <c r="G369" s="359">
        <v>0.0</v>
      </c>
      <c r="H369" s="359">
        <v>35.0</v>
      </c>
      <c r="I369" s="359">
        <v>35.0</v>
      </c>
      <c r="J369" s="360">
        <v>0.0</v>
      </c>
      <c r="K369" s="18" t="s">
        <v>3911</v>
      </c>
      <c r="L369" s="18">
        <v>5.31692971E9</v>
      </c>
      <c r="M369" s="18" t="s">
        <v>187</v>
      </c>
      <c r="N369" s="18" t="s">
        <v>1533</v>
      </c>
      <c r="O369" s="18" t="s">
        <v>3912</v>
      </c>
      <c r="P369" s="18" t="s">
        <v>7041</v>
      </c>
      <c r="Q369" s="20">
        <f>COUNTIF('Hedef Liste'!A:A,A369)</f>
        <v>1</v>
      </c>
    </row>
    <row r="370" ht="15.75" hidden="1" customHeight="1">
      <c r="A370" s="18" t="s">
        <v>1980</v>
      </c>
      <c r="B370" s="18" t="s">
        <v>7244</v>
      </c>
      <c r="C370" s="358" t="s">
        <v>7040</v>
      </c>
      <c r="D370" s="18" t="s">
        <v>884</v>
      </c>
      <c r="E370" s="359">
        <v>9.0</v>
      </c>
      <c r="F370" s="18"/>
      <c r="G370" s="359">
        <v>0.0</v>
      </c>
      <c r="H370" s="359">
        <v>21.0</v>
      </c>
      <c r="I370" s="359">
        <v>21.0</v>
      </c>
      <c r="J370" s="360">
        <v>0.0</v>
      </c>
      <c r="K370" s="18" t="s">
        <v>1982</v>
      </c>
      <c r="L370" s="18">
        <v>5.344230244E9</v>
      </c>
      <c r="M370" s="18" t="s">
        <v>72</v>
      </c>
      <c r="N370" s="18" t="s">
        <v>73</v>
      </c>
      <c r="O370" s="18" t="s">
        <v>1983</v>
      </c>
      <c r="P370" s="18" t="s">
        <v>7041</v>
      </c>
      <c r="Q370" s="20">
        <f>COUNTIF('Hedef Liste'!A:A,A370)</f>
        <v>1</v>
      </c>
    </row>
    <row r="371" ht="15.75" hidden="1" customHeight="1">
      <c r="A371" s="18" t="s">
        <v>2350</v>
      </c>
      <c r="B371" s="18" t="s">
        <v>2351</v>
      </c>
      <c r="C371" s="358" t="s">
        <v>7040</v>
      </c>
      <c r="D371" s="18" t="s">
        <v>80</v>
      </c>
      <c r="E371" s="359">
        <v>1833.0</v>
      </c>
      <c r="F371" s="359">
        <v>113.0</v>
      </c>
      <c r="G371" s="359">
        <v>0.0</v>
      </c>
      <c r="H371" s="359">
        <v>10.0</v>
      </c>
      <c r="I371" s="359">
        <v>10.0</v>
      </c>
      <c r="J371" s="360">
        <v>0.0</v>
      </c>
      <c r="K371" s="18" t="s">
        <v>2352</v>
      </c>
      <c r="L371" s="18">
        <v>5.321673162E9</v>
      </c>
      <c r="M371" s="18" t="s">
        <v>72</v>
      </c>
      <c r="N371" s="18" t="s">
        <v>82</v>
      </c>
      <c r="O371" s="18" t="s">
        <v>2353</v>
      </c>
      <c r="P371" s="18" t="s">
        <v>7041</v>
      </c>
      <c r="Q371" s="20">
        <f>COUNTIF('Hedef Liste'!A:A,A371)</f>
        <v>1</v>
      </c>
    </row>
    <row r="372" ht="15.75" hidden="1" customHeight="1">
      <c r="A372" s="18" t="s">
        <v>2239</v>
      </c>
      <c r="B372" s="18" t="s">
        <v>2240</v>
      </c>
      <c r="C372" s="358" t="s">
        <v>7040</v>
      </c>
      <c r="D372" s="18" t="s">
        <v>363</v>
      </c>
      <c r="E372" s="359">
        <v>31.0</v>
      </c>
      <c r="F372" s="18"/>
      <c r="G372" s="359">
        <v>16.0</v>
      </c>
      <c r="H372" s="359">
        <v>10.0</v>
      </c>
      <c r="I372" s="359">
        <v>26.0</v>
      </c>
      <c r="J372" s="360">
        <v>0.62</v>
      </c>
      <c r="K372" s="18" t="s">
        <v>2241</v>
      </c>
      <c r="L372" s="18">
        <v>5.498207302E9</v>
      </c>
      <c r="M372" s="18" t="s">
        <v>137</v>
      </c>
      <c r="N372" s="18" t="s">
        <v>318</v>
      </c>
      <c r="O372" s="18" t="s">
        <v>2242</v>
      </c>
      <c r="P372" s="18" t="s">
        <v>7041</v>
      </c>
      <c r="Q372" s="20">
        <f>COUNTIF('Hedef Liste'!A:A,A372)</f>
        <v>1</v>
      </c>
    </row>
    <row r="373" ht="15.75" hidden="1" customHeight="1">
      <c r="A373" s="18" t="s">
        <v>2244</v>
      </c>
      <c r="B373" s="18" t="s">
        <v>2245</v>
      </c>
      <c r="C373" s="358" t="s">
        <v>7040</v>
      </c>
      <c r="D373" s="18" t="s">
        <v>363</v>
      </c>
      <c r="E373" s="359">
        <v>66.0</v>
      </c>
      <c r="F373" s="18"/>
      <c r="G373" s="359">
        <v>9.0</v>
      </c>
      <c r="H373" s="359">
        <v>2.0</v>
      </c>
      <c r="I373" s="359">
        <v>11.0</v>
      </c>
      <c r="J373" s="360">
        <v>0.82</v>
      </c>
      <c r="K373" s="18" t="s">
        <v>2241</v>
      </c>
      <c r="L373" s="18">
        <v>5.498207305E9</v>
      </c>
      <c r="M373" s="18" t="s">
        <v>156</v>
      </c>
      <c r="N373" s="18" t="s">
        <v>306</v>
      </c>
      <c r="O373" s="18" t="s">
        <v>2246</v>
      </c>
      <c r="P373" s="18" t="s">
        <v>7041</v>
      </c>
      <c r="Q373" s="20">
        <f>COUNTIF('Hedef Liste'!A:A,A373)</f>
        <v>1</v>
      </c>
    </row>
    <row r="374" ht="15.75" hidden="1" customHeight="1">
      <c r="A374" s="18" t="s">
        <v>7245</v>
      </c>
      <c r="B374" s="18" t="s">
        <v>7246</v>
      </c>
      <c r="C374" s="358" t="s">
        <v>7062</v>
      </c>
      <c r="D374" s="18" t="s">
        <v>363</v>
      </c>
      <c r="F374" s="18"/>
      <c r="G374" s="359">
        <v>60.0</v>
      </c>
      <c r="H374" s="359">
        <v>5.0</v>
      </c>
      <c r="I374" s="359">
        <v>65.0</v>
      </c>
      <c r="J374" s="360">
        <v>0.92</v>
      </c>
      <c r="K374" s="18" t="s">
        <v>2241</v>
      </c>
      <c r="L374" s="18">
        <v>5.498207304E9</v>
      </c>
      <c r="M374" s="18" t="s">
        <v>47</v>
      </c>
      <c r="N374" s="18" t="s">
        <v>489</v>
      </c>
      <c r="O374" s="18" t="s">
        <v>7247</v>
      </c>
      <c r="P374" s="18" t="s">
        <v>7041</v>
      </c>
      <c r="Q374" s="20">
        <f>COUNTIF('Hedef Liste'!A:A,A374)</f>
        <v>0</v>
      </c>
    </row>
    <row r="375" ht="15.75" hidden="1" customHeight="1">
      <c r="A375" s="18" t="s">
        <v>1961</v>
      </c>
      <c r="B375" s="18" t="s">
        <v>1962</v>
      </c>
      <c r="C375" s="358" t="s">
        <v>7040</v>
      </c>
      <c r="D375" s="18" t="s">
        <v>913</v>
      </c>
      <c r="E375" s="359">
        <v>245.0</v>
      </c>
      <c r="F375" s="359">
        <v>29.0</v>
      </c>
      <c r="G375" s="359">
        <v>15.0</v>
      </c>
      <c r="H375" s="359">
        <v>25.0</v>
      </c>
      <c r="I375" s="359">
        <v>40.0</v>
      </c>
      <c r="J375" s="360">
        <v>0.38</v>
      </c>
      <c r="K375" s="18" t="s">
        <v>1963</v>
      </c>
      <c r="L375" s="18">
        <v>5.362117079E9</v>
      </c>
      <c r="M375" s="18" t="s">
        <v>137</v>
      </c>
      <c r="N375" s="18" t="s">
        <v>845</v>
      </c>
      <c r="O375" s="18" t="s">
        <v>1964</v>
      </c>
      <c r="P375" s="18" t="s">
        <v>7041</v>
      </c>
      <c r="Q375" s="20">
        <f>COUNTIF('Hedef Liste'!A:A,A375)</f>
        <v>1</v>
      </c>
    </row>
    <row r="376" ht="15.75" hidden="1" customHeight="1">
      <c r="A376" s="18" t="s">
        <v>7248</v>
      </c>
      <c r="B376" s="18" t="s">
        <v>7249</v>
      </c>
      <c r="C376" s="358" t="s">
        <v>7040</v>
      </c>
      <c r="D376" s="18" t="s">
        <v>106</v>
      </c>
      <c r="E376" s="359">
        <v>21007.0</v>
      </c>
      <c r="F376" s="359">
        <v>993.0</v>
      </c>
      <c r="G376" s="359">
        <v>79.0</v>
      </c>
      <c r="H376" s="359">
        <v>1.0</v>
      </c>
      <c r="I376" s="359">
        <v>80.0</v>
      </c>
      <c r="J376" s="360">
        <v>0.99</v>
      </c>
      <c r="K376" s="18" t="s">
        <v>7084</v>
      </c>
      <c r="L376" s="18">
        <v>1.111111111E9</v>
      </c>
      <c r="M376" s="18" t="s">
        <v>63</v>
      </c>
      <c r="N376" s="18" t="s">
        <v>318</v>
      </c>
      <c r="O376" s="18" t="s">
        <v>7250</v>
      </c>
      <c r="P376" s="18" t="s">
        <v>7047</v>
      </c>
      <c r="Q376" s="20">
        <f>COUNTIF('Hedef Liste'!A:A,A376)</f>
        <v>0</v>
      </c>
    </row>
    <row r="377" ht="15.75" hidden="1" customHeight="1">
      <c r="A377" s="18" t="s">
        <v>3457</v>
      </c>
      <c r="B377" s="18" t="s">
        <v>3458</v>
      </c>
      <c r="C377" s="358" t="s">
        <v>7040</v>
      </c>
      <c r="D377" s="18" t="s">
        <v>167</v>
      </c>
      <c r="E377" s="359">
        <v>3875.0</v>
      </c>
      <c r="F377" s="359">
        <v>97.0</v>
      </c>
      <c r="G377" s="359">
        <v>64.0</v>
      </c>
      <c r="H377" s="359">
        <v>1.0</v>
      </c>
      <c r="I377" s="359">
        <v>65.0</v>
      </c>
      <c r="J377" s="360">
        <v>0.98</v>
      </c>
      <c r="K377" s="18" t="s">
        <v>3459</v>
      </c>
      <c r="L377" s="18">
        <v>5.330848601E9</v>
      </c>
      <c r="M377" s="18" t="s">
        <v>72</v>
      </c>
      <c r="N377" s="18" t="s">
        <v>915</v>
      </c>
      <c r="O377" s="18" t="s">
        <v>7251</v>
      </c>
      <c r="P377" s="18" t="s">
        <v>7047</v>
      </c>
      <c r="Q377" s="20">
        <f>COUNTIF('Hedef Liste'!A:A,A377)</f>
        <v>1</v>
      </c>
    </row>
    <row r="378" ht="15.75" hidden="1" customHeight="1">
      <c r="A378" s="18" t="s">
        <v>3472</v>
      </c>
      <c r="B378" s="18" t="s">
        <v>3473</v>
      </c>
      <c r="C378" s="358" t="s">
        <v>7040</v>
      </c>
      <c r="D378" s="18" t="s">
        <v>167</v>
      </c>
      <c r="E378" s="359">
        <v>1239.0</v>
      </c>
      <c r="F378" s="359">
        <v>36.0</v>
      </c>
      <c r="G378" s="359">
        <v>37.0</v>
      </c>
      <c r="H378" s="359">
        <v>0.0</v>
      </c>
      <c r="I378" s="359">
        <v>37.0</v>
      </c>
      <c r="J378" s="360">
        <v>1.0</v>
      </c>
      <c r="K378" s="18" t="s">
        <v>3474</v>
      </c>
      <c r="L378" s="18">
        <v>5.345884492E9</v>
      </c>
      <c r="M378" s="18" t="s">
        <v>137</v>
      </c>
      <c r="N378" s="18" t="s">
        <v>426</v>
      </c>
      <c r="O378" s="18" t="s">
        <v>3475</v>
      </c>
      <c r="P378" s="18" t="s">
        <v>7047</v>
      </c>
      <c r="Q378" s="20">
        <f>COUNTIF('Hedef Liste'!A:A,A378)</f>
        <v>1</v>
      </c>
    </row>
    <row r="379" ht="15.75" hidden="1" customHeight="1">
      <c r="A379" s="18" t="s">
        <v>4364</v>
      </c>
      <c r="B379" s="18" t="s">
        <v>4365</v>
      </c>
      <c r="C379" s="358" t="s">
        <v>7040</v>
      </c>
      <c r="D379" s="18" t="s">
        <v>70</v>
      </c>
      <c r="E379" s="359">
        <v>1557.0</v>
      </c>
      <c r="F379" s="359">
        <v>42.0</v>
      </c>
      <c r="G379" s="359">
        <v>12.0</v>
      </c>
      <c r="H379" s="359">
        <v>9.0</v>
      </c>
      <c r="I379" s="359">
        <v>21.0</v>
      </c>
      <c r="J379" s="360">
        <v>0.57</v>
      </c>
      <c r="K379" s="18" t="s">
        <v>4366</v>
      </c>
      <c r="L379" s="18">
        <v>5.436603419E9</v>
      </c>
      <c r="M379" s="18" t="s">
        <v>63</v>
      </c>
      <c r="N379" s="18" t="s">
        <v>93</v>
      </c>
      <c r="O379" s="18" t="s">
        <v>4367</v>
      </c>
      <c r="P379" s="18" t="s">
        <v>7041</v>
      </c>
      <c r="Q379" s="20">
        <f>COUNTIF('Hedef Liste'!A:A,A379)</f>
        <v>1</v>
      </c>
    </row>
    <row r="380" ht="15.75" hidden="1" customHeight="1">
      <c r="A380" s="18" t="s">
        <v>3493</v>
      </c>
      <c r="B380" s="18" t="s">
        <v>3494</v>
      </c>
      <c r="C380" s="358" t="s">
        <v>7040</v>
      </c>
      <c r="D380" s="18" t="s">
        <v>167</v>
      </c>
      <c r="E380" s="359">
        <v>287.0</v>
      </c>
      <c r="F380" s="359">
        <v>8.0</v>
      </c>
      <c r="G380" s="359">
        <v>68.0</v>
      </c>
      <c r="H380" s="359">
        <v>4.0</v>
      </c>
      <c r="I380" s="359">
        <v>72.0</v>
      </c>
      <c r="J380" s="360">
        <v>0.94</v>
      </c>
      <c r="K380" s="18" t="s">
        <v>3495</v>
      </c>
      <c r="L380" s="18">
        <v>5.526654233E9</v>
      </c>
      <c r="M380" s="18" t="s">
        <v>156</v>
      </c>
      <c r="N380" s="18" t="s">
        <v>3496</v>
      </c>
      <c r="O380" s="18" t="s">
        <v>3497</v>
      </c>
      <c r="P380" s="18" t="s">
        <v>7047</v>
      </c>
      <c r="Q380" s="20">
        <f>COUNTIF('Hedef Liste'!A:A,A380)</f>
        <v>1</v>
      </c>
    </row>
    <row r="381" ht="15.75" hidden="1" customHeight="1">
      <c r="A381" s="18" t="s">
        <v>3528</v>
      </c>
      <c r="B381" s="18" t="s">
        <v>3529</v>
      </c>
      <c r="C381" s="358" t="s">
        <v>7040</v>
      </c>
      <c r="D381" s="18" t="s">
        <v>167</v>
      </c>
      <c r="E381" s="359">
        <v>1554.0</v>
      </c>
      <c r="F381" s="359">
        <v>82.0</v>
      </c>
      <c r="G381" s="359">
        <v>66.0</v>
      </c>
      <c r="H381" s="359">
        <v>0.0</v>
      </c>
      <c r="I381" s="359">
        <v>66.0</v>
      </c>
      <c r="J381" s="360">
        <v>1.0</v>
      </c>
      <c r="K381" s="18" t="s">
        <v>3530</v>
      </c>
      <c r="L381" s="18">
        <v>3.249990535E9</v>
      </c>
      <c r="M381" s="18" t="s">
        <v>72</v>
      </c>
      <c r="N381" s="18" t="s">
        <v>181</v>
      </c>
      <c r="O381" s="18" t="s">
        <v>3531</v>
      </c>
      <c r="P381" s="18" t="s">
        <v>7047</v>
      </c>
      <c r="Q381" s="20">
        <f>COUNTIF('Hedef Liste'!A:A,A381)</f>
        <v>1</v>
      </c>
    </row>
    <row r="382" ht="15.75" hidden="1" customHeight="1">
      <c r="A382" s="18" t="s">
        <v>3539</v>
      </c>
      <c r="B382" s="18" t="s">
        <v>7252</v>
      </c>
      <c r="C382" s="358" t="s">
        <v>7040</v>
      </c>
      <c r="D382" s="18" t="s">
        <v>167</v>
      </c>
      <c r="E382" s="359">
        <v>192.0</v>
      </c>
      <c r="F382" s="18"/>
      <c r="G382" s="359">
        <v>61.0</v>
      </c>
      <c r="H382" s="359">
        <v>0.0</v>
      </c>
      <c r="I382" s="359">
        <v>61.0</v>
      </c>
      <c r="J382" s="360">
        <v>1.0</v>
      </c>
      <c r="K382" s="18" t="s">
        <v>3541</v>
      </c>
      <c r="L382" s="18">
        <v>5.413305333E9</v>
      </c>
      <c r="M382" s="18" t="s">
        <v>156</v>
      </c>
      <c r="N382" s="18" t="s">
        <v>252</v>
      </c>
      <c r="O382" s="18" t="s">
        <v>3542</v>
      </c>
      <c r="P382" s="18" t="s">
        <v>7047</v>
      </c>
      <c r="Q382" s="20">
        <f>COUNTIF('Hedef Liste'!A:A,A382)</f>
        <v>1</v>
      </c>
    </row>
    <row r="383" ht="15.75" hidden="1" customHeight="1">
      <c r="A383" s="18" t="s">
        <v>2547</v>
      </c>
      <c r="B383" s="18" t="s">
        <v>2548</v>
      </c>
      <c r="C383" s="358" t="s">
        <v>7040</v>
      </c>
      <c r="D383" s="18" t="s">
        <v>913</v>
      </c>
      <c r="E383" s="359">
        <v>252.0</v>
      </c>
      <c r="F383" s="18"/>
      <c r="G383" s="359">
        <v>22.0</v>
      </c>
      <c r="H383" s="359">
        <v>12.0</v>
      </c>
      <c r="I383" s="359">
        <v>34.0</v>
      </c>
      <c r="J383" s="360">
        <v>0.65</v>
      </c>
      <c r="K383" s="18" t="s">
        <v>2549</v>
      </c>
      <c r="L383" s="18">
        <v>3.243910061E9</v>
      </c>
      <c r="M383" s="18" t="s">
        <v>72</v>
      </c>
      <c r="N383" s="18" t="s">
        <v>509</v>
      </c>
      <c r="O383" s="18" t="s">
        <v>2550</v>
      </c>
      <c r="P383" s="18" t="s">
        <v>7041</v>
      </c>
      <c r="Q383" s="20">
        <f>COUNTIF('Hedef Liste'!A:A,A383)</f>
        <v>1</v>
      </c>
    </row>
    <row r="384" ht="15.75" hidden="1" customHeight="1">
      <c r="A384" s="18" t="s">
        <v>3485</v>
      </c>
      <c r="B384" s="18" t="s">
        <v>3486</v>
      </c>
      <c r="C384" s="358" t="s">
        <v>7040</v>
      </c>
      <c r="D384" s="18" t="s">
        <v>167</v>
      </c>
      <c r="E384" s="359">
        <v>4012.0</v>
      </c>
      <c r="F384" s="359">
        <v>108.0</v>
      </c>
      <c r="G384" s="359">
        <v>46.0</v>
      </c>
      <c r="H384" s="359">
        <v>0.0</v>
      </c>
      <c r="I384" s="359">
        <v>46.0</v>
      </c>
      <c r="J384" s="360">
        <v>1.0</v>
      </c>
      <c r="K384" s="18" t="s">
        <v>3487</v>
      </c>
      <c r="L384" s="18">
        <v>5.388990133E9</v>
      </c>
      <c r="M384" s="18" t="s">
        <v>63</v>
      </c>
      <c r="N384" s="18" t="s">
        <v>137</v>
      </c>
      <c r="O384" s="18" t="s">
        <v>3488</v>
      </c>
      <c r="P384" s="18" t="s">
        <v>7047</v>
      </c>
      <c r="Q384" s="20">
        <f>COUNTIF('Hedef Liste'!A:A,A384)</f>
        <v>1</v>
      </c>
    </row>
    <row r="385" ht="15.75" hidden="1" customHeight="1">
      <c r="A385" s="18" t="s">
        <v>3502</v>
      </c>
      <c r="B385" s="18" t="s">
        <v>3503</v>
      </c>
      <c r="C385" s="358" t="s">
        <v>7040</v>
      </c>
      <c r="D385" s="18" t="s">
        <v>167</v>
      </c>
      <c r="E385" s="359">
        <v>348.0</v>
      </c>
      <c r="F385" s="359">
        <v>25.0</v>
      </c>
      <c r="G385" s="359">
        <v>63.0</v>
      </c>
      <c r="H385" s="359">
        <v>0.0</v>
      </c>
      <c r="I385" s="359">
        <v>63.0</v>
      </c>
      <c r="J385" s="360">
        <v>1.0</v>
      </c>
      <c r="K385" s="18" t="s">
        <v>3504</v>
      </c>
      <c r="L385" s="18">
        <v>5.464713033E9</v>
      </c>
      <c r="M385" s="18" t="s">
        <v>156</v>
      </c>
      <c r="N385" s="18" t="s">
        <v>301</v>
      </c>
      <c r="O385" s="18" t="s">
        <v>3505</v>
      </c>
      <c r="P385" s="18" t="s">
        <v>7047</v>
      </c>
      <c r="Q385" s="20">
        <f>COUNTIF('Hedef Liste'!A:A,A385)</f>
        <v>1</v>
      </c>
    </row>
    <row r="386" ht="15.75" hidden="1" customHeight="1">
      <c r="A386" s="18" t="s">
        <v>3521</v>
      </c>
      <c r="B386" s="18" t="s">
        <v>3522</v>
      </c>
      <c r="C386" s="358" t="s">
        <v>7040</v>
      </c>
      <c r="D386" s="18" t="s">
        <v>167</v>
      </c>
      <c r="E386" s="359">
        <v>4283.0</v>
      </c>
      <c r="F386" s="359">
        <v>221.0</v>
      </c>
      <c r="G386" s="359">
        <v>23.0</v>
      </c>
      <c r="H386" s="359">
        <v>2.0</v>
      </c>
      <c r="I386" s="359">
        <v>25.0</v>
      </c>
      <c r="J386" s="360">
        <v>0.92</v>
      </c>
      <c r="K386" s="18" t="s">
        <v>3523</v>
      </c>
      <c r="L386" s="18">
        <v>5.539494979E9</v>
      </c>
      <c r="M386" s="18" t="s">
        <v>72</v>
      </c>
      <c r="N386" s="18" t="s">
        <v>82</v>
      </c>
      <c r="O386" s="18" t="s">
        <v>3524</v>
      </c>
      <c r="P386" s="18" t="s">
        <v>7047</v>
      </c>
      <c r="Q386" s="20">
        <f>COUNTIF('Hedef Liste'!A:A,A386)</f>
        <v>1</v>
      </c>
    </row>
    <row r="387" ht="15.75" hidden="1" customHeight="1">
      <c r="A387" s="18" t="s">
        <v>3498</v>
      </c>
      <c r="B387" s="18" t="s">
        <v>3499</v>
      </c>
      <c r="C387" s="358" t="s">
        <v>7040</v>
      </c>
      <c r="D387" s="18" t="s">
        <v>167</v>
      </c>
      <c r="E387" s="359">
        <v>421.0</v>
      </c>
      <c r="F387" s="359">
        <v>8.0</v>
      </c>
      <c r="G387" s="359">
        <v>25.0</v>
      </c>
      <c r="H387" s="359">
        <v>2.0</v>
      </c>
      <c r="I387" s="359">
        <v>27.0</v>
      </c>
      <c r="J387" s="360">
        <v>0.93</v>
      </c>
      <c r="K387" s="18" t="s">
        <v>3500</v>
      </c>
      <c r="L387" s="18">
        <v>5.355038334E9</v>
      </c>
      <c r="M387" s="18" t="s">
        <v>156</v>
      </c>
      <c r="N387" s="18" t="s">
        <v>7253</v>
      </c>
      <c r="O387" s="18" t="s">
        <v>3501</v>
      </c>
      <c r="P387" s="18" t="s">
        <v>7047</v>
      </c>
      <c r="Q387" s="20">
        <f>COUNTIF('Hedef Liste'!A:A,A387)</f>
        <v>1</v>
      </c>
    </row>
    <row r="388" ht="15.75" hidden="1" customHeight="1">
      <c r="A388" s="18" t="s">
        <v>3506</v>
      </c>
      <c r="B388" s="18" t="s">
        <v>3507</v>
      </c>
      <c r="C388" s="358" t="s">
        <v>7040</v>
      </c>
      <c r="D388" s="18" t="s">
        <v>167</v>
      </c>
      <c r="E388" s="359">
        <v>412.0</v>
      </c>
      <c r="F388" s="359">
        <v>24.0</v>
      </c>
      <c r="G388" s="359">
        <v>97.0</v>
      </c>
      <c r="H388" s="359">
        <v>92.0</v>
      </c>
      <c r="I388" s="359">
        <v>189.0</v>
      </c>
      <c r="J388" s="360">
        <v>0.51</v>
      </c>
      <c r="K388" s="18" t="s">
        <v>3508</v>
      </c>
      <c r="L388" s="18">
        <v>5.4322603E9</v>
      </c>
      <c r="M388" s="18" t="s">
        <v>215</v>
      </c>
      <c r="N388" s="18" t="s">
        <v>658</v>
      </c>
      <c r="O388" s="18" t="s">
        <v>3509</v>
      </c>
      <c r="P388" s="18" t="s">
        <v>7047</v>
      </c>
      <c r="Q388" s="20">
        <f>COUNTIF('Hedef Liste'!A:A,A388)</f>
        <v>1</v>
      </c>
    </row>
    <row r="389" ht="15.75" hidden="1" customHeight="1">
      <c r="A389" s="18" t="s">
        <v>3571</v>
      </c>
      <c r="B389" s="18" t="s">
        <v>3572</v>
      </c>
      <c r="C389" s="358" t="s">
        <v>7040</v>
      </c>
      <c r="D389" s="18" t="s">
        <v>118</v>
      </c>
      <c r="E389" s="359">
        <v>2278.0</v>
      </c>
      <c r="F389" s="359">
        <v>76.0</v>
      </c>
      <c r="G389" s="359">
        <v>0.0</v>
      </c>
      <c r="H389" s="359">
        <v>18.0</v>
      </c>
      <c r="I389" s="359">
        <v>18.0</v>
      </c>
      <c r="J389" s="360">
        <v>0.0</v>
      </c>
      <c r="K389" s="18" t="s">
        <v>3573</v>
      </c>
      <c r="L389" s="18">
        <v>3.24336466E9</v>
      </c>
      <c r="M389" s="18" t="s">
        <v>137</v>
      </c>
      <c r="N389" s="18" t="s">
        <v>526</v>
      </c>
      <c r="O389" s="18" t="s">
        <v>3574</v>
      </c>
      <c r="P389" s="18" t="s">
        <v>7041</v>
      </c>
      <c r="Q389" s="20">
        <f>COUNTIF('Hedef Liste'!A:A,A389)</f>
        <v>1</v>
      </c>
    </row>
    <row r="390" ht="15.75" hidden="1" customHeight="1">
      <c r="A390" s="18" t="s">
        <v>1763</v>
      </c>
      <c r="B390" s="18" t="s">
        <v>1764</v>
      </c>
      <c r="C390" s="358" t="s">
        <v>7040</v>
      </c>
      <c r="D390" s="18" t="s">
        <v>80</v>
      </c>
      <c r="E390" s="359">
        <v>580.0</v>
      </c>
      <c r="F390" s="359">
        <v>39.0</v>
      </c>
      <c r="G390" s="359">
        <v>1.0</v>
      </c>
      <c r="H390" s="359">
        <v>10.0</v>
      </c>
      <c r="I390" s="359">
        <v>11.0</v>
      </c>
      <c r="J390" s="360">
        <v>0.09</v>
      </c>
      <c r="K390" s="18" t="s">
        <v>1765</v>
      </c>
      <c r="L390" s="18">
        <v>3.247414013E9</v>
      </c>
      <c r="M390" s="18" t="s">
        <v>187</v>
      </c>
      <c r="N390" s="18" t="s">
        <v>1533</v>
      </c>
      <c r="O390" s="18" t="s">
        <v>1766</v>
      </c>
      <c r="P390" s="18" t="s">
        <v>7041</v>
      </c>
      <c r="Q390" s="20">
        <f>COUNTIF('Hedef Liste'!A:A,A390)</f>
        <v>1</v>
      </c>
    </row>
    <row r="391" ht="15.75" hidden="1" customHeight="1">
      <c r="A391" s="18" t="s">
        <v>3334</v>
      </c>
      <c r="B391" s="18" t="s">
        <v>3335</v>
      </c>
      <c r="C391" s="358" t="s">
        <v>7040</v>
      </c>
      <c r="D391" s="18" t="s">
        <v>356</v>
      </c>
      <c r="E391" s="359">
        <v>1790.0</v>
      </c>
      <c r="F391" s="359">
        <v>103.0</v>
      </c>
      <c r="G391" s="359">
        <v>23.0</v>
      </c>
      <c r="H391" s="359">
        <v>6.0</v>
      </c>
      <c r="I391" s="359">
        <v>29.0</v>
      </c>
      <c r="J391" s="360">
        <v>0.79</v>
      </c>
      <c r="K391" s="18" t="s">
        <v>3336</v>
      </c>
      <c r="L391" s="18">
        <v>5.3364706E9</v>
      </c>
      <c r="M391" s="18" t="s">
        <v>72</v>
      </c>
      <c r="N391" s="18" t="s">
        <v>1090</v>
      </c>
      <c r="O391" s="18" t="s">
        <v>3337</v>
      </c>
      <c r="P391" s="18" t="s">
        <v>7041</v>
      </c>
      <c r="Q391" s="20">
        <f>COUNTIF('Hedef Liste'!A:A,A391)</f>
        <v>1</v>
      </c>
    </row>
    <row r="392" ht="15.75" hidden="1" customHeight="1">
      <c r="A392" s="18" t="s">
        <v>4062</v>
      </c>
      <c r="B392" s="18" t="s">
        <v>4063</v>
      </c>
      <c r="C392" s="358" t="s">
        <v>7040</v>
      </c>
      <c r="D392" s="18" t="s">
        <v>564</v>
      </c>
      <c r="E392" s="359">
        <v>4714.0</v>
      </c>
      <c r="F392" s="359">
        <v>148.0</v>
      </c>
      <c r="G392" s="359">
        <v>31.0</v>
      </c>
      <c r="H392" s="359">
        <v>28.0</v>
      </c>
      <c r="I392" s="359">
        <v>59.0</v>
      </c>
      <c r="J392" s="360">
        <v>0.53</v>
      </c>
      <c r="K392" s="18" t="s">
        <v>4064</v>
      </c>
      <c r="L392" s="18">
        <v>3.243287974E9</v>
      </c>
      <c r="M392" s="18" t="s">
        <v>72</v>
      </c>
      <c r="N392" s="18" t="s">
        <v>128</v>
      </c>
      <c r="O392" s="18" t="s">
        <v>4065</v>
      </c>
      <c r="P392" s="18" t="s">
        <v>7041</v>
      </c>
      <c r="Q392" s="20">
        <f>COUNTIF('Hedef Liste'!A:A,A392)</f>
        <v>1</v>
      </c>
    </row>
    <row r="393" ht="15.75" hidden="1" customHeight="1">
      <c r="A393" s="18" t="s">
        <v>2271</v>
      </c>
      <c r="B393" s="18" t="s">
        <v>2272</v>
      </c>
      <c r="C393" s="358" t="s">
        <v>7040</v>
      </c>
      <c r="D393" s="18" t="s">
        <v>45</v>
      </c>
      <c r="E393" s="359">
        <v>312.0</v>
      </c>
      <c r="F393" s="359">
        <v>9.0</v>
      </c>
      <c r="G393" s="359">
        <v>0.0</v>
      </c>
      <c r="H393" s="359">
        <v>83.0</v>
      </c>
      <c r="I393" s="359">
        <v>83.0</v>
      </c>
      <c r="J393" s="360">
        <v>0.0</v>
      </c>
      <c r="K393" s="18" t="s">
        <v>2273</v>
      </c>
      <c r="L393" s="18">
        <v>3.247140627E9</v>
      </c>
      <c r="M393" s="18" t="s">
        <v>187</v>
      </c>
      <c r="N393" s="18" t="s">
        <v>7254</v>
      </c>
      <c r="O393" s="18" t="s">
        <v>2274</v>
      </c>
      <c r="P393" s="18" t="s">
        <v>7041</v>
      </c>
      <c r="Q393" s="20">
        <f>COUNTIF('Hedef Liste'!A:A,A393)</f>
        <v>1</v>
      </c>
    </row>
    <row r="394" ht="15.75" hidden="1" customHeight="1">
      <c r="A394" s="18" t="s">
        <v>3603</v>
      </c>
      <c r="B394" s="18" t="s">
        <v>3604</v>
      </c>
      <c r="C394" s="358" t="s">
        <v>7040</v>
      </c>
      <c r="D394" s="18" t="s">
        <v>451</v>
      </c>
      <c r="E394" s="359">
        <v>4527.0</v>
      </c>
      <c r="F394" s="359">
        <v>237.0</v>
      </c>
      <c r="G394" s="359">
        <v>9.0</v>
      </c>
      <c r="H394" s="359">
        <v>21.0</v>
      </c>
      <c r="I394" s="359">
        <v>30.0</v>
      </c>
      <c r="J394" s="360">
        <v>0.3</v>
      </c>
      <c r="K394" s="18" t="s">
        <v>3605</v>
      </c>
      <c r="L394" s="18">
        <v>5.304418201E9</v>
      </c>
      <c r="M394" s="18" t="s">
        <v>63</v>
      </c>
      <c r="N394" s="18" t="s">
        <v>700</v>
      </c>
      <c r="O394" s="18" t="s">
        <v>3606</v>
      </c>
      <c r="P394" s="18" t="s">
        <v>7041</v>
      </c>
      <c r="Q394" s="20">
        <f>COUNTIF('Hedef Liste'!A:A,A394)</f>
        <v>1</v>
      </c>
    </row>
    <row r="395" ht="15.75" hidden="1" customHeight="1">
      <c r="A395" s="18" t="s">
        <v>1727</v>
      </c>
      <c r="B395" s="18" t="s">
        <v>1728</v>
      </c>
      <c r="C395" s="358" t="s">
        <v>7040</v>
      </c>
      <c r="D395" s="18" t="s">
        <v>118</v>
      </c>
      <c r="E395" s="359">
        <v>5237.0</v>
      </c>
      <c r="F395" s="359">
        <v>85.0</v>
      </c>
      <c r="G395" s="359">
        <v>8.0</v>
      </c>
      <c r="H395" s="359">
        <v>1.0</v>
      </c>
      <c r="I395" s="359">
        <v>9.0</v>
      </c>
      <c r="J395" s="360">
        <v>0.89</v>
      </c>
      <c r="K395" s="18" t="s">
        <v>1729</v>
      </c>
      <c r="L395" s="18">
        <v>3.243588794E9</v>
      </c>
      <c r="M395" s="18" t="s">
        <v>63</v>
      </c>
      <c r="N395" s="18" t="s">
        <v>566</v>
      </c>
      <c r="O395" s="18" t="s">
        <v>1730</v>
      </c>
      <c r="P395" s="18" t="s">
        <v>7041</v>
      </c>
      <c r="Q395" s="20">
        <f>COUNTIF('Hedef Liste'!A:A,A395)</f>
        <v>1</v>
      </c>
    </row>
    <row r="396" ht="15.75" hidden="1" customHeight="1">
      <c r="A396" s="18" t="s">
        <v>1755</v>
      </c>
      <c r="B396" s="18" t="s">
        <v>1756</v>
      </c>
      <c r="C396" s="358" t="s">
        <v>7040</v>
      </c>
      <c r="D396" s="18" t="s">
        <v>363</v>
      </c>
      <c r="E396" s="359">
        <v>298.0</v>
      </c>
      <c r="F396" s="359">
        <v>28.0</v>
      </c>
      <c r="G396" s="359">
        <v>0.0</v>
      </c>
      <c r="H396" s="359">
        <v>53.0</v>
      </c>
      <c r="I396" s="359">
        <v>53.0</v>
      </c>
      <c r="J396" s="360">
        <v>0.0</v>
      </c>
      <c r="K396" s="18" t="s">
        <v>1753</v>
      </c>
      <c r="L396" s="18">
        <v>3.246258142E9</v>
      </c>
      <c r="M396" s="18" t="s">
        <v>156</v>
      </c>
      <c r="N396" s="18" t="s">
        <v>3638</v>
      </c>
      <c r="O396" s="18" t="s">
        <v>1757</v>
      </c>
      <c r="P396" s="18" t="s">
        <v>7041</v>
      </c>
      <c r="Q396" s="20">
        <f>COUNTIF('Hedef Liste'!A:A,A396)</f>
        <v>1</v>
      </c>
    </row>
    <row r="397" ht="15.75" hidden="1" customHeight="1">
      <c r="A397" s="18" t="s">
        <v>3742</v>
      </c>
      <c r="B397" s="18" t="s">
        <v>3743</v>
      </c>
      <c r="C397" s="358" t="s">
        <v>7040</v>
      </c>
      <c r="D397" s="18" t="s">
        <v>106</v>
      </c>
      <c r="E397" s="359">
        <v>303.0</v>
      </c>
      <c r="F397" s="359">
        <v>17.0</v>
      </c>
      <c r="G397" s="359">
        <v>0.0</v>
      </c>
      <c r="H397" s="359">
        <v>24.0</v>
      </c>
      <c r="I397" s="359">
        <v>24.0</v>
      </c>
      <c r="J397" s="360">
        <v>0.0</v>
      </c>
      <c r="K397" s="18" t="s">
        <v>3482</v>
      </c>
      <c r="L397" s="18">
        <v>5.431560016E9</v>
      </c>
      <c r="M397" s="18" t="s">
        <v>47</v>
      </c>
      <c r="N397" s="18" t="s">
        <v>3483</v>
      </c>
      <c r="O397" s="18" t="s">
        <v>3744</v>
      </c>
      <c r="P397" s="18" t="s">
        <v>7041</v>
      </c>
      <c r="Q397" s="20">
        <f>COUNTIF('Hedef Liste'!A:A,A397)</f>
        <v>1</v>
      </c>
    </row>
    <row r="398" ht="15.75" hidden="1" customHeight="1">
      <c r="A398" s="18" t="s">
        <v>1624</v>
      </c>
      <c r="B398" s="18" t="s">
        <v>1625</v>
      </c>
      <c r="C398" s="358" t="s">
        <v>7040</v>
      </c>
      <c r="D398" s="18" t="s">
        <v>363</v>
      </c>
      <c r="E398" s="359">
        <v>892.0</v>
      </c>
      <c r="F398" s="359">
        <v>33.0</v>
      </c>
      <c r="G398" s="359">
        <v>5.0</v>
      </c>
      <c r="H398" s="359">
        <v>2.0</v>
      </c>
      <c r="I398" s="359">
        <v>7.0</v>
      </c>
      <c r="J398" s="360">
        <v>0.71</v>
      </c>
      <c r="K398" s="18" t="s">
        <v>1626</v>
      </c>
      <c r="L398" s="18">
        <v>3.242320702E9</v>
      </c>
      <c r="M398" s="18" t="s">
        <v>72</v>
      </c>
      <c r="N398" s="18" t="s">
        <v>1298</v>
      </c>
      <c r="O398" s="18" t="s">
        <v>1627</v>
      </c>
      <c r="P398" s="18" t="s">
        <v>7041</v>
      </c>
      <c r="Q398" s="20">
        <f>COUNTIF('Hedef Liste'!A:A,A398)</f>
        <v>1</v>
      </c>
    </row>
    <row r="399" ht="15.75" hidden="1" customHeight="1">
      <c r="A399" s="18" t="s">
        <v>3005</v>
      </c>
      <c r="B399" s="18" t="s">
        <v>3006</v>
      </c>
      <c r="C399" s="358" t="s">
        <v>7062</v>
      </c>
      <c r="D399" s="18" t="s">
        <v>118</v>
      </c>
      <c r="E399" s="359">
        <v>65.0</v>
      </c>
      <c r="F399" s="18"/>
      <c r="G399" s="359">
        <v>0.0</v>
      </c>
      <c r="H399" s="359">
        <v>18.0</v>
      </c>
      <c r="I399" s="359">
        <v>18.0</v>
      </c>
      <c r="J399" s="360">
        <v>0.0</v>
      </c>
      <c r="K399" s="18" t="s">
        <v>3007</v>
      </c>
      <c r="L399" s="18">
        <v>3.24502404E9</v>
      </c>
      <c r="M399" s="18" t="s">
        <v>72</v>
      </c>
      <c r="N399" s="18" t="s">
        <v>1298</v>
      </c>
      <c r="O399" s="18" t="s">
        <v>3008</v>
      </c>
      <c r="P399" s="18" t="s">
        <v>7041</v>
      </c>
      <c r="Q399" s="20">
        <f>COUNTIF('Hedef Liste'!A:A,A399)</f>
        <v>1</v>
      </c>
    </row>
    <row r="400" ht="15.75" hidden="1" customHeight="1">
      <c r="A400" s="18" t="s">
        <v>1061</v>
      </c>
      <c r="B400" s="18" t="s">
        <v>1062</v>
      </c>
      <c r="C400" s="358" t="s">
        <v>7040</v>
      </c>
      <c r="D400" s="18" t="s">
        <v>1063</v>
      </c>
      <c r="E400" s="359">
        <v>287.0</v>
      </c>
      <c r="F400" s="359">
        <v>10.0</v>
      </c>
      <c r="G400" s="359">
        <v>29.0</v>
      </c>
      <c r="H400" s="359">
        <v>4.0</v>
      </c>
      <c r="I400" s="359">
        <v>33.0</v>
      </c>
      <c r="J400" s="360">
        <v>0.88</v>
      </c>
      <c r="K400" s="18" t="s">
        <v>1064</v>
      </c>
      <c r="L400" s="18">
        <v>5.325409405E9</v>
      </c>
      <c r="M400" s="18" t="s">
        <v>47</v>
      </c>
      <c r="N400" s="18" t="s">
        <v>756</v>
      </c>
      <c r="O400" s="18" t="s">
        <v>1065</v>
      </c>
      <c r="P400" s="18" t="s">
        <v>7041</v>
      </c>
      <c r="Q400" s="20">
        <f>COUNTIF('Hedef Liste'!A:A,A400)</f>
        <v>1</v>
      </c>
    </row>
    <row r="401" ht="15.75" hidden="1" customHeight="1">
      <c r="A401" s="18" t="s">
        <v>4804</v>
      </c>
      <c r="B401" s="18" t="s">
        <v>4805</v>
      </c>
      <c r="C401" s="358" t="s">
        <v>7040</v>
      </c>
      <c r="D401" s="18" t="s">
        <v>363</v>
      </c>
      <c r="E401" s="359">
        <v>204.0</v>
      </c>
      <c r="F401" s="18"/>
      <c r="G401" s="359">
        <v>0.0</v>
      </c>
      <c r="H401" s="359">
        <v>25.0</v>
      </c>
      <c r="I401" s="359">
        <v>25.0</v>
      </c>
      <c r="J401" s="360">
        <v>0.0</v>
      </c>
      <c r="K401" s="18" t="s">
        <v>4806</v>
      </c>
      <c r="L401" s="18">
        <v>5.427986788E9</v>
      </c>
      <c r="M401" s="18" t="s">
        <v>187</v>
      </c>
      <c r="N401" s="18" t="s">
        <v>188</v>
      </c>
      <c r="O401" s="18" t="s">
        <v>4807</v>
      </c>
      <c r="P401" s="18" t="s">
        <v>7041</v>
      </c>
      <c r="Q401" s="20">
        <f>COUNTIF('Hedef Liste'!A:A,A401)</f>
        <v>1</v>
      </c>
    </row>
    <row r="402" ht="15.75" hidden="1" customHeight="1">
      <c r="A402" s="18" t="s">
        <v>927</v>
      </c>
      <c r="B402" s="18" t="s">
        <v>928</v>
      </c>
      <c r="C402" s="358" t="s">
        <v>7040</v>
      </c>
      <c r="D402" s="18" t="s">
        <v>106</v>
      </c>
      <c r="E402" s="359">
        <v>253.0</v>
      </c>
      <c r="F402" s="359">
        <v>1.0</v>
      </c>
      <c r="G402" s="359">
        <v>0.0</v>
      </c>
      <c r="H402" s="359">
        <v>28.0</v>
      </c>
      <c r="I402" s="359">
        <v>28.0</v>
      </c>
      <c r="J402" s="360">
        <v>0.0</v>
      </c>
      <c r="K402" s="18" t="s">
        <v>929</v>
      </c>
      <c r="L402" s="18">
        <v>3.243200358E9</v>
      </c>
      <c r="M402" s="18" t="s">
        <v>215</v>
      </c>
      <c r="N402" s="18" t="s">
        <v>263</v>
      </c>
      <c r="O402" s="18" t="s">
        <v>930</v>
      </c>
      <c r="P402" s="18" t="s">
        <v>7041</v>
      </c>
      <c r="Q402" s="20">
        <f>COUNTIF('Hedef Liste'!A:A,A402)</f>
        <v>1</v>
      </c>
    </row>
    <row r="403" ht="15.75" hidden="1" customHeight="1">
      <c r="A403" s="18" t="s">
        <v>2557</v>
      </c>
      <c r="B403" s="18" t="s">
        <v>2558</v>
      </c>
      <c r="C403" s="358" t="s">
        <v>7040</v>
      </c>
      <c r="D403" s="18" t="s">
        <v>118</v>
      </c>
      <c r="E403" s="359">
        <v>423.0</v>
      </c>
      <c r="F403" s="359">
        <v>5.0</v>
      </c>
      <c r="G403" s="359">
        <v>5.0</v>
      </c>
      <c r="H403" s="359">
        <v>14.0</v>
      </c>
      <c r="I403" s="359">
        <v>19.0</v>
      </c>
      <c r="J403" s="360">
        <v>0.26</v>
      </c>
      <c r="K403" s="18" t="s">
        <v>2559</v>
      </c>
      <c r="L403" s="18">
        <v>5.42121334E9</v>
      </c>
      <c r="M403" s="18" t="s">
        <v>215</v>
      </c>
      <c r="N403" s="18" t="s">
        <v>1190</v>
      </c>
      <c r="O403" s="18" t="s">
        <v>2560</v>
      </c>
      <c r="P403" s="18" t="s">
        <v>7041</v>
      </c>
      <c r="Q403" s="20">
        <f>COUNTIF('Hedef Liste'!A:A,A403)</f>
        <v>1</v>
      </c>
    </row>
    <row r="404" ht="15.75" hidden="1" customHeight="1">
      <c r="A404" s="18" t="s">
        <v>3453</v>
      </c>
      <c r="B404" s="18" t="s">
        <v>7255</v>
      </c>
      <c r="C404" s="358" t="s">
        <v>7040</v>
      </c>
      <c r="D404" s="18" t="s">
        <v>167</v>
      </c>
      <c r="E404" s="359">
        <v>6184.0</v>
      </c>
      <c r="F404" s="359">
        <v>312.0</v>
      </c>
      <c r="G404" s="359">
        <v>59.0</v>
      </c>
      <c r="H404" s="359">
        <v>2.0</v>
      </c>
      <c r="I404" s="359">
        <v>61.0</v>
      </c>
      <c r="J404" s="360">
        <v>0.97</v>
      </c>
      <c r="K404" s="18" t="s">
        <v>3455</v>
      </c>
      <c r="L404" s="18">
        <v>5.308331783E9</v>
      </c>
      <c r="M404" s="18" t="s">
        <v>72</v>
      </c>
      <c r="N404" s="18" t="s">
        <v>82</v>
      </c>
      <c r="O404" s="18" t="s">
        <v>7256</v>
      </c>
      <c r="P404" s="18" t="s">
        <v>7047</v>
      </c>
      <c r="Q404" s="20">
        <f>COUNTIF('Hedef Liste'!A:A,A404)</f>
        <v>1</v>
      </c>
    </row>
    <row r="405" ht="15.75" hidden="1" customHeight="1">
      <c r="A405" s="18" t="s">
        <v>2148</v>
      </c>
      <c r="B405" s="18" t="s">
        <v>2149</v>
      </c>
      <c r="C405" s="358" t="s">
        <v>7040</v>
      </c>
      <c r="D405" s="18" t="s">
        <v>70</v>
      </c>
      <c r="E405" s="359">
        <v>805.0</v>
      </c>
      <c r="F405" s="359">
        <v>49.0</v>
      </c>
      <c r="G405" s="359">
        <v>7.0</v>
      </c>
      <c r="H405" s="359">
        <v>5.0</v>
      </c>
      <c r="I405" s="359">
        <v>12.0</v>
      </c>
      <c r="J405" s="360">
        <v>0.58</v>
      </c>
      <c r="K405" s="18" t="s">
        <v>2150</v>
      </c>
      <c r="L405" s="18">
        <v>3.242319677E9</v>
      </c>
      <c r="M405" s="18" t="s">
        <v>137</v>
      </c>
      <c r="N405" s="18" t="s">
        <v>138</v>
      </c>
      <c r="O405" s="18" t="s">
        <v>2151</v>
      </c>
      <c r="P405" s="18" t="s">
        <v>7041</v>
      </c>
      <c r="Q405" s="20">
        <f>COUNTIF('Hedef Liste'!A:A,A405)</f>
        <v>1</v>
      </c>
    </row>
    <row r="406" ht="15.75" hidden="1" customHeight="1">
      <c r="A406" s="18" t="s">
        <v>3268</v>
      </c>
      <c r="B406" s="18" t="s">
        <v>3269</v>
      </c>
      <c r="C406" s="358" t="s">
        <v>7040</v>
      </c>
      <c r="D406" s="18" t="s">
        <v>363</v>
      </c>
      <c r="E406" s="359">
        <v>637.0</v>
      </c>
      <c r="F406" s="359">
        <v>61.0</v>
      </c>
      <c r="G406" s="359">
        <v>0.0</v>
      </c>
      <c r="H406" s="359">
        <v>19.0</v>
      </c>
      <c r="I406" s="359">
        <v>19.0</v>
      </c>
      <c r="J406" s="360">
        <v>0.0</v>
      </c>
      <c r="K406" s="18" t="s">
        <v>3270</v>
      </c>
      <c r="L406" s="18">
        <v>5.525089626E9</v>
      </c>
      <c r="M406" s="18" t="s">
        <v>187</v>
      </c>
      <c r="N406" s="18" t="s">
        <v>188</v>
      </c>
      <c r="O406" s="18" t="s">
        <v>3271</v>
      </c>
      <c r="P406" s="18" t="s">
        <v>7041</v>
      </c>
      <c r="Q406" s="20">
        <f>COUNTIF('Hedef Liste'!A:A,A406)</f>
        <v>1</v>
      </c>
    </row>
    <row r="407" ht="15.75" hidden="1" customHeight="1">
      <c r="A407" s="18" t="s">
        <v>3360</v>
      </c>
      <c r="B407" s="18" t="s">
        <v>3361</v>
      </c>
      <c r="C407" s="358" t="s">
        <v>7040</v>
      </c>
      <c r="D407" s="18" t="s">
        <v>1063</v>
      </c>
      <c r="E407" s="359">
        <v>567.0</v>
      </c>
      <c r="F407" s="359">
        <v>13.0</v>
      </c>
      <c r="G407" s="359">
        <v>10.0</v>
      </c>
      <c r="H407" s="359">
        <v>37.0</v>
      </c>
      <c r="I407" s="359">
        <v>47.0</v>
      </c>
      <c r="J407" s="360">
        <v>0.21</v>
      </c>
      <c r="K407" s="18" t="s">
        <v>3362</v>
      </c>
      <c r="L407" s="18">
        <v>3.249991399E9</v>
      </c>
      <c r="M407" s="18" t="s">
        <v>63</v>
      </c>
      <c r="N407" s="18" t="s">
        <v>566</v>
      </c>
      <c r="O407" s="18" t="s">
        <v>3363</v>
      </c>
      <c r="P407" s="18" t="s">
        <v>7041</v>
      </c>
      <c r="Q407" s="20">
        <f>COUNTIF('Hedef Liste'!A:A,A407)</f>
        <v>1</v>
      </c>
    </row>
    <row r="408" ht="15.75" hidden="1" customHeight="1">
      <c r="A408" s="18" t="s">
        <v>403</v>
      </c>
      <c r="B408" s="18" t="s">
        <v>404</v>
      </c>
      <c r="C408" s="358" t="s">
        <v>7040</v>
      </c>
      <c r="D408" s="18" t="s">
        <v>363</v>
      </c>
      <c r="E408" s="359">
        <v>126.0</v>
      </c>
      <c r="F408" s="359">
        <v>6.0</v>
      </c>
      <c r="G408" s="359">
        <v>9.0</v>
      </c>
      <c r="H408" s="359">
        <v>3.0</v>
      </c>
      <c r="I408" s="359">
        <v>12.0</v>
      </c>
      <c r="J408" s="360">
        <v>0.75</v>
      </c>
      <c r="K408" s="18" t="s">
        <v>405</v>
      </c>
      <c r="L408" s="18">
        <v>3.244229121E9</v>
      </c>
      <c r="M408" s="18" t="s">
        <v>63</v>
      </c>
      <c r="N408" s="18" t="s">
        <v>93</v>
      </c>
      <c r="O408" s="18" t="s">
        <v>406</v>
      </c>
      <c r="P408" s="18" t="s">
        <v>7041</v>
      </c>
      <c r="Q408" s="20">
        <f>COUNTIF('Hedef Liste'!A:A,A408)</f>
        <v>1</v>
      </c>
    </row>
    <row r="409" ht="15.75" hidden="1" customHeight="1">
      <c r="A409" s="18" t="s">
        <v>1209</v>
      </c>
      <c r="B409" s="18" t="s">
        <v>1210</v>
      </c>
      <c r="C409" s="358" t="s">
        <v>7040</v>
      </c>
      <c r="D409" s="18" t="s">
        <v>80</v>
      </c>
      <c r="E409" s="359">
        <v>1752.0</v>
      </c>
      <c r="F409" s="359">
        <v>62.0</v>
      </c>
      <c r="G409" s="359">
        <v>8.0</v>
      </c>
      <c r="H409" s="359">
        <v>12.0</v>
      </c>
      <c r="I409" s="359">
        <v>20.0</v>
      </c>
      <c r="J409" s="360">
        <v>0.4</v>
      </c>
      <c r="K409" s="18" t="s">
        <v>1211</v>
      </c>
      <c r="L409" s="18">
        <v>3.243240303E9</v>
      </c>
      <c r="M409" s="18" t="s">
        <v>215</v>
      </c>
      <c r="N409" s="18" t="s">
        <v>1190</v>
      </c>
      <c r="O409" s="18" t="s">
        <v>1212</v>
      </c>
      <c r="P409" s="18" t="s">
        <v>7041</v>
      </c>
      <c r="Q409" s="20">
        <f>COUNTIF('Hedef Liste'!A:A,A409)</f>
        <v>1</v>
      </c>
    </row>
    <row r="410" ht="15.75" hidden="1" customHeight="1">
      <c r="A410" s="18" t="s">
        <v>582</v>
      </c>
      <c r="B410" s="18" t="s">
        <v>583</v>
      </c>
      <c r="C410" s="358" t="s">
        <v>7040</v>
      </c>
      <c r="D410" s="18" t="s">
        <v>70</v>
      </c>
      <c r="E410" s="359">
        <v>1618.0</v>
      </c>
      <c r="F410" s="359">
        <v>98.0</v>
      </c>
      <c r="G410" s="359">
        <v>0.0</v>
      </c>
      <c r="H410" s="359">
        <v>34.0</v>
      </c>
      <c r="I410" s="359">
        <v>34.0</v>
      </c>
      <c r="J410" s="360">
        <v>0.0</v>
      </c>
      <c r="K410" s="18" t="s">
        <v>584</v>
      </c>
      <c r="L410" s="18">
        <v>5.531263333E9</v>
      </c>
      <c r="M410" s="18" t="s">
        <v>215</v>
      </c>
      <c r="N410" s="18" t="s">
        <v>227</v>
      </c>
      <c r="O410" s="18" t="s">
        <v>585</v>
      </c>
      <c r="P410" s="18" t="s">
        <v>7041</v>
      </c>
      <c r="Q410" s="20">
        <f>COUNTIF('Hedef Liste'!A:A,A410)</f>
        <v>1</v>
      </c>
    </row>
    <row r="411" ht="15.75" hidden="1" customHeight="1">
      <c r="A411" s="18" t="s">
        <v>7257</v>
      </c>
      <c r="B411" s="18" t="s">
        <v>7258</v>
      </c>
      <c r="C411" s="358" t="s">
        <v>7040</v>
      </c>
      <c r="D411" s="18" t="s">
        <v>70</v>
      </c>
      <c r="E411" s="359">
        <v>616.0</v>
      </c>
      <c r="F411" s="359">
        <v>40.0</v>
      </c>
      <c r="G411" s="359">
        <v>50.0</v>
      </c>
      <c r="H411" s="359">
        <v>7.0</v>
      </c>
      <c r="I411" s="359">
        <v>57.0</v>
      </c>
      <c r="J411" s="360">
        <v>0.88</v>
      </c>
      <c r="K411" s="18" t="s">
        <v>7259</v>
      </c>
      <c r="L411" s="18">
        <v>5.337117777E9</v>
      </c>
      <c r="M411" s="18" t="s">
        <v>137</v>
      </c>
      <c r="N411" s="18" t="s">
        <v>209</v>
      </c>
      <c r="O411" s="18" t="s">
        <v>7260</v>
      </c>
      <c r="P411" s="18" t="s">
        <v>7047</v>
      </c>
      <c r="Q411" s="20">
        <f>COUNTIF('Hedef Liste'!A:A,A411)</f>
        <v>0</v>
      </c>
    </row>
    <row r="412" ht="15.75" hidden="1" customHeight="1">
      <c r="A412" s="18" t="s">
        <v>274</v>
      </c>
      <c r="B412" s="18" t="s">
        <v>275</v>
      </c>
      <c r="C412" s="358" t="s">
        <v>7040</v>
      </c>
      <c r="D412" s="18" t="s">
        <v>167</v>
      </c>
      <c r="E412" s="359">
        <v>609.0</v>
      </c>
      <c r="F412" s="359">
        <v>14.0</v>
      </c>
      <c r="G412" s="359">
        <v>7.0</v>
      </c>
      <c r="H412" s="359">
        <v>4.0</v>
      </c>
      <c r="I412" s="359">
        <v>11.0</v>
      </c>
      <c r="J412" s="360">
        <v>0.64</v>
      </c>
      <c r="K412" s="18" t="s">
        <v>7261</v>
      </c>
      <c r="L412" s="18">
        <v>3.243282806E9</v>
      </c>
      <c r="M412" s="18" t="s">
        <v>72</v>
      </c>
      <c r="N412" s="18" t="s">
        <v>113</v>
      </c>
      <c r="O412" s="18" t="s">
        <v>277</v>
      </c>
      <c r="P412" s="18" t="s">
        <v>7041</v>
      </c>
      <c r="Q412" s="20">
        <f>COUNTIF('Hedef Liste'!A:A,A412)</f>
        <v>1</v>
      </c>
    </row>
    <row r="413" ht="15.75" hidden="1" customHeight="1">
      <c r="A413" s="18" t="s">
        <v>1848</v>
      </c>
      <c r="B413" s="18" t="s">
        <v>1849</v>
      </c>
      <c r="C413" s="358" t="s">
        <v>7040</v>
      </c>
      <c r="D413" s="18" t="s">
        <v>363</v>
      </c>
      <c r="E413" s="359">
        <v>134.0</v>
      </c>
      <c r="F413" s="18"/>
      <c r="G413" s="359">
        <v>11.0</v>
      </c>
      <c r="H413" s="359">
        <v>10.0</v>
      </c>
      <c r="I413" s="359">
        <v>21.0</v>
      </c>
      <c r="J413" s="360">
        <v>0.52</v>
      </c>
      <c r="K413" s="18" t="s">
        <v>1850</v>
      </c>
      <c r="L413" s="18">
        <v>5.340561567E9</v>
      </c>
      <c r="M413" s="18" t="s">
        <v>63</v>
      </c>
      <c r="N413" s="18" t="s">
        <v>93</v>
      </c>
      <c r="O413" s="18" t="s">
        <v>1851</v>
      </c>
      <c r="P413" s="18" t="s">
        <v>7041</v>
      </c>
      <c r="Q413" s="20">
        <f>COUNTIF('Hedef Liste'!A:A,A413)</f>
        <v>1</v>
      </c>
    </row>
    <row r="414" ht="15.75" hidden="1" customHeight="1">
      <c r="A414" s="18" t="s">
        <v>2359</v>
      </c>
      <c r="B414" s="18" t="s">
        <v>2360</v>
      </c>
      <c r="C414" s="358" t="s">
        <v>7040</v>
      </c>
      <c r="D414" s="18" t="s">
        <v>451</v>
      </c>
      <c r="E414" s="359">
        <v>235.0</v>
      </c>
      <c r="F414" s="18"/>
      <c r="G414" s="359">
        <v>4.0</v>
      </c>
      <c r="H414" s="359">
        <v>4.0</v>
      </c>
      <c r="I414" s="359">
        <v>8.0</v>
      </c>
      <c r="J414" s="360">
        <v>0.5</v>
      </c>
      <c r="K414" s="18" t="s">
        <v>2361</v>
      </c>
      <c r="L414" s="18">
        <v>5.445201788E9</v>
      </c>
      <c r="M414" s="18" t="s">
        <v>72</v>
      </c>
      <c r="N414" s="18" t="s">
        <v>415</v>
      </c>
      <c r="O414" s="18" t="s">
        <v>2362</v>
      </c>
      <c r="P414" s="18" t="s">
        <v>7041</v>
      </c>
      <c r="Q414" s="20">
        <f>COUNTIF('Hedef Liste'!A:A,A414)</f>
        <v>1</v>
      </c>
    </row>
    <row r="415" ht="15.75" hidden="1" customHeight="1">
      <c r="A415" s="18" t="s">
        <v>3351</v>
      </c>
      <c r="B415" s="18" t="s">
        <v>3352</v>
      </c>
      <c r="C415" s="358" t="s">
        <v>7040</v>
      </c>
      <c r="D415" s="18" t="s">
        <v>80</v>
      </c>
      <c r="E415" s="359">
        <v>5261.0</v>
      </c>
      <c r="F415" s="359">
        <v>302.0</v>
      </c>
      <c r="G415" s="359">
        <v>15.0</v>
      </c>
      <c r="H415" s="359">
        <v>10.0</v>
      </c>
      <c r="I415" s="359">
        <v>25.0</v>
      </c>
      <c r="J415" s="360">
        <v>0.6</v>
      </c>
      <c r="K415" s="18" t="s">
        <v>3353</v>
      </c>
      <c r="L415" s="18">
        <v>5.350589707E9</v>
      </c>
      <c r="M415" s="18" t="s">
        <v>215</v>
      </c>
      <c r="N415" s="18" t="s">
        <v>613</v>
      </c>
      <c r="O415" s="18" t="s">
        <v>3354</v>
      </c>
      <c r="P415" s="18" t="s">
        <v>7041</v>
      </c>
      <c r="Q415" s="20">
        <f>COUNTIF('Hedef Liste'!A:A,A415)</f>
        <v>1</v>
      </c>
    </row>
    <row r="416" ht="15.75" hidden="1" customHeight="1">
      <c r="A416" s="18" t="s">
        <v>1274</v>
      </c>
      <c r="B416" s="18" t="s">
        <v>1275</v>
      </c>
      <c r="C416" s="358" t="s">
        <v>7040</v>
      </c>
      <c r="D416" s="18" t="s">
        <v>80</v>
      </c>
      <c r="E416" s="359">
        <v>805.0</v>
      </c>
      <c r="F416" s="359">
        <v>33.0</v>
      </c>
      <c r="G416" s="359">
        <v>0.0</v>
      </c>
      <c r="H416" s="359">
        <v>12.0</v>
      </c>
      <c r="I416" s="359">
        <v>12.0</v>
      </c>
      <c r="J416" s="360">
        <v>0.0</v>
      </c>
      <c r="K416" s="18" t="s">
        <v>1276</v>
      </c>
      <c r="L416" s="18">
        <v>3.243289033E9</v>
      </c>
      <c r="M416" s="18" t="s">
        <v>72</v>
      </c>
      <c r="N416" s="18" t="s">
        <v>1277</v>
      </c>
      <c r="O416" s="18" t="s">
        <v>1278</v>
      </c>
      <c r="P416" s="18" t="s">
        <v>7041</v>
      </c>
      <c r="Q416" s="20">
        <f>COUNTIF('Hedef Liste'!A:A,A416)</f>
        <v>1</v>
      </c>
    </row>
    <row r="417" ht="15.75" hidden="1" customHeight="1">
      <c r="A417" s="18" t="s">
        <v>3895</v>
      </c>
      <c r="B417" s="18" t="s">
        <v>3896</v>
      </c>
      <c r="C417" s="358" t="s">
        <v>7040</v>
      </c>
      <c r="D417" s="18" t="s">
        <v>913</v>
      </c>
      <c r="E417" s="359">
        <v>1550.0</v>
      </c>
      <c r="F417" s="359">
        <v>114.0</v>
      </c>
      <c r="G417" s="359">
        <v>0.0</v>
      </c>
      <c r="H417" s="359">
        <v>20.0</v>
      </c>
      <c r="I417" s="359">
        <v>20.0</v>
      </c>
      <c r="J417" s="360">
        <v>0.0</v>
      </c>
      <c r="K417" s="18" t="s">
        <v>3204</v>
      </c>
      <c r="L417" s="18">
        <v>5.345671911E9</v>
      </c>
      <c r="M417" s="18" t="s">
        <v>137</v>
      </c>
      <c r="N417" s="18" t="s">
        <v>138</v>
      </c>
      <c r="O417" s="18" t="s">
        <v>3897</v>
      </c>
      <c r="P417" s="18" t="s">
        <v>7041</v>
      </c>
      <c r="Q417" s="20">
        <f>COUNTIF('Hedef Liste'!A:A,A417)</f>
        <v>1</v>
      </c>
    </row>
    <row r="418" ht="15.75" hidden="1" customHeight="1">
      <c r="A418" s="18" t="s">
        <v>3933</v>
      </c>
      <c r="B418" s="18" t="s">
        <v>3934</v>
      </c>
      <c r="C418" s="358" t="s">
        <v>7040</v>
      </c>
      <c r="D418" s="18" t="s">
        <v>70</v>
      </c>
      <c r="E418" s="359">
        <v>13619.0</v>
      </c>
      <c r="F418" s="359">
        <v>541.0</v>
      </c>
      <c r="G418" s="359">
        <v>13.0</v>
      </c>
      <c r="H418" s="359">
        <v>13.0</v>
      </c>
      <c r="I418" s="359">
        <v>26.0</v>
      </c>
      <c r="J418" s="360">
        <v>0.5</v>
      </c>
      <c r="K418" s="18" t="s">
        <v>3935</v>
      </c>
      <c r="L418" s="18">
        <v>5.541130919E9</v>
      </c>
      <c r="M418" s="18" t="s">
        <v>137</v>
      </c>
      <c r="N418" s="18" t="s">
        <v>175</v>
      </c>
      <c r="O418" s="18" t="s">
        <v>7262</v>
      </c>
      <c r="P418" s="18" t="s">
        <v>7041</v>
      </c>
      <c r="Q418" s="20">
        <f>COUNTIF('Hedef Liste'!A:A,A418)</f>
        <v>1</v>
      </c>
    </row>
    <row r="419" ht="15.75" hidden="1" customHeight="1">
      <c r="A419" s="18" t="s">
        <v>4273</v>
      </c>
      <c r="B419" s="18" t="s">
        <v>4274</v>
      </c>
      <c r="C419" s="358" t="s">
        <v>7040</v>
      </c>
      <c r="D419" s="18" t="s">
        <v>451</v>
      </c>
      <c r="E419" s="359">
        <v>3549.0</v>
      </c>
      <c r="F419" s="359">
        <v>179.0</v>
      </c>
      <c r="G419" s="359">
        <v>0.0</v>
      </c>
      <c r="H419" s="359">
        <v>52.0</v>
      </c>
      <c r="I419" s="359">
        <v>52.0</v>
      </c>
      <c r="J419" s="360">
        <v>0.0</v>
      </c>
      <c r="K419" s="18" t="s">
        <v>4275</v>
      </c>
      <c r="L419" s="18">
        <v>5.330377997E9</v>
      </c>
      <c r="M419" s="18" t="s">
        <v>902</v>
      </c>
      <c r="N419" s="18" t="s">
        <v>4276</v>
      </c>
      <c r="O419" s="18" t="s">
        <v>4277</v>
      </c>
      <c r="P419" s="18" t="s">
        <v>7041</v>
      </c>
      <c r="Q419" s="20">
        <f>COUNTIF('Hedef Liste'!A:A,A419)</f>
        <v>1</v>
      </c>
    </row>
    <row r="420" ht="15.75" hidden="1" customHeight="1">
      <c r="A420" s="18" t="s">
        <v>942</v>
      </c>
      <c r="B420" s="18" t="s">
        <v>943</v>
      </c>
      <c r="C420" s="358" t="s">
        <v>7040</v>
      </c>
      <c r="D420" s="18" t="s">
        <v>45</v>
      </c>
      <c r="E420" s="359">
        <v>5792.0</v>
      </c>
      <c r="F420" s="359">
        <v>271.0</v>
      </c>
      <c r="G420" s="359">
        <v>17.0</v>
      </c>
      <c r="H420" s="359">
        <v>17.0</v>
      </c>
      <c r="I420" s="359">
        <v>34.0</v>
      </c>
      <c r="J420" s="360">
        <v>0.5</v>
      </c>
      <c r="K420" s="18" t="s">
        <v>944</v>
      </c>
      <c r="L420" s="18">
        <v>3.245038199E9</v>
      </c>
      <c r="M420" s="18" t="s">
        <v>72</v>
      </c>
      <c r="N420" s="18" t="s">
        <v>82</v>
      </c>
      <c r="O420" s="18" t="s">
        <v>945</v>
      </c>
      <c r="P420" s="18" t="s">
        <v>7041</v>
      </c>
      <c r="Q420" s="20">
        <f>COUNTIF('Hedef Liste'!A:A,A420)</f>
        <v>1</v>
      </c>
    </row>
    <row r="421" ht="15.75" hidden="1" customHeight="1">
      <c r="A421" s="18" t="s">
        <v>4795</v>
      </c>
      <c r="B421" s="18" t="s">
        <v>4796</v>
      </c>
      <c r="C421" s="358" t="s">
        <v>7040</v>
      </c>
      <c r="D421" s="18" t="s">
        <v>1063</v>
      </c>
      <c r="E421" s="359">
        <v>132.0</v>
      </c>
      <c r="F421" s="18"/>
      <c r="G421" s="359">
        <v>0.0</v>
      </c>
      <c r="H421" s="359">
        <v>5.0</v>
      </c>
      <c r="I421" s="359">
        <v>5.0</v>
      </c>
      <c r="J421" s="360">
        <v>0.0</v>
      </c>
      <c r="K421" s="18" t="s">
        <v>4797</v>
      </c>
      <c r="L421" s="18">
        <v>5.057587323E9</v>
      </c>
      <c r="M421" s="18" t="s">
        <v>63</v>
      </c>
      <c r="N421" s="18" t="s">
        <v>137</v>
      </c>
      <c r="O421" s="18" t="s">
        <v>4789</v>
      </c>
      <c r="P421" s="18" t="s">
        <v>7041</v>
      </c>
      <c r="Q421" s="20">
        <f>COUNTIF('Hedef Liste'!A:A,A421)</f>
        <v>1</v>
      </c>
    </row>
    <row r="422" ht="15.75" hidden="1" customHeight="1">
      <c r="A422" s="18" t="s">
        <v>4317</v>
      </c>
      <c r="B422" s="18" t="s">
        <v>4318</v>
      </c>
      <c r="C422" s="358" t="s">
        <v>7040</v>
      </c>
      <c r="D422" s="18" t="s">
        <v>167</v>
      </c>
      <c r="E422" s="359">
        <v>704.0</v>
      </c>
      <c r="F422" s="359">
        <v>80.0</v>
      </c>
      <c r="G422" s="359">
        <v>8.0</v>
      </c>
      <c r="H422" s="359">
        <v>21.0</v>
      </c>
      <c r="I422" s="359">
        <v>29.0</v>
      </c>
      <c r="J422" s="360">
        <v>0.28</v>
      </c>
      <c r="K422" s="18" t="s">
        <v>4319</v>
      </c>
      <c r="L422" s="18">
        <v>5.303803911E9</v>
      </c>
      <c r="M422" s="18" t="s">
        <v>47</v>
      </c>
      <c r="N422" s="18" t="s">
        <v>7263</v>
      </c>
      <c r="O422" s="18" t="s">
        <v>4320</v>
      </c>
      <c r="P422" s="18" t="s">
        <v>7041</v>
      </c>
      <c r="Q422" s="20">
        <f>COUNTIF('Hedef Liste'!A:A,A422)</f>
        <v>1</v>
      </c>
    </row>
    <row r="423" ht="15.75" hidden="1" customHeight="1">
      <c r="A423" s="18" t="s">
        <v>2825</v>
      </c>
      <c r="B423" s="18" t="s">
        <v>2826</v>
      </c>
      <c r="C423" s="358" t="s">
        <v>7040</v>
      </c>
      <c r="D423" s="18" t="s">
        <v>118</v>
      </c>
      <c r="E423" s="362">
        <v>896.0</v>
      </c>
      <c r="F423" s="359">
        <v>20.0</v>
      </c>
      <c r="G423" s="359">
        <v>0.0</v>
      </c>
      <c r="H423" s="359">
        <v>45.0</v>
      </c>
      <c r="I423" s="359">
        <v>45.0</v>
      </c>
      <c r="J423" s="360">
        <v>0.0</v>
      </c>
      <c r="K423" s="18" t="s">
        <v>2827</v>
      </c>
      <c r="L423" s="18">
        <v>5.32436545E9</v>
      </c>
      <c r="M423" s="18" t="s">
        <v>63</v>
      </c>
      <c r="N423" s="18" t="s">
        <v>2828</v>
      </c>
      <c r="O423" s="18" t="s">
        <v>2829</v>
      </c>
      <c r="P423" s="18" t="s">
        <v>7041</v>
      </c>
      <c r="Q423" s="20">
        <f>COUNTIF('Hedef Liste'!A:A,A423)</f>
        <v>1</v>
      </c>
    </row>
    <row r="424" ht="15.75" hidden="1" customHeight="1">
      <c r="A424" s="18" t="s">
        <v>3618</v>
      </c>
      <c r="B424" s="18" t="s">
        <v>3619</v>
      </c>
      <c r="C424" s="358" t="s">
        <v>7062</v>
      </c>
      <c r="D424" s="18" t="s">
        <v>1063</v>
      </c>
      <c r="E424" s="359">
        <v>1.0</v>
      </c>
      <c r="F424" s="18"/>
      <c r="G424" s="359">
        <v>0.0</v>
      </c>
      <c r="H424" s="359">
        <v>99.0</v>
      </c>
      <c r="I424" s="359">
        <v>99.0</v>
      </c>
      <c r="J424" s="360">
        <v>0.0</v>
      </c>
      <c r="K424" s="18" t="s">
        <v>414</v>
      </c>
      <c r="L424" s="18">
        <v>3.243361983E9</v>
      </c>
      <c r="M424" s="18" t="s">
        <v>137</v>
      </c>
      <c r="N424" s="18" t="s">
        <v>374</v>
      </c>
      <c r="O424" s="18" t="s">
        <v>3620</v>
      </c>
      <c r="P424" s="18" t="s">
        <v>7041</v>
      </c>
      <c r="Q424" s="20">
        <f>COUNTIF('Hedef Liste'!A:A,A424)</f>
        <v>1</v>
      </c>
    </row>
    <row r="425" ht="15.75" hidden="1" customHeight="1">
      <c r="A425" s="18" t="s">
        <v>1956</v>
      </c>
      <c r="B425" s="18" t="s">
        <v>1957</v>
      </c>
      <c r="C425" s="358" t="s">
        <v>7062</v>
      </c>
      <c r="D425" s="18" t="s">
        <v>363</v>
      </c>
      <c r="E425" s="359">
        <v>660.0</v>
      </c>
      <c r="F425" s="18"/>
      <c r="G425" s="359">
        <v>20.0</v>
      </c>
      <c r="H425" s="359">
        <v>1.0</v>
      </c>
      <c r="I425" s="359">
        <v>21.0</v>
      </c>
      <c r="J425" s="360">
        <v>0.95</v>
      </c>
      <c r="K425" s="18" t="s">
        <v>1958</v>
      </c>
      <c r="L425" s="18">
        <v>5.538875013E9</v>
      </c>
      <c r="M425" s="18" t="s">
        <v>72</v>
      </c>
      <c r="N425" s="18" t="s">
        <v>120</v>
      </c>
      <c r="O425" s="18" t="s">
        <v>1959</v>
      </c>
      <c r="P425" s="18" t="s">
        <v>7041</v>
      </c>
      <c r="Q425" s="20">
        <f>COUNTIF('Hedef Liste'!A:A,A425)</f>
        <v>1</v>
      </c>
    </row>
    <row r="426" ht="15.75" hidden="1" customHeight="1">
      <c r="A426" s="18" t="s">
        <v>1082</v>
      </c>
      <c r="B426" s="18" t="s">
        <v>1083</v>
      </c>
      <c r="C426" s="358" t="s">
        <v>7040</v>
      </c>
      <c r="D426" s="18" t="s">
        <v>80</v>
      </c>
      <c r="E426" s="359">
        <v>567.0</v>
      </c>
      <c r="F426" s="359">
        <v>30.0</v>
      </c>
      <c r="G426" s="359">
        <v>0.0</v>
      </c>
      <c r="H426" s="359">
        <v>4.0</v>
      </c>
      <c r="I426" s="359">
        <v>4.0</v>
      </c>
      <c r="J426" s="360">
        <v>0.0</v>
      </c>
      <c r="K426" s="18" t="s">
        <v>1084</v>
      </c>
      <c r="L426" s="18">
        <v>5.46665333E9</v>
      </c>
      <c r="M426" s="18" t="s">
        <v>137</v>
      </c>
      <c r="N426" s="18" t="s">
        <v>138</v>
      </c>
      <c r="O426" s="18" t="s">
        <v>1085</v>
      </c>
      <c r="P426" s="18" t="s">
        <v>7041</v>
      </c>
      <c r="Q426" s="20">
        <f>COUNTIF('Hedef Liste'!A:A,A426)</f>
        <v>1</v>
      </c>
    </row>
    <row r="427" ht="15.75" hidden="1" customHeight="1">
      <c r="A427" s="18" t="s">
        <v>1871</v>
      </c>
      <c r="B427" s="18" t="s">
        <v>1872</v>
      </c>
      <c r="C427" s="358" t="s">
        <v>7040</v>
      </c>
      <c r="D427" s="18" t="s">
        <v>80</v>
      </c>
      <c r="E427" s="359">
        <v>1941.0</v>
      </c>
      <c r="F427" s="359">
        <v>57.0</v>
      </c>
      <c r="G427" s="359">
        <v>5.0</v>
      </c>
      <c r="H427" s="359">
        <v>3.0</v>
      </c>
      <c r="I427" s="359">
        <v>8.0</v>
      </c>
      <c r="J427" s="360">
        <v>0.63</v>
      </c>
      <c r="K427" s="18" t="s">
        <v>1873</v>
      </c>
      <c r="L427" s="18">
        <v>5.349694452E9</v>
      </c>
      <c r="M427" s="18" t="s">
        <v>215</v>
      </c>
      <c r="N427" s="18" t="s">
        <v>1190</v>
      </c>
      <c r="O427" s="18" t="s">
        <v>1874</v>
      </c>
      <c r="P427" s="18" t="s">
        <v>7041</v>
      </c>
      <c r="Q427" s="20">
        <f>COUNTIF('Hedef Liste'!A:A,A427)</f>
        <v>1</v>
      </c>
    </row>
    <row r="428" ht="15.75" hidden="1" customHeight="1">
      <c r="A428" s="18" t="s">
        <v>3468</v>
      </c>
      <c r="B428" s="18" t="s">
        <v>3469</v>
      </c>
      <c r="C428" s="358" t="s">
        <v>7062</v>
      </c>
      <c r="D428" s="18" t="s">
        <v>167</v>
      </c>
      <c r="E428" s="359">
        <v>207.0</v>
      </c>
      <c r="F428" s="18"/>
      <c r="G428" s="359">
        <v>70.0</v>
      </c>
      <c r="H428" s="359">
        <v>4.0</v>
      </c>
      <c r="I428" s="359">
        <v>74.0</v>
      </c>
      <c r="J428" s="361">
        <v>0.95</v>
      </c>
      <c r="K428" s="18" t="s">
        <v>3470</v>
      </c>
      <c r="L428" s="18">
        <v>5.307839034E9</v>
      </c>
      <c r="M428" s="18" t="s">
        <v>137</v>
      </c>
      <c r="N428" s="18" t="s">
        <v>526</v>
      </c>
      <c r="O428" s="18" t="s">
        <v>3471</v>
      </c>
      <c r="P428" s="18" t="s">
        <v>7047</v>
      </c>
      <c r="Q428" s="20">
        <f>COUNTIF('Hedef Liste'!A:A,A428)</f>
        <v>1</v>
      </c>
    </row>
    <row r="429" ht="15.75" hidden="1" customHeight="1">
      <c r="A429" s="18" t="s">
        <v>3480</v>
      </c>
      <c r="B429" s="18" t="s">
        <v>3481</v>
      </c>
      <c r="C429" s="358" t="s">
        <v>7040</v>
      </c>
      <c r="D429" s="18" t="s">
        <v>167</v>
      </c>
      <c r="E429" s="359">
        <v>341.0</v>
      </c>
      <c r="F429" s="359">
        <v>14.0</v>
      </c>
      <c r="G429" s="359">
        <v>73.0</v>
      </c>
      <c r="H429" s="359">
        <v>4.0</v>
      </c>
      <c r="I429" s="359">
        <v>77.0</v>
      </c>
      <c r="J429" s="360">
        <v>0.95</v>
      </c>
      <c r="K429" s="18" t="s">
        <v>3482</v>
      </c>
      <c r="L429" s="18">
        <v>5.455058033E9</v>
      </c>
      <c r="M429" s="18" t="s">
        <v>47</v>
      </c>
      <c r="N429" s="18" t="s">
        <v>3483</v>
      </c>
      <c r="O429" s="18" t="s">
        <v>3484</v>
      </c>
      <c r="P429" s="18" t="s">
        <v>7047</v>
      </c>
      <c r="Q429" s="20">
        <f>COUNTIF('Hedef Liste'!A:A,A429)</f>
        <v>1</v>
      </c>
    </row>
    <row r="430" ht="15.75" hidden="1" customHeight="1">
      <c r="A430" s="18" t="s">
        <v>201</v>
      </c>
      <c r="B430" s="18" t="s">
        <v>202</v>
      </c>
      <c r="C430" s="358" t="s">
        <v>7040</v>
      </c>
      <c r="D430" s="18" t="s">
        <v>167</v>
      </c>
      <c r="E430" s="359">
        <v>1773.0</v>
      </c>
      <c r="F430" s="359">
        <v>67.0</v>
      </c>
      <c r="G430" s="359">
        <v>8.0</v>
      </c>
      <c r="H430" s="359">
        <v>10.0</v>
      </c>
      <c r="I430" s="359">
        <v>18.0</v>
      </c>
      <c r="J430" s="360">
        <v>0.44</v>
      </c>
      <c r="K430" s="18" t="s">
        <v>203</v>
      </c>
      <c r="L430" s="18">
        <v>3.246259393E9</v>
      </c>
      <c r="M430" s="18" t="s">
        <v>156</v>
      </c>
      <c r="N430" s="18" t="s">
        <v>204</v>
      </c>
      <c r="O430" s="18" t="s">
        <v>205</v>
      </c>
      <c r="P430" s="18" t="s">
        <v>7041</v>
      </c>
      <c r="Q430" s="20">
        <f>COUNTIF('Hedef Liste'!A:A,A430)</f>
        <v>1</v>
      </c>
    </row>
    <row r="431" ht="15.75" hidden="1" customHeight="1">
      <c r="A431" s="18" t="s">
        <v>3514</v>
      </c>
      <c r="B431" s="18" t="s">
        <v>3515</v>
      </c>
      <c r="C431" s="358" t="s">
        <v>7040</v>
      </c>
      <c r="D431" s="18" t="s">
        <v>167</v>
      </c>
      <c r="E431" s="359">
        <v>1375.0</v>
      </c>
      <c r="F431" s="359">
        <v>45.0</v>
      </c>
      <c r="G431" s="359">
        <v>60.0</v>
      </c>
      <c r="H431" s="359">
        <v>0.0</v>
      </c>
      <c r="I431" s="359">
        <v>60.0</v>
      </c>
      <c r="J431" s="360">
        <v>1.0</v>
      </c>
      <c r="K431" s="18" t="s">
        <v>3516</v>
      </c>
      <c r="L431" s="18">
        <v>5.313245055E9</v>
      </c>
      <c r="M431" s="18" t="s">
        <v>72</v>
      </c>
      <c r="N431" s="18" t="s">
        <v>128</v>
      </c>
      <c r="O431" s="18" t="s">
        <v>908</v>
      </c>
      <c r="P431" s="18" t="s">
        <v>7047</v>
      </c>
      <c r="Q431" s="20">
        <f>COUNTIF('Hedef Liste'!A:A,A431)</f>
        <v>1</v>
      </c>
    </row>
    <row r="432" ht="15.75" hidden="1" customHeight="1">
      <c r="A432" s="18" t="s">
        <v>3510</v>
      </c>
      <c r="B432" s="18" t="s">
        <v>3511</v>
      </c>
      <c r="C432" s="358" t="s">
        <v>7040</v>
      </c>
      <c r="D432" s="18" t="s">
        <v>167</v>
      </c>
      <c r="E432" s="359">
        <v>1140.0</v>
      </c>
      <c r="F432" s="359">
        <v>57.0</v>
      </c>
      <c r="G432" s="359">
        <v>29.0</v>
      </c>
      <c r="H432" s="359">
        <v>0.0</v>
      </c>
      <c r="I432" s="359">
        <v>29.0</v>
      </c>
      <c r="J432" s="360">
        <v>1.0</v>
      </c>
      <c r="K432" s="18" t="s">
        <v>3512</v>
      </c>
      <c r="L432" s="18">
        <v>3.24321213E9</v>
      </c>
      <c r="M432" s="18" t="s">
        <v>215</v>
      </c>
      <c r="N432" s="18" t="s">
        <v>263</v>
      </c>
      <c r="O432" s="18" t="s">
        <v>3513</v>
      </c>
      <c r="P432" s="18" t="s">
        <v>7047</v>
      </c>
      <c r="Q432" s="20">
        <f>COUNTIF('Hedef Liste'!A:A,A432)</f>
        <v>1</v>
      </c>
    </row>
    <row r="433" ht="15.75" hidden="1" customHeight="1">
      <c r="A433" s="18" t="s">
        <v>3517</v>
      </c>
      <c r="B433" s="18" t="s">
        <v>3518</v>
      </c>
      <c r="C433" s="358" t="s">
        <v>7040</v>
      </c>
      <c r="D433" s="18" t="s">
        <v>167</v>
      </c>
      <c r="E433" s="359">
        <v>1960.0</v>
      </c>
      <c r="F433" s="359">
        <v>50.0</v>
      </c>
      <c r="G433" s="359">
        <v>66.0</v>
      </c>
      <c r="H433" s="359">
        <v>0.0</v>
      </c>
      <c r="I433" s="359">
        <v>66.0</v>
      </c>
      <c r="J433" s="360">
        <v>1.0</v>
      </c>
      <c r="K433" s="18" t="s">
        <v>3519</v>
      </c>
      <c r="L433" s="18">
        <v>3.24307797E9</v>
      </c>
      <c r="M433" s="18" t="s">
        <v>72</v>
      </c>
      <c r="N433" s="18" t="s">
        <v>352</v>
      </c>
      <c r="O433" s="18" t="s">
        <v>3520</v>
      </c>
      <c r="P433" s="18" t="s">
        <v>7047</v>
      </c>
      <c r="Q433" s="20">
        <f>COUNTIF('Hedef Liste'!A:A,A433)</f>
        <v>1</v>
      </c>
    </row>
    <row r="434" ht="15.75" hidden="1" customHeight="1">
      <c r="A434" s="18" t="s">
        <v>3532</v>
      </c>
      <c r="B434" s="18" t="s">
        <v>3533</v>
      </c>
      <c r="C434" s="358" t="s">
        <v>7040</v>
      </c>
      <c r="D434" s="18" t="s">
        <v>167</v>
      </c>
      <c r="E434" s="359">
        <v>2052.0</v>
      </c>
      <c r="F434" s="359">
        <v>29.0</v>
      </c>
      <c r="G434" s="359">
        <v>60.0</v>
      </c>
      <c r="H434" s="359">
        <v>0.0</v>
      </c>
      <c r="I434" s="359">
        <v>60.0</v>
      </c>
      <c r="J434" s="360">
        <v>1.0</v>
      </c>
      <c r="K434" s="18" t="s">
        <v>3519</v>
      </c>
      <c r="L434" s="18">
        <v>3.24329333E9</v>
      </c>
      <c r="M434" s="18" t="s">
        <v>72</v>
      </c>
      <c r="N434" s="18" t="s">
        <v>73</v>
      </c>
      <c r="O434" s="18" t="s">
        <v>3535</v>
      </c>
      <c r="P434" s="18" t="s">
        <v>7047</v>
      </c>
      <c r="Q434" s="20">
        <f>COUNTIF('Hedef Liste'!A:A,A434)</f>
        <v>1</v>
      </c>
    </row>
    <row r="435" ht="15.75" hidden="1" customHeight="1">
      <c r="A435" s="18" t="s">
        <v>245</v>
      </c>
      <c r="B435" s="18" t="s">
        <v>246</v>
      </c>
      <c r="C435" s="358" t="s">
        <v>7040</v>
      </c>
      <c r="D435" s="18" t="s">
        <v>167</v>
      </c>
      <c r="E435" s="359">
        <v>1350.0</v>
      </c>
      <c r="F435" s="359">
        <v>62.0</v>
      </c>
      <c r="G435" s="359">
        <v>8.0</v>
      </c>
      <c r="H435" s="359">
        <v>9.0</v>
      </c>
      <c r="I435" s="359">
        <v>17.0</v>
      </c>
      <c r="J435" s="360">
        <v>0.47</v>
      </c>
      <c r="K435" s="18" t="s">
        <v>243</v>
      </c>
      <c r="L435" s="18">
        <v>3.243590233E9</v>
      </c>
      <c r="M435" s="18" t="s">
        <v>63</v>
      </c>
      <c r="N435" s="18" t="s">
        <v>93</v>
      </c>
      <c r="O435" s="18" t="s">
        <v>247</v>
      </c>
      <c r="P435" s="18" t="s">
        <v>7041</v>
      </c>
      <c r="Q435" s="20">
        <f>COUNTIF('Hedef Liste'!A:A,A435)</f>
        <v>1</v>
      </c>
    </row>
    <row r="436" ht="15.75" hidden="1" customHeight="1">
      <c r="A436" s="18" t="s">
        <v>4799</v>
      </c>
      <c r="B436" s="18" t="s">
        <v>4800</v>
      </c>
      <c r="C436" s="358" t="s">
        <v>7040</v>
      </c>
      <c r="D436" s="18" t="s">
        <v>363</v>
      </c>
      <c r="E436" s="359">
        <v>709.0</v>
      </c>
      <c r="F436" s="359">
        <v>23.0</v>
      </c>
      <c r="G436" s="359">
        <v>12.0</v>
      </c>
      <c r="H436" s="359">
        <v>15.0</v>
      </c>
      <c r="I436" s="359">
        <v>27.0</v>
      </c>
      <c r="J436" s="360">
        <v>0.44</v>
      </c>
      <c r="K436" s="18" t="s">
        <v>4801</v>
      </c>
      <c r="L436" s="18">
        <v>3.243289494E9</v>
      </c>
      <c r="M436" s="18" t="s">
        <v>72</v>
      </c>
      <c r="N436" s="18" t="s">
        <v>1277</v>
      </c>
      <c r="O436" s="18" t="s">
        <v>4802</v>
      </c>
      <c r="P436" s="18" t="s">
        <v>7041</v>
      </c>
      <c r="Q436" s="20">
        <f>COUNTIF('Hedef Liste'!A:A,A436)</f>
        <v>1</v>
      </c>
    </row>
    <row r="437" ht="15.75" hidden="1" customHeight="1">
      <c r="A437" s="18" t="s">
        <v>1758</v>
      </c>
      <c r="B437" s="18" t="s">
        <v>1759</v>
      </c>
      <c r="C437" s="358" t="s">
        <v>7040</v>
      </c>
      <c r="D437" s="18" t="s">
        <v>363</v>
      </c>
      <c r="E437" s="359">
        <v>2014.0</v>
      </c>
      <c r="F437" s="359">
        <v>123.0</v>
      </c>
      <c r="G437" s="359">
        <v>32.0</v>
      </c>
      <c r="H437" s="359">
        <v>5.0</v>
      </c>
      <c r="I437" s="359">
        <v>37.0</v>
      </c>
      <c r="J437" s="360">
        <v>0.86</v>
      </c>
      <c r="K437" s="18" t="s">
        <v>1760</v>
      </c>
      <c r="L437" s="18">
        <v>3.242385251E9</v>
      </c>
      <c r="M437" s="18" t="s">
        <v>137</v>
      </c>
      <c r="N437" s="18" t="s">
        <v>845</v>
      </c>
      <c r="O437" s="18" t="s">
        <v>1761</v>
      </c>
      <c r="P437" s="18" t="s">
        <v>7041</v>
      </c>
      <c r="Q437" s="20">
        <f>COUNTIF('Hedef Liste'!A:A,A437)</f>
        <v>1</v>
      </c>
    </row>
    <row r="438" ht="15.75" hidden="1" customHeight="1">
      <c r="A438" s="18" t="s">
        <v>7264</v>
      </c>
      <c r="B438" s="18" t="s">
        <v>7265</v>
      </c>
      <c r="C438" s="358" t="s">
        <v>7040</v>
      </c>
      <c r="D438" s="18" t="s">
        <v>106</v>
      </c>
      <c r="E438" s="359">
        <v>24032.0</v>
      </c>
      <c r="F438" s="359">
        <v>1061.0</v>
      </c>
      <c r="G438" s="359">
        <v>109.0</v>
      </c>
      <c r="H438" s="359">
        <v>0.0</v>
      </c>
      <c r="I438" s="359">
        <v>109.0</v>
      </c>
      <c r="J438" s="360">
        <v>1.0</v>
      </c>
      <c r="K438" s="18" t="s">
        <v>7192</v>
      </c>
      <c r="L438" s="18">
        <v>9.999999999E9</v>
      </c>
      <c r="M438" s="18" t="s">
        <v>72</v>
      </c>
      <c r="N438" s="18" t="s">
        <v>73</v>
      </c>
      <c r="O438" s="18" t="s">
        <v>7266</v>
      </c>
      <c r="P438" s="18" t="s">
        <v>7047</v>
      </c>
      <c r="Q438" s="20">
        <f>COUNTIF('Hedef Liste'!A:A,A438)</f>
        <v>0</v>
      </c>
    </row>
    <row r="439" ht="15.75" hidden="1" customHeight="1">
      <c r="A439" s="18" t="s">
        <v>2247</v>
      </c>
      <c r="B439" s="18" t="s">
        <v>2248</v>
      </c>
      <c r="C439" s="358" t="s">
        <v>7040</v>
      </c>
      <c r="D439" s="18" t="s">
        <v>363</v>
      </c>
      <c r="E439" s="359">
        <v>31.0</v>
      </c>
      <c r="F439" s="359">
        <v>1.0</v>
      </c>
      <c r="G439" s="359">
        <v>14.0</v>
      </c>
      <c r="H439" s="359">
        <v>10.0</v>
      </c>
      <c r="I439" s="359">
        <v>24.0</v>
      </c>
      <c r="J439" s="360">
        <v>0.58</v>
      </c>
      <c r="K439" s="18" t="s">
        <v>2241</v>
      </c>
      <c r="L439" s="18">
        <v>5.498207306E9</v>
      </c>
      <c r="M439" s="18" t="s">
        <v>215</v>
      </c>
      <c r="N439" s="18" t="s">
        <v>1053</v>
      </c>
      <c r="O439" s="18" t="s">
        <v>2249</v>
      </c>
      <c r="P439" s="18" t="s">
        <v>7041</v>
      </c>
      <c r="Q439" s="20">
        <f>COUNTIF('Hedef Liste'!A:A,A439)</f>
        <v>1</v>
      </c>
    </row>
    <row r="440" ht="15.75" hidden="1" customHeight="1">
      <c r="A440" s="18" t="s">
        <v>737</v>
      </c>
      <c r="B440" s="18" t="s">
        <v>738</v>
      </c>
      <c r="C440" s="358" t="s">
        <v>7040</v>
      </c>
      <c r="D440" s="18" t="s">
        <v>167</v>
      </c>
      <c r="E440" s="359">
        <v>256.0</v>
      </c>
      <c r="F440" s="359">
        <v>12.0</v>
      </c>
      <c r="G440" s="359">
        <v>5.0</v>
      </c>
      <c r="H440" s="359">
        <v>22.0</v>
      </c>
      <c r="I440" s="359">
        <v>27.0</v>
      </c>
      <c r="J440" s="360">
        <v>0.19</v>
      </c>
      <c r="K440" s="18" t="s">
        <v>739</v>
      </c>
      <c r="L440" s="18">
        <v>5.301108895E9</v>
      </c>
      <c r="M440" s="18" t="s">
        <v>156</v>
      </c>
      <c r="N440" s="18" t="s">
        <v>740</v>
      </c>
      <c r="O440" s="18" t="s">
        <v>741</v>
      </c>
      <c r="P440" s="18" t="s">
        <v>7041</v>
      </c>
      <c r="Q440" s="20">
        <f>COUNTIF('Hedef Liste'!A:A,A440)</f>
        <v>1</v>
      </c>
    </row>
    <row r="441" ht="15.75" hidden="1" customHeight="1">
      <c r="A441" s="18" t="s">
        <v>3449</v>
      </c>
      <c r="B441" s="18" t="s">
        <v>3450</v>
      </c>
      <c r="C441" s="358" t="s">
        <v>7040</v>
      </c>
      <c r="D441" s="18" t="s">
        <v>167</v>
      </c>
      <c r="E441" s="359">
        <v>2168.0</v>
      </c>
      <c r="F441" s="359">
        <v>65.0</v>
      </c>
      <c r="G441" s="359">
        <v>54.0</v>
      </c>
      <c r="H441" s="359">
        <v>15.0</v>
      </c>
      <c r="I441" s="359">
        <v>69.0</v>
      </c>
      <c r="J441" s="360">
        <v>0.78</v>
      </c>
      <c r="K441" s="18" t="s">
        <v>3451</v>
      </c>
      <c r="L441" s="18">
        <v>5.319733565E9</v>
      </c>
      <c r="M441" s="18" t="s">
        <v>215</v>
      </c>
      <c r="N441" s="18" t="s">
        <v>613</v>
      </c>
      <c r="O441" s="18" t="s">
        <v>3452</v>
      </c>
      <c r="P441" s="18" t="s">
        <v>7047</v>
      </c>
      <c r="Q441" s="20">
        <f>COUNTIF('Hedef Liste'!A:A,A441)</f>
        <v>1</v>
      </c>
    </row>
    <row r="442" ht="15.75" hidden="1" customHeight="1">
      <c r="A442" s="18" t="s">
        <v>3465</v>
      </c>
      <c r="B442" s="18" t="s">
        <v>3466</v>
      </c>
      <c r="C442" s="358" t="s">
        <v>7040</v>
      </c>
      <c r="D442" s="18" t="s">
        <v>167</v>
      </c>
      <c r="E442" s="359">
        <v>1183.0</v>
      </c>
      <c r="F442" s="359">
        <v>58.0</v>
      </c>
      <c r="G442" s="359">
        <v>72.0</v>
      </c>
      <c r="H442" s="359">
        <v>4.0</v>
      </c>
      <c r="I442" s="359">
        <v>76.0</v>
      </c>
      <c r="J442" s="360">
        <v>0.95</v>
      </c>
      <c r="K442" s="18" t="s">
        <v>3463</v>
      </c>
      <c r="L442" s="18">
        <v>5.468802108E9</v>
      </c>
      <c r="M442" s="18" t="s">
        <v>137</v>
      </c>
      <c r="N442" s="18" t="s">
        <v>209</v>
      </c>
      <c r="O442" s="18" t="s">
        <v>3467</v>
      </c>
      <c r="P442" s="18" t="s">
        <v>7047</v>
      </c>
      <c r="Q442" s="20">
        <f>COUNTIF('Hedef Liste'!A:A,A442)</f>
        <v>1</v>
      </c>
    </row>
    <row r="443" ht="15.75" hidden="1" customHeight="1">
      <c r="A443" s="18" t="s">
        <v>3461</v>
      </c>
      <c r="B443" s="18" t="s">
        <v>3462</v>
      </c>
      <c r="C443" s="358" t="s">
        <v>7040</v>
      </c>
      <c r="D443" s="18" t="s">
        <v>167</v>
      </c>
      <c r="E443" s="359">
        <v>1618.0</v>
      </c>
      <c r="F443" s="359">
        <v>88.0</v>
      </c>
      <c r="G443" s="359">
        <v>65.0</v>
      </c>
      <c r="H443" s="359">
        <v>2.0</v>
      </c>
      <c r="I443" s="359">
        <v>67.0</v>
      </c>
      <c r="J443" s="360">
        <v>0.97</v>
      </c>
      <c r="K443" s="18" t="s">
        <v>3463</v>
      </c>
      <c r="L443" s="18">
        <v>5.300110888E9</v>
      </c>
      <c r="M443" s="18" t="s">
        <v>137</v>
      </c>
      <c r="N443" s="18" t="s">
        <v>209</v>
      </c>
      <c r="O443" s="18" t="s">
        <v>3464</v>
      </c>
      <c r="P443" s="18" t="s">
        <v>7047</v>
      </c>
      <c r="Q443" s="20">
        <f>COUNTIF('Hedef Liste'!A:A,A443)</f>
        <v>1</v>
      </c>
    </row>
    <row r="444" ht="15.75" hidden="1" customHeight="1">
      <c r="A444" s="18" t="s">
        <v>3525</v>
      </c>
      <c r="B444" s="18" t="s">
        <v>3526</v>
      </c>
      <c r="C444" s="358" t="s">
        <v>7040</v>
      </c>
      <c r="D444" s="18" t="s">
        <v>167</v>
      </c>
      <c r="E444" s="359">
        <v>804.0</v>
      </c>
      <c r="F444" s="359">
        <v>13.0</v>
      </c>
      <c r="G444" s="359">
        <v>58.0</v>
      </c>
      <c r="H444" s="359">
        <v>0.0</v>
      </c>
      <c r="I444" s="359">
        <v>58.0</v>
      </c>
      <c r="J444" s="360">
        <v>1.0</v>
      </c>
      <c r="K444" s="18" t="s">
        <v>3508</v>
      </c>
      <c r="L444" s="18">
        <v>5.524792201E9</v>
      </c>
      <c r="M444" s="18" t="s">
        <v>72</v>
      </c>
      <c r="N444" s="18" t="s">
        <v>509</v>
      </c>
      <c r="O444" s="18" t="s">
        <v>3527</v>
      </c>
      <c r="P444" s="18" t="s">
        <v>7047</v>
      </c>
      <c r="Q444" s="20">
        <f>COUNTIF('Hedef Liste'!A:A,A444)</f>
        <v>1</v>
      </c>
    </row>
    <row r="445" ht="15.75" hidden="1" customHeight="1">
      <c r="A445" s="18" t="s">
        <v>3536</v>
      </c>
      <c r="B445" s="18" t="s">
        <v>3537</v>
      </c>
      <c r="C445" s="358" t="s">
        <v>7040</v>
      </c>
      <c r="D445" s="18" t="s">
        <v>167</v>
      </c>
      <c r="E445" s="359">
        <v>2932.0</v>
      </c>
      <c r="F445" s="359">
        <v>126.0</v>
      </c>
      <c r="G445" s="359">
        <v>64.0</v>
      </c>
      <c r="H445" s="359">
        <v>0.0</v>
      </c>
      <c r="I445" s="359">
        <v>64.0</v>
      </c>
      <c r="J445" s="360">
        <v>1.0</v>
      </c>
      <c r="K445" s="18" t="s">
        <v>3519</v>
      </c>
      <c r="L445" s="18">
        <v>5.342025005E9</v>
      </c>
      <c r="M445" s="18" t="s">
        <v>72</v>
      </c>
      <c r="N445" s="18" t="s">
        <v>716</v>
      </c>
      <c r="O445" s="18" t="s">
        <v>3538</v>
      </c>
      <c r="P445" s="18" t="s">
        <v>7047</v>
      </c>
      <c r="Q445" s="20">
        <f>COUNTIF('Hedef Liste'!A:A,A445)</f>
        <v>1</v>
      </c>
    </row>
    <row r="446" ht="15.75" hidden="1" customHeight="1">
      <c r="A446" s="18" t="s">
        <v>496</v>
      </c>
      <c r="B446" s="18" t="s">
        <v>497</v>
      </c>
      <c r="C446" s="358" t="s">
        <v>7040</v>
      </c>
      <c r="D446" s="18" t="s">
        <v>498</v>
      </c>
      <c r="E446" s="359">
        <v>905.0</v>
      </c>
      <c r="F446" s="18"/>
      <c r="G446" s="359">
        <v>0.0</v>
      </c>
      <c r="H446" s="359">
        <v>36.0</v>
      </c>
      <c r="I446" s="359">
        <v>36.0</v>
      </c>
      <c r="J446" s="360">
        <v>0.0</v>
      </c>
      <c r="K446" s="18" t="s">
        <v>499</v>
      </c>
      <c r="L446" s="18">
        <v>3.247140002E9</v>
      </c>
      <c r="M446" s="18" t="s">
        <v>187</v>
      </c>
      <c r="N446" s="18" t="s">
        <v>188</v>
      </c>
      <c r="O446" s="18" t="s">
        <v>500</v>
      </c>
      <c r="P446" s="18" t="s">
        <v>7041</v>
      </c>
      <c r="Q446" s="20">
        <f>COUNTIF('Hedef Liste'!A:A,A446)</f>
        <v>1</v>
      </c>
    </row>
    <row r="447" ht="15.75" hidden="1" customHeight="1">
      <c r="A447" s="18" t="s">
        <v>2724</v>
      </c>
      <c r="B447" s="18" t="s">
        <v>2725</v>
      </c>
      <c r="C447" s="358" t="s">
        <v>7040</v>
      </c>
      <c r="D447" s="18" t="s">
        <v>2207</v>
      </c>
      <c r="E447" s="359">
        <v>735.0</v>
      </c>
      <c r="F447" s="359">
        <v>63.0</v>
      </c>
      <c r="G447" s="359">
        <v>6.0</v>
      </c>
      <c r="H447" s="359">
        <v>6.0</v>
      </c>
      <c r="I447" s="359">
        <v>12.0</v>
      </c>
      <c r="J447" s="360">
        <v>0.5</v>
      </c>
      <c r="K447" s="18" t="s">
        <v>2726</v>
      </c>
      <c r="L447" s="18">
        <v>3.243259592E9</v>
      </c>
      <c r="M447" s="18" t="s">
        <v>72</v>
      </c>
      <c r="N447" s="18" t="s">
        <v>1298</v>
      </c>
      <c r="O447" s="18" t="s">
        <v>7267</v>
      </c>
      <c r="P447" s="18" t="s">
        <v>7041</v>
      </c>
      <c r="Q447" s="20">
        <f>COUNTIF('Hedef Liste'!A:A,A447)</f>
        <v>1</v>
      </c>
    </row>
    <row r="448" ht="15.75" hidden="1" customHeight="1">
      <c r="A448" s="18" t="s">
        <v>7268</v>
      </c>
      <c r="B448" s="18" t="s">
        <v>7269</v>
      </c>
      <c r="C448" s="358" t="s">
        <v>7040</v>
      </c>
      <c r="D448" s="18" t="s">
        <v>372</v>
      </c>
      <c r="E448" s="359">
        <v>2878.0</v>
      </c>
      <c r="F448" s="359">
        <v>134.0</v>
      </c>
      <c r="G448" s="359">
        <v>63.0</v>
      </c>
      <c r="H448" s="359">
        <v>66.0</v>
      </c>
      <c r="I448" s="359">
        <v>129.0</v>
      </c>
      <c r="J448" s="360">
        <v>0.49</v>
      </c>
      <c r="K448" s="18" t="s">
        <v>7270</v>
      </c>
      <c r="L448" s="18">
        <v>3.243562424E9</v>
      </c>
      <c r="M448" s="18" t="s">
        <v>72</v>
      </c>
      <c r="N448" s="18" t="s">
        <v>538</v>
      </c>
      <c r="O448" s="18" t="s">
        <v>7271</v>
      </c>
      <c r="P448" s="18" t="s">
        <v>7047</v>
      </c>
      <c r="Q448" s="20">
        <f>COUNTIF('Hedef Liste'!A:A,A448)</f>
        <v>0</v>
      </c>
    </row>
    <row r="449" ht="15.75" hidden="1" customHeight="1">
      <c r="A449" s="18" t="s">
        <v>2701</v>
      </c>
      <c r="B449" s="18" t="s">
        <v>2702</v>
      </c>
      <c r="C449" s="358" t="s">
        <v>7040</v>
      </c>
      <c r="D449" s="18" t="s">
        <v>45</v>
      </c>
      <c r="E449" s="359">
        <v>3360.0</v>
      </c>
      <c r="F449" s="359">
        <v>152.0</v>
      </c>
      <c r="G449" s="359">
        <v>1.0</v>
      </c>
      <c r="H449" s="359">
        <v>68.0</v>
      </c>
      <c r="I449" s="359">
        <v>69.0</v>
      </c>
      <c r="J449" s="360">
        <v>0.01</v>
      </c>
      <c r="K449" s="18" t="s">
        <v>2703</v>
      </c>
      <c r="L449" s="18">
        <v>3.245161333E9</v>
      </c>
      <c r="M449" s="18" t="s">
        <v>47</v>
      </c>
      <c r="N449" s="18" t="s">
        <v>515</v>
      </c>
      <c r="O449" s="18" t="s">
        <v>2704</v>
      </c>
      <c r="P449" s="18" t="s">
        <v>7041</v>
      </c>
      <c r="Q449" s="20">
        <f>COUNTIF('Hedef Liste'!A:A,A449)</f>
        <v>1</v>
      </c>
    </row>
    <row r="450" ht="15.75" hidden="1" customHeight="1">
      <c r="A450" s="18" t="s">
        <v>2080</v>
      </c>
      <c r="B450" s="18" t="s">
        <v>2081</v>
      </c>
      <c r="C450" s="358" t="s">
        <v>7040</v>
      </c>
      <c r="D450" s="18" t="s">
        <v>363</v>
      </c>
      <c r="E450" s="359">
        <v>141.0</v>
      </c>
      <c r="F450" s="359">
        <v>8.0</v>
      </c>
      <c r="G450" s="359">
        <v>33.0</v>
      </c>
      <c r="H450" s="359">
        <v>100.0</v>
      </c>
      <c r="I450" s="359">
        <v>133.0</v>
      </c>
      <c r="J450" s="360">
        <v>0.25</v>
      </c>
      <c r="K450" s="18" t="s">
        <v>2082</v>
      </c>
      <c r="L450" s="18">
        <v>5.343199155E9</v>
      </c>
      <c r="M450" s="18" t="s">
        <v>72</v>
      </c>
      <c r="N450" s="18" t="s">
        <v>538</v>
      </c>
      <c r="O450" s="18" t="s">
        <v>2083</v>
      </c>
      <c r="P450" s="18" t="s">
        <v>7041</v>
      </c>
      <c r="Q450" s="20">
        <f>COUNTIF('Hedef Liste'!A:A,A450)</f>
        <v>1</v>
      </c>
    </row>
    <row r="451" ht="15.75" hidden="1" customHeight="1">
      <c r="A451" s="18" t="s">
        <v>3432</v>
      </c>
      <c r="B451" s="18" t="s">
        <v>3433</v>
      </c>
      <c r="C451" s="358" t="s">
        <v>7040</v>
      </c>
      <c r="D451" s="18" t="s">
        <v>80</v>
      </c>
      <c r="E451" s="359">
        <v>1038.0</v>
      </c>
      <c r="F451" s="359">
        <v>191.0</v>
      </c>
      <c r="G451" s="359">
        <v>8.0</v>
      </c>
      <c r="H451" s="359">
        <v>0.0</v>
      </c>
      <c r="I451" s="359">
        <v>8.0</v>
      </c>
      <c r="J451" s="360">
        <v>1.0</v>
      </c>
      <c r="K451" s="18" t="s">
        <v>3429</v>
      </c>
      <c r="L451" s="18">
        <v>5.382509804E9</v>
      </c>
      <c r="M451" s="18" t="s">
        <v>72</v>
      </c>
      <c r="N451" s="18" t="s">
        <v>113</v>
      </c>
      <c r="O451" s="18" t="s">
        <v>3434</v>
      </c>
      <c r="P451" s="18" t="s">
        <v>7041</v>
      </c>
      <c r="Q451" s="20">
        <f>COUNTIF('Hedef Liste'!A:A,A451)</f>
        <v>1</v>
      </c>
    </row>
    <row r="452" ht="15.75" hidden="1" customHeight="1">
      <c r="A452" s="18" t="s">
        <v>4746</v>
      </c>
      <c r="B452" s="18" t="s">
        <v>4747</v>
      </c>
      <c r="C452" s="358" t="s">
        <v>7040</v>
      </c>
      <c r="D452" s="18" t="s">
        <v>913</v>
      </c>
      <c r="E452" s="359">
        <v>68.0</v>
      </c>
      <c r="F452" s="18"/>
      <c r="G452" s="359">
        <v>0.0</v>
      </c>
      <c r="H452" s="359">
        <v>59.0</v>
      </c>
      <c r="I452" s="359">
        <v>59.0</v>
      </c>
      <c r="J452" s="360">
        <v>0.0</v>
      </c>
      <c r="K452" s="18" t="s">
        <v>4748</v>
      </c>
      <c r="L452" s="18">
        <v>5.4697521E9</v>
      </c>
      <c r="M452" s="18" t="s">
        <v>47</v>
      </c>
      <c r="N452" s="18" t="s">
        <v>489</v>
      </c>
      <c r="O452" s="18" t="s">
        <v>4749</v>
      </c>
      <c r="P452" s="18" t="s">
        <v>7041</v>
      </c>
      <c r="Q452" s="20">
        <f>COUNTIF('Hedef Liste'!A:A,A452)</f>
        <v>1</v>
      </c>
    </row>
    <row r="453" ht="15.75" hidden="1" customHeight="1">
      <c r="A453" s="18" t="s">
        <v>2602</v>
      </c>
      <c r="B453" s="18" t="s">
        <v>2603</v>
      </c>
      <c r="C453" s="358" t="s">
        <v>7040</v>
      </c>
      <c r="D453" s="18" t="s">
        <v>80</v>
      </c>
      <c r="E453" s="359">
        <v>238.0</v>
      </c>
      <c r="F453" s="18"/>
      <c r="G453" s="359">
        <v>9.0</v>
      </c>
      <c r="H453" s="359">
        <v>1.0</v>
      </c>
      <c r="I453" s="359">
        <v>10.0</v>
      </c>
      <c r="J453" s="360">
        <v>0.9</v>
      </c>
      <c r="K453" s="18" t="s">
        <v>2604</v>
      </c>
      <c r="L453" s="18">
        <v>3.243370693E9</v>
      </c>
      <c r="M453" s="18" t="s">
        <v>137</v>
      </c>
      <c r="N453" s="18" t="s">
        <v>426</v>
      </c>
      <c r="O453" s="18" t="s">
        <v>2605</v>
      </c>
      <c r="P453" s="18" t="s">
        <v>7041</v>
      </c>
      <c r="Q453" s="20">
        <f>COUNTIF('Hedef Liste'!A:A,A453)</f>
        <v>1</v>
      </c>
    </row>
    <row r="454" ht="15.75" hidden="1" customHeight="1">
      <c r="A454" s="18" t="s">
        <v>3137</v>
      </c>
      <c r="B454" s="18" t="s">
        <v>3138</v>
      </c>
      <c r="C454" s="358" t="s">
        <v>7040</v>
      </c>
      <c r="D454" s="18" t="s">
        <v>80</v>
      </c>
      <c r="E454" s="359">
        <v>129.0</v>
      </c>
      <c r="F454" s="18"/>
      <c r="G454" s="359">
        <v>6.0</v>
      </c>
      <c r="H454" s="359">
        <v>6.0</v>
      </c>
      <c r="I454" s="359">
        <v>12.0</v>
      </c>
      <c r="J454" s="360">
        <v>0.5</v>
      </c>
      <c r="K454" s="18" t="s">
        <v>3139</v>
      </c>
      <c r="L454" s="18">
        <v>5.334160006E9</v>
      </c>
      <c r="M454" s="18" t="s">
        <v>137</v>
      </c>
      <c r="N454" s="18" t="s">
        <v>209</v>
      </c>
      <c r="O454" s="18" t="s">
        <v>3140</v>
      </c>
      <c r="P454" s="18" t="s">
        <v>7041</v>
      </c>
      <c r="Q454" s="20">
        <f>COUNTIF('Hedef Liste'!A:A,A454)</f>
        <v>1</v>
      </c>
    </row>
    <row r="455" ht="15.75" hidden="1" customHeight="1">
      <c r="A455" s="18" t="s">
        <v>3348</v>
      </c>
      <c r="B455" s="18" t="s">
        <v>3349</v>
      </c>
      <c r="C455" s="358" t="s">
        <v>7040</v>
      </c>
      <c r="D455" s="18" t="s">
        <v>70</v>
      </c>
      <c r="E455" s="359">
        <v>1776.0</v>
      </c>
      <c r="F455" s="359">
        <v>40.0</v>
      </c>
      <c r="G455" s="359">
        <v>0.0</v>
      </c>
      <c r="H455" s="359">
        <v>11.0</v>
      </c>
      <c r="I455" s="359">
        <v>11.0</v>
      </c>
      <c r="J455" s="360">
        <v>0.0</v>
      </c>
      <c r="K455" s="18" t="s">
        <v>839</v>
      </c>
      <c r="L455" s="18">
        <v>5.512714151E9</v>
      </c>
      <c r="M455" s="18" t="s">
        <v>72</v>
      </c>
      <c r="N455" s="18" t="s">
        <v>113</v>
      </c>
      <c r="O455" s="18" t="s">
        <v>840</v>
      </c>
      <c r="P455" s="18" t="s">
        <v>7041</v>
      </c>
      <c r="Q455" s="20">
        <f>COUNTIF('Hedef Liste'!A:A,A455)</f>
        <v>1</v>
      </c>
    </row>
    <row r="456" ht="15.75" hidden="1" customHeight="1">
      <c r="A456" s="18" t="s">
        <v>7272</v>
      </c>
      <c r="B456" s="18" t="s">
        <v>7273</v>
      </c>
      <c r="C456" s="358" t="s">
        <v>7040</v>
      </c>
      <c r="D456" s="18" t="s">
        <v>70</v>
      </c>
      <c r="E456" s="359">
        <v>31403.0</v>
      </c>
      <c r="F456" s="359">
        <v>3162.0</v>
      </c>
      <c r="G456" s="359">
        <v>3.0</v>
      </c>
      <c r="H456" s="359">
        <v>1.0</v>
      </c>
      <c r="I456" s="359">
        <v>4.0</v>
      </c>
      <c r="J456" s="360">
        <v>0.75</v>
      </c>
      <c r="K456" s="18" t="s">
        <v>3002</v>
      </c>
      <c r="L456" s="18">
        <v>3.243591881E9</v>
      </c>
      <c r="M456" s="18" t="s">
        <v>63</v>
      </c>
      <c r="N456" s="18" t="s">
        <v>700</v>
      </c>
      <c r="O456" s="18" t="s">
        <v>7274</v>
      </c>
      <c r="P456" s="18" t="s">
        <v>7041</v>
      </c>
      <c r="Q456" s="20">
        <f>COUNTIF('Hedef Liste'!A:A,A456)</f>
        <v>0</v>
      </c>
    </row>
    <row r="457" ht="15.75" hidden="1" customHeight="1">
      <c r="A457" s="18" t="s">
        <v>4548</v>
      </c>
      <c r="B457" s="18" t="s">
        <v>4549</v>
      </c>
      <c r="C457" s="358" t="s">
        <v>7040</v>
      </c>
      <c r="D457" s="18" t="s">
        <v>106</v>
      </c>
      <c r="E457" s="359">
        <v>2011.0</v>
      </c>
      <c r="F457" s="359">
        <v>82.0</v>
      </c>
      <c r="G457" s="359">
        <v>0.0</v>
      </c>
      <c r="H457" s="359">
        <v>25.0</v>
      </c>
      <c r="I457" s="359">
        <v>25.0</v>
      </c>
      <c r="J457" s="360">
        <v>0.0</v>
      </c>
      <c r="K457" s="18" t="s">
        <v>1497</v>
      </c>
      <c r="L457" s="18">
        <v>5.315541881E9</v>
      </c>
      <c r="M457" s="18" t="s">
        <v>72</v>
      </c>
      <c r="N457" s="18" t="s">
        <v>82</v>
      </c>
      <c r="O457" s="18" t="s">
        <v>1442</v>
      </c>
      <c r="P457" s="18" t="s">
        <v>7041</v>
      </c>
      <c r="Q457" s="20">
        <f>COUNTIF('Hedef Liste'!A:A,A457)</f>
        <v>1</v>
      </c>
    </row>
    <row r="458" ht="15.75" hidden="1" customHeight="1">
      <c r="A458" s="18" t="s">
        <v>4599</v>
      </c>
      <c r="B458" s="18" t="s">
        <v>4600</v>
      </c>
      <c r="C458" s="358" t="s">
        <v>7062</v>
      </c>
      <c r="D458" s="18" t="s">
        <v>363</v>
      </c>
      <c r="E458" s="359">
        <v>27.0</v>
      </c>
      <c r="F458" s="18"/>
      <c r="G458" s="359">
        <v>0.0</v>
      </c>
      <c r="H458" s="359">
        <v>4.0</v>
      </c>
      <c r="I458" s="359">
        <v>4.0</v>
      </c>
      <c r="J458" s="360">
        <v>0.0</v>
      </c>
      <c r="K458" s="18" t="s">
        <v>595</v>
      </c>
      <c r="L458" s="18">
        <v>5.304670333E9</v>
      </c>
      <c r="M458" s="18" t="s">
        <v>156</v>
      </c>
      <c r="N458" s="18" t="s">
        <v>596</v>
      </c>
      <c r="O458" s="18" t="s">
        <v>4601</v>
      </c>
      <c r="P458" s="18" t="s">
        <v>7041</v>
      </c>
      <c r="Q458" s="20">
        <f>COUNTIF('Hedef Liste'!A:A,A458)</f>
        <v>1</v>
      </c>
    </row>
    <row r="459" ht="15.75" hidden="1" customHeight="1">
      <c r="A459" s="18" t="s">
        <v>3862</v>
      </c>
      <c r="B459" s="18" t="s">
        <v>3863</v>
      </c>
      <c r="C459" s="358" t="s">
        <v>7040</v>
      </c>
      <c r="D459" s="18" t="s">
        <v>913</v>
      </c>
      <c r="E459" s="359">
        <v>531.0</v>
      </c>
      <c r="F459" s="359">
        <v>48.0</v>
      </c>
      <c r="G459" s="359">
        <v>21.0</v>
      </c>
      <c r="H459" s="359">
        <v>5.0</v>
      </c>
      <c r="I459" s="359">
        <v>26.0</v>
      </c>
      <c r="J459" s="360">
        <v>0.81</v>
      </c>
      <c r="K459" s="18" t="s">
        <v>3864</v>
      </c>
      <c r="L459" s="18">
        <v>3.243289757E9</v>
      </c>
      <c r="M459" s="18" t="s">
        <v>72</v>
      </c>
      <c r="N459" s="18" t="s">
        <v>810</v>
      </c>
      <c r="O459" s="18" t="s">
        <v>3865</v>
      </c>
      <c r="P459" s="18" t="s">
        <v>7041</v>
      </c>
      <c r="Q459" s="20">
        <f>COUNTIF('Hedef Liste'!A:A,A459)</f>
        <v>1</v>
      </c>
    </row>
    <row r="460" ht="15.75" hidden="1" customHeight="1">
      <c r="A460" s="18" t="s">
        <v>1781</v>
      </c>
      <c r="B460" s="18" t="s">
        <v>1782</v>
      </c>
      <c r="C460" s="358" t="s">
        <v>7040</v>
      </c>
      <c r="D460" s="18" t="s">
        <v>80</v>
      </c>
      <c r="E460" s="359">
        <v>4164.0</v>
      </c>
      <c r="F460" s="359">
        <v>384.0</v>
      </c>
      <c r="G460" s="359">
        <v>6.0</v>
      </c>
      <c r="H460" s="359">
        <v>10.0</v>
      </c>
      <c r="I460" s="359">
        <v>16.0</v>
      </c>
      <c r="J460" s="360">
        <v>0.38</v>
      </c>
      <c r="K460" s="18" t="s">
        <v>1783</v>
      </c>
      <c r="L460" s="18">
        <v>5.013222425E9</v>
      </c>
      <c r="M460" s="18" t="s">
        <v>215</v>
      </c>
      <c r="N460" s="18" t="s">
        <v>239</v>
      </c>
      <c r="O460" s="18" t="s">
        <v>1784</v>
      </c>
      <c r="P460" s="18" t="s">
        <v>7041</v>
      </c>
      <c r="Q460" s="20">
        <f>COUNTIF('Hedef Liste'!A:A,A460)</f>
        <v>1</v>
      </c>
    </row>
    <row r="461" ht="15.75" hidden="1" customHeight="1">
      <c r="A461" s="18" t="s">
        <v>2654</v>
      </c>
      <c r="B461" s="18" t="s">
        <v>2655</v>
      </c>
      <c r="C461" s="358" t="s">
        <v>7062</v>
      </c>
      <c r="D461" s="18" t="s">
        <v>1947</v>
      </c>
      <c r="E461" s="359">
        <v>127.0</v>
      </c>
      <c r="F461" s="18"/>
      <c r="G461" s="359">
        <v>0.0</v>
      </c>
      <c r="H461" s="359">
        <v>22.0</v>
      </c>
      <c r="I461" s="359">
        <v>22.0</v>
      </c>
      <c r="J461" s="360">
        <v>0.0</v>
      </c>
      <c r="K461" s="18" t="s">
        <v>2656</v>
      </c>
      <c r="L461" s="18">
        <v>3.243610191E9</v>
      </c>
      <c r="M461" s="18" t="s">
        <v>72</v>
      </c>
      <c r="N461" s="18" t="s">
        <v>983</v>
      </c>
      <c r="O461" s="18" t="s">
        <v>984</v>
      </c>
      <c r="P461" s="18" t="s">
        <v>7041</v>
      </c>
      <c r="Q461" s="20">
        <f>COUNTIF('Hedef Liste'!A:A,A461)</f>
        <v>1</v>
      </c>
    </row>
    <row r="462" ht="15.75" hidden="1" customHeight="1">
      <c r="A462" s="18" t="s">
        <v>1339</v>
      </c>
      <c r="B462" s="18" t="s">
        <v>1340</v>
      </c>
      <c r="C462" s="358" t="s">
        <v>7040</v>
      </c>
      <c r="D462" s="18" t="s">
        <v>498</v>
      </c>
      <c r="E462" s="359">
        <v>51.0</v>
      </c>
      <c r="F462" s="18"/>
      <c r="G462" s="359">
        <v>6.0</v>
      </c>
      <c r="H462" s="359">
        <v>43.0</v>
      </c>
      <c r="I462" s="359">
        <v>49.0</v>
      </c>
      <c r="J462" s="360">
        <v>0.12</v>
      </c>
      <c r="K462" s="18" t="s">
        <v>1341</v>
      </c>
      <c r="L462" s="18">
        <v>5.350136578E9</v>
      </c>
      <c r="M462" s="18" t="s">
        <v>72</v>
      </c>
      <c r="N462" s="18" t="s">
        <v>128</v>
      </c>
      <c r="O462" s="18" t="s">
        <v>1342</v>
      </c>
      <c r="P462" s="18" t="s">
        <v>7041</v>
      </c>
      <c r="Q462" s="20">
        <f>COUNTIF('Hedef Liste'!A:A,A462)</f>
        <v>1</v>
      </c>
    </row>
    <row r="463" ht="15.75" hidden="1" customHeight="1">
      <c r="A463" s="18" t="s">
        <v>2085</v>
      </c>
      <c r="B463" s="18" t="s">
        <v>2086</v>
      </c>
      <c r="C463" s="358" t="s">
        <v>7040</v>
      </c>
      <c r="D463" s="18" t="s">
        <v>167</v>
      </c>
      <c r="E463" s="359">
        <v>317.0</v>
      </c>
      <c r="F463" s="359">
        <v>11.0</v>
      </c>
      <c r="G463" s="359">
        <v>0.0</v>
      </c>
      <c r="H463" s="359">
        <v>19.0</v>
      </c>
      <c r="I463" s="359">
        <v>19.0</v>
      </c>
      <c r="J463" s="360">
        <v>0.0</v>
      </c>
      <c r="K463" s="18" t="s">
        <v>2087</v>
      </c>
      <c r="L463" s="18">
        <v>5.537879625E9</v>
      </c>
      <c r="M463" s="18" t="s">
        <v>156</v>
      </c>
      <c r="N463" s="18" t="s">
        <v>252</v>
      </c>
      <c r="O463" s="18" t="s">
        <v>2088</v>
      </c>
      <c r="P463" s="18" t="s">
        <v>7041</v>
      </c>
      <c r="Q463" s="20">
        <f>COUNTIF('Hedef Liste'!A:A,A463)</f>
        <v>1</v>
      </c>
    </row>
    <row r="464" ht="15.75" hidden="1" customHeight="1">
      <c r="A464" s="18" t="s">
        <v>7275</v>
      </c>
      <c r="B464" s="18" t="s">
        <v>7276</v>
      </c>
      <c r="C464" s="358" t="s">
        <v>7040</v>
      </c>
      <c r="D464" s="18" t="s">
        <v>45</v>
      </c>
      <c r="E464" s="359">
        <v>11213.0</v>
      </c>
      <c r="F464" s="359">
        <v>566.0</v>
      </c>
      <c r="G464" s="359">
        <v>167.0</v>
      </c>
      <c r="H464" s="359">
        <v>0.0</v>
      </c>
      <c r="I464" s="359">
        <v>167.0</v>
      </c>
      <c r="J464" s="360">
        <v>1.0</v>
      </c>
      <c r="K464" s="18" t="s">
        <v>7192</v>
      </c>
      <c r="L464" s="18">
        <v>9.999999999E9</v>
      </c>
      <c r="M464" s="18" t="s">
        <v>72</v>
      </c>
      <c r="N464" s="18" t="s">
        <v>73</v>
      </c>
      <c r="O464" s="18" t="s">
        <v>7277</v>
      </c>
      <c r="P464" s="18" t="s">
        <v>7047</v>
      </c>
      <c r="Q464" s="20">
        <f>COUNTIF('Hedef Liste'!A:A,A464)</f>
        <v>0</v>
      </c>
    </row>
    <row r="465" ht="15.75" hidden="1" customHeight="1">
      <c r="A465" s="18" t="s">
        <v>2684</v>
      </c>
      <c r="B465" s="18" t="s">
        <v>2685</v>
      </c>
      <c r="C465" s="358" t="s">
        <v>7040</v>
      </c>
      <c r="D465" s="18" t="s">
        <v>363</v>
      </c>
      <c r="E465" s="359">
        <v>674.0</v>
      </c>
      <c r="F465" s="359">
        <v>73.0</v>
      </c>
      <c r="G465" s="359">
        <v>0.0</v>
      </c>
      <c r="H465" s="359">
        <v>16.0</v>
      </c>
      <c r="I465" s="359">
        <v>16.0</v>
      </c>
      <c r="J465" s="360">
        <v>0.0</v>
      </c>
      <c r="K465" s="18" t="s">
        <v>2686</v>
      </c>
      <c r="L465" s="18">
        <v>5.445651769E9</v>
      </c>
      <c r="M465" s="18" t="s">
        <v>72</v>
      </c>
      <c r="N465" s="18" t="s">
        <v>82</v>
      </c>
      <c r="O465" s="18" t="s">
        <v>2687</v>
      </c>
      <c r="P465" s="18" t="s">
        <v>7041</v>
      </c>
      <c r="Q465" s="20">
        <f>COUNTIF('Hedef Liste'!A:A,A465)</f>
        <v>1</v>
      </c>
    </row>
    <row r="466" ht="15.75" hidden="1" customHeight="1">
      <c r="A466" s="18" t="s">
        <v>4335</v>
      </c>
      <c r="B466" s="18" t="s">
        <v>4336</v>
      </c>
      <c r="C466" s="358" t="s">
        <v>7040</v>
      </c>
      <c r="D466" s="18" t="s">
        <v>70</v>
      </c>
      <c r="E466" s="359">
        <v>1598.0</v>
      </c>
      <c r="F466" s="359">
        <v>79.0</v>
      </c>
      <c r="G466" s="359">
        <v>0.0</v>
      </c>
      <c r="H466" s="359">
        <v>39.0</v>
      </c>
      <c r="I466" s="359">
        <v>39.0</v>
      </c>
      <c r="J466" s="360">
        <v>0.0</v>
      </c>
      <c r="K466" s="18" t="s">
        <v>4337</v>
      </c>
      <c r="L466" s="18">
        <v>3.24622003E9</v>
      </c>
      <c r="M466" s="18" t="s">
        <v>156</v>
      </c>
      <c r="N466" s="18" t="s">
        <v>596</v>
      </c>
      <c r="O466" s="18" t="s">
        <v>4338</v>
      </c>
      <c r="P466" s="18" t="s">
        <v>7041</v>
      </c>
      <c r="Q466" s="20">
        <f>COUNTIF('Hedef Liste'!A:A,A466)</f>
        <v>1</v>
      </c>
    </row>
    <row r="467" ht="15.75" hidden="1" customHeight="1">
      <c r="A467" s="18" t="s">
        <v>3228</v>
      </c>
      <c r="B467" s="18" t="s">
        <v>3229</v>
      </c>
      <c r="C467" s="358" t="s">
        <v>7040</v>
      </c>
      <c r="D467" s="18" t="s">
        <v>80</v>
      </c>
      <c r="E467" s="359">
        <v>496.0</v>
      </c>
      <c r="F467" s="359">
        <v>25.0</v>
      </c>
      <c r="G467" s="359">
        <v>0.0</v>
      </c>
      <c r="H467" s="359">
        <v>18.0</v>
      </c>
      <c r="I467" s="359">
        <v>18.0</v>
      </c>
      <c r="J467" s="360">
        <v>0.0</v>
      </c>
      <c r="K467" s="18" t="s">
        <v>3230</v>
      </c>
      <c r="L467" s="18">
        <v>5.305732374E9</v>
      </c>
      <c r="M467" s="18" t="s">
        <v>63</v>
      </c>
      <c r="N467" s="18" t="s">
        <v>93</v>
      </c>
      <c r="O467" s="18" t="s">
        <v>3231</v>
      </c>
      <c r="P467" s="18" t="s">
        <v>7041</v>
      </c>
      <c r="Q467" s="20">
        <f>COUNTIF('Hedef Liste'!A:A,A467)</f>
        <v>1</v>
      </c>
    </row>
    <row r="468" ht="15.75" hidden="1" customHeight="1">
      <c r="A468" s="18" t="s">
        <v>2140</v>
      </c>
      <c r="B468" s="18" t="s">
        <v>2141</v>
      </c>
      <c r="C468" s="358" t="s">
        <v>7040</v>
      </c>
      <c r="D468" s="18" t="s">
        <v>363</v>
      </c>
      <c r="E468" s="359">
        <v>1317.0</v>
      </c>
      <c r="F468" s="359">
        <v>66.0</v>
      </c>
      <c r="G468" s="359">
        <v>15.0</v>
      </c>
      <c r="H468" s="359">
        <v>15.0</v>
      </c>
      <c r="I468" s="359">
        <v>30.0</v>
      </c>
      <c r="J468" s="360">
        <v>0.5</v>
      </c>
      <c r="K468" s="18" t="s">
        <v>2142</v>
      </c>
      <c r="L468" s="18">
        <v>5.421191333E9</v>
      </c>
      <c r="M468" s="18" t="s">
        <v>215</v>
      </c>
      <c r="N468" s="18" t="s">
        <v>442</v>
      </c>
      <c r="O468" s="18" t="s">
        <v>2143</v>
      </c>
      <c r="P468" s="18" t="s">
        <v>7041</v>
      </c>
      <c r="Q468" s="20">
        <f>COUNTIF('Hedef Liste'!A:A,A468)</f>
        <v>1</v>
      </c>
    </row>
    <row r="469" ht="15.75" hidden="1" customHeight="1">
      <c r="A469" s="18" t="s">
        <v>1381</v>
      </c>
      <c r="B469" s="18" t="s">
        <v>7278</v>
      </c>
      <c r="C469" s="358" t="s">
        <v>7040</v>
      </c>
      <c r="D469" s="18" t="s">
        <v>70</v>
      </c>
      <c r="E469" s="359">
        <v>77568.0</v>
      </c>
      <c r="F469" s="359">
        <v>3946.0</v>
      </c>
      <c r="G469" s="359">
        <v>8.0</v>
      </c>
      <c r="H469" s="359">
        <v>38.0</v>
      </c>
      <c r="I469" s="359">
        <v>46.0</v>
      </c>
      <c r="J469" s="360">
        <v>0.17</v>
      </c>
      <c r="K469" s="18" t="s">
        <v>7279</v>
      </c>
      <c r="L469" s="18">
        <v>3.243260909E9</v>
      </c>
      <c r="M469" s="18" t="s">
        <v>72</v>
      </c>
      <c r="N469" s="18" t="s">
        <v>113</v>
      </c>
      <c r="O469" s="18" t="s">
        <v>1384</v>
      </c>
      <c r="P469" s="18" t="s">
        <v>7041</v>
      </c>
      <c r="Q469" s="20">
        <f>COUNTIF('Hedef Liste'!A:A,A469)</f>
        <v>1</v>
      </c>
    </row>
    <row r="470" ht="15.75" hidden="1" customHeight="1">
      <c r="A470" s="18" t="s">
        <v>3790</v>
      </c>
      <c r="B470" s="18" t="s">
        <v>3791</v>
      </c>
      <c r="C470" s="358" t="s">
        <v>7040</v>
      </c>
      <c r="D470" s="18" t="s">
        <v>372</v>
      </c>
      <c r="E470" s="359">
        <v>5571.0</v>
      </c>
      <c r="F470" s="359">
        <v>445.0</v>
      </c>
      <c r="G470" s="359">
        <v>10.0</v>
      </c>
      <c r="H470" s="359">
        <v>89.0</v>
      </c>
      <c r="I470" s="359">
        <v>99.0</v>
      </c>
      <c r="J470" s="360">
        <v>0.1</v>
      </c>
      <c r="K470" s="18" t="s">
        <v>3792</v>
      </c>
      <c r="L470" s="18">
        <v>3.246242121E9</v>
      </c>
      <c r="M470" s="18" t="s">
        <v>156</v>
      </c>
      <c r="N470" s="18" t="s">
        <v>1365</v>
      </c>
      <c r="O470" s="18" t="s">
        <v>3793</v>
      </c>
      <c r="P470" s="18" t="s">
        <v>7041</v>
      </c>
      <c r="Q470" s="20">
        <f>COUNTIF('Hedef Liste'!A:A,A470)</f>
        <v>1</v>
      </c>
    </row>
    <row r="471" ht="15.75" hidden="1" customHeight="1">
      <c r="A471" s="18" t="s">
        <v>4072</v>
      </c>
      <c r="B471" s="18" t="s">
        <v>7280</v>
      </c>
      <c r="C471" s="358" t="s">
        <v>7040</v>
      </c>
      <c r="D471" s="18" t="s">
        <v>356</v>
      </c>
      <c r="E471" s="359">
        <v>9092.0</v>
      </c>
      <c r="F471" s="359">
        <v>824.0</v>
      </c>
      <c r="G471" s="359">
        <v>21.0</v>
      </c>
      <c r="H471" s="359">
        <v>36.0</v>
      </c>
      <c r="I471" s="359">
        <v>57.0</v>
      </c>
      <c r="J471" s="360">
        <v>0.37</v>
      </c>
      <c r="K471" s="18" t="s">
        <v>4074</v>
      </c>
      <c r="L471" s="18">
        <v>3.24328329E9</v>
      </c>
      <c r="M471" s="18" t="s">
        <v>72</v>
      </c>
      <c r="N471" s="18" t="s">
        <v>181</v>
      </c>
      <c r="O471" s="18" t="s">
        <v>4075</v>
      </c>
      <c r="P471" s="18" t="s">
        <v>7041</v>
      </c>
      <c r="Q471" s="20">
        <f>COUNTIF('Hedef Liste'!A:A,A471)</f>
        <v>1</v>
      </c>
    </row>
    <row r="472" ht="15.75" hidden="1" customHeight="1">
      <c r="A472" s="18" t="s">
        <v>383</v>
      </c>
      <c r="B472" s="18" t="s">
        <v>384</v>
      </c>
      <c r="C472" s="358" t="s">
        <v>7040</v>
      </c>
      <c r="D472" s="18" t="s">
        <v>118</v>
      </c>
      <c r="E472" s="359">
        <v>65.0</v>
      </c>
      <c r="F472" s="359">
        <v>15.0</v>
      </c>
      <c r="G472" s="359">
        <v>18.0</v>
      </c>
      <c r="H472" s="359">
        <v>22.0</v>
      </c>
      <c r="I472" s="359">
        <v>40.0</v>
      </c>
      <c r="J472" s="360">
        <v>0.45</v>
      </c>
      <c r="K472" s="18" t="s">
        <v>385</v>
      </c>
      <c r="L472" s="18">
        <v>3.243310069E9</v>
      </c>
      <c r="M472" s="18" t="s">
        <v>72</v>
      </c>
      <c r="N472" s="18" t="s">
        <v>113</v>
      </c>
      <c r="O472" s="18" t="s">
        <v>386</v>
      </c>
      <c r="P472" s="18" t="s">
        <v>7041</v>
      </c>
      <c r="Q472" s="20">
        <f>COUNTIF('Hedef Liste'!A:A,A472)</f>
        <v>1</v>
      </c>
    </row>
    <row r="473" ht="15.75" hidden="1" customHeight="1">
      <c r="A473" s="18" t="s">
        <v>4344</v>
      </c>
      <c r="B473" s="18" t="s">
        <v>4345</v>
      </c>
      <c r="C473" s="358" t="s">
        <v>7040</v>
      </c>
      <c r="D473" s="18" t="s">
        <v>564</v>
      </c>
      <c r="E473" s="359">
        <v>1711.0</v>
      </c>
      <c r="F473" s="18"/>
      <c r="G473" s="359">
        <v>0.0</v>
      </c>
      <c r="H473" s="359">
        <v>63.0</v>
      </c>
      <c r="I473" s="359">
        <v>63.0</v>
      </c>
      <c r="J473" s="360">
        <v>0.0</v>
      </c>
      <c r="K473" s="18" t="s">
        <v>4346</v>
      </c>
      <c r="L473" s="18">
        <v>5.050213333E9</v>
      </c>
      <c r="M473" s="18" t="s">
        <v>72</v>
      </c>
      <c r="N473" s="18" t="s">
        <v>128</v>
      </c>
      <c r="O473" s="18" t="s">
        <v>4347</v>
      </c>
      <c r="P473" s="18" t="s">
        <v>7041</v>
      </c>
      <c r="Q473" s="20">
        <f>COUNTIF('Hedef Liste'!A:A,A473)</f>
        <v>1</v>
      </c>
    </row>
    <row r="474" ht="15.75" hidden="1" customHeight="1">
      <c r="A474" s="18" t="s">
        <v>1659</v>
      </c>
      <c r="B474" s="18" t="s">
        <v>1660</v>
      </c>
      <c r="C474" s="358" t="s">
        <v>7040</v>
      </c>
      <c r="D474" s="18" t="s">
        <v>70</v>
      </c>
      <c r="E474" s="359">
        <v>1042.0</v>
      </c>
      <c r="F474" s="359">
        <v>52.0</v>
      </c>
      <c r="G474" s="359">
        <v>0.0</v>
      </c>
      <c r="H474" s="359">
        <v>17.0</v>
      </c>
      <c r="I474" s="359">
        <v>17.0</v>
      </c>
      <c r="J474" s="360">
        <v>0.0</v>
      </c>
      <c r="K474" s="18" t="s">
        <v>1661</v>
      </c>
      <c r="L474" s="18">
        <v>3.24515906E9</v>
      </c>
      <c r="M474" s="18" t="s">
        <v>47</v>
      </c>
      <c r="N474" s="18" t="s">
        <v>48</v>
      </c>
      <c r="O474" s="18" t="s">
        <v>1662</v>
      </c>
      <c r="P474" s="18" t="s">
        <v>7041</v>
      </c>
      <c r="Q474" s="20">
        <f>COUNTIF('Hedef Liste'!A:A,A474)</f>
        <v>1</v>
      </c>
    </row>
    <row r="475" ht="15.75" hidden="1" customHeight="1">
      <c r="A475" s="18" t="s">
        <v>7281</v>
      </c>
      <c r="B475" s="18" t="s">
        <v>7282</v>
      </c>
      <c r="C475" s="358" t="s">
        <v>7040</v>
      </c>
      <c r="D475" s="18" t="s">
        <v>106</v>
      </c>
      <c r="E475" s="359">
        <v>9381.0</v>
      </c>
      <c r="F475" s="359">
        <v>300.0</v>
      </c>
      <c r="G475" s="359">
        <v>110.0</v>
      </c>
      <c r="H475" s="359">
        <v>0.0</v>
      </c>
      <c r="I475" s="359">
        <v>110.0</v>
      </c>
      <c r="J475" s="360">
        <v>1.0</v>
      </c>
      <c r="K475" s="18" t="s">
        <v>7192</v>
      </c>
      <c r="L475" s="18">
        <v>9.999999999E9</v>
      </c>
      <c r="M475" s="18" t="s">
        <v>72</v>
      </c>
      <c r="N475" s="18" t="s">
        <v>538</v>
      </c>
      <c r="O475" s="18" t="s">
        <v>7283</v>
      </c>
      <c r="P475" s="18" t="s">
        <v>7047</v>
      </c>
      <c r="Q475" s="20">
        <f>COUNTIF('Hedef Liste'!A:A,A475)</f>
        <v>0</v>
      </c>
    </row>
    <row r="476" ht="15.75" hidden="1" customHeight="1">
      <c r="A476" s="18" t="s">
        <v>3122</v>
      </c>
      <c r="B476" s="18" t="s">
        <v>3123</v>
      </c>
      <c r="C476" s="358" t="s">
        <v>7040</v>
      </c>
      <c r="D476" s="18" t="s">
        <v>80</v>
      </c>
      <c r="E476" s="362">
        <v>474.0</v>
      </c>
      <c r="F476" s="359">
        <v>39.0</v>
      </c>
      <c r="G476" s="359">
        <v>9.0</v>
      </c>
      <c r="H476" s="359">
        <v>0.0</v>
      </c>
      <c r="I476" s="359">
        <v>9.0</v>
      </c>
      <c r="J476" s="360">
        <v>1.0</v>
      </c>
      <c r="K476" s="18" t="s">
        <v>3124</v>
      </c>
      <c r="L476" s="18">
        <v>5.467883356E9</v>
      </c>
      <c r="M476" s="18" t="s">
        <v>63</v>
      </c>
      <c r="N476" s="18" t="s">
        <v>137</v>
      </c>
      <c r="O476" s="18" t="s">
        <v>3125</v>
      </c>
      <c r="P476" s="18" t="s">
        <v>7041</v>
      </c>
      <c r="Q476" s="20">
        <f>COUNTIF('Hedef Liste'!A:A,A476)</f>
        <v>1</v>
      </c>
    </row>
    <row r="477" ht="15.75" hidden="1" customHeight="1">
      <c r="A477" s="18" t="s">
        <v>3852</v>
      </c>
      <c r="B477" s="18" t="s">
        <v>3853</v>
      </c>
      <c r="C477" s="358" t="s">
        <v>7040</v>
      </c>
      <c r="D477" s="18" t="s">
        <v>70</v>
      </c>
      <c r="E477" s="359">
        <v>2944.0</v>
      </c>
      <c r="F477" s="359">
        <v>250.0</v>
      </c>
      <c r="G477" s="359">
        <v>6.0</v>
      </c>
      <c r="H477" s="359">
        <v>30.0</v>
      </c>
      <c r="I477" s="359">
        <v>36.0</v>
      </c>
      <c r="J477" s="360">
        <v>0.17</v>
      </c>
      <c r="K477" s="18" t="s">
        <v>3854</v>
      </c>
      <c r="L477" s="18">
        <v>5.422505422E9</v>
      </c>
      <c r="M477" s="18" t="s">
        <v>72</v>
      </c>
      <c r="N477" s="18" t="s">
        <v>82</v>
      </c>
      <c r="O477" s="18" t="s">
        <v>3855</v>
      </c>
      <c r="P477" s="18" t="s">
        <v>7041</v>
      </c>
      <c r="Q477" s="20">
        <f>COUNTIF('Hedef Liste'!A:A,A477)</f>
        <v>1</v>
      </c>
    </row>
    <row r="478" ht="15.75" hidden="1" customHeight="1">
      <c r="A478" s="18" t="s">
        <v>1924</v>
      </c>
      <c r="B478" s="18" t="s">
        <v>1925</v>
      </c>
      <c r="C478" s="358" t="s">
        <v>7040</v>
      </c>
      <c r="D478" s="18" t="s">
        <v>45</v>
      </c>
      <c r="E478" s="359">
        <v>567.0</v>
      </c>
      <c r="F478" s="359">
        <v>38.0</v>
      </c>
      <c r="G478" s="359">
        <v>0.0</v>
      </c>
      <c r="H478" s="359">
        <v>32.0</v>
      </c>
      <c r="I478" s="359">
        <v>32.0</v>
      </c>
      <c r="J478" s="360">
        <v>0.0</v>
      </c>
      <c r="K478" s="18" t="s">
        <v>1926</v>
      </c>
      <c r="L478" s="18">
        <v>5.453862133E9</v>
      </c>
      <c r="M478" s="18" t="s">
        <v>63</v>
      </c>
      <c r="N478" s="18" t="s">
        <v>7284</v>
      </c>
      <c r="O478" s="18" t="s">
        <v>1927</v>
      </c>
      <c r="P478" s="18" t="s">
        <v>7041</v>
      </c>
      <c r="Q478" s="20">
        <f>COUNTIF('Hedef Liste'!A:A,A478)</f>
        <v>1</v>
      </c>
    </row>
    <row r="479" ht="15.75" hidden="1" customHeight="1">
      <c r="A479" s="18" t="s">
        <v>3785</v>
      </c>
      <c r="B479" s="18" t="s">
        <v>3786</v>
      </c>
      <c r="C479" s="358" t="s">
        <v>7040</v>
      </c>
      <c r="D479" s="18" t="s">
        <v>372</v>
      </c>
      <c r="E479" s="359">
        <v>2810.0</v>
      </c>
      <c r="F479" s="359">
        <v>91.0</v>
      </c>
      <c r="G479" s="359">
        <v>20.0</v>
      </c>
      <c r="H479" s="359">
        <v>9.0</v>
      </c>
      <c r="I479" s="359">
        <v>29.0</v>
      </c>
      <c r="J479" s="360">
        <v>0.69</v>
      </c>
      <c r="K479" s="18" t="s">
        <v>3787</v>
      </c>
      <c r="L479" s="18">
        <v>5.526903344E9</v>
      </c>
      <c r="M479" s="18" t="s">
        <v>215</v>
      </c>
      <c r="N479" s="18" t="s">
        <v>745</v>
      </c>
      <c r="O479" s="18" t="s">
        <v>3788</v>
      </c>
      <c r="P479" s="18" t="s">
        <v>7041</v>
      </c>
      <c r="Q479" s="20">
        <f>COUNTIF('Hedef Liste'!A:A,A479)</f>
        <v>1</v>
      </c>
    </row>
    <row r="480" ht="15.75" hidden="1" customHeight="1">
      <c r="A480" s="18" t="s">
        <v>3202</v>
      </c>
      <c r="B480" s="18" t="s">
        <v>3203</v>
      </c>
      <c r="C480" s="358" t="s">
        <v>7040</v>
      </c>
      <c r="D480" s="18" t="s">
        <v>118</v>
      </c>
      <c r="E480" s="359">
        <v>386.0</v>
      </c>
      <c r="F480" s="359">
        <v>27.0</v>
      </c>
      <c r="G480" s="359">
        <v>0.0</v>
      </c>
      <c r="H480" s="359">
        <v>60.0</v>
      </c>
      <c r="I480" s="359">
        <v>60.0</v>
      </c>
      <c r="J480" s="360">
        <v>0.0</v>
      </c>
      <c r="K480" s="18" t="s">
        <v>3204</v>
      </c>
      <c r="L480" s="18">
        <v>5.492003302E9</v>
      </c>
      <c r="M480" s="18" t="s">
        <v>137</v>
      </c>
      <c r="N480" s="18" t="s">
        <v>138</v>
      </c>
      <c r="O480" s="18" t="s">
        <v>3205</v>
      </c>
      <c r="P480" s="18" t="s">
        <v>7041</v>
      </c>
      <c r="Q480" s="20">
        <f>COUNTIF('Hedef Liste'!A:A,A480)</f>
        <v>1</v>
      </c>
    </row>
    <row r="481" ht="15.75" hidden="1" customHeight="1">
      <c r="A481" s="18" t="s">
        <v>3249</v>
      </c>
      <c r="B481" s="18" t="s">
        <v>3250</v>
      </c>
      <c r="C481" s="358" t="s">
        <v>7040</v>
      </c>
      <c r="D481" s="18" t="s">
        <v>118</v>
      </c>
      <c r="E481" s="359">
        <v>2001.0</v>
      </c>
      <c r="F481" s="359">
        <v>131.0</v>
      </c>
      <c r="G481" s="359">
        <v>4.0</v>
      </c>
      <c r="H481" s="359">
        <v>26.0</v>
      </c>
      <c r="I481" s="359">
        <v>30.0</v>
      </c>
      <c r="J481" s="360">
        <v>0.13</v>
      </c>
      <c r="K481" s="18" t="s">
        <v>3251</v>
      </c>
      <c r="L481" s="18">
        <v>5.382565707E9</v>
      </c>
      <c r="M481" s="18" t="s">
        <v>63</v>
      </c>
      <c r="N481" s="18" t="s">
        <v>93</v>
      </c>
      <c r="O481" s="18" t="s">
        <v>3252</v>
      </c>
      <c r="P481" s="18" t="s">
        <v>7041</v>
      </c>
      <c r="Q481" s="20">
        <f>COUNTIF('Hedef Liste'!A:A,A481)</f>
        <v>1</v>
      </c>
    </row>
    <row r="482" ht="15.75" hidden="1" customHeight="1">
      <c r="A482" s="18" t="s">
        <v>4423</v>
      </c>
      <c r="B482" s="18" t="s">
        <v>4424</v>
      </c>
      <c r="C482" s="358" t="s">
        <v>7062</v>
      </c>
      <c r="D482" s="18" t="s">
        <v>363</v>
      </c>
      <c r="E482" s="359">
        <v>59.0</v>
      </c>
      <c r="F482" s="18"/>
      <c r="G482" s="359">
        <v>10.0</v>
      </c>
      <c r="H482" s="359">
        <v>20.0</v>
      </c>
      <c r="I482" s="359">
        <v>30.0</v>
      </c>
      <c r="J482" s="360">
        <v>0.33</v>
      </c>
      <c r="K482" s="18" t="s">
        <v>4425</v>
      </c>
      <c r="L482" s="18">
        <v>5.306601033E9</v>
      </c>
      <c r="M482" s="18" t="s">
        <v>63</v>
      </c>
      <c r="N482" s="18" t="s">
        <v>1148</v>
      </c>
      <c r="O482" s="18" t="s">
        <v>4426</v>
      </c>
      <c r="P482" s="18" t="s">
        <v>7041</v>
      </c>
      <c r="Q482" s="20">
        <f>COUNTIF('Hedef Liste'!A:A,A482)</f>
        <v>1</v>
      </c>
    </row>
    <row r="483" ht="15.75" hidden="1" customHeight="1">
      <c r="A483" s="18" t="s">
        <v>4077</v>
      </c>
      <c r="B483" s="18" t="s">
        <v>4078</v>
      </c>
      <c r="C483" s="358" t="s">
        <v>7040</v>
      </c>
      <c r="D483" s="18" t="s">
        <v>754</v>
      </c>
      <c r="E483" s="359">
        <v>286.0</v>
      </c>
      <c r="F483" s="359">
        <v>20.0</v>
      </c>
      <c r="G483" s="359">
        <v>0.0</v>
      </c>
      <c r="H483" s="359">
        <v>17.0</v>
      </c>
      <c r="I483" s="359">
        <v>17.0</v>
      </c>
      <c r="J483" s="360">
        <v>0.0</v>
      </c>
      <c r="K483" s="18" t="s">
        <v>4079</v>
      </c>
      <c r="L483" s="18">
        <v>3.246144951E9</v>
      </c>
      <c r="M483" s="18" t="s">
        <v>156</v>
      </c>
      <c r="N483" s="18" t="s">
        <v>157</v>
      </c>
      <c r="O483" s="18" t="s">
        <v>4080</v>
      </c>
      <c r="P483" s="18" t="s">
        <v>7041</v>
      </c>
      <c r="Q483" s="20">
        <f>COUNTIF('Hedef Liste'!A:A,A483)</f>
        <v>1</v>
      </c>
    </row>
    <row r="484" ht="15.75" hidden="1" customHeight="1">
      <c r="A484" s="18" t="s">
        <v>428</v>
      </c>
      <c r="B484" s="18" t="s">
        <v>429</v>
      </c>
      <c r="C484" s="358" t="s">
        <v>7040</v>
      </c>
      <c r="D484" s="18" t="s">
        <v>106</v>
      </c>
      <c r="E484" s="359">
        <v>1891.0</v>
      </c>
      <c r="F484" s="18"/>
      <c r="G484" s="359">
        <v>3.0</v>
      </c>
      <c r="H484" s="359">
        <v>10.0</v>
      </c>
      <c r="I484" s="359">
        <v>13.0</v>
      </c>
      <c r="J484" s="360">
        <v>0.23</v>
      </c>
      <c r="K484" s="18" t="s">
        <v>430</v>
      </c>
      <c r="L484" s="18">
        <v>3.243575747E9</v>
      </c>
      <c r="M484" s="18" t="s">
        <v>63</v>
      </c>
      <c r="N484" s="18" t="s">
        <v>318</v>
      </c>
      <c r="O484" s="18" t="s">
        <v>431</v>
      </c>
      <c r="P484" s="18" t="s">
        <v>7041</v>
      </c>
      <c r="Q484" s="20">
        <f>COUNTIF('Hedef Liste'!A:A,A484)</f>
        <v>1</v>
      </c>
    </row>
    <row r="485" ht="15.75" hidden="1" customHeight="1">
      <c r="A485" s="18" t="s">
        <v>1168</v>
      </c>
      <c r="B485" s="18" t="s">
        <v>1169</v>
      </c>
      <c r="C485" s="358" t="s">
        <v>7040</v>
      </c>
      <c r="D485" s="18" t="s">
        <v>363</v>
      </c>
      <c r="E485" s="359">
        <v>69.0</v>
      </c>
      <c r="F485" s="359">
        <v>3.0</v>
      </c>
      <c r="G485" s="359">
        <v>7.0</v>
      </c>
      <c r="H485" s="359">
        <v>42.0</v>
      </c>
      <c r="I485" s="359">
        <v>49.0</v>
      </c>
      <c r="J485" s="360">
        <v>0.14</v>
      </c>
      <c r="K485" s="18" t="s">
        <v>1170</v>
      </c>
      <c r="L485" s="18">
        <v>3.249991166E9</v>
      </c>
      <c r="M485" s="18" t="s">
        <v>137</v>
      </c>
      <c r="N485" s="18" t="s">
        <v>845</v>
      </c>
      <c r="O485" s="18" t="s">
        <v>1171</v>
      </c>
      <c r="P485" s="18" t="s">
        <v>7041</v>
      </c>
      <c r="Q485" s="20">
        <f>COUNTIF('Hedef Liste'!A:A,A485)</f>
        <v>1</v>
      </c>
    </row>
    <row r="486" ht="15.75" hidden="1" customHeight="1">
      <c r="A486" s="18" t="s">
        <v>3668</v>
      </c>
      <c r="B486" s="18" t="s">
        <v>3669</v>
      </c>
      <c r="C486" s="358" t="s">
        <v>7040</v>
      </c>
      <c r="D486" s="18" t="s">
        <v>564</v>
      </c>
      <c r="E486" s="359">
        <v>63.0</v>
      </c>
      <c r="F486" s="18"/>
      <c r="G486" s="359">
        <v>5.0</v>
      </c>
      <c r="H486" s="359">
        <v>1.0</v>
      </c>
      <c r="I486" s="359">
        <v>6.0</v>
      </c>
      <c r="J486" s="360">
        <v>0.83</v>
      </c>
      <c r="K486" s="18" t="s">
        <v>3670</v>
      </c>
      <c r="L486" s="18">
        <v>5.536232451E9</v>
      </c>
      <c r="M486" s="18" t="s">
        <v>63</v>
      </c>
      <c r="N486" s="18" t="s">
        <v>93</v>
      </c>
      <c r="O486" s="18" t="s">
        <v>3671</v>
      </c>
      <c r="P486" s="18" t="s">
        <v>7041</v>
      </c>
      <c r="Q486" s="20">
        <f>COUNTIF('Hedef Liste'!A:A,A486)</f>
        <v>1</v>
      </c>
    </row>
    <row r="487" ht="15.75" hidden="1" customHeight="1">
      <c r="A487" s="18" t="s">
        <v>873</v>
      </c>
      <c r="B487" s="18" t="s">
        <v>874</v>
      </c>
      <c r="C487" s="358" t="s">
        <v>7040</v>
      </c>
      <c r="D487" s="18" t="s">
        <v>564</v>
      </c>
      <c r="E487" s="359">
        <v>526.0</v>
      </c>
      <c r="F487" s="359">
        <v>1.0</v>
      </c>
      <c r="G487" s="359">
        <v>0.0</v>
      </c>
      <c r="H487" s="359">
        <v>38.0</v>
      </c>
      <c r="I487" s="359">
        <v>38.0</v>
      </c>
      <c r="J487" s="360">
        <v>0.0</v>
      </c>
      <c r="K487" s="18" t="s">
        <v>875</v>
      </c>
      <c r="L487" s="18">
        <v>5.325224556E9</v>
      </c>
      <c r="M487" s="18" t="s">
        <v>187</v>
      </c>
      <c r="N487" s="18" t="s">
        <v>188</v>
      </c>
      <c r="O487" s="18" t="s">
        <v>876</v>
      </c>
      <c r="P487" s="18" t="s">
        <v>7041</v>
      </c>
      <c r="Q487" s="20">
        <f>COUNTIF('Hedef Liste'!A:A,A487)</f>
        <v>1</v>
      </c>
    </row>
    <row r="488" ht="15.75" hidden="1" customHeight="1">
      <c r="A488" s="18" t="s">
        <v>2437</v>
      </c>
      <c r="B488" s="18" t="s">
        <v>7285</v>
      </c>
      <c r="C488" s="358" t="s">
        <v>7040</v>
      </c>
      <c r="D488" s="18" t="s">
        <v>70</v>
      </c>
      <c r="E488" s="359">
        <v>1344.0</v>
      </c>
      <c r="F488" s="359">
        <v>36.0</v>
      </c>
      <c r="G488" s="359">
        <v>8.0</v>
      </c>
      <c r="H488" s="359">
        <v>23.0</v>
      </c>
      <c r="I488" s="359">
        <v>31.0</v>
      </c>
      <c r="J488" s="360">
        <v>0.26</v>
      </c>
      <c r="K488" s="18" t="s">
        <v>2439</v>
      </c>
      <c r="L488" s="18">
        <v>3.245153712E9</v>
      </c>
      <c r="M488" s="18" t="s">
        <v>47</v>
      </c>
      <c r="N488" s="18" t="s">
        <v>489</v>
      </c>
      <c r="O488" s="18" t="s">
        <v>2440</v>
      </c>
      <c r="P488" s="18" t="s">
        <v>7041</v>
      </c>
      <c r="Q488" s="20">
        <f>COUNTIF('Hedef Liste'!A:A,A488)</f>
        <v>1</v>
      </c>
    </row>
    <row r="489" ht="15.75" hidden="1" customHeight="1">
      <c r="A489" s="18" t="s">
        <v>3955</v>
      </c>
      <c r="B489" s="18" t="s">
        <v>3956</v>
      </c>
      <c r="C489" s="358" t="s">
        <v>7040</v>
      </c>
      <c r="D489" s="18" t="s">
        <v>70</v>
      </c>
      <c r="E489" s="359">
        <v>4191.0</v>
      </c>
      <c r="F489" s="359">
        <v>469.0</v>
      </c>
      <c r="G489" s="359">
        <v>9.0</v>
      </c>
      <c r="H489" s="359">
        <v>36.0</v>
      </c>
      <c r="I489" s="359">
        <v>45.0</v>
      </c>
      <c r="J489" s="360">
        <v>0.2</v>
      </c>
      <c r="K489" s="18" t="s">
        <v>3935</v>
      </c>
      <c r="L489" s="18">
        <v>3.242384706E9</v>
      </c>
      <c r="M489" s="18" t="s">
        <v>72</v>
      </c>
      <c r="N489" s="18" t="s">
        <v>538</v>
      </c>
      <c r="O489" s="18" t="s">
        <v>3957</v>
      </c>
      <c r="P489" s="18" t="s">
        <v>7041</v>
      </c>
      <c r="Q489" s="20">
        <f>COUNTIF('Hedef Liste'!A:A,A489)</f>
        <v>1</v>
      </c>
    </row>
    <row r="490" ht="15.75" hidden="1" customHeight="1">
      <c r="A490" s="18" t="s">
        <v>3646</v>
      </c>
      <c r="B490" s="18" t="s">
        <v>3647</v>
      </c>
      <c r="C490" s="358" t="s">
        <v>7040</v>
      </c>
      <c r="D490" s="18" t="s">
        <v>2207</v>
      </c>
      <c r="E490" s="359">
        <v>381.0</v>
      </c>
      <c r="F490" s="359">
        <v>28.0</v>
      </c>
      <c r="G490" s="359">
        <v>9.0</v>
      </c>
      <c r="H490" s="359">
        <v>19.0</v>
      </c>
      <c r="I490" s="359">
        <v>28.0</v>
      </c>
      <c r="J490" s="360">
        <v>0.32</v>
      </c>
      <c r="K490" s="18" t="s">
        <v>3648</v>
      </c>
      <c r="L490" s="18">
        <v>5.535673163E9</v>
      </c>
      <c r="M490" s="18" t="s">
        <v>47</v>
      </c>
      <c r="N490" s="18" t="s">
        <v>365</v>
      </c>
      <c r="O490" s="18" t="s">
        <v>3649</v>
      </c>
      <c r="P490" s="18" t="s">
        <v>7041</v>
      </c>
      <c r="Q490" s="20">
        <f>COUNTIF('Hedef Liste'!A:A,A490)</f>
        <v>1</v>
      </c>
    </row>
    <row r="491" ht="15.75" hidden="1" customHeight="1">
      <c r="A491" s="18" t="s">
        <v>842</v>
      </c>
      <c r="B491" s="18" t="s">
        <v>843</v>
      </c>
      <c r="C491" s="358" t="s">
        <v>7040</v>
      </c>
      <c r="D491" s="18" t="s">
        <v>564</v>
      </c>
      <c r="E491" s="359">
        <v>791.0</v>
      </c>
      <c r="F491" s="359">
        <v>74.0</v>
      </c>
      <c r="G491" s="359">
        <v>0.0</v>
      </c>
      <c r="H491" s="359">
        <v>54.0</v>
      </c>
      <c r="I491" s="359">
        <v>54.0</v>
      </c>
      <c r="J491" s="360">
        <v>0.0</v>
      </c>
      <c r="K491" s="18" t="s">
        <v>844</v>
      </c>
      <c r="L491" s="18">
        <v>5.073023317E9</v>
      </c>
      <c r="M491" s="18" t="s">
        <v>137</v>
      </c>
      <c r="N491" s="18" t="s">
        <v>845</v>
      </c>
      <c r="O491" s="18" t="s">
        <v>846</v>
      </c>
      <c r="P491" s="18" t="s">
        <v>7041</v>
      </c>
      <c r="Q491" s="20">
        <f>COUNTIF('Hedef Liste'!A:A,A491)</f>
        <v>1</v>
      </c>
    </row>
    <row r="492" ht="15.75" hidden="1" customHeight="1">
      <c r="A492" s="18" t="s">
        <v>3117</v>
      </c>
      <c r="B492" s="18" t="s">
        <v>3118</v>
      </c>
      <c r="C492" s="358" t="s">
        <v>7040</v>
      </c>
      <c r="D492" s="18" t="s">
        <v>363</v>
      </c>
      <c r="E492" s="359">
        <v>342.0</v>
      </c>
      <c r="F492" s="359">
        <v>34.0</v>
      </c>
      <c r="G492" s="359">
        <v>51.0</v>
      </c>
      <c r="H492" s="359">
        <v>7.0</v>
      </c>
      <c r="I492" s="359">
        <v>58.0</v>
      </c>
      <c r="J492" s="360">
        <v>0.88</v>
      </c>
      <c r="K492" s="18" t="s">
        <v>3119</v>
      </c>
      <c r="L492" s="18">
        <v>5.454987921E9</v>
      </c>
      <c r="M492" s="18" t="s">
        <v>72</v>
      </c>
      <c r="N492" s="18" t="s">
        <v>82</v>
      </c>
      <c r="O492" s="18" t="s">
        <v>3120</v>
      </c>
      <c r="P492" s="18" t="s">
        <v>7041</v>
      </c>
      <c r="Q492" s="20">
        <f>COUNTIF('Hedef Liste'!A:A,A492)</f>
        <v>1</v>
      </c>
    </row>
    <row r="493" ht="15.75" hidden="1" customHeight="1">
      <c r="A493" s="18" t="s">
        <v>3566</v>
      </c>
      <c r="B493" s="18" t="s">
        <v>3567</v>
      </c>
      <c r="C493" s="358" t="s">
        <v>7040</v>
      </c>
      <c r="D493" s="18" t="s">
        <v>45</v>
      </c>
      <c r="E493" s="359">
        <v>11935.0</v>
      </c>
      <c r="F493" s="359">
        <v>1214.0</v>
      </c>
      <c r="G493" s="359">
        <v>0.0</v>
      </c>
      <c r="H493" s="359">
        <v>44.0</v>
      </c>
      <c r="I493" s="359">
        <v>44.0</v>
      </c>
      <c r="J493" s="360">
        <v>0.0</v>
      </c>
      <c r="K493" s="18" t="s">
        <v>3568</v>
      </c>
      <c r="L493" s="18">
        <v>3.249996589E9</v>
      </c>
      <c r="M493" s="18" t="s">
        <v>72</v>
      </c>
      <c r="N493" s="18" t="s">
        <v>150</v>
      </c>
      <c r="O493" s="18" t="s">
        <v>3569</v>
      </c>
      <c r="P493" s="18" t="s">
        <v>7041</v>
      </c>
      <c r="Q493" s="20">
        <f>COUNTIF('Hedef Liste'!A:A,A493)</f>
        <v>1</v>
      </c>
    </row>
    <row r="494" ht="15.75" hidden="1" customHeight="1">
      <c r="A494" s="18" t="s">
        <v>2363</v>
      </c>
      <c r="B494" s="18" t="s">
        <v>2364</v>
      </c>
      <c r="C494" s="358" t="s">
        <v>7040</v>
      </c>
      <c r="D494" s="18" t="s">
        <v>363</v>
      </c>
      <c r="E494" s="359">
        <v>1506.0</v>
      </c>
      <c r="F494" s="359">
        <v>88.0</v>
      </c>
      <c r="G494" s="359">
        <v>25.0</v>
      </c>
      <c r="H494" s="359">
        <v>35.0</v>
      </c>
      <c r="I494" s="359">
        <v>60.0</v>
      </c>
      <c r="J494" s="360">
        <v>0.42</v>
      </c>
      <c r="K494" s="18" t="s">
        <v>2365</v>
      </c>
      <c r="L494" s="18">
        <v>5.393352575E9</v>
      </c>
      <c r="M494" s="18" t="s">
        <v>63</v>
      </c>
      <c r="N494" s="18" t="s">
        <v>93</v>
      </c>
      <c r="O494" s="18" t="s">
        <v>2366</v>
      </c>
      <c r="P494" s="18" t="s">
        <v>7041</v>
      </c>
      <c r="Q494" s="20">
        <f>COUNTIF('Hedef Liste'!A:A,A494)</f>
        <v>1</v>
      </c>
    </row>
    <row r="495" ht="15.75" hidden="1" customHeight="1">
      <c r="A495" s="18" t="s">
        <v>1772</v>
      </c>
      <c r="B495" s="18" t="s">
        <v>1773</v>
      </c>
      <c r="C495" s="358" t="s">
        <v>7040</v>
      </c>
      <c r="D495" s="18" t="s">
        <v>70</v>
      </c>
      <c r="E495" s="359">
        <v>1497.0</v>
      </c>
      <c r="F495" s="359">
        <v>63.0</v>
      </c>
      <c r="G495" s="359">
        <v>15.0</v>
      </c>
      <c r="H495" s="359">
        <v>9.0</v>
      </c>
      <c r="I495" s="359">
        <v>24.0</v>
      </c>
      <c r="J495" s="360">
        <v>0.63</v>
      </c>
      <c r="K495" s="18" t="s">
        <v>1774</v>
      </c>
      <c r="L495" s="18">
        <v>3.245031608E9</v>
      </c>
      <c r="M495" s="18" t="s">
        <v>63</v>
      </c>
      <c r="N495" s="18" t="s">
        <v>93</v>
      </c>
      <c r="O495" s="18" t="s">
        <v>1775</v>
      </c>
      <c r="P495" s="18" t="s">
        <v>7041</v>
      </c>
      <c r="Q495" s="20">
        <f>COUNTIF('Hedef Liste'!A:A,A495)</f>
        <v>1</v>
      </c>
    </row>
    <row r="496" ht="15.75" hidden="1" customHeight="1">
      <c r="A496" s="18" t="s">
        <v>1678</v>
      </c>
      <c r="B496" s="18" t="s">
        <v>1679</v>
      </c>
      <c r="C496" s="358" t="s">
        <v>7040</v>
      </c>
      <c r="D496" s="18" t="s">
        <v>45</v>
      </c>
      <c r="E496" s="359">
        <v>339.0</v>
      </c>
      <c r="F496" s="359">
        <v>1.0</v>
      </c>
      <c r="G496" s="359">
        <v>0.0</v>
      </c>
      <c r="H496" s="359">
        <v>21.0</v>
      </c>
      <c r="I496" s="359">
        <v>21.0</v>
      </c>
      <c r="J496" s="360">
        <v>0.0</v>
      </c>
      <c r="K496" s="18" t="s">
        <v>1680</v>
      </c>
      <c r="L496" s="18">
        <v>5.335293549E9</v>
      </c>
      <c r="M496" s="18" t="s">
        <v>63</v>
      </c>
      <c r="N496" s="18" t="s">
        <v>64</v>
      </c>
      <c r="O496" s="18" t="s">
        <v>1681</v>
      </c>
      <c r="P496" s="18" t="s">
        <v>7041</v>
      </c>
      <c r="Q496" s="20">
        <f>COUNTIF('Hedef Liste'!A:A,A496)</f>
        <v>1</v>
      </c>
    </row>
    <row r="497" ht="15.75" hidden="1" customHeight="1">
      <c r="A497" s="18" t="s">
        <v>2482</v>
      </c>
      <c r="B497" s="18" t="s">
        <v>2483</v>
      </c>
      <c r="C497" s="358" t="s">
        <v>7040</v>
      </c>
      <c r="D497" s="18" t="s">
        <v>167</v>
      </c>
      <c r="E497" s="359">
        <v>515.0</v>
      </c>
      <c r="F497" s="359">
        <v>14.0</v>
      </c>
      <c r="G497" s="359">
        <v>6.0</v>
      </c>
      <c r="H497" s="359">
        <v>20.0</v>
      </c>
      <c r="I497" s="359">
        <v>26.0</v>
      </c>
      <c r="J497" s="360">
        <v>0.23</v>
      </c>
      <c r="K497" s="18" t="s">
        <v>2484</v>
      </c>
      <c r="L497" s="18">
        <v>5.519591089E9</v>
      </c>
      <c r="M497" s="18" t="s">
        <v>72</v>
      </c>
      <c r="N497" s="18" t="s">
        <v>128</v>
      </c>
      <c r="O497" s="18" t="s">
        <v>908</v>
      </c>
      <c r="P497" s="18" t="s">
        <v>7041</v>
      </c>
      <c r="Q497" s="20">
        <f>COUNTIF('Hedef Liste'!A:A,A497)</f>
        <v>1</v>
      </c>
    </row>
    <row r="498" ht="15.75" hidden="1" customHeight="1">
      <c r="A498" s="18" t="s">
        <v>1521</v>
      </c>
      <c r="B498" s="18" t="s">
        <v>1522</v>
      </c>
      <c r="C498" s="358" t="s">
        <v>7040</v>
      </c>
      <c r="D498" s="18" t="s">
        <v>363</v>
      </c>
      <c r="E498" s="359">
        <v>1744.0</v>
      </c>
      <c r="F498" s="359">
        <v>173.0</v>
      </c>
      <c r="G498" s="359">
        <v>40.0</v>
      </c>
      <c r="H498" s="359">
        <v>15.0</v>
      </c>
      <c r="I498" s="359">
        <v>55.0</v>
      </c>
      <c r="J498" s="360">
        <v>0.73</v>
      </c>
      <c r="K498" s="18" t="s">
        <v>1523</v>
      </c>
      <c r="L498" s="18">
        <v>3.242346992E9</v>
      </c>
      <c r="M498" s="18" t="s">
        <v>137</v>
      </c>
      <c r="N498" s="18" t="s">
        <v>1524</v>
      </c>
      <c r="O498" s="18" t="s">
        <v>1525</v>
      </c>
      <c r="P498" s="18" t="s">
        <v>7041</v>
      </c>
      <c r="Q498" s="20">
        <f>COUNTIF('Hedef Liste'!A:A,A498)</f>
        <v>1</v>
      </c>
    </row>
    <row r="499" ht="15.75" hidden="1" customHeight="1">
      <c r="A499" s="18" t="s">
        <v>4503</v>
      </c>
      <c r="B499" s="18" t="s">
        <v>4504</v>
      </c>
      <c r="C499" s="358" t="s">
        <v>7040</v>
      </c>
      <c r="D499" s="18" t="s">
        <v>564</v>
      </c>
      <c r="E499" s="359">
        <v>935.0</v>
      </c>
      <c r="F499" s="359">
        <v>69.0</v>
      </c>
      <c r="G499" s="359">
        <v>0.0</v>
      </c>
      <c r="H499" s="359">
        <v>34.0</v>
      </c>
      <c r="I499" s="359">
        <v>34.0</v>
      </c>
      <c r="J499" s="360">
        <v>0.0</v>
      </c>
      <c r="K499" s="18" t="s">
        <v>4505</v>
      </c>
      <c r="L499" s="18">
        <v>5.383498842E9</v>
      </c>
      <c r="M499" s="18" t="s">
        <v>72</v>
      </c>
      <c r="N499" s="18" t="s">
        <v>82</v>
      </c>
      <c r="O499" s="18" t="s">
        <v>4506</v>
      </c>
      <c r="P499" s="18" t="s">
        <v>7041</v>
      </c>
      <c r="Q499" s="20">
        <f>COUNTIF('Hedef Liste'!A:A,A499)</f>
        <v>1</v>
      </c>
    </row>
    <row r="500" ht="15.75" hidden="1" customHeight="1">
      <c r="A500" s="18" t="s">
        <v>290</v>
      </c>
      <c r="B500" s="18" t="s">
        <v>291</v>
      </c>
      <c r="C500" s="358" t="s">
        <v>7040</v>
      </c>
      <c r="D500" s="18" t="s">
        <v>167</v>
      </c>
      <c r="E500" s="359">
        <v>985.0</v>
      </c>
      <c r="F500" s="359">
        <v>63.0</v>
      </c>
      <c r="G500" s="359">
        <v>6.0</v>
      </c>
      <c r="H500" s="359">
        <v>9.0</v>
      </c>
      <c r="I500" s="359">
        <v>15.0</v>
      </c>
      <c r="J500" s="360">
        <v>0.4</v>
      </c>
      <c r="K500" s="18" t="s">
        <v>292</v>
      </c>
      <c r="L500" s="18">
        <v>5.530647233E9</v>
      </c>
      <c r="M500" s="18" t="s">
        <v>156</v>
      </c>
      <c r="N500" s="18" t="s">
        <v>204</v>
      </c>
      <c r="O500" s="18" t="s">
        <v>293</v>
      </c>
      <c r="P500" s="18" t="s">
        <v>7041</v>
      </c>
      <c r="Q500" s="20">
        <f>COUNTIF('Hedef Liste'!A:A,A500)</f>
        <v>1</v>
      </c>
    </row>
    <row r="501" ht="15.75" hidden="1" customHeight="1">
      <c r="A501" s="18" t="s">
        <v>1559</v>
      </c>
      <c r="B501" s="18" t="s">
        <v>1560</v>
      </c>
      <c r="C501" s="358" t="s">
        <v>7040</v>
      </c>
      <c r="D501" s="18" t="s">
        <v>356</v>
      </c>
      <c r="E501" s="359">
        <v>180.0</v>
      </c>
      <c r="F501" s="359">
        <v>11.0</v>
      </c>
      <c r="G501" s="359">
        <v>5.0</v>
      </c>
      <c r="H501" s="359">
        <v>31.0</v>
      </c>
      <c r="I501" s="359">
        <v>36.0</v>
      </c>
      <c r="J501" s="360">
        <v>0.14</v>
      </c>
      <c r="K501" s="18" t="s">
        <v>1561</v>
      </c>
      <c r="L501" s="18">
        <v>5.050745589E9</v>
      </c>
      <c r="M501" s="18" t="s">
        <v>63</v>
      </c>
      <c r="N501" s="18" t="s">
        <v>318</v>
      </c>
      <c r="O501" s="18" t="s">
        <v>1562</v>
      </c>
      <c r="P501" s="18" t="s">
        <v>7041</v>
      </c>
      <c r="Q501" s="20">
        <f>COUNTIF('Hedef Liste'!A:A,A501)</f>
        <v>1</v>
      </c>
    </row>
    <row r="502" ht="15.75" hidden="1" customHeight="1">
      <c r="A502" s="18" t="s">
        <v>2013</v>
      </c>
      <c r="B502" s="18" t="s">
        <v>2014</v>
      </c>
      <c r="C502" s="358" t="s">
        <v>7040</v>
      </c>
      <c r="D502" s="18" t="s">
        <v>118</v>
      </c>
      <c r="E502" s="359">
        <v>1974.0</v>
      </c>
      <c r="F502" s="359">
        <v>78.0</v>
      </c>
      <c r="G502" s="359">
        <v>4.0</v>
      </c>
      <c r="H502" s="359">
        <v>14.0</v>
      </c>
      <c r="I502" s="359">
        <v>18.0</v>
      </c>
      <c r="J502" s="360">
        <v>0.22</v>
      </c>
      <c r="K502" s="18" t="s">
        <v>2015</v>
      </c>
      <c r="L502" s="18">
        <v>3.243583737E9</v>
      </c>
      <c r="M502" s="18" t="s">
        <v>63</v>
      </c>
      <c r="N502" s="18" t="s">
        <v>566</v>
      </c>
      <c r="O502" s="18" t="s">
        <v>2016</v>
      </c>
      <c r="P502" s="18" t="s">
        <v>7041</v>
      </c>
      <c r="Q502" s="20">
        <f>COUNTIF('Hedef Liste'!A:A,A502)</f>
        <v>1</v>
      </c>
    </row>
    <row r="503" ht="15.75" hidden="1" customHeight="1">
      <c r="A503" s="18" t="s">
        <v>285</v>
      </c>
      <c r="B503" s="18" t="s">
        <v>286</v>
      </c>
      <c r="C503" s="358" t="s">
        <v>7040</v>
      </c>
      <c r="D503" s="18" t="s">
        <v>167</v>
      </c>
      <c r="E503" s="359">
        <v>1367.0</v>
      </c>
      <c r="F503" s="359">
        <v>135.0</v>
      </c>
      <c r="G503" s="359">
        <v>9.0</v>
      </c>
      <c r="H503" s="359">
        <v>19.0</v>
      </c>
      <c r="I503" s="359">
        <v>28.0</v>
      </c>
      <c r="J503" s="360">
        <v>0.32</v>
      </c>
      <c r="K503" s="18" t="s">
        <v>287</v>
      </c>
      <c r="L503" s="18">
        <v>5.510357507E9</v>
      </c>
      <c r="M503" s="18" t="s">
        <v>215</v>
      </c>
      <c r="N503" s="18" t="s">
        <v>288</v>
      </c>
      <c r="O503" s="18" t="s">
        <v>289</v>
      </c>
      <c r="P503" s="18" t="s">
        <v>7041</v>
      </c>
      <c r="Q503" s="20">
        <f>COUNTIF('Hedef Liste'!A:A,A503)</f>
        <v>1</v>
      </c>
    </row>
    <row r="504" ht="15.75" hidden="1" customHeight="1">
      <c r="A504" s="18" t="s">
        <v>2569</v>
      </c>
      <c r="B504" s="18" t="s">
        <v>2570</v>
      </c>
      <c r="C504" s="358" t="s">
        <v>7040</v>
      </c>
      <c r="D504" s="18" t="s">
        <v>70</v>
      </c>
      <c r="E504" s="359">
        <v>1212.0</v>
      </c>
      <c r="F504" s="359">
        <v>78.0</v>
      </c>
      <c r="G504" s="359">
        <v>0.0</v>
      </c>
      <c r="H504" s="359">
        <v>15.0</v>
      </c>
      <c r="I504" s="359">
        <v>15.0</v>
      </c>
      <c r="J504" s="360">
        <v>0.0</v>
      </c>
      <c r="K504" s="18" t="s">
        <v>2571</v>
      </c>
      <c r="L504" s="18">
        <v>3.242384056E9</v>
      </c>
      <c r="M504" s="18" t="s">
        <v>137</v>
      </c>
      <c r="N504" s="18" t="s">
        <v>144</v>
      </c>
      <c r="O504" s="18" t="s">
        <v>2572</v>
      </c>
      <c r="P504" s="18" t="s">
        <v>7041</v>
      </c>
      <c r="Q504" s="20">
        <f>COUNTIF('Hedef Liste'!A:A,A504)</f>
        <v>1</v>
      </c>
    </row>
    <row r="505" ht="15.75" hidden="1" customHeight="1">
      <c r="A505" s="18" t="s">
        <v>1654</v>
      </c>
      <c r="B505" s="18" t="s">
        <v>1655</v>
      </c>
      <c r="C505" s="358" t="s">
        <v>7040</v>
      </c>
      <c r="D505" s="18" t="s">
        <v>70</v>
      </c>
      <c r="E505" s="359">
        <v>2922.0</v>
      </c>
      <c r="F505" s="359">
        <v>383.0</v>
      </c>
      <c r="G505" s="359">
        <v>8.0</v>
      </c>
      <c r="H505" s="359">
        <v>19.0</v>
      </c>
      <c r="I505" s="359">
        <v>27.0</v>
      </c>
      <c r="J505" s="360">
        <v>0.3</v>
      </c>
      <c r="K505" s="18" t="s">
        <v>1656</v>
      </c>
      <c r="L505" s="18">
        <v>3.242370018E9</v>
      </c>
      <c r="M505" s="18" t="s">
        <v>137</v>
      </c>
      <c r="N505" s="18" t="s">
        <v>138</v>
      </c>
      <c r="O505" s="18" t="s">
        <v>1657</v>
      </c>
      <c r="P505" s="18" t="s">
        <v>7041</v>
      </c>
      <c r="Q505" s="20">
        <f>COUNTIF('Hedef Liste'!A:A,A505)</f>
        <v>1</v>
      </c>
    </row>
    <row r="506" ht="15.75" hidden="1" customHeight="1">
      <c r="A506" s="18" t="s">
        <v>812</v>
      </c>
      <c r="B506" s="18" t="s">
        <v>813</v>
      </c>
      <c r="C506" s="358" t="s">
        <v>7040</v>
      </c>
      <c r="D506" s="18" t="s">
        <v>80</v>
      </c>
      <c r="E506" s="359">
        <v>1470.0</v>
      </c>
      <c r="F506" s="359">
        <v>64.0</v>
      </c>
      <c r="G506" s="359">
        <v>11.0</v>
      </c>
      <c r="H506" s="359">
        <v>7.0</v>
      </c>
      <c r="I506" s="359">
        <v>18.0</v>
      </c>
      <c r="J506" s="360">
        <v>0.61</v>
      </c>
      <c r="K506" s="18" t="s">
        <v>814</v>
      </c>
      <c r="L506" s="18">
        <v>3.243575714E9</v>
      </c>
      <c r="M506" s="18" t="s">
        <v>63</v>
      </c>
      <c r="N506" s="18" t="s">
        <v>566</v>
      </c>
      <c r="O506" s="18" t="s">
        <v>815</v>
      </c>
      <c r="P506" s="18" t="s">
        <v>7041</v>
      </c>
      <c r="Q506" s="20">
        <f>COUNTIF('Hedef Liste'!A:A,A506)</f>
        <v>1</v>
      </c>
    </row>
    <row r="507" ht="15.75" hidden="1" customHeight="1">
      <c r="A507" s="18" t="s">
        <v>899</v>
      </c>
      <c r="B507" s="18" t="s">
        <v>900</v>
      </c>
      <c r="C507" s="358" t="s">
        <v>7040</v>
      </c>
      <c r="D507" s="18" t="s">
        <v>363</v>
      </c>
      <c r="E507" s="359">
        <v>1774.0</v>
      </c>
      <c r="F507" s="359">
        <v>112.0</v>
      </c>
      <c r="G507" s="359">
        <v>0.0</v>
      </c>
      <c r="H507" s="359">
        <v>22.0</v>
      </c>
      <c r="I507" s="359">
        <v>22.0</v>
      </c>
      <c r="J507" s="360">
        <v>0.0</v>
      </c>
      <c r="K507" s="18" t="s">
        <v>901</v>
      </c>
      <c r="L507" s="18">
        <v>5.528570733E9</v>
      </c>
      <c r="M507" s="18" t="s">
        <v>902</v>
      </c>
      <c r="N507" s="18" t="s">
        <v>137</v>
      </c>
      <c r="O507" s="18" t="s">
        <v>904</v>
      </c>
      <c r="P507" s="18" t="s">
        <v>7041</v>
      </c>
      <c r="Q507" s="20">
        <f>COUNTIF('Hedef Liste'!A:A,A507)</f>
        <v>1</v>
      </c>
    </row>
    <row r="508" ht="15.75" hidden="1" customHeight="1">
      <c r="A508" s="18" t="s">
        <v>1164</v>
      </c>
      <c r="B508" s="18" t="s">
        <v>1165</v>
      </c>
      <c r="C508" s="358" t="s">
        <v>7040</v>
      </c>
      <c r="D508" s="18" t="s">
        <v>70</v>
      </c>
      <c r="E508" s="359">
        <v>2388.0</v>
      </c>
      <c r="F508" s="359">
        <v>102.0</v>
      </c>
      <c r="G508" s="359">
        <v>4.0</v>
      </c>
      <c r="H508" s="359">
        <v>57.0</v>
      </c>
      <c r="I508" s="359">
        <v>61.0</v>
      </c>
      <c r="J508" s="360">
        <v>0.07</v>
      </c>
      <c r="K508" s="18" t="s">
        <v>1166</v>
      </c>
      <c r="L508" s="18">
        <v>3.246242424E9</v>
      </c>
      <c r="M508" s="18" t="s">
        <v>156</v>
      </c>
      <c r="N508" s="18" t="s">
        <v>338</v>
      </c>
      <c r="O508" s="18" t="s">
        <v>1167</v>
      </c>
      <c r="P508" s="18" t="s">
        <v>7041</v>
      </c>
      <c r="Q508" s="20">
        <f>COUNTIF('Hedef Liste'!A:A,A508)</f>
        <v>1</v>
      </c>
    </row>
    <row r="509" ht="15.75" hidden="1" customHeight="1">
      <c r="A509" s="18" t="s">
        <v>7286</v>
      </c>
      <c r="B509" s="18" t="s">
        <v>7287</v>
      </c>
      <c r="C509" s="358" t="s">
        <v>7040</v>
      </c>
      <c r="D509" s="18" t="s">
        <v>167</v>
      </c>
      <c r="E509" s="359">
        <v>2292.0</v>
      </c>
      <c r="F509" s="359">
        <v>96.0</v>
      </c>
      <c r="G509" s="359">
        <v>56.0</v>
      </c>
      <c r="H509" s="359">
        <v>3.0</v>
      </c>
      <c r="I509" s="359">
        <v>59.0</v>
      </c>
      <c r="J509" s="360">
        <v>0.95</v>
      </c>
      <c r="K509" s="18" t="s">
        <v>7045</v>
      </c>
      <c r="L509" s="18">
        <v>5.302341372E9</v>
      </c>
      <c r="M509" s="18" t="s">
        <v>63</v>
      </c>
      <c r="N509" s="18" t="s">
        <v>93</v>
      </c>
      <c r="O509" s="18" t="s">
        <v>7288</v>
      </c>
      <c r="P509" s="18" t="s">
        <v>7047</v>
      </c>
      <c r="Q509" s="20">
        <f>COUNTIF('Hedef Liste'!A:A,A509)</f>
        <v>0</v>
      </c>
    </row>
    <row r="510" ht="15.75" hidden="1" customHeight="1">
      <c r="A510" s="18" t="s">
        <v>268</v>
      </c>
      <c r="B510" s="18" t="s">
        <v>269</v>
      </c>
      <c r="C510" s="358" t="s">
        <v>7040</v>
      </c>
      <c r="D510" s="18" t="s">
        <v>167</v>
      </c>
      <c r="E510" s="359">
        <v>391.0</v>
      </c>
      <c r="F510" s="359">
        <v>51.0</v>
      </c>
      <c r="G510" s="359">
        <v>8.0</v>
      </c>
      <c r="H510" s="359">
        <v>14.0</v>
      </c>
      <c r="I510" s="359">
        <v>22.0</v>
      </c>
      <c r="J510" s="360">
        <v>0.36</v>
      </c>
      <c r="K510" s="18" t="s">
        <v>270</v>
      </c>
      <c r="L510" s="18">
        <v>5.366813996E9</v>
      </c>
      <c r="M510" s="18" t="s">
        <v>72</v>
      </c>
      <c r="N510" s="18" t="s">
        <v>128</v>
      </c>
      <c r="O510" s="18" t="s">
        <v>271</v>
      </c>
      <c r="P510" s="18" t="s">
        <v>7041</v>
      </c>
      <c r="Q510" s="20">
        <f>COUNTIF('Hedef Liste'!A:A,A510)</f>
        <v>1</v>
      </c>
    </row>
    <row r="511" ht="15.75" hidden="1" customHeight="1">
      <c r="A511" s="18" t="s">
        <v>3233</v>
      </c>
      <c r="B511" s="18" t="s">
        <v>3234</v>
      </c>
      <c r="C511" s="358" t="s">
        <v>7040</v>
      </c>
      <c r="D511" s="18" t="s">
        <v>80</v>
      </c>
      <c r="E511" s="359">
        <v>1059.0</v>
      </c>
      <c r="F511" s="359">
        <v>45.0</v>
      </c>
      <c r="G511" s="359">
        <v>0.0</v>
      </c>
      <c r="H511" s="359">
        <v>17.0</v>
      </c>
      <c r="I511" s="359">
        <v>17.0</v>
      </c>
      <c r="J511" s="360">
        <v>0.0</v>
      </c>
      <c r="K511" s="18" t="s">
        <v>3235</v>
      </c>
      <c r="L511" s="18">
        <v>5.379603724E9</v>
      </c>
      <c r="M511" s="18" t="s">
        <v>137</v>
      </c>
      <c r="N511" s="18" t="s">
        <v>4023</v>
      </c>
      <c r="O511" s="18" t="s">
        <v>3237</v>
      </c>
      <c r="P511" s="18" t="s">
        <v>7041</v>
      </c>
      <c r="Q511" s="20">
        <f>COUNTIF('Hedef Liste'!A:A,A511)</f>
        <v>1</v>
      </c>
    </row>
    <row r="512" ht="15.75" hidden="1" customHeight="1">
      <c r="A512" s="18" t="s">
        <v>1664</v>
      </c>
      <c r="B512" s="18" t="s">
        <v>1665</v>
      </c>
      <c r="C512" s="358" t="s">
        <v>7040</v>
      </c>
      <c r="D512" s="18" t="s">
        <v>70</v>
      </c>
      <c r="E512" s="359">
        <v>1557.0</v>
      </c>
      <c r="F512" s="359">
        <v>82.0</v>
      </c>
      <c r="G512" s="359">
        <v>1.0</v>
      </c>
      <c r="H512" s="359">
        <v>18.0</v>
      </c>
      <c r="I512" s="359">
        <v>19.0</v>
      </c>
      <c r="J512" s="360">
        <v>0.05</v>
      </c>
      <c r="K512" s="18" t="s">
        <v>1666</v>
      </c>
      <c r="L512" s="18">
        <v>5.317259875E9</v>
      </c>
      <c r="M512" s="18" t="s">
        <v>902</v>
      </c>
      <c r="N512" s="18" t="s">
        <v>1667</v>
      </c>
      <c r="O512" s="18" t="s">
        <v>1668</v>
      </c>
      <c r="P512" s="18" t="s">
        <v>7041</v>
      </c>
      <c r="Q512" s="20">
        <f>COUNTIF('Hedef Liste'!A:A,A512)</f>
        <v>1</v>
      </c>
    </row>
    <row r="513" ht="15.75" hidden="1" customHeight="1">
      <c r="A513" s="18" t="s">
        <v>3365</v>
      </c>
      <c r="B513" s="18" t="s">
        <v>3366</v>
      </c>
      <c r="C513" s="358" t="s">
        <v>7062</v>
      </c>
      <c r="D513" s="18" t="s">
        <v>451</v>
      </c>
      <c r="E513" s="359">
        <v>521.0</v>
      </c>
      <c r="F513" s="18"/>
      <c r="G513" s="359">
        <v>6.0</v>
      </c>
      <c r="H513" s="359">
        <v>19.0</v>
      </c>
      <c r="I513" s="359">
        <v>25.0</v>
      </c>
      <c r="J513" s="360">
        <v>0.24</v>
      </c>
      <c r="K513" s="18" t="s">
        <v>3367</v>
      </c>
      <c r="L513" s="18">
        <v>3.24320981E9</v>
      </c>
      <c r="M513" s="18" t="s">
        <v>215</v>
      </c>
      <c r="N513" s="18" t="s">
        <v>263</v>
      </c>
      <c r="O513" s="18" t="s">
        <v>3368</v>
      </c>
      <c r="P513" s="18" t="s">
        <v>7041</v>
      </c>
      <c r="Q513" s="20">
        <f>COUNTIF('Hedef Liste'!A:A,A513)</f>
        <v>1</v>
      </c>
    </row>
    <row r="514" ht="15.75" hidden="1" customHeight="1">
      <c r="A514" s="18" t="s">
        <v>398</v>
      </c>
      <c r="B514" s="18" t="s">
        <v>399</v>
      </c>
      <c r="C514" s="358" t="s">
        <v>7040</v>
      </c>
      <c r="D514" s="18" t="s">
        <v>363</v>
      </c>
      <c r="E514" s="359">
        <v>1779.0</v>
      </c>
      <c r="F514" s="359">
        <v>143.0</v>
      </c>
      <c r="G514" s="359">
        <v>41.0</v>
      </c>
      <c r="H514" s="359">
        <v>112.0</v>
      </c>
      <c r="I514" s="359">
        <v>153.0</v>
      </c>
      <c r="J514" s="361">
        <v>0.27</v>
      </c>
      <c r="K514" s="18" t="s">
        <v>400</v>
      </c>
      <c r="L514" s="18">
        <v>5.304774233E9</v>
      </c>
      <c r="M514" s="18" t="s">
        <v>63</v>
      </c>
      <c r="N514" s="18" t="s">
        <v>64</v>
      </c>
      <c r="O514" s="18" t="s">
        <v>401</v>
      </c>
      <c r="P514" s="18" t="s">
        <v>7041</v>
      </c>
      <c r="Q514" s="20">
        <f>COUNTIF('Hedef Liste'!A:A,A514)</f>
        <v>1</v>
      </c>
    </row>
    <row r="515" ht="15.75" hidden="1" customHeight="1">
      <c r="A515" s="18" t="s">
        <v>1508</v>
      </c>
      <c r="B515" s="18" t="s">
        <v>1509</v>
      </c>
      <c r="C515" s="358" t="s">
        <v>7040</v>
      </c>
      <c r="D515" s="18" t="s">
        <v>70</v>
      </c>
      <c r="E515" s="359">
        <v>1540.0</v>
      </c>
      <c r="F515" s="359">
        <v>123.0</v>
      </c>
      <c r="G515" s="359">
        <v>18.0</v>
      </c>
      <c r="H515" s="359">
        <v>45.0</v>
      </c>
      <c r="I515" s="359">
        <v>63.0</v>
      </c>
      <c r="J515" s="360">
        <v>0.29</v>
      </c>
      <c r="K515" s="18" t="s">
        <v>1510</v>
      </c>
      <c r="L515" s="18">
        <v>3.243277473E9</v>
      </c>
      <c r="M515" s="18" t="s">
        <v>72</v>
      </c>
      <c r="N515" s="18" t="s">
        <v>120</v>
      </c>
      <c r="O515" s="18" t="s">
        <v>1511</v>
      </c>
      <c r="P515" s="18" t="s">
        <v>7041</v>
      </c>
      <c r="Q515" s="20">
        <f>COUNTIF('Hedef Liste'!A:A,A515)</f>
        <v>1</v>
      </c>
    </row>
    <row r="516" ht="15.75" hidden="1" customHeight="1">
      <c r="A516" s="18" t="s">
        <v>3814</v>
      </c>
      <c r="B516" s="18" t="s">
        <v>3815</v>
      </c>
      <c r="C516" s="358" t="s">
        <v>7040</v>
      </c>
      <c r="D516" s="18" t="s">
        <v>363</v>
      </c>
      <c r="E516" s="359">
        <v>286.0</v>
      </c>
      <c r="F516" s="359">
        <v>24.0</v>
      </c>
      <c r="G516" s="359">
        <v>0.0</v>
      </c>
      <c r="H516" s="359">
        <v>37.0</v>
      </c>
      <c r="I516" s="359">
        <v>37.0</v>
      </c>
      <c r="J516" s="360">
        <v>0.0</v>
      </c>
      <c r="K516" s="18" t="s">
        <v>3816</v>
      </c>
      <c r="L516" s="18">
        <v>5.301258601E9</v>
      </c>
      <c r="M516" s="18" t="s">
        <v>47</v>
      </c>
      <c r="N516" s="18" t="s">
        <v>3817</v>
      </c>
      <c r="O516" s="18" t="s">
        <v>3818</v>
      </c>
      <c r="P516" s="18" t="s">
        <v>7041</v>
      </c>
      <c r="Q516" s="20">
        <f>COUNTIF('Hedef Liste'!A:A,A516)</f>
        <v>1</v>
      </c>
    </row>
    <row r="517" ht="15.75" hidden="1" customHeight="1">
      <c r="A517" s="18" t="s">
        <v>3489</v>
      </c>
      <c r="B517" s="18" t="s">
        <v>3490</v>
      </c>
      <c r="C517" s="358" t="s">
        <v>7040</v>
      </c>
      <c r="D517" s="18" t="s">
        <v>167</v>
      </c>
      <c r="E517" s="359">
        <v>3020.0</v>
      </c>
      <c r="F517" s="359">
        <v>126.0</v>
      </c>
      <c r="G517" s="359">
        <v>20.0</v>
      </c>
      <c r="H517" s="359">
        <v>0.0</v>
      </c>
      <c r="I517" s="359">
        <v>20.0</v>
      </c>
      <c r="J517" s="360">
        <v>1.0</v>
      </c>
      <c r="K517" s="18" t="s">
        <v>3491</v>
      </c>
      <c r="L517" s="18">
        <v>3.24714008E9</v>
      </c>
      <c r="M517" s="18" t="s">
        <v>187</v>
      </c>
      <c r="N517" s="18" t="s">
        <v>188</v>
      </c>
      <c r="O517" s="18" t="s">
        <v>3492</v>
      </c>
      <c r="P517" s="18" t="s">
        <v>7047</v>
      </c>
      <c r="Q517" s="20">
        <f>COUNTIF('Hedef Liste'!A:A,A517)</f>
        <v>1</v>
      </c>
    </row>
    <row r="518" ht="15.75" hidden="1" customHeight="1">
      <c r="A518" s="18" t="s">
        <v>1125</v>
      </c>
      <c r="B518" s="18" t="s">
        <v>1126</v>
      </c>
      <c r="C518" s="358" t="s">
        <v>7040</v>
      </c>
      <c r="D518" s="18" t="s">
        <v>45</v>
      </c>
      <c r="E518" s="359">
        <v>3030.0</v>
      </c>
      <c r="F518" s="359">
        <v>246.0</v>
      </c>
      <c r="G518" s="359">
        <v>13.0</v>
      </c>
      <c r="H518" s="359">
        <v>47.0</v>
      </c>
      <c r="I518" s="359">
        <v>60.0</v>
      </c>
      <c r="J518" s="360">
        <v>0.22</v>
      </c>
      <c r="K518" s="18" t="s">
        <v>1127</v>
      </c>
      <c r="L518" s="18">
        <v>5.523036633E9</v>
      </c>
      <c r="M518" s="18" t="s">
        <v>72</v>
      </c>
      <c r="N518" s="18" t="s">
        <v>128</v>
      </c>
      <c r="O518" s="18" t="s">
        <v>1128</v>
      </c>
      <c r="P518" s="18" t="s">
        <v>7041</v>
      </c>
      <c r="Q518" s="20">
        <f>COUNTIF('Hedef Liste'!A:A,A518)</f>
        <v>1</v>
      </c>
    </row>
    <row r="519" ht="15.75" hidden="1" customHeight="1">
      <c r="A519" s="18" t="s">
        <v>2413</v>
      </c>
      <c r="B519" s="18" t="s">
        <v>7289</v>
      </c>
      <c r="C519" s="358" t="s">
        <v>7040</v>
      </c>
      <c r="D519" s="18" t="s">
        <v>80</v>
      </c>
      <c r="E519" s="359">
        <v>361.0</v>
      </c>
      <c r="F519" s="359">
        <v>9.0</v>
      </c>
      <c r="G519" s="359">
        <v>10.0</v>
      </c>
      <c r="H519" s="359">
        <v>5.0</v>
      </c>
      <c r="I519" s="359">
        <v>15.0</v>
      </c>
      <c r="J519" s="360">
        <v>0.67</v>
      </c>
      <c r="K519" s="18" t="s">
        <v>2415</v>
      </c>
      <c r="L519" s="18">
        <v>5.378902693E9</v>
      </c>
      <c r="M519" s="18" t="s">
        <v>215</v>
      </c>
      <c r="N519" s="18" t="s">
        <v>2416</v>
      </c>
      <c r="O519" s="18" t="s">
        <v>2417</v>
      </c>
      <c r="P519" s="18" t="s">
        <v>7041</v>
      </c>
      <c r="Q519" s="20">
        <f>COUNTIF('Hedef Liste'!A:A,A519)</f>
        <v>1</v>
      </c>
    </row>
    <row r="520" ht="15.75" hidden="1" customHeight="1">
      <c r="A520" s="18" t="s">
        <v>796</v>
      </c>
      <c r="B520" s="18" t="s">
        <v>797</v>
      </c>
      <c r="C520" s="358" t="s">
        <v>7040</v>
      </c>
      <c r="D520" s="18" t="s">
        <v>451</v>
      </c>
      <c r="E520" s="359">
        <v>30.0</v>
      </c>
      <c r="F520" s="18"/>
      <c r="G520" s="359">
        <v>0.0</v>
      </c>
      <c r="H520" s="359">
        <v>18.0</v>
      </c>
      <c r="I520" s="359">
        <v>18.0</v>
      </c>
      <c r="J520" s="360">
        <v>0.0</v>
      </c>
      <c r="K520" s="18" t="s">
        <v>798</v>
      </c>
      <c r="L520" s="18">
        <v>5.352392139E9</v>
      </c>
      <c r="M520" s="18" t="s">
        <v>215</v>
      </c>
      <c r="N520" s="18" t="s">
        <v>799</v>
      </c>
      <c r="O520" s="18" t="s">
        <v>800</v>
      </c>
      <c r="P520" s="18" t="s">
        <v>7041</v>
      </c>
      <c r="Q520" s="20">
        <f>COUNTIF('Hedef Liste'!A:A,A520)</f>
        <v>1</v>
      </c>
    </row>
    <row r="521" ht="15.75" hidden="1" customHeight="1">
      <c r="A521" s="18" t="s">
        <v>2526</v>
      </c>
      <c r="B521" s="18" t="s">
        <v>2527</v>
      </c>
      <c r="C521" s="358" t="s">
        <v>7040</v>
      </c>
      <c r="D521" s="18" t="s">
        <v>884</v>
      </c>
      <c r="E521" s="362">
        <v>552.0</v>
      </c>
      <c r="F521" s="18"/>
      <c r="G521" s="359">
        <v>34.0</v>
      </c>
      <c r="H521" s="359">
        <v>35.0</v>
      </c>
      <c r="I521" s="359">
        <v>69.0</v>
      </c>
      <c r="J521" s="360">
        <v>0.49</v>
      </c>
      <c r="K521" s="18" t="s">
        <v>2528</v>
      </c>
      <c r="L521" s="18">
        <v>5.380305048E9</v>
      </c>
      <c r="M521" s="18" t="s">
        <v>72</v>
      </c>
      <c r="N521" s="18" t="s">
        <v>82</v>
      </c>
      <c r="O521" s="18" t="s">
        <v>2529</v>
      </c>
      <c r="P521" s="18" t="s">
        <v>7041</v>
      </c>
      <c r="Q521" s="20">
        <f>COUNTIF('Hedef Liste'!A:A,A521)</f>
        <v>1</v>
      </c>
    </row>
    <row r="522" ht="15.75" hidden="1" customHeight="1">
      <c r="A522" s="18" t="s">
        <v>1203</v>
      </c>
      <c r="B522" s="18" t="s">
        <v>1204</v>
      </c>
      <c r="C522" s="358" t="s">
        <v>7040</v>
      </c>
      <c r="D522" s="18" t="s">
        <v>80</v>
      </c>
      <c r="E522" s="359">
        <v>1839.0</v>
      </c>
      <c r="F522" s="359">
        <v>75.0</v>
      </c>
      <c r="G522" s="359">
        <v>11.0</v>
      </c>
      <c r="H522" s="359">
        <v>8.0</v>
      </c>
      <c r="I522" s="359">
        <v>19.0</v>
      </c>
      <c r="J522" s="360">
        <v>0.58</v>
      </c>
      <c r="K522" s="18" t="s">
        <v>1205</v>
      </c>
      <c r="L522" s="18">
        <v>3.242375612E9</v>
      </c>
      <c r="M522" s="18" t="s">
        <v>137</v>
      </c>
      <c r="N522" s="18" t="s">
        <v>1524</v>
      </c>
      <c r="O522" s="18" t="s">
        <v>1207</v>
      </c>
      <c r="P522" s="18" t="s">
        <v>7041</v>
      </c>
      <c r="Q522" s="20">
        <f>COUNTIF('Hedef Liste'!A:A,A522)</f>
        <v>1</v>
      </c>
    </row>
    <row r="523" ht="15.75" hidden="1" customHeight="1">
      <c r="A523" s="18" t="s">
        <v>148</v>
      </c>
      <c r="B523" s="18" t="s">
        <v>149</v>
      </c>
      <c r="C523" s="358" t="s">
        <v>7040</v>
      </c>
      <c r="D523" s="18" t="s">
        <v>80</v>
      </c>
      <c r="E523" s="359">
        <v>1424.0</v>
      </c>
      <c r="F523" s="359">
        <v>189.0</v>
      </c>
      <c r="G523" s="359">
        <v>13.0</v>
      </c>
      <c r="H523" s="359">
        <v>2.0</v>
      </c>
      <c r="I523" s="359">
        <v>15.0</v>
      </c>
      <c r="J523" s="360">
        <v>0.87</v>
      </c>
      <c r="K523" s="18" t="s">
        <v>136</v>
      </c>
      <c r="L523" s="18">
        <v>5.446191999E9</v>
      </c>
      <c r="M523" s="18" t="s">
        <v>72</v>
      </c>
      <c r="N523" s="18" t="s">
        <v>181</v>
      </c>
      <c r="O523" s="18" t="s">
        <v>151</v>
      </c>
      <c r="P523" s="18" t="s">
        <v>7041</v>
      </c>
      <c r="Q523" s="20">
        <f>COUNTIF('Hedef Liste'!A:A,A523)</f>
        <v>1</v>
      </c>
    </row>
    <row r="524" ht="15.75" hidden="1" customHeight="1">
      <c r="A524" s="18" t="s">
        <v>2625</v>
      </c>
      <c r="B524" s="18" t="s">
        <v>2626</v>
      </c>
      <c r="C524" s="358" t="s">
        <v>7040</v>
      </c>
      <c r="D524" s="18" t="s">
        <v>118</v>
      </c>
      <c r="E524" s="359">
        <v>1403.0</v>
      </c>
      <c r="F524" s="359">
        <v>61.0</v>
      </c>
      <c r="G524" s="359">
        <v>0.0</v>
      </c>
      <c r="H524" s="359">
        <v>13.0</v>
      </c>
      <c r="I524" s="359">
        <v>13.0</v>
      </c>
      <c r="J524" s="360">
        <v>0.0</v>
      </c>
      <c r="K524" s="18" t="s">
        <v>2627</v>
      </c>
      <c r="L524" s="18">
        <v>5.510334596E9</v>
      </c>
      <c r="M524" s="18" t="s">
        <v>215</v>
      </c>
      <c r="N524" s="18" t="s">
        <v>227</v>
      </c>
      <c r="O524" s="18" t="s">
        <v>2628</v>
      </c>
      <c r="P524" s="18" t="s">
        <v>7041</v>
      </c>
      <c r="Q524" s="20">
        <f>COUNTIF('Hedef Liste'!A:A,A524)</f>
        <v>1</v>
      </c>
    </row>
    <row r="525" ht="15.75" hidden="1" customHeight="1">
      <c r="A525" s="18" t="s">
        <v>1402</v>
      </c>
      <c r="B525" s="18" t="s">
        <v>1403</v>
      </c>
      <c r="C525" s="358" t="s">
        <v>7040</v>
      </c>
      <c r="D525" s="18" t="s">
        <v>167</v>
      </c>
      <c r="E525" s="359">
        <v>352.0</v>
      </c>
      <c r="F525" s="359">
        <v>8.0</v>
      </c>
      <c r="G525" s="359">
        <v>7.0</v>
      </c>
      <c r="H525" s="359">
        <v>5.0</v>
      </c>
      <c r="I525" s="359">
        <v>12.0</v>
      </c>
      <c r="J525" s="360">
        <v>0.58</v>
      </c>
      <c r="K525" s="18" t="s">
        <v>1404</v>
      </c>
      <c r="L525" s="18">
        <v>5.520700846E9</v>
      </c>
      <c r="M525" s="18" t="s">
        <v>215</v>
      </c>
      <c r="N525" s="18" t="s">
        <v>634</v>
      </c>
      <c r="O525" s="18" t="s">
        <v>1405</v>
      </c>
      <c r="P525" s="18" t="s">
        <v>7041</v>
      </c>
      <c r="Q525" s="20">
        <f>COUNTIF('Hedef Liste'!A:A,A525)</f>
        <v>1</v>
      </c>
    </row>
    <row r="526" ht="15.75" hidden="1" customHeight="1">
      <c r="A526" s="18" t="s">
        <v>2377</v>
      </c>
      <c r="B526" s="18" t="s">
        <v>2378</v>
      </c>
      <c r="C526" s="358" t="s">
        <v>7040</v>
      </c>
      <c r="D526" s="18" t="s">
        <v>363</v>
      </c>
      <c r="E526" s="359">
        <v>1082.0</v>
      </c>
      <c r="F526" s="359">
        <v>139.0</v>
      </c>
      <c r="G526" s="359">
        <v>0.0</v>
      </c>
      <c r="H526" s="359">
        <v>19.0</v>
      </c>
      <c r="I526" s="359">
        <v>19.0</v>
      </c>
      <c r="J526" s="360">
        <v>0.0</v>
      </c>
      <c r="K526" s="18" t="s">
        <v>2379</v>
      </c>
      <c r="L526" s="18">
        <v>5.454088838E9</v>
      </c>
      <c r="M526" s="18" t="s">
        <v>72</v>
      </c>
      <c r="N526" s="18" t="s">
        <v>415</v>
      </c>
      <c r="O526" s="18" t="s">
        <v>2380</v>
      </c>
      <c r="P526" s="18" t="s">
        <v>7041</v>
      </c>
      <c r="Q526" s="20">
        <f>COUNTIF('Hedef Liste'!A:A,A526)</f>
        <v>1</v>
      </c>
    </row>
    <row r="527" ht="15.75" hidden="1" customHeight="1">
      <c r="A527" s="18" t="s">
        <v>1145</v>
      </c>
      <c r="B527" s="18" t="s">
        <v>1146</v>
      </c>
      <c r="C527" s="358" t="s">
        <v>7062</v>
      </c>
      <c r="D527" s="18" t="s">
        <v>564</v>
      </c>
      <c r="E527" s="359">
        <v>67.0</v>
      </c>
      <c r="F527" s="18"/>
      <c r="G527" s="359">
        <v>0.0</v>
      </c>
      <c r="H527" s="359">
        <v>18.0</v>
      </c>
      <c r="I527" s="359">
        <v>18.0</v>
      </c>
      <c r="J527" s="360">
        <v>0.0</v>
      </c>
      <c r="K527" s="18" t="s">
        <v>1147</v>
      </c>
      <c r="L527" s="18">
        <v>5.525353167E9</v>
      </c>
      <c r="M527" s="18" t="s">
        <v>63</v>
      </c>
      <c r="N527" s="18" t="s">
        <v>1148</v>
      </c>
      <c r="O527" s="18" t="s">
        <v>1149</v>
      </c>
      <c r="P527" s="18" t="s">
        <v>7041</v>
      </c>
      <c r="Q527" s="20">
        <f>COUNTIF('Hedef Liste'!A:A,A527)</f>
        <v>1</v>
      </c>
    </row>
    <row r="528" ht="15.75" hidden="1" customHeight="1">
      <c r="A528" s="18" t="s">
        <v>821</v>
      </c>
      <c r="B528" s="18" t="s">
        <v>822</v>
      </c>
      <c r="C528" s="358" t="s">
        <v>7040</v>
      </c>
      <c r="D528" s="18" t="s">
        <v>80</v>
      </c>
      <c r="E528" s="359">
        <v>1031.0</v>
      </c>
      <c r="F528" s="359">
        <v>194.0</v>
      </c>
      <c r="G528" s="359">
        <v>15.0</v>
      </c>
      <c r="H528" s="359">
        <v>6.0</v>
      </c>
      <c r="I528" s="359">
        <v>21.0</v>
      </c>
      <c r="J528" s="360">
        <v>0.71</v>
      </c>
      <c r="K528" s="18" t="s">
        <v>823</v>
      </c>
      <c r="L528" s="18">
        <v>5.335084713E9</v>
      </c>
      <c r="M528" s="18" t="s">
        <v>215</v>
      </c>
      <c r="N528" s="18" t="s">
        <v>215</v>
      </c>
      <c r="O528" s="18" t="s">
        <v>824</v>
      </c>
      <c r="P528" s="18" t="s">
        <v>7041</v>
      </c>
      <c r="Q528" s="20">
        <f>COUNTIF('Hedef Liste'!A:A,A528)</f>
        <v>1</v>
      </c>
    </row>
    <row r="529" ht="15.75" hidden="1" customHeight="1">
      <c r="A529" s="18" t="s">
        <v>1230</v>
      </c>
      <c r="B529" s="18" t="s">
        <v>1231</v>
      </c>
      <c r="C529" s="358" t="s">
        <v>7040</v>
      </c>
      <c r="D529" s="18" t="s">
        <v>80</v>
      </c>
      <c r="E529" s="359">
        <v>358.0</v>
      </c>
      <c r="F529" s="359">
        <v>11.0</v>
      </c>
      <c r="G529" s="359">
        <v>0.0</v>
      </c>
      <c r="H529" s="359">
        <v>8.0</v>
      </c>
      <c r="I529" s="359">
        <v>8.0</v>
      </c>
      <c r="J529" s="360">
        <v>0.0</v>
      </c>
      <c r="K529" s="18" t="s">
        <v>1232</v>
      </c>
      <c r="L529" s="18">
        <v>5.383586787E9</v>
      </c>
      <c r="M529" s="18" t="s">
        <v>215</v>
      </c>
      <c r="N529" s="18" t="s">
        <v>325</v>
      </c>
      <c r="O529" s="18" t="s">
        <v>1234</v>
      </c>
      <c r="P529" s="18" t="s">
        <v>7041</v>
      </c>
      <c r="Q529" s="20">
        <f>COUNTIF('Hedef Liste'!A:A,A529)</f>
        <v>1</v>
      </c>
    </row>
    <row r="530" ht="15.75" hidden="1" customHeight="1">
      <c r="A530" s="18" t="s">
        <v>1605</v>
      </c>
      <c r="B530" s="18" t="s">
        <v>1606</v>
      </c>
      <c r="C530" s="358" t="s">
        <v>7040</v>
      </c>
      <c r="D530" s="18" t="s">
        <v>80</v>
      </c>
      <c r="E530" s="359">
        <v>7017.0</v>
      </c>
      <c r="F530" s="359">
        <v>362.0</v>
      </c>
      <c r="G530" s="359">
        <v>16.0</v>
      </c>
      <c r="H530" s="359">
        <v>7.0</v>
      </c>
      <c r="I530" s="359">
        <v>23.0</v>
      </c>
      <c r="J530" s="360">
        <v>0.7</v>
      </c>
      <c r="K530" s="18" t="s">
        <v>1607</v>
      </c>
      <c r="L530" s="18">
        <v>3.249990445E9</v>
      </c>
      <c r="M530" s="18" t="s">
        <v>63</v>
      </c>
      <c r="N530" s="18" t="s">
        <v>137</v>
      </c>
      <c r="O530" s="18" t="s">
        <v>1608</v>
      </c>
      <c r="P530" s="18" t="s">
        <v>7041</v>
      </c>
      <c r="Q530" s="20">
        <f>COUNTIF('Hedef Liste'!A:A,A530)</f>
        <v>1</v>
      </c>
    </row>
    <row r="531" ht="15.75" hidden="1" customHeight="1">
      <c r="A531" s="18" t="s">
        <v>1934</v>
      </c>
      <c r="B531" s="18" t="s">
        <v>1935</v>
      </c>
      <c r="C531" s="358" t="s">
        <v>7040</v>
      </c>
      <c r="D531" s="18" t="s">
        <v>80</v>
      </c>
      <c r="E531" s="359">
        <v>39.0</v>
      </c>
      <c r="F531" s="18"/>
      <c r="G531" s="359">
        <v>15.0</v>
      </c>
      <c r="H531" s="359">
        <v>1.0</v>
      </c>
      <c r="I531" s="359">
        <v>16.0</v>
      </c>
      <c r="J531" s="360">
        <v>0.94</v>
      </c>
      <c r="K531" s="18" t="s">
        <v>1936</v>
      </c>
      <c r="L531" s="18">
        <v>5.051523356E9</v>
      </c>
      <c r="M531" s="18" t="s">
        <v>215</v>
      </c>
      <c r="N531" s="18" t="s">
        <v>799</v>
      </c>
      <c r="O531" s="18" t="s">
        <v>800</v>
      </c>
      <c r="P531" s="18" t="s">
        <v>7041</v>
      </c>
      <c r="Q531" s="20">
        <f>COUNTIF('Hedef Liste'!A:A,A531)</f>
        <v>1</v>
      </c>
    </row>
    <row r="532" ht="15.75" hidden="1" customHeight="1">
      <c r="A532" s="18" t="s">
        <v>165</v>
      </c>
      <c r="B532" s="18" t="s">
        <v>166</v>
      </c>
      <c r="C532" s="358" t="s">
        <v>7062</v>
      </c>
      <c r="D532" s="18" t="s">
        <v>167</v>
      </c>
      <c r="E532" s="359">
        <v>312.0</v>
      </c>
      <c r="F532" s="18"/>
      <c r="G532" s="359">
        <v>8.0</v>
      </c>
      <c r="H532" s="359">
        <v>3.0</v>
      </c>
      <c r="I532" s="359">
        <v>11.0</v>
      </c>
      <c r="J532" s="360">
        <v>0.73</v>
      </c>
      <c r="K532" s="18" t="s">
        <v>168</v>
      </c>
      <c r="L532" s="18">
        <v>5.455313302E9</v>
      </c>
      <c r="M532" s="18" t="s">
        <v>72</v>
      </c>
      <c r="N532" s="18" t="s">
        <v>82</v>
      </c>
      <c r="O532" s="18" t="s">
        <v>169</v>
      </c>
      <c r="P532" s="18" t="s">
        <v>7041</v>
      </c>
      <c r="Q532" s="20">
        <f>COUNTIF('Hedef Liste'!A:A,A532)</f>
        <v>1</v>
      </c>
    </row>
    <row r="533" ht="15.75" hidden="1" customHeight="1">
      <c r="A533" s="18" t="s">
        <v>110</v>
      </c>
      <c r="B533" s="18" t="s">
        <v>111</v>
      </c>
      <c r="C533" s="358" t="s">
        <v>7040</v>
      </c>
      <c r="D533" s="18" t="s">
        <v>45</v>
      </c>
      <c r="E533" s="359">
        <v>1396.0</v>
      </c>
      <c r="F533" s="359">
        <v>175.0</v>
      </c>
      <c r="G533" s="359">
        <v>0.0</v>
      </c>
      <c r="H533" s="359">
        <v>31.0</v>
      </c>
      <c r="I533" s="359">
        <v>31.0</v>
      </c>
      <c r="J533" s="360">
        <v>0.0</v>
      </c>
      <c r="K533" s="18" t="s">
        <v>112</v>
      </c>
      <c r="L533" s="18">
        <v>3.243250421E9</v>
      </c>
      <c r="M533" s="18" t="s">
        <v>72</v>
      </c>
      <c r="N533" s="18" t="s">
        <v>113</v>
      </c>
      <c r="O533" s="18" t="s">
        <v>114</v>
      </c>
      <c r="P533" s="18" t="s">
        <v>7041</v>
      </c>
      <c r="Q533" s="20">
        <f>COUNTIF('Hedef Liste'!A:A,A533)</f>
        <v>1</v>
      </c>
    </row>
    <row r="534" ht="15.75" hidden="1" customHeight="1">
      <c r="A534" s="18" t="s">
        <v>1236</v>
      </c>
      <c r="B534" s="18" t="s">
        <v>1237</v>
      </c>
      <c r="C534" s="358" t="s">
        <v>7040</v>
      </c>
      <c r="D534" s="18" t="s">
        <v>80</v>
      </c>
      <c r="E534" s="359">
        <v>516.0</v>
      </c>
      <c r="F534" s="359">
        <v>35.0</v>
      </c>
      <c r="G534" s="359">
        <v>6.0</v>
      </c>
      <c r="H534" s="359">
        <v>6.0</v>
      </c>
      <c r="I534" s="359">
        <v>12.0</v>
      </c>
      <c r="J534" s="360">
        <v>0.5</v>
      </c>
      <c r="K534" s="18" t="s">
        <v>1238</v>
      </c>
      <c r="L534" s="18">
        <v>3.243250033E9</v>
      </c>
      <c r="M534" s="18" t="s">
        <v>72</v>
      </c>
      <c r="N534" s="18" t="s">
        <v>415</v>
      </c>
      <c r="O534" s="18" t="s">
        <v>1239</v>
      </c>
      <c r="P534" s="18" t="s">
        <v>7041</v>
      </c>
      <c r="Q534" s="20">
        <f>COUNTIF('Hedef Liste'!A:A,A534)</f>
        <v>1</v>
      </c>
    </row>
    <row r="535" ht="15.75" hidden="1" customHeight="1">
      <c r="A535" s="18" t="s">
        <v>1513</v>
      </c>
      <c r="B535" s="18" t="s">
        <v>1514</v>
      </c>
      <c r="C535" s="358" t="s">
        <v>7062</v>
      </c>
      <c r="D535" s="18" t="s">
        <v>118</v>
      </c>
      <c r="E535" s="359">
        <v>32.0</v>
      </c>
      <c r="F535" s="18"/>
      <c r="G535" s="359">
        <v>8.0</v>
      </c>
      <c r="H535" s="359">
        <v>5.0</v>
      </c>
      <c r="I535" s="359">
        <v>13.0</v>
      </c>
      <c r="J535" s="360">
        <v>0.62</v>
      </c>
      <c r="K535" s="18" t="s">
        <v>1515</v>
      </c>
      <c r="L535" s="18">
        <v>5.324383331E9</v>
      </c>
      <c r="M535" s="18" t="s">
        <v>72</v>
      </c>
      <c r="N535" s="18" t="s">
        <v>113</v>
      </c>
      <c r="O535" s="18" t="s">
        <v>1516</v>
      </c>
      <c r="P535" s="18" t="s">
        <v>7041</v>
      </c>
      <c r="Q535" s="20">
        <f>COUNTIF('Hedef Liste'!A:A,A535)</f>
        <v>1</v>
      </c>
    </row>
    <row r="536" ht="15.75" hidden="1" customHeight="1">
      <c r="A536" s="18" t="s">
        <v>3982</v>
      </c>
      <c r="B536" s="18" t="s">
        <v>3983</v>
      </c>
      <c r="C536" s="358" t="s">
        <v>7040</v>
      </c>
      <c r="D536" s="18" t="s">
        <v>106</v>
      </c>
      <c r="E536" s="359">
        <v>1051.0</v>
      </c>
      <c r="F536" s="359">
        <v>44.0</v>
      </c>
      <c r="G536" s="359">
        <v>9.0</v>
      </c>
      <c r="H536" s="359">
        <v>3.0</v>
      </c>
      <c r="I536" s="359">
        <v>12.0</v>
      </c>
      <c r="J536" s="360">
        <v>0.75</v>
      </c>
      <c r="K536" s="18" t="s">
        <v>3984</v>
      </c>
      <c r="L536" s="18">
        <v>5.436445333E9</v>
      </c>
      <c r="M536" s="18" t="s">
        <v>63</v>
      </c>
      <c r="N536" s="18" t="s">
        <v>1447</v>
      </c>
      <c r="O536" s="18" t="s">
        <v>3985</v>
      </c>
      <c r="P536" s="18" t="s">
        <v>7041</v>
      </c>
      <c r="Q536" s="20">
        <f>COUNTIF('Hedef Liste'!A:A,A536)</f>
        <v>1</v>
      </c>
    </row>
    <row r="537" ht="15.75" hidden="1" customHeight="1">
      <c r="A537" s="18" t="s">
        <v>4791</v>
      </c>
      <c r="B537" s="18" t="s">
        <v>4792</v>
      </c>
      <c r="C537" s="358" t="s">
        <v>7040</v>
      </c>
      <c r="D537" s="18" t="s">
        <v>167</v>
      </c>
      <c r="E537" s="359">
        <v>146.0</v>
      </c>
      <c r="F537" s="359">
        <v>6.0</v>
      </c>
      <c r="G537" s="359">
        <v>8.0</v>
      </c>
      <c r="H537" s="359">
        <v>8.0</v>
      </c>
      <c r="I537" s="359">
        <v>16.0</v>
      </c>
      <c r="J537" s="360">
        <v>0.5</v>
      </c>
      <c r="K537" s="18" t="s">
        <v>4793</v>
      </c>
      <c r="L537" s="18">
        <v>5.510290508E9</v>
      </c>
      <c r="M537" s="18" t="s">
        <v>215</v>
      </c>
      <c r="N537" s="18" t="s">
        <v>2416</v>
      </c>
      <c r="O537" s="18" t="s">
        <v>4794</v>
      </c>
      <c r="P537" s="18" t="s">
        <v>7041</v>
      </c>
      <c r="Q537" s="20">
        <f>COUNTIF('Hedef Liste'!A:A,A537)</f>
        <v>1</v>
      </c>
    </row>
    <row r="538" ht="15.75" hidden="1" customHeight="1">
      <c r="A538" s="18" t="s">
        <v>3996</v>
      </c>
      <c r="B538" s="18" t="s">
        <v>3997</v>
      </c>
      <c r="C538" s="358" t="s">
        <v>7040</v>
      </c>
      <c r="D538" s="18" t="s">
        <v>118</v>
      </c>
      <c r="E538" s="359">
        <v>187.0</v>
      </c>
      <c r="F538" s="359">
        <v>10.0</v>
      </c>
      <c r="G538" s="359">
        <v>0.0</v>
      </c>
      <c r="H538" s="359">
        <v>22.0</v>
      </c>
      <c r="I538" s="359">
        <v>22.0</v>
      </c>
      <c r="J538" s="360">
        <v>0.0</v>
      </c>
      <c r="K538" s="18" t="s">
        <v>2871</v>
      </c>
      <c r="L538" s="18">
        <v>5.389663301E9</v>
      </c>
      <c r="M538" s="18" t="s">
        <v>63</v>
      </c>
      <c r="N538" s="18" t="s">
        <v>93</v>
      </c>
      <c r="O538" s="18" t="s">
        <v>3998</v>
      </c>
      <c r="P538" s="18" t="s">
        <v>7041</v>
      </c>
      <c r="Q538" s="20">
        <f>COUNTIF('Hedef Liste'!A:A,A538)</f>
        <v>1</v>
      </c>
    </row>
    <row r="539" ht="15.75" hidden="1" customHeight="1">
      <c r="A539" s="18" t="s">
        <v>888</v>
      </c>
      <c r="B539" s="18" t="s">
        <v>889</v>
      </c>
      <c r="C539" s="358" t="s">
        <v>7040</v>
      </c>
      <c r="D539" s="18" t="s">
        <v>372</v>
      </c>
      <c r="E539" s="359">
        <v>640.0</v>
      </c>
      <c r="F539" s="359">
        <v>27.0</v>
      </c>
      <c r="G539" s="359">
        <v>0.0</v>
      </c>
      <c r="H539" s="359">
        <v>30.0</v>
      </c>
      <c r="I539" s="359">
        <v>30.0</v>
      </c>
      <c r="J539" s="360">
        <v>0.0</v>
      </c>
      <c r="K539" s="18" t="s">
        <v>890</v>
      </c>
      <c r="L539" s="18">
        <v>3.243367379E9</v>
      </c>
      <c r="M539" s="18" t="s">
        <v>137</v>
      </c>
      <c r="N539" s="18" t="s">
        <v>426</v>
      </c>
      <c r="O539" s="18" t="s">
        <v>891</v>
      </c>
      <c r="P539" s="18" t="s">
        <v>7041</v>
      </c>
      <c r="Q539" s="20">
        <f>COUNTIF('Hedef Liste'!A:A,A539)</f>
        <v>1</v>
      </c>
    </row>
    <row r="540" ht="15.75" hidden="1" customHeight="1">
      <c r="A540" s="18" t="s">
        <v>4030</v>
      </c>
      <c r="B540" s="18" t="s">
        <v>4031</v>
      </c>
      <c r="C540" s="358" t="s">
        <v>7040</v>
      </c>
      <c r="D540" s="18" t="s">
        <v>564</v>
      </c>
      <c r="E540" s="359">
        <v>448.0</v>
      </c>
      <c r="F540" s="359">
        <v>46.0</v>
      </c>
      <c r="G540" s="359">
        <v>7.0</v>
      </c>
      <c r="H540" s="359">
        <v>46.0</v>
      </c>
      <c r="I540" s="359">
        <v>53.0</v>
      </c>
      <c r="J540" s="360">
        <v>0.13</v>
      </c>
      <c r="K540" s="18" t="s">
        <v>4032</v>
      </c>
      <c r="L540" s="18">
        <v>3.243287008E9</v>
      </c>
      <c r="M540" s="18" t="s">
        <v>72</v>
      </c>
      <c r="N540" s="18" t="s">
        <v>150</v>
      </c>
      <c r="O540" s="18" t="s">
        <v>4033</v>
      </c>
      <c r="P540" s="18" t="s">
        <v>7041</v>
      </c>
      <c r="Q540" s="20">
        <f>COUNTIF('Hedef Liste'!A:A,A540)</f>
        <v>1</v>
      </c>
    </row>
    <row r="541" ht="15.75" hidden="1" customHeight="1">
      <c r="A541" s="18" t="s">
        <v>1439</v>
      </c>
      <c r="B541" s="18" t="s">
        <v>1440</v>
      </c>
      <c r="C541" s="358" t="s">
        <v>7040</v>
      </c>
      <c r="D541" s="18" t="s">
        <v>167</v>
      </c>
      <c r="E541" s="359">
        <v>4784.0</v>
      </c>
      <c r="F541" s="359">
        <v>203.0</v>
      </c>
      <c r="G541" s="359">
        <v>0.0</v>
      </c>
      <c r="H541" s="359">
        <v>22.0</v>
      </c>
      <c r="I541" s="359">
        <v>22.0</v>
      </c>
      <c r="J541" s="360">
        <v>0.0</v>
      </c>
      <c r="K541" s="18" t="s">
        <v>1441</v>
      </c>
      <c r="L541" s="18">
        <v>5.333726492E9</v>
      </c>
      <c r="M541" s="18" t="s">
        <v>72</v>
      </c>
      <c r="N541" s="18" t="s">
        <v>82</v>
      </c>
      <c r="O541" s="18" t="s">
        <v>1442</v>
      </c>
      <c r="P541" s="18" t="s">
        <v>7041</v>
      </c>
      <c r="Q541" s="20">
        <f>COUNTIF('Hedef Liste'!A:A,A541)</f>
        <v>1</v>
      </c>
    </row>
    <row r="542" ht="15.75" hidden="1" customHeight="1">
      <c r="A542" s="18" t="s">
        <v>4662</v>
      </c>
      <c r="B542" s="18" t="s">
        <v>4663</v>
      </c>
      <c r="C542" s="358" t="s">
        <v>7040</v>
      </c>
      <c r="D542" s="18" t="s">
        <v>356</v>
      </c>
      <c r="E542" s="359">
        <v>45.0</v>
      </c>
      <c r="F542" s="18"/>
      <c r="G542" s="359">
        <v>0.0</v>
      </c>
      <c r="H542" s="359">
        <v>23.0</v>
      </c>
      <c r="I542" s="359">
        <v>23.0</v>
      </c>
      <c r="J542" s="360">
        <v>0.0</v>
      </c>
      <c r="K542" s="18" t="s">
        <v>4664</v>
      </c>
      <c r="L542" s="18">
        <v>5.335821255E9</v>
      </c>
      <c r="M542" s="18" t="s">
        <v>72</v>
      </c>
      <c r="N542" s="18" t="s">
        <v>716</v>
      </c>
      <c r="O542" s="18" t="s">
        <v>1788</v>
      </c>
      <c r="P542" s="18" t="s">
        <v>7041</v>
      </c>
      <c r="Q542" s="20">
        <f>COUNTIF('Hedef Liste'!A:A,A542)</f>
        <v>1</v>
      </c>
    </row>
    <row r="543" ht="15.75" hidden="1" customHeight="1">
      <c r="A543" s="18" t="s">
        <v>4349</v>
      </c>
      <c r="B543" s="18" t="s">
        <v>4350</v>
      </c>
      <c r="C543" s="358" t="s">
        <v>7040</v>
      </c>
      <c r="D543" s="18" t="s">
        <v>356</v>
      </c>
      <c r="E543" s="359">
        <v>128.0</v>
      </c>
      <c r="F543" s="359">
        <v>9.0</v>
      </c>
      <c r="G543" s="359">
        <v>0.0</v>
      </c>
      <c r="H543" s="359">
        <v>13.0</v>
      </c>
      <c r="I543" s="359">
        <v>13.0</v>
      </c>
      <c r="J543" s="360">
        <v>0.0</v>
      </c>
      <c r="K543" s="18" t="s">
        <v>4351</v>
      </c>
      <c r="L543" s="18">
        <v>5.316863189E9</v>
      </c>
      <c r="M543" s="18" t="s">
        <v>47</v>
      </c>
      <c r="N543" s="18" t="s">
        <v>608</v>
      </c>
      <c r="O543" s="18" t="s">
        <v>4352</v>
      </c>
      <c r="P543" s="18" t="s">
        <v>7041</v>
      </c>
      <c r="Q543" s="20">
        <f>COUNTIF('Hedef Liste'!A:A,A543)</f>
        <v>1</v>
      </c>
    </row>
    <row r="544" ht="15.75" hidden="1" customHeight="1">
      <c r="A544" s="18" t="s">
        <v>2456</v>
      </c>
      <c r="B544" s="18" t="s">
        <v>2457</v>
      </c>
      <c r="C544" s="358" t="s">
        <v>7040</v>
      </c>
      <c r="D544" s="18" t="s">
        <v>106</v>
      </c>
      <c r="E544" s="359">
        <v>3119.0</v>
      </c>
      <c r="F544" s="359">
        <v>345.0</v>
      </c>
      <c r="G544" s="359">
        <v>0.0</v>
      </c>
      <c r="H544" s="359">
        <v>20.0</v>
      </c>
      <c r="I544" s="359">
        <v>20.0</v>
      </c>
      <c r="J544" s="360">
        <v>0.0</v>
      </c>
      <c r="K544" s="18" t="s">
        <v>2458</v>
      </c>
      <c r="L544" s="18">
        <v>3.243603077E9</v>
      </c>
      <c r="M544" s="18" t="s">
        <v>156</v>
      </c>
      <c r="N544" s="18" t="s">
        <v>338</v>
      </c>
      <c r="O544" s="18" t="s">
        <v>2459</v>
      </c>
      <c r="P544" s="18" t="s">
        <v>7041</v>
      </c>
      <c r="Q544" s="20">
        <f>COUNTIF('Hedef Liste'!A:A,A544)</f>
        <v>1</v>
      </c>
    </row>
    <row r="545" ht="15.75" hidden="1" customHeight="1">
      <c r="A545" s="18" t="s">
        <v>7290</v>
      </c>
      <c r="B545" s="18" t="s">
        <v>7291</v>
      </c>
      <c r="C545" s="358" t="s">
        <v>7040</v>
      </c>
      <c r="D545" s="18" t="s">
        <v>167</v>
      </c>
      <c r="E545" s="359">
        <v>2746.0</v>
      </c>
      <c r="F545" s="359">
        <v>139.0</v>
      </c>
      <c r="G545" s="359">
        <v>65.0</v>
      </c>
      <c r="H545" s="359">
        <v>0.0</v>
      </c>
      <c r="I545" s="359">
        <v>65.0</v>
      </c>
      <c r="J545" s="360">
        <v>1.0</v>
      </c>
      <c r="K545" s="18" t="s">
        <v>3459</v>
      </c>
      <c r="L545" s="18">
        <v>5.431423233E9</v>
      </c>
      <c r="M545" s="18" t="s">
        <v>215</v>
      </c>
      <c r="N545" s="18" t="s">
        <v>745</v>
      </c>
      <c r="O545" s="18" t="s">
        <v>3196</v>
      </c>
      <c r="P545" s="18" t="s">
        <v>7047</v>
      </c>
      <c r="Q545" s="20">
        <f>COUNTIF('Hedef Liste'!A:A,A545)</f>
        <v>0</v>
      </c>
    </row>
    <row r="546" ht="15.75" hidden="1" customHeight="1">
      <c r="A546" s="18" t="s">
        <v>1269</v>
      </c>
      <c r="B546" s="18" t="s">
        <v>1270</v>
      </c>
      <c r="C546" s="358" t="s">
        <v>7040</v>
      </c>
      <c r="D546" s="18" t="s">
        <v>80</v>
      </c>
      <c r="E546" s="362">
        <v>153.0</v>
      </c>
      <c r="F546" s="18"/>
      <c r="G546" s="359">
        <v>0.0</v>
      </c>
      <c r="H546" s="359">
        <v>14.0</v>
      </c>
      <c r="I546" s="359">
        <v>14.0</v>
      </c>
      <c r="J546" s="360">
        <v>0.0</v>
      </c>
      <c r="K546" s="18" t="s">
        <v>1271</v>
      </c>
      <c r="L546" s="18">
        <v>3.243286004E9</v>
      </c>
      <c r="M546" s="18" t="s">
        <v>72</v>
      </c>
      <c r="N546" s="18" t="s">
        <v>915</v>
      </c>
      <c r="O546" s="18" t="s">
        <v>1272</v>
      </c>
      <c r="P546" s="18" t="s">
        <v>7041</v>
      </c>
      <c r="Q546" s="20">
        <f>COUNTIF('Hedef Liste'!A:A,A546)</f>
        <v>1</v>
      </c>
    </row>
    <row r="547" ht="15.75" hidden="1" customHeight="1">
      <c r="A547" s="18" t="s">
        <v>742</v>
      </c>
      <c r="B547" s="18" t="s">
        <v>743</v>
      </c>
      <c r="C547" s="358" t="s">
        <v>7040</v>
      </c>
      <c r="D547" s="18" t="s">
        <v>80</v>
      </c>
      <c r="E547" s="359">
        <v>754.0</v>
      </c>
      <c r="F547" s="359">
        <v>68.0</v>
      </c>
      <c r="G547" s="359">
        <v>10.0</v>
      </c>
      <c r="H547" s="359">
        <v>1.0</v>
      </c>
      <c r="I547" s="359">
        <v>11.0</v>
      </c>
      <c r="J547" s="360">
        <v>0.91</v>
      </c>
      <c r="K547" s="18" t="s">
        <v>744</v>
      </c>
      <c r="L547" s="18">
        <v>5.077248433E9</v>
      </c>
      <c r="M547" s="18" t="s">
        <v>215</v>
      </c>
      <c r="N547" s="18" t="s">
        <v>745</v>
      </c>
      <c r="O547" s="18" t="s">
        <v>746</v>
      </c>
      <c r="P547" s="18" t="s">
        <v>7041</v>
      </c>
      <c r="Q547" s="20">
        <f>COUNTIF('Hedef Liste'!A:A,A547)</f>
        <v>1</v>
      </c>
    </row>
    <row r="548" ht="15.75" hidden="1" customHeight="1">
      <c r="A548" s="18" t="s">
        <v>7292</v>
      </c>
      <c r="B548" s="18" t="s">
        <v>7293</v>
      </c>
      <c r="C548" s="358" t="s">
        <v>7040</v>
      </c>
      <c r="D548" s="18" t="s">
        <v>167</v>
      </c>
      <c r="E548" s="359">
        <v>2371.0</v>
      </c>
      <c r="F548" s="359">
        <v>284.0</v>
      </c>
      <c r="G548" s="359">
        <v>104.0</v>
      </c>
      <c r="H548" s="359">
        <v>6.0</v>
      </c>
      <c r="I548" s="359">
        <v>110.0</v>
      </c>
      <c r="J548" s="360">
        <v>0.95</v>
      </c>
      <c r="K548" s="18" t="s">
        <v>7045</v>
      </c>
      <c r="L548" s="18">
        <v>5.421162723E9</v>
      </c>
      <c r="M548" s="18" t="s">
        <v>72</v>
      </c>
      <c r="N548" s="18" t="s">
        <v>73</v>
      </c>
      <c r="O548" s="18" t="s">
        <v>7294</v>
      </c>
      <c r="P548" s="18" t="s">
        <v>7047</v>
      </c>
      <c r="Q548" s="20">
        <f>COUNTIF('Hedef Liste'!A:A,A548)</f>
        <v>0</v>
      </c>
    </row>
    <row r="549" ht="15.75" hidden="1" customHeight="1">
      <c r="A549" s="18" t="s">
        <v>1455</v>
      </c>
      <c r="B549" s="18" t="s">
        <v>1456</v>
      </c>
      <c r="C549" s="358" t="s">
        <v>7040</v>
      </c>
      <c r="D549" s="18" t="s">
        <v>167</v>
      </c>
      <c r="E549" s="359">
        <v>14.0</v>
      </c>
      <c r="F549" s="18"/>
      <c r="G549" s="359">
        <v>6.0</v>
      </c>
      <c r="H549" s="359">
        <v>1.0</v>
      </c>
      <c r="I549" s="359">
        <v>7.0</v>
      </c>
      <c r="J549" s="360">
        <v>0.86</v>
      </c>
      <c r="K549" s="18" t="s">
        <v>1457</v>
      </c>
      <c r="L549" s="18">
        <v>3.246255255E9</v>
      </c>
      <c r="M549" s="18" t="s">
        <v>156</v>
      </c>
      <c r="N549" s="18" t="s">
        <v>318</v>
      </c>
      <c r="O549" s="18" t="s">
        <v>1458</v>
      </c>
      <c r="P549" s="18" t="s">
        <v>7047</v>
      </c>
      <c r="Q549" s="20">
        <f>COUNTIF('Hedef Liste'!A:A,A549)</f>
        <v>1</v>
      </c>
    </row>
    <row r="550" ht="15.75" hidden="1" customHeight="1">
      <c r="A550" s="18" t="s">
        <v>3819</v>
      </c>
      <c r="B550" s="18" t="s">
        <v>3820</v>
      </c>
      <c r="C550" s="358" t="s">
        <v>7040</v>
      </c>
      <c r="D550" s="18" t="s">
        <v>45</v>
      </c>
      <c r="E550" s="359">
        <v>1177.0</v>
      </c>
      <c r="F550" s="359">
        <v>116.0</v>
      </c>
      <c r="G550" s="359">
        <v>20.0</v>
      </c>
      <c r="H550" s="359">
        <v>23.0</v>
      </c>
      <c r="I550" s="359">
        <v>43.0</v>
      </c>
      <c r="J550" s="360">
        <v>0.47</v>
      </c>
      <c r="K550" s="18" t="s">
        <v>3821</v>
      </c>
      <c r="L550" s="18">
        <v>3.242316207E9</v>
      </c>
      <c r="M550" s="18" t="s">
        <v>137</v>
      </c>
      <c r="N550" s="18" t="s">
        <v>209</v>
      </c>
      <c r="O550" s="18" t="s">
        <v>3822</v>
      </c>
      <c r="P550" s="18" t="s">
        <v>7041</v>
      </c>
      <c r="Q550" s="20">
        <f>COUNTIF('Hedef Liste'!A:A,A550)</f>
        <v>1</v>
      </c>
    </row>
    <row r="551" ht="15.75" hidden="1" customHeight="1">
      <c r="A551" s="18" t="s">
        <v>1323</v>
      </c>
      <c r="B551" s="18" t="s">
        <v>1324</v>
      </c>
      <c r="C551" s="358" t="s">
        <v>7040</v>
      </c>
      <c r="D551" s="18" t="s">
        <v>372</v>
      </c>
      <c r="E551" s="359">
        <v>2875.0</v>
      </c>
      <c r="F551" s="359">
        <v>181.0</v>
      </c>
      <c r="G551" s="359">
        <v>20.0</v>
      </c>
      <c r="H551" s="359">
        <v>54.0</v>
      </c>
      <c r="I551" s="359">
        <v>74.0</v>
      </c>
      <c r="J551" s="360">
        <v>0.27</v>
      </c>
      <c r="K551" s="18" t="s">
        <v>1325</v>
      </c>
      <c r="L551" s="18">
        <v>5.319909737E9</v>
      </c>
      <c r="M551" s="18" t="s">
        <v>72</v>
      </c>
      <c r="N551" s="18" t="s">
        <v>82</v>
      </c>
      <c r="O551" s="18" t="s">
        <v>1326</v>
      </c>
      <c r="P551" s="18" t="s">
        <v>7041</v>
      </c>
      <c r="Q551" s="20">
        <f>COUNTIF('Hedef Liste'!A:A,A551)</f>
        <v>1</v>
      </c>
    </row>
    <row r="552" ht="15.75" hidden="1" customHeight="1">
      <c r="A552" s="18" t="s">
        <v>2254</v>
      </c>
      <c r="B552" s="18" t="s">
        <v>2255</v>
      </c>
      <c r="C552" s="358" t="s">
        <v>7040</v>
      </c>
      <c r="D552" s="18" t="s">
        <v>363</v>
      </c>
      <c r="F552" s="18"/>
      <c r="G552" s="359">
        <v>16.0</v>
      </c>
      <c r="H552" s="359">
        <v>8.0</v>
      </c>
      <c r="I552" s="359">
        <v>24.0</v>
      </c>
      <c r="J552" s="360">
        <v>0.67</v>
      </c>
      <c r="K552" s="18" t="s">
        <v>2241</v>
      </c>
      <c r="L552" s="18">
        <v>5.498207301E9</v>
      </c>
      <c r="M552" s="18" t="s">
        <v>215</v>
      </c>
      <c r="N552" s="18" t="s">
        <v>2392</v>
      </c>
      <c r="O552" s="18" t="s">
        <v>2256</v>
      </c>
      <c r="P552" s="18" t="s">
        <v>7041</v>
      </c>
      <c r="Q552" s="20">
        <f>COUNTIF('Hedef Liste'!A:A,A552)</f>
        <v>1</v>
      </c>
    </row>
    <row r="553" ht="15.75" hidden="1" customHeight="1">
      <c r="A553" s="18" t="s">
        <v>3950</v>
      </c>
      <c r="B553" s="18" t="s">
        <v>3951</v>
      </c>
      <c r="C553" s="358" t="s">
        <v>7040</v>
      </c>
      <c r="D553" s="18" t="s">
        <v>106</v>
      </c>
      <c r="E553" s="359">
        <v>4480.0</v>
      </c>
      <c r="F553" s="359">
        <v>416.0</v>
      </c>
      <c r="G553" s="359">
        <v>18.0</v>
      </c>
      <c r="H553" s="359">
        <v>33.0</v>
      </c>
      <c r="I553" s="359">
        <v>51.0</v>
      </c>
      <c r="J553" s="360">
        <v>0.35</v>
      </c>
      <c r="K553" s="18" t="s">
        <v>3952</v>
      </c>
      <c r="L553" s="18">
        <v>3.243270606E9</v>
      </c>
      <c r="M553" s="18" t="s">
        <v>72</v>
      </c>
      <c r="N553" s="18" t="s">
        <v>73</v>
      </c>
      <c r="O553" s="18" t="s">
        <v>3953</v>
      </c>
      <c r="P553" s="18" t="s">
        <v>7041</v>
      </c>
      <c r="Q553" s="20">
        <f>COUNTIF('Hedef Liste'!A:A,A553)</f>
        <v>1</v>
      </c>
    </row>
    <row r="554" ht="15.75" hidden="1" customHeight="1">
      <c r="A554" s="18" t="s">
        <v>681</v>
      </c>
      <c r="B554" s="18" t="s">
        <v>682</v>
      </c>
      <c r="C554" s="358" t="s">
        <v>7040</v>
      </c>
      <c r="D554" s="18" t="s">
        <v>7053</v>
      </c>
      <c r="E554" s="359">
        <v>27.0</v>
      </c>
      <c r="F554" s="359">
        <v>1.0</v>
      </c>
      <c r="G554" s="359">
        <v>0.0</v>
      </c>
      <c r="H554" s="359">
        <v>23.0</v>
      </c>
      <c r="I554" s="359">
        <v>23.0</v>
      </c>
      <c r="J554" s="360">
        <v>0.0</v>
      </c>
      <c r="K554" s="18" t="s">
        <v>683</v>
      </c>
      <c r="L554" s="18">
        <v>3.245577864E9</v>
      </c>
      <c r="M554" s="18" t="s">
        <v>47</v>
      </c>
      <c r="N554" s="18" t="s">
        <v>684</v>
      </c>
      <c r="O554" s="18" t="s">
        <v>685</v>
      </c>
      <c r="P554" s="18" t="s">
        <v>7041</v>
      </c>
      <c r="Q554" s="20">
        <f>COUNTIF('Hedef Liste'!A:A,A554)</f>
        <v>1</v>
      </c>
    </row>
    <row r="555" ht="15.75" hidden="1" customHeight="1">
      <c r="A555" s="18" t="s">
        <v>3771</v>
      </c>
      <c r="B555" s="18" t="s">
        <v>3772</v>
      </c>
      <c r="C555" s="358" t="s">
        <v>7040</v>
      </c>
      <c r="D555" s="18" t="s">
        <v>372</v>
      </c>
      <c r="E555" s="359">
        <v>140.0</v>
      </c>
      <c r="F555" s="359">
        <v>4.0</v>
      </c>
      <c r="G555" s="359">
        <v>3.0</v>
      </c>
      <c r="H555" s="359">
        <v>19.0</v>
      </c>
      <c r="I555" s="359">
        <v>22.0</v>
      </c>
      <c r="J555" s="360">
        <v>0.14</v>
      </c>
      <c r="K555" s="18" t="s">
        <v>3773</v>
      </c>
      <c r="L555" s="18">
        <v>3.24341633E9</v>
      </c>
      <c r="M555" s="18" t="s">
        <v>72</v>
      </c>
      <c r="N555" s="18" t="s">
        <v>548</v>
      </c>
      <c r="O555" s="18" t="s">
        <v>3774</v>
      </c>
      <c r="P555" s="18" t="s">
        <v>7041</v>
      </c>
      <c r="Q555" s="20">
        <f>COUNTIF('Hedef Liste'!A:A,A555)</f>
        <v>1</v>
      </c>
    </row>
    <row r="556" ht="15.75" hidden="1" customHeight="1">
      <c r="A556" s="18" t="s">
        <v>3622</v>
      </c>
      <c r="B556" s="18" t="s">
        <v>3623</v>
      </c>
      <c r="C556" s="358" t="s">
        <v>7040</v>
      </c>
      <c r="D556" s="18" t="s">
        <v>363</v>
      </c>
      <c r="E556" s="359">
        <v>1045.0</v>
      </c>
      <c r="F556" s="359">
        <v>74.0</v>
      </c>
      <c r="G556" s="359">
        <v>0.0</v>
      </c>
      <c r="H556" s="359">
        <v>59.0</v>
      </c>
      <c r="I556" s="359">
        <v>59.0</v>
      </c>
      <c r="J556" s="360">
        <v>0.0</v>
      </c>
      <c r="K556" s="18" t="s">
        <v>414</v>
      </c>
      <c r="L556" s="18">
        <v>3.243580817E9</v>
      </c>
      <c r="M556" s="18" t="s">
        <v>63</v>
      </c>
      <c r="N556" s="18" t="s">
        <v>100</v>
      </c>
      <c r="O556" s="18" t="s">
        <v>3624</v>
      </c>
      <c r="P556" s="18" t="s">
        <v>7041</v>
      </c>
      <c r="Q556" s="20">
        <f>COUNTIF('Hedef Liste'!A:A,A556)</f>
        <v>1</v>
      </c>
    </row>
    <row r="557" ht="15.75" hidden="1" customHeight="1">
      <c r="A557" s="18" t="s">
        <v>1995</v>
      </c>
      <c r="B557" s="18" t="s">
        <v>1996</v>
      </c>
      <c r="C557" s="358" t="s">
        <v>7040</v>
      </c>
      <c r="D557" s="18" t="s">
        <v>363</v>
      </c>
      <c r="E557" s="359">
        <v>267.0</v>
      </c>
      <c r="F557" s="359">
        <v>6.0</v>
      </c>
      <c r="G557" s="359">
        <v>26.0</v>
      </c>
      <c r="H557" s="359">
        <v>8.0</v>
      </c>
      <c r="I557" s="359">
        <v>34.0</v>
      </c>
      <c r="J557" s="360">
        <v>0.76</v>
      </c>
      <c r="K557" s="18" t="s">
        <v>1997</v>
      </c>
      <c r="L557" s="18">
        <v>5.451502727E9</v>
      </c>
      <c r="M557" s="18" t="s">
        <v>137</v>
      </c>
      <c r="N557" s="18" t="s">
        <v>209</v>
      </c>
      <c r="O557" s="18" t="s">
        <v>1999</v>
      </c>
      <c r="P557" s="18" t="s">
        <v>7041</v>
      </c>
      <c r="Q557" s="20">
        <f>COUNTIF('Hedef Liste'!A:A,A557)</f>
        <v>1</v>
      </c>
    </row>
    <row r="558" ht="15.75" hidden="1" customHeight="1">
      <c r="A558" s="18" t="s">
        <v>1735</v>
      </c>
      <c r="B558" s="18" t="s">
        <v>1736</v>
      </c>
      <c r="C558" s="358" t="s">
        <v>7040</v>
      </c>
      <c r="D558" s="18" t="s">
        <v>70</v>
      </c>
      <c r="E558" s="359">
        <v>1661.0</v>
      </c>
      <c r="F558" s="18"/>
      <c r="G558" s="359">
        <v>0.0</v>
      </c>
      <c r="H558" s="359">
        <v>13.0</v>
      </c>
      <c r="I558" s="359">
        <v>13.0</v>
      </c>
      <c r="J558" s="360">
        <v>0.0</v>
      </c>
      <c r="K558" s="18" t="s">
        <v>1737</v>
      </c>
      <c r="L558" s="18">
        <v>3.245154407E9</v>
      </c>
      <c r="M558" s="18" t="s">
        <v>47</v>
      </c>
      <c r="N558" s="18" t="s">
        <v>489</v>
      </c>
      <c r="O558" s="18" t="s">
        <v>1738</v>
      </c>
      <c r="P558" s="18" t="s">
        <v>7041</v>
      </c>
      <c r="Q558" s="20">
        <f>COUNTIF('Hedef Liste'!A:A,A558)</f>
        <v>1</v>
      </c>
    </row>
    <row r="559" ht="15.75" hidden="1" customHeight="1">
      <c r="A559" s="18" t="s">
        <v>2004</v>
      </c>
      <c r="B559" s="18" t="s">
        <v>2005</v>
      </c>
      <c r="C559" s="358" t="s">
        <v>7040</v>
      </c>
      <c r="D559" s="18" t="s">
        <v>363</v>
      </c>
      <c r="E559" s="359">
        <v>139.0</v>
      </c>
      <c r="F559" s="359">
        <v>6.0</v>
      </c>
      <c r="G559" s="359">
        <v>15.0</v>
      </c>
      <c r="H559" s="359">
        <v>17.0</v>
      </c>
      <c r="I559" s="359">
        <v>32.0</v>
      </c>
      <c r="J559" s="360">
        <v>0.47</v>
      </c>
      <c r="K559" s="18" t="s">
        <v>1997</v>
      </c>
      <c r="L559" s="18">
        <v>5.451502727E9</v>
      </c>
      <c r="M559" s="18" t="s">
        <v>215</v>
      </c>
      <c r="N559" s="18" t="s">
        <v>1053</v>
      </c>
      <c r="O559" s="18" t="s">
        <v>2007</v>
      </c>
      <c r="P559" s="18" t="s">
        <v>7041</v>
      </c>
      <c r="Q559" s="20">
        <f>COUNTIF('Hedef Liste'!A:A,A559)</f>
        <v>1</v>
      </c>
    </row>
    <row r="560" ht="15.75" hidden="1" customHeight="1">
      <c r="A560" s="18" t="s">
        <v>2508</v>
      </c>
      <c r="B560" s="18" t="s">
        <v>2509</v>
      </c>
      <c r="C560" s="358" t="s">
        <v>7062</v>
      </c>
      <c r="D560" s="18" t="s">
        <v>45</v>
      </c>
      <c r="E560" s="359">
        <v>1.0</v>
      </c>
      <c r="F560" s="18"/>
      <c r="G560" s="359">
        <v>0.0</v>
      </c>
      <c r="H560" s="359">
        <v>32.0</v>
      </c>
      <c r="I560" s="359">
        <v>32.0</v>
      </c>
      <c r="J560" s="360">
        <v>0.0</v>
      </c>
      <c r="K560" s="18" t="s">
        <v>2510</v>
      </c>
      <c r="L560" s="18">
        <v>5.317632484E9</v>
      </c>
      <c r="M560" s="18" t="s">
        <v>72</v>
      </c>
      <c r="N560" s="18" t="s">
        <v>810</v>
      </c>
      <c r="O560" s="18" t="s">
        <v>2511</v>
      </c>
      <c r="P560" s="18" t="s">
        <v>7041</v>
      </c>
      <c r="Q560" s="20">
        <f>COUNTIF('Hedef Liste'!A:A,A560)</f>
        <v>1</v>
      </c>
    </row>
    <row r="561" ht="15.75" hidden="1" customHeight="1">
      <c r="A561" s="18" t="s">
        <v>1746</v>
      </c>
      <c r="B561" s="18" t="s">
        <v>1747</v>
      </c>
      <c r="C561" s="358" t="s">
        <v>7040</v>
      </c>
      <c r="D561" s="18" t="s">
        <v>80</v>
      </c>
      <c r="E561" s="359">
        <v>193.0</v>
      </c>
      <c r="F561" s="359">
        <v>7.0</v>
      </c>
      <c r="G561" s="359">
        <v>21.0</v>
      </c>
      <c r="H561" s="359">
        <v>13.0</v>
      </c>
      <c r="I561" s="359">
        <v>34.0</v>
      </c>
      <c r="J561" s="360">
        <v>0.62</v>
      </c>
      <c r="K561" s="18" t="s">
        <v>1748</v>
      </c>
      <c r="L561" s="18">
        <v>3.24237373E9</v>
      </c>
      <c r="M561" s="18" t="s">
        <v>137</v>
      </c>
      <c r="N561" s="18" t="s">
        <v>209</v>
      </c>
      <c r="O561" s="18" t="s">
        <v>1749</v>
      </c>
      <c r="P561" s="18" t="s">
        <v>7041</v>
      </c>
      <c r="Q561" s="20">
        <f>COUNTIF('Hedef Liste'!A:A,A561)</f>
        <v>1</v>
      </c>
    </row>
    <row r="562" ht="15.75" hidden="1" customHeight="1">
      <c r="A562" s="18" t="s">
        <v>7295</v>
      </c>
      <c r="B562" s="18" t="s">
        <v>7296</v>
      </c>
      <c r="C562" s="358" t="s">
        <v>7040</v>
      </c>
      <c r="D562" s="18" t="s">
        <v>451</v>
      </c>
      <c r="E562" s="359">
        <v>504.0</v>
      </c>
      <c r="F562" s="359">
        <v>41.0</v>
      </c>
      <c r="G562" s="359">
        <v>53.0</v>
      </c>
      <c r="H562" s="359">
        <v>0.0</v>
      </c>
      <c r="I562" s="359">
        <v>53.0</v>
      </c>
      <c r="J562" s="360">
        <v>1.0</v>
      </c>
      <c r="K562" s="18" t="s">
        <v>7192</v>
      </c>
      <c r="L562" s="18">
        <v>9.999999999E9</v>
      </c>
      <c r="M562" s="18" t="s">
        <v>72</v>
      </c>
      <c r="N562" s="18" t="s">
        <v>73</v>
      </c>
      <c r="O562" s="18" t="s">
        <v>7297</v>
      </c>
      <c r="P562" s="18" t="s">
        <v>7047</v>
      </c>
      <c r="Q562" s="20">
        <f>COUNTIF('Hedef Liste'!A:A,A562)</f>
        <v>0</v>
      </c>
    </row>
    <row r="563" ht="15.75" hidden="1" customHeight="1">
      <c r="A563" s="18" t="s">
        <v>7298</v>
      </c>
      <c r="B563" s="18" t="s">
        <v>7299</v>
      </c>
      <c r="C563" s="358" t="s">
        <v>7040</v>
      </c>
      <c r="D563" s="18" t="s">
        <v>167</v>
      </c>
      <c r="E563" s="359">
        <v>1013.0</v>
      </c>
      <c r="F563" s="359">
        <v>100.0</v>
      </c>
      <c r="G563" s="359">
        <v>64.0</v>
      </c>
      <c r="H563" s="359">
        <v>6.0</v>
      </c>
      <c r="I563" s="359">
        <v>70.0</v>
      </c>
      <c r="J563" s="360">
        <v>0.91</v>
      </c>
      <c r="K563" s="18" t="s">
        <v>7045</v>
      </c>
      <c r="L563" s="18">
        <v>3.248144424E9</v>
      </c>
      <c r="M563" s="18" t="s">
        <v>902</v>
      </c>
      <c r="N563" s="18" t="s">
        <v>1667</v>
      </c>
      <c r="O563" s="18" t="s">
        <v>7300</v>
      </c>
      <c r="P563" s="18" t="s">
        <v>7047</v>
      </c>
      <c r="Q563" s="20">
        <f>COUNTIF('Hedef Liste'!A:A,A563)</f>
        <v>0</v>
      </c>
    </row>
    <row r="564" ht="15.75" hidden="1" customHeight="1">
      <c r="A564" s="18" t="s">
        <v>2874</v>
      </c>
      <c r="B564" s="18" t="s">
        <v>2875</v>
      </c>
      <c r="C564" s="358" t="s">
        <v>7040</v>
      </c>
      <c r="D564" s="18" t="s">
        <v>45</v>
      </c>
      <c r="E564" s="359">
        <v>376.0</v>
      </c>
      <c r="F564" s="359">
        <v>22.0</v>
      </c>
      <c r="G564" s="359">
        <v>8.0</v>
      </c>
      <c r="H564" s="359">
        <v>41.0</v>
      </c>
      <c r="I564" s="359">
        <v>49.0</v>
      </c>
      <c r="J564" s="360">
        <v>0.16</v>
      </c>
      <c r="K564" s="18" t="s">
        <v>2876</v>
      </c>
      <c r="L564" s="18">
        <v>3.24515604E9</v>
      </c>
      <c r="M564" s="18" t="s">
        <v>47</v>
      </c>
      <c r="N564" s="18" t="s">
        <v>515</v>
      </c>
      <c r="O564" s="18" t="s">
        <v>2877</v>
      </c>
      <c r="P564" s="18" t="s">
        <v>7041</v>
      </c>
      <c r="Q564" s="20">
        <f>COUNTIF('Hedef Liste'!A:A,A564)</f>
        <v>1</v>
      </c>
    </row>
    <row r="565" ht="15.75" hidden="1" customHeight="1">
      <c r="A565" s="18" t="s">
        <v>1444</v>
      </c>
      <c r="B565" s="18" t="s">
        <v>1445</v>
      </c>
      <c r="C565" s="358" t="s">
        <v>7040</v>
      </c>
      <c r="D565" s="18" t="s">
        <v>167</v>
      </c>
      <c r="E565" s="359">
        <v>449.0</v>
      </c>
      <c r="F565" s="359">
        <v>39.0</v>
      </c>
      <c r="G565" s="359">
        <v>44.0</v>
      </c>
      <c r="H565" s="359">
        <v>5.0</v>
      </c>
      <c r="I565" s="359">
        <v>49.0</v>
      </c>
      <c r="J565" s="360">
        <v>0.9</v>
      </c>
      <c r="K565" s="18" t="s">
        <v>1446</v>
      </c>
      <c r="L565" s="18">
        <v>5.529353056E9</v>
      </c>
      <c r="M565" s="18" t="s">
        <v>63</v>
      </c>
      <c r="N565" s="18" t="s">
        <v>1148</v>
      </c>
      <c r="O565" s="18" t="s">
        <v>1448</v>
      </c>
      <c r="P565" s="18" t="s">
        <v>7047</v>
      </c>
      <c r="Q565" s="20">
        <f>COUNTIF('Hedef Liste'!A:A,A565)</f>
        <v>1</v>
      </c>
    </row>
    <row r="566" ht="15.75" hidden="1" customHeight="1">
      <c r="A566" s="18" t="s">
        <v>4369</v>
      </c>
      <c r="B566" s="18" t="s">
        <v>4370</v>
      </c>
      <c r="C566" s="358" t="s">
        <v>7040</v>
      </c>
      <c r="D566" s="18" t="s">
        <v>80</v>
      </c>
      <c r="E566" s="359">
        <v>58.0</v>
      </c>
      <c r="F566" s="18"/>
      <c r="G566" s="359">
        <v>0.0</v>
      </c>
      <c r="H566" s="359">
        <v>20.0</v>
      </c>
      <c r="I566" s="359">
        <v>20.0</v>
      </c>
      <c r="J566" s="360">
        <v>0.0</v>
      </c>
      <c r="K566" s="18" t="s">
        <v>4371</v>
      </c>
      <c r="L566" s="18">
        <v>5.411203358E9</v>
      </c>
      <c r="M566" s="18" t="s">
        <v>72</v>
      </c>
      <c r="N566" s="18" t="s">
        <v>73</v>
      </c>
      <c r="O566" s="18" t="s">
        <v>4372</v>
      </c>
      <c r="P566" s="18" t="s">
        <v>7041</v>
      </c>
      <c r="Q566" s="20">
        <f>COUNTIF('Hedef Liste'!A:A,A566)</f>
        <v>1</v>
      </c>
    </row>
    <row r="567" ht="15.75" hidden="1" customHeight="1">
      <c r="A567" s="18" t="s">
        <v>1220</v>
      </c>
      <c r="B567" s="18" t="s">
        <v>1221</v>
      </c>
      <c r="C567" s="358" t="s">
        <v>7040</v>
      </c>
      <c r="D567" s="18" t="s">
        <v>80</v>
      </c>
      <c r="E567" s="359">
        <v>79.0</v>
      </c>
      <c r="F567" s="18"/>
      <c r="G567" s="359">
        <v>4.0</v>
      </c>
      <c r="H567" s="359">
        <v>4.0</v>
      </c>
      <c r="I567" s="359">
        <v>8.0</v>
      </c>
      <c r="J567" s="360">
        <v>0.5</v>
      </c>
      <c r="K567" s="18" t="s">
        <v>1222</v>
      </c>
      <c r="L567" s="18">
        <v>5.32343533E9</v>
      </c>
      <c r="M567" s="18" t="s">
        <v>72</v>
      </c>
      <c r="N567" s="18" t="s">
        <v>538</v>
      </c>
      <c r="O567" s="18" t="s">
        <v>1223</v>
      </c>
      <c r="P567" s="18" t="s">
        <v>7041</v>
      </c>
      <c r="Q567" s="20">
        <f>COUNTIF('Hedef Liste'!A:A,A567)</f>
        <v>1</v>
      </c>
    </row>
    <row r="568" ht="15.75" hidden="1" customHeight="1">
      <c r="A568" s="18" t="s">
        <v>2821</v>
      </c>
      <c r="B568" s="18" t="s">
        <v>7301</v>
      </c>
      <c r="C568" s="358" t="s">
        <v>7040</v>
      </c>
      <c r="D568" s="18" t="s">
        <v>118</v>
      </c>
      <c r="E568" s="359">
        <v>3632.0</v>
      </c>
      <c r="F568" s="359">
        <v>213.0</v>
      </c>
      <c r="G568" s="359">
        <v>8.0</v>
      </c>
      <c r="H568" s="359">
        <v>7.0</v>
      </c>
      <c r="I568" s="359">
        <v>15.0</v>
      </c>
      <c r="J568" s="360">
        <v>0.53</v>
      </c>
      <c r="K568" s="18" t="s">
        <v>2823</v>
      </c>
      <c r="L568" s="18">
        <v>5.53355635E9</v>
      </c>
      <c r="M568" s="18" t="s">
        <v>215</v>
      </c>
      <c r="N568" s="18" t="s">
        <v>1053</v>
      </c>
      <c r="O568" s="18" t="s">
        <v>2824</v>
      </c>
      <c r="P568" s="18" t="s">
        <v>7041</v>
      </c>
      <c r="Q568" s="20">
        <f>COUNTIF('Hedef Liste'!A:A,A568)</f>
        <v>1</v>
      </c>
    </row>
    <row r="569" ht="15.75" hidden="1" customHeight="1">
      <c r="A569" s="18" t="s">
        <v>7302</v>
      </c>
      <c r="B569" s="18" t="s">
        <v>7303</v>
      </c>
      <c r="C569" s="358" t="s">
        <v>7040</v>
      </c>
      <c r="D569" s="18" t="s">
        <v>167</v>
      </c>
      <c r="E569" s="359">
        <v>1584.0</v>
      </c>
      <c r="F569" s="359">
        <v>88.0</v>
      </c>
      <c r="G569" s="359">
        <v>80.0</v>
      </c>
      <c r="H569" s="359">
        <v>5.0</v>
      </c>
      <c r="I569" s="359">
        <v>85.0</v>
      </c>
      <c r="J569" s="360">
        <v>0.94</v>
      </c>
      <c r="K569" s="18" t="s">
        <v>7045</v>
      </c>
      <c r="L569" s="18">
        <v>5.511531713E9</v>
      </c>
      <c r="M569" s="18" t="s">
        <v>63</v>
      </c>
      <c r="N569" s="18" t="s">
        <v>93</v>
      </c>
      <c r="O569" s="18" t="s">
        <v>7304</v>
      </c>
      <c r="P569" s="18" t="s">
        <v>7047</v>
      </c>
      <c r="Q569" s="20">
        <f>COUNTIF('Hedef Liste'!A:A,A569)</f>
        <v>0</v>
      </c>
    </row>
    <row r="570" ht="15.75" hidden="1" customHeight="1">
      <c r="A570" s="18" t="s">
        <v>674</v>
      </c>
      <c r="B570" s="18" t="s">
        <v>675</v>
      </c>
      <c r="C570" s="358" t="s">
        <v>7040</v>
      </c>
      <c r="D570" s="18" t="s">
        <v>7053</v>
      </c>
      <c r="E570" s="359">
        <v>137.0</v>
      </c>
      <c r="F570" s="359">
        <v>21.0</v>
      </c>
      <c r="G570" s="359">
        <v>4.0</v>
      </c>
      <c r="H570" s="359">
        <v>24.0</v>
      </c>
      <c r="I570" s="359">
        <v>28.0</v>
      </c>
      <c r="J570" s="360">
        <v>0.14</v>
      </c>
      <c r="K570" s="18" t="s">
        <v>677</v>
      </c>
      <c r="L570" s="18">
        <v>5.360306026E9</v>
      </c>
      <c r="M570" s="18" t="s">
        <v>63</v>
      </c>
      <c r="N570" s="18" t="s">
        <v>678</v>
      </c>
      <c r="O570" s="18" t="s">
        <v>679</v>
      </c>
      <c r="P570" s="18" t="s">
        <v>7041</v>
      </c>
      <c r="Q570" s="20">
        <f>COUNTIF('Hedef Liste'!A:A,A570)</f>
        <v>1</v>
      </c>
    </row>
    <row r="571" ht="15.75" hidden="1" customHeight="1">
      <c r="A571" s="18" t="s">
        <v>2001</v>
      </c>
      <c r="B571" s="18" t="s">
        <v>7305</v>
      </c>
      <c r="C571" s="358" t="s">
        <v>7040</v>
      </c>
      <c r="D571" s="18" t="s">
        <v>363</v>
      </c>
      <c r="E571" s="359">
        <v>2.0</v>
      </c>
      <c r="F571" s="18"/>
      <c r="G571" s="359">
        <v>13.0</v>
      </c>
      <c r="H571" s="359">
        <v>17.0</v>
      </c>
      <c r="I571" s="359">
        <v>30.0</v>
      </c>
      <c r="J571" s="360">
        <v>0.43</v>
      </c>
      <c r="K571" s="18" t="s">
        <v>1997</v>
      </c>
      <c r="L571" s="18">
        <v>5.451512727E9</v>
      </c>
      <c r="M571" s="18" t="s">
        <v>215</v>
      </c>
      <c r="N571" s="18" t="s">
        <v>779</v>
      </c>
      <c r="O571" s="18" t="s">
        <v>2003</v>
      </c>
      <c r="P571" s="18" t="s">
        <v>7041</v>
      </c>
      <c r="Q571" s="20">
        <f>COUNTIF('Hedef Liste'!A:A,A571)</f>
        <v>1</v>
      </c>
    </row>
    <row r="572" ht="15.75" hidden="1" customHeight="1">
      <c r="A572" s="18" t="s">
        <v>4750</v>
      </c>
      <c r="B572" s="18" t="s">
        <v>4751</v>
      </c>
      <c r="C572" s="358" t="s">
        <v>7040</v>
      </c>
      <c r="D572" s="18" t="s">
        <v>118</v>
      </c>
      <c r="E572" s="359">
        <v>3465.0</v>
      </c>
      <c r="F572" s="359">
        <v>199.0</v>
      </c>
      <c r="G572" s="359">
        <v>0.0</v>
      </c>
      <c r="H572" s="359">
        <v>20.0</v>
      </c>
      <c r="I572" s="359">
        <v>20.0</v>
      </c>
      <c r="J572" s="360">
        <v>0.0</v>
      </c>
      <c r="K572" s="18" t="s">
        <v>4752</v>
      </c>
      <c r="L572" s="18">
        <v>3.24325909E9</v>
      </c>
      <c r="M572" s="18" t="s">
        <v>72</v>
      </c>
      <c r="N572" s="18" t="s">
        <v>716</v>
      </c>
      <c r="O572" s="18" t="s">
        <v>4753</v>
      </c>
      <c r="P572" s="18" t="s">
        <v>7041</v>
      </c>
      <c r="Q572" s="20">
        <f>COUNTIF('Hedef Liste'!A:A,A572)</f>
        <v>1</v>
      </c>
    </row>
    <row r="573" ht="15.75" hidden="1" customHeight="1">
      <c r="A573" s="18" t="s">
        <v>747</v>
      </c>
      <c r="B573" s="18" t="s">
        <v>748</v>
      </c>
      <c r="C573" s="358" t="s">
        <v>7040</v>
      </c>
      <c r="D573" s="18" t="s">
        <v>70</v>
      </c>
      <c r="E573" s="359">
        <v>3028.0</v>
      </c>
      <c r="F573" s="18"/>
      <c r="G573" s="359">
        <v>4.0</v>
      </c>
      <c r="H573" s="359">
        <v>55.0</v>
      </c>
      <c r="I573" s="359">
        <v>59.0</v>
      </c>
      <c r="J573" s="360">
        <v>0.07</v>
      </c>
      <c r="K573" s="18" t="s">
        <v>749</v>
      </c>
      <c r="L573" s="18">
        <v>5.319378485E9</v>
      </c>
      <c r="M573" s="18" t="s">
        <v>72</v>
      </c>
      <c r="N573" s="18" t="s">
        <v>82</v>
      </c>
      <c r="O573" s="18" t="s">
        <v>750</v>
      </c>
      <c r="P573" s="18" t="s">
        <v>7041</v>
      </c>
      <c r="Q573" s="20">
        <f>COUNTIF('Hedef Liste'!A:A,A573)</f>
        <v>1</v>
      </c>
    </row>
    <row r="574" ht="15.75" hidden="1" customHeight="1">
      <c r="A574" s="18" t="s">
        <v>3254</v>
      </c>
      <c r="B574" s="18" t="s">
        <v>3255</v>
      </c>
      <c r="C574" s="358" t="s">
        <v>7040</v>
      </c>
      <c r="D574" s="18" t="s">
        <v>80</v>
      </c>
      <c r="E574" s="359">
        <v>156.0</v>
      </c>
      <c r="F574" s="18"/>
      <c r="G574" s="359">
        <v>0.0</v>
      </c>
      <c r="H574" s="359">
        <v>16.0</v>
      </c>
      <c r="I574" s="359">
        <v>16.0</v>
      </c>
      <c r="J574" s="360">
        <v>0.0</v>
      </c>
      <c r="K574" s="18" t="s">
        <v>3256</v>
      </c>
      <c r="L574" s="18">
        <v>5.392509656E9</v>
      </c>
      <c r="M574" s="18" t="s">
        <v>72</v>
      </c>
      <c r="N574" s="18" t="s">
        <v>716</v>
      </c>
      <c r="O574" s="18" t="s">
        <v>3257</v>
      </c>
      <c r="P574" s="18" t="s">
        <v>7041</v>
      </c>
      <c r="Q574" s="20">
        <f>COUNTIF('Hedef Liste'!A:A,A574)</f>
        <v>1</v>
      </c>
    </row>
    <row r="575" ht="15.75" hidden="1" customHeight="1">
      <c r="A575" s="18" t="s">
        <v>3809</v>
      </c>
      <c r="B575" s="18" t="s">
        <v>3810</v>
      </c>
      <c r="C575" s="358" t="s">
        <v>7040</v>
      </c>
      <c r="D575" s="18" t="s">
        <v>118</v>
      </c>
      <c r="E575" s="359">
        <v>2450.0</v>
      </c>
      <c r="F575" s="359">
        <v>244.0</v>
      </c>
      <c r="G575" s="359">
        <v>9.0</v>
      </c>
      <c r="H575" s="359">
        <v>8.0</v>
      </c>
      <c r="I575" s="359">
        <v>17.0</v>
      </c>
      <c r="J575" s="360">
        <v>0.53</v>
      </c>
      <c r="K575" s="18" t="s">
        <v>3811</v>
      </c>
      <c r="L575" s="18">
        <v>3.24327752E9</v>
      </c>
      <c r="M575" s="18" t="s">
        <v>72</v>
      </c>
      <c r="N575" s="18" t="s">
        <v>73</v>
      </c>
      <c r="O575" s="18" t="s">
        <v>3812</v>
      </c>
      <c r="P575" s="18" t="s">
        <v>7041</v>
      </c>
      <c r="Q575" s="20">
        <f>COUNTIF('Hedef Liste'!A:A,A575)</f>
        <v>1</v>
      </c>
    </row>
    <row r="576" ht="15.75" hidden="1" customHeight="1">
      <c r="A576" s="18" t="s">
        <v>7306</v>
      </c>
      <c r="B576" s="18" t="s">
        <v>7307</v>
      </c>
      <c r="C576" s="358" t="s">
        <v>7040</v>
      </c>
      <c r="D576" s="18" t="s">
        <v>106</v>
      </c>
      <c r="E576" s="359">
        <v>2922.0</v>
      </c>
      <c r="F576" s="359">
        <v>170.0</v>
      </c>
      <c r="G576" s="359">
        <v>117.0</v>
      </c>
      <c r="H576" s="359">
        <v>0.0</v>
      </c>
      <c r="I576" s="359">
        <v>117.0</v>
      </c>
      <c r="J576" s="360">
        <v>1.0</v>
      </c>
      <c r="K576" s="18" t="s">
        <v>7192</v>
      </c>
      <c r="L576" s="18">
        <v>9.999999999E9</v>
      </c>
      <c r="M576" s="18" t="s">
        <v>47</v>
      </c>
      <c r="N576" s="18" t="s">
        <v>489</v>
      </c>
      <c r="O576" s="18" t="s">
        <v>7308</v>
      </c>
      <c r="P576" s="18" t="s">
        <v>7047</v>
      </c>
      <c r="Q576" s="20">
        <f>COUNTIF('Hedef Liste'!A:A,A576)</f>
        <v>0</v>
      </c>
    </row>
    <row r="577" ht="15.75" hidden="1" customHeight="1">
      <c r="A577" s="18" t="s">
        <v>4086</v>
      </c>
      <c r="B577" s="18" t="s">
        <v>4087</v>
      </c>
      <c r="C577" s="358" t="s">
        <v>7040</v>
      </c>
      <c r="D577" s="18" t="s">
        <v>80</v>
      </c>
      <c r="E577" s="359">
        <v>719.0</v>
      </c>
      <c r="F577" s="359">
        <v>1.0</v>
      </c>
      <c r="G577" s="359">
        <v>0.0</v>
      </c>
      <c r="H577" s="359">
        <v>14.0</v>
      </c>
      <c r="I577" s="359">
        <v>14.0</v>
      </c>
      <c r="J577" s="360">
        <v>0.0</v>
      </c>
      <c r="K577" s="18" t="s">
        <v>4088</v>
      </c>
      <c r="L577" s="18">
        <v>5.421717233E9</v>
      </c>
      <c r="M577" s="18" t="s">
        <v>63</v>
      </c>
      <c r="N577" s="18" t="s">
        <v>700</v>
      </c>
      <c r="O577" s="18" t="s">
        <v>4089</v>
      </c>
      <c r="P577" s="18" t="s">
        <v>7041</v>
      </c>
      <c r="Q577" s="20">
        <f>COUNTIF('Hedef Liste'!A:A,A577)</f>
        <v>1</v>
      </c>
    </row>
    <row r="578" ht="15.75" hidden="1" customHeight="1">
      <c r="A578" s="18" t="s">
        <v>2920</v>
      </c>
      <c r="B578" s="18" t="s">
        <v>2921</v>
      </c>
      <c r="C578" s="358" t="s">
        <v>7040</v>
      </c>
      <c r="D578" s="18" t="s">
        <v>80</v>
      </c>
      <c r="E578" s="359">
        <v>665.0</v>
      </c>
      <c r="F578" s="18"/>
      <c r="G578" s="359">
        <v>19.0</v>
      </c>
      <c r="H578" s="359">
        <v>1.0</v>
      </c>
      <c r="I578" s="359">
        <v>20.0</v>
      </c>
      <c r="J578" s="360">
        <v>0.95</v>
      </c>
      <c r="K578" s="18" t="s">
        <v>2922</v>
      </c>
      <c r="L578" s="18">
        <v>5.451052733E9</v>
      </c>
      <c r="M578" s="18" t="s">
        <v>137</v>
      </c>
      <c r="N578" s="18" t="s">
        <v>374</v>
      </c>
      <c r="O578" s="18" t="s">
        <v>2923</v>
      </c>
      <c r="P578" s="18" t="s">
        <v>7041</v>
      </c>
      <c r="Q578" s="20">
        <f>COUNTIF('Hedef Liste'!A:A,A578)</f>
        <v>1</v>
      </c>
    </row>
    <row r="579" ht="15.75" hidden="1" customHeight="1">
      <c r="A579" s="18" t="s">
        <v>7309</v>
      </c>
      <c r="B579" s="18" t="s">
        <v>7310</v>
      </c>
      <c r="C579" s="358" t="s">
        <v>7040</v>
      </c>
      <c r="D579" s="18" t="s">
        <v>451</v>
      </c>
      <c r="E579" s="359">
        <v>620.0</v>
      </c>
      <c r="F579" s="18"/>
      <c r="G579" s="359">
        <v>9.0</v>
      </c>
      <c r="H579" s="359">
        <v>3.0</v>
      </c>
      <c r="I579" s="359">
        <v>12.0</v>
      </c>
      <c r="J579" s="360">
        <v>0.75</v>
      </c>
      <c r="K579" s="18" t="s">
        <v>7311</v>
      </c>
      <c r="L579" s="18">
        <v>5.525507333E9</v>
      </c>
      <c r="M579" s="18" t="s">
        <v>72</v>
      </c>
      <c r="N579" s="18" t="s">
        <v>82</v>
      </c>
      <c r="O579" s="18" t="s">
        <v>7312</v>
      </c>
      <c r="P579" s="18" t="s">
        <v>7041</v>
      </c>
      <c r="Q579" s="20">
        <f>COUNTIF('Hedef Liste'!A:A,A579)</f>
        <v>0</v>
      </c>
    </row>
    <row r="580" ht="15.75" hidden="1" customHeight="1">
      <c r="A580" s="18" t="s">
        <v>997</v>
      </c>
      <c r="B580" s="18" t="s">
        <v>998</v>
      </c>
      <c r="C580" s="358" t="s">
        <v>7062</v>
      </c>
      <c r="D580" s="18" t="s">
        <v>45</v>
      </c>
      <c r="E580" s="359">
        <v>68.0</v>
      </c>
      <c r="F580" s="18"/>
      <c r="G580" s="359">
        <v>0.0</v>
      </c>
      <c r="H580" s="359">
        <v>26.0</v>
      </c>
      <c r="I580" s="359">
        <v>26.0</v>
      </c>
      <c r="J580" s="360">
        <v>0.0</v>
      </c>
      <c r="K580" s="18" t="s">
        <v>999</v>
      </c>
      <c r="L580" s="18">
        <v>3.246262616E9</v>
      </c>
      <c r="M580" s="18" t="s">
        <v>156</v>
      </c>
      <c r="N580" s="18" t="s">
        <v>1000</v>
      </c>
      <c r="O580" s="18" t="s">
        <v>1001</v>
      </c>
      <c r="P580" s="18" t="s">
        <v>7041</v>
      </c>
      <c r="Q580" s="20">
        <f>COUNTIF('Hedef Liste'!A:A,A580)</f>
        <v>1</v>
      </c>
    </row>
    <row r="581" ht="15.75" hidden="1" customHeight="1">
      <c r="A581" s="18" t="s">
        <v>4696</v>
      </c>
      <c r="B581" s="18" t="s">
        <v>4697</v>
      </c>
      <c r="C581" s="358" t="s">
        <v>7062</v>
      </c>
      <c r="D581" s="18" t="s">
        <v>118</v>
      </c>
      <c r="E581" s="18"/>
      <c r="F581" s="18"/>
      <c r="G581" s="359">
        <v>0.0</v>
      </c>
      <c r="H581" s="359">
        <v>50.0</v>
      </c>
      <c r="I581" s="359">
        <v>50.0</v>
      </c>
      <c r="J581" s="360">
        <v>0.0</v>
      </c>
      <c r="K581" s="18" t="s">
        <v>4698</v>
      </c>
      <c r="L581" s="18">
        <v>3.243252231E9</v>
      </c>
      <c r="M581" s="18" t="s">
        <v>72</v>
      </c>
      <c r="N581" s="18" t="s">
        <v>1298</v>
      </c>
      <c r="O581" s="18" t="s">
        <v>1333</v>
      </c>
      <c r="P581" s="18" t="s">
        <v>7041</v>
      </c>
      <c r="Q581" s="20">
        <f>COUNTIF('Hedef Liste'!A:A,A581)</f>
        <v>1</v>
      </c>
    </row>
    <row r="582" ht="15.75" hidden="1" customHeight="1">
      <c r="A582" s="18" t="s">
        <v>2781</v>
      </c>
      <c r="B582" s="18" t="s">
        <v>2782</v>
      </c>
      <c r="C582" s="358" t="s">
        <v>7040</v>
      </c>
      <c r="D582" s="18" t="s">
        <v>451</v>
      </c>
      <c r="E582" s="359">
        <v>942.0</v>
      </c>
      <c r="F582" s="359">
        <v>59.0</v>
      </c>
      <c r="G582" s="359">
        <v>5.0</v>
      </c>
      <c r="H582" s="359">
        <v>20.0</v>
      </c>
      <c r="I582" s="359">
        <v>25.0</v>
      </c>
      <c r="J582" s="360">
        <v>0.2</v>
      </c>
      <c r="K582" s="18" t="s">
        <v>2783</v>
      </c>
      <c r="L582" s="18">
        <v>5.461226066E9</v>
      </c>
      <c r="M582" s="18" t="s">
        <v>215</v>
      </c>
      <c r="N582" s="18" t="s">
        <v>1613</v>
      </c>
      <c r="O582" s="18" t="s">
        <v>2784</v>
      </c>
      <c r="P582" s="18" t="s">
        <v>7041</v>
      </c>
      <c r="Q582" s="20">
        <f>COUNTIF('Hedef Liste'!A:A,A582)</f>
        <v>1</v>
      </c>
    </row>
    <row r="583" ht="15.75" hidden="1" customHeight="1">
      <c r="A583" s="18" t="s">
        <v>2953</v>
      </c>
      <c r="B583" s="18" t="s">
        <v>2954</v>
      </c>
      <c r="C583" s="358" t="s">
        <v>7040</v>
      </c>
      <c r="D583" s="18" t="s">
        <v>80</v>
      </c>
      <c r="E583" s="359">
        <v>2423.0</v>
      </c>
      <c r="F583" s="359">
        <v>169.0</v>
      </c>
      <c r="G583" s="359">
        <v>11.0</v>
      </c>
      <c r="H583" s="359">
        <v>5.0</v>
      </c>
      <c r="I583" s="359">
        <v>16.0</v>
      </c>
      <c r="J583" s="360">
        <v>0.69</v>
      </c>
      <c r="K583" s="18" t="s">
        <v>2955</v>
      </c>
      <c r="L583" s="18">
        <v>3.243610177E9</v>
      </c>
      <c r="M583" s="18" t="s">
        <v>72</v>
      </c>
      <c r="N583" s="18" t="s">
        <v>82</v>
      </c>
      <c r="O583" s="18" t="s">
        <v>2956</v>
      </c>
      <c r="P583" s="18" t="s">
        <v>7041</v>
      </c>
      <c r="Q583" s="20">
        <f>COUNTIF('Hedef Liste'!A:A,A583)</f>
        <v>1</v>
      </c>
    </row>
    <row r="584" ht="15.75" hidden="1" customHeight="1">
      <c r="A584" s="18" t="s">
        <v>1920</v>
      </c>
      <c r="B584" s="18" t="s">
        <v>1921</v>
      </c>
      <c r="C584" s="358" t="s">
        <v>7062</v>
      </c>
      <c r="D584" s="18" t="s">
        <v>356</v>
      </c>
      <c r="E584" s="359">
        <v>5.0</v>
      </c>
      <c r="F584" s="18"/>
      <c r="G584" s="359">
        <v>6.0</v>
      </c>
      <c r="H584" s="359">
        <v>11.0</v>
      </c>
      <c r="I584" s="359">
        <v>17.0</v>
      </c>
      <c r="J584" s="360">
        <v>0.35</v>
      </c>
      <c r="K584" s="18" t="s">
        <v>7313</v>
      </c>
      <c r="L584" s="18">
        <v>5.345108133E9</v>
      </c>
      <c r="M584" s="18" t="s">
        <v>137</v>
      </c>
      <c r="N584" s="18" t="s">
        <v>209</v>
      </c>
      <c r="O584" s="18" t="s">
        <v>1923</v>
      </c>
      <c r="P584" s="18" t="s">
        <v>7041</v>
      </c>
      <c r="Q584" s="20">
        <f>COUNTIF('Hedef Liste'!A:A,A584)</f>
        <v>1</v>
      </c>
    </row>
    <row r="585" ht="15.75" hidden="1" customHeight="1">
      <c r="A585" s="18" t="s">
        <v>655</v>
      </c>
      <c r="B585" s="18" t="s">
        <v>656</v>
      </c>
      <c r="C585" s="358" t="s">
        <v>7040</v>
      </c>
      <c r="D585" s="18" t="s">
        <v>80</v>
      </c>
      <c r="E585" s="359">
        <v>400.0</v>
      </c>
      <c r="F585" s="18"/>
      <c r="G585" s="359">
        <v>7.0</v>
      </c>
      <c r="H585" s="359">
        <v>20.0</v>
      </c>
      <c r="I585" s="359">
        <v>27.0</v>
      </c>
      <c r="J585" s="360">
        <v>0.26</v>
      </c>
      <c r="K585" s="18" t="s">
        <v>657</v>
      </c>
      <c r="L585" s="18">
        <v>5.453242626E9</v>
      </c>
      <c r="M585" s="18" t="s">
        <v>215</v>
      </c>
      <c r="N585" s="18" t="s">
        <v>658</v>
      </c>
      <c r="O585" s="18" t="s">
        <v>659</v>
      </c>
      <c r="P585" s="18" t="s">
        <v>7041</v>
      </c>
      <c r="Q585" s="20">
        <f>COUNTIF('Hedef Liste'!A:A,A585)</f>
        <v>1</v>
      </c>
    </row>
    <row r="586" ht="15.75" hidden="1" customHeight="1">
      <c r="A586" s="18" t="s">
        <v>1102</v>
      </c>
      <c r="B586" s="18" t="s">
        <v>1103</v>
      </c>
      <c r="C586" s="358" t="s">
        <v>7040</v>
      </c>
      <c r="D586" s="18" t="s">
        <v>80</v>
      </c>
      <c r="E586" s="359">
        <v>499.0</v>
      </c>
      <c r="F586" s="359">
        <v>40.0</v>
      </c>
      <c r="G586" s="359">
        <v>13.0</v>
      </c>
      <c r="H586" s="359">
        <v>10.0</v>
      </c>
      <c r="I586" s="359">
        <v>23.0</v>
      </c>
      <c r="J586" s="360">
        <v>0.57</v>
      </c>
      <c r="K586" s="18" t="s">
        <v>1104</v>
      </c>
      <c r="L586" s="18">
        <v>3.242342525E9</v>
      </c>
      <c r="M586" s="18" t="s">
        <v>137</v>
      </c>
      <c r="N586" s="18" t="s">
        <v>1105</v>
      </c>
      <c r="O586" s="18" t="s">
        <v>1106</v>
      </c>
      <c r="P586" s="18" t="s">
        <v>7041</v>
      </c>
      <c r="Q586" s="20">
        <f>COUNTIF('Hedef Liste'!A:A,A586)</f>
        <v>1</v>
      </c>
    </row>
    <row r="587" ht="15.75" hidden="1" customHeight="1">
      <c r="A587" s="18" t="s">
        <v>3028</v>
      </c>
      <c r="B587" s="18" t="s">
        <v>3029</v>
      </c>
      <c r="C587" s="358" t="s">
        <v>7040</v>
      </c>
      <c r="D587" s="18" t="s">
        <v>106</v>
      </c>
      <c r="E587" s="359">
        <v>530.0</v>
      </c>
      <c r="F587" s="359">
        <v>32.0</v>
      </c>
      <c r="G587" s="359">
        <v>0.0</v>
      </c>
      <c r="H587" s="359">
        <v>28.0</v>
      </c>
      <c r="I587" s="359">
        <v>28.0</v>
      </c>
      <c r="J587" s="360">
        <v>0.0</v>
      </c>
      <c r="K587" s="18" t="s">
        <v>3030</v>
      </c>
      <c r="L587" s="18">
        <v>3.24327906E9</v>
      </c>
      <c r="M587" s="18" t="s">
        <v>72</v>
      </c>
      <c r="N587" s="18" t="s">
        <v>113</v>
      </c>
      <c r="O587" s="18" t="s">
        <v>3031</v>
      </c>
      <c r="P587" s="18" t="s">
        <v>7041</v>
      </c>
      <c r="Q587" s="20">
        <f>COUNTIF('Hedef Liste'!A:A,A587)</f>
        <v>1</v>
      </c>
    </row>
    <row r="588" ht="15.75" hidden="1" customHeight="1">
      <c r="A588" s="18" t="s">
        <v>2018</v>
      </c>
      <c r="B588" s="18" t="s">
        <v>2019</v>
      </c>
      <c r="C588" s="358" t="s">
        <v>7062</v>
      </c>
      <c r="D588" s="18" t="s">
        <v>106</v>
      </c>
      <c r="E588" s="359">
        <v>9.0</v>
      </c>
      <c r="F588" s="18"/>
      <c r="G588" s="359">
        <v>0.0</v>
      </c>
      <c r="H588" s="359">
        <v>150.0</v>
      </c>
      <c r="I588" s="359">
        <v>150.0</v>
      </c>
      <c r="J588" s="360">
        <v>0.0</v>
      </c>
      <c r="K588" s="18" t="s">
        <v>2020</v>
      </c>
      <c r="L588" s="18">
        <v>5.34702959E9</v>
      </c>
      <c r="M588" s="18" t="s">
        <v>156</v>
      </c>
      <c r="N588" s="18" t="s">
        <v>596</v>
      </c>
      <c r="O588" s="18" t="s">
        <v>2021</v>
      </c>
      <c r="P588" s="18" t="s">
        <v>7041</v>
      </c>
      <c r="Q588" s="20">
        <f>COUNTIF('Hedef Liste'!A:A,A588)</f>
        <v>1</v>
      </c>
    </row>
    <row r="589" ht="15.75" hidden="1" customHeight="1">
      <c r="A589" s="18" t="s">
        <v>1451</v>
      </c>
      <c r="B589" s="18" t="s">
        <v>1452</v>
      </c>
      <c r="C589" s="358" t="s">
        <v>7040</v>
      </c>
      <c r="D589" s="18" t="s">
        <v>167</v>
      </c>
      <c r="E589" s="359">
        <v>487.0</v>
      </c>
      <c r="F589" s="359">
        <v>33.0</v>
      </c>
      <c r="G589" s="359">
        <v>17.0</v>
      </c>
      <c r="H589" s="359">
        <v>1.0</v>
      </c>
      <c r="I589" s="359">
        <v>18.0</v>
      </c>
      <c r="J589" s="360">
        <v>0.94</v>
      </c>
      <c r="K589" s="18" t="s">
        <v>1453</v>
      </c>
      <c r="L589" s="18">
        <v>3.24616171E9</v>
      </c>
      <c r="M589" s="18" t="s">
        <v>156</v>
      </c>
      <c r="N589" s="18" t="s">
        <v>596</v>
      </c>
      <c r="O589" s="18" t="s">
        <v>1454</v>
      </c>
      <c r="P589" s="18" t="s">
        <v>7047</v>
      </c>
      <c r="Q589" s="20">
        <f>COUNTIF('Hedef Liste'!A:A,A589)</f>
        <v>1</v>
      </c>
    </row>
    <row r="590" ht="15.75" hidden="1" customHeight="1">
      <c r="A590" s="18" t="s">
        <v>1460</v>
      </c>
      <c r="B590" s="18" t="s">
        <v>1461</v>
      </c>
      <c r="C590" s="358" t="s">
        <v>7040</v>
      </c>
      <c r="D590" s="18" t="s">
        <v>167</v>
      </c>
      <c r="E590" s="359">
        <v>666.0</v>
      </c>
      <c r="F590" s="359">
        <v>65.0</v>
      </c>
      <c r="G590" s="359">
        <v>33.0</v>
      </c>
      <c r="H590" s="359">
        <v>3.0</v>
      </c>
      <c r="I590" s="359">
        <v>36.0</v>
      </c>
      <c r="J590" s="360">
        <v>0.92</v>
      </c>
      <c r="K590" s="18" t="s">
        <v>1462</v>
      </c>
      <c r="L590" s="18">
        <v>5.078378085E9</v>
      </c>
      <c r="M590" s="18" t="s">
        <v>215</v>
      </c>
      <c r="N590" s="18" t="s">
        <v>745</v>
      </c>
      <c r="O590" s="18" t="s">
        <v>7314</v>
      </c>
      <c r="P590" s="18" t="s">
        <v>7047</v>
      </c>
      <c r="Q590" s="20">
        <f>COUNTIF('Hedef Liste'!A:A,A590)</f>
        <v>1</v>
      </c>
    </row>
    <row r="591" ht="15.75" hidden="1" customHeight="1">
      <c r="A591" s="18" t="s">
        <v>4401</v>
      </c>
      <c r="B591" s="18" t="s">
        <v>4402</v>
      </c>
      <c r="C591" s="358" t="s">
        <v>7040</v>
      </c>
      <c r="D591" s="18" t="s">
        <v>363</v>
      </c>
      <c r="E591" s="359">
        <v>1131.0</v>
      </c>
      <c r="F591" s="359">
        <v>154.0</v>
      </c>
      <c r="G591" s="359">
        <v>0.0</v>
      </c>
      <c r="H591" s="359">
        <v>37.0</v>
      </c>
      <c r="I591" s="359">
        <v>37.0</v>
      </c>
      <c r="J591" s="360">
        <v>0.0</v>
      </c>
      <c r="K591" s="18" t="s">
        <v>4403</v>
      </c>
      <c r="L591" s="18">
        <v>3.246226244E9</v>
      </c>
      <c r="M591" s="18" t="s">
        <v>156</v>
      </c>
      <c r="N591" s="18" t="s">
        <v>222</v>
      </c>
      <c r="O591" s="18" t="s">
        <v>4404</v>
      </c>
      <c r="P591" s="18" t="s">
        <v>7041</v>
      </c>
      <c r="Q591" s="20">
        <f>COUNTIF('Hedef Liste'!A:A,A591)</f>
        <v>1</v>
      </c>
    </row>
    <row r="592" ht="15.75" hidden="1" customHeight="1">
      <c r="A592" s="18" t="s">
        <v>206</v>
      </c>
      <c r="B592" s="18" t="s">
        <v>207</v>
      </c>
      <c r="C592" s="358" t="s">
        <v>7040</v>
      </c>
      <c r="D592" s="18" t="s">
        <v>167</v>
      </c>
      <c r="E592" s="359">
        <v>762.0</v>
      </c>
      <c r="F592" s="359">
        <v>61.0</v>
      </c>
      <c r="G592" s="359">
        <v>8.0</v>
      </c>
      <c r="H592" s="359">
        <v>4.0</v>
      </c>
      <c r="I592" s="359">
        <v>12.0</v>
      </c>
      <c r="J592" s="360">
        <v>0.67</v>
      </c>
      <c r="K592" s="18" t="s">
        <v>208</v>
      </c>
      <c r="L592" s="18">
        <v>5.527521733E9</v>
      </c>
      <c r="M592" s="18" t="s">
        <v>137</v>
      </c>
      <c r="N592" s="18" t="s">
        <v>209</v>
      </c>
      <c r="O592" s="18" t="s">
        <v>210</v>
      </c>
      <c r="P592" s="18" t="s">
        <v>7041</v>
      </c>
      <c r="Q592" s="20">
        <f>COUNTIF('Hedef Liste'!A:A,A592)</f>
        <v>1</v>
      </c>
    </row>
    <row r="593" ht="15.75" hidden="1" customHeight="1">
      <c r="A593" s="18" t="s">
        <v>4671</v>
      </c>
      <c r="B593" s="18" t="s">
        <v>4672</v>
      </c>
      <c r="C593" s="358" t="s">
        <v>7040</v>
      </c>
      <c r="D593" s="18" t="s">
        <v>45</v>
      </c>
      <c r="E593" s="359">
        <v>1222.0</v>
      </c>
      <c r="F593" s="359">
        <v>513.0</v>
      </c>
      <c r="G593" s="359">
        <v>27.0</v>
      </c>
      <c r="H593" s="359">
        <v>66.0</v>
      </c>
      <c r="I593" s="359">
        <v>93.0</v>
      </c>
      <c r="J593" s="360">
        <v>0.29</v>
      </c>
      <c r="K593" s="18" t="s">
        <v>4668</v>
      </c>
      <c r="L593" s="18">
        <v>3.243271324E9</v>
      </c>
      <c r="M593" s="18" t="s">
        <v>72</v>
      </c>
      <c r="N593" s="18" t="s">
        <v>415</v>
      </c>
      <c r="O593" s="18" t="s">
        <v>4673</v>
      </c>
      <c r="P593" s="18" t="s">
        <v>7041</v>
      </c>
      <c r="Q593" s="20">
        <f>COUNTIF('Hedef Liste'!A:A,A593)</f>
        <v>1</v>
      </c>
    </row>
    <row r="594" ht="15.75" hidden="1" customHeight="1">
      <c r="A594" s="18" t="s">
        <v>4675</v>
      </c>
      <c r="B594" s="18" t="s">
        <v>4676</v>
      </c>
      <c r="C594" s="358" t="s">
        <v>7040</v>
      </c>
      <c r="D594" s="18" t="s">
        <v>913</v>
      </c>
      <c r="E594" s="359">
        <v>1330.0</v>
      </c>
      <c r="F594" s="359">
        <v>669.0</v>
      </c>
      <c r="G594" s="359">
        <v>3.0</v>
      </c>
      <c r="H594" s="359">
        <v>116.0</v>
      </c>
      <c r="I594" s="359">
        <v>119.0</v>
      </c>
      <c r="J594" s="360">
        <v>0.03</v>
      </c>
      <c r="K594" s="18" t="s">
        <v>4668</v>
      </c>
      <c r="L594" s="18">
        <v>3.245022542E9</v>
      </c>
      <c r="M594" s="18" t="s">
        <v>72</v>
      </c>
      <c r="N594" s="18" t="s">
        <v>915</v>
      </c>
      <c r="O594" s="18" t="s">
        <v>4677</v>
      </c>
      <c r="P594" s="18" t="s">
        <v>7041</v>
      </c>
      <c r="Q594" s="20">
        <f>COUNTIF('Hedef Liste'!A:A,A594)</f>
        <v>1</v>
      </c>
    </row>
    <row r="595" ht="15.75" hidden="1" customHeight="1">
      <c r="A595" s="18" t="s">
        <v>593</v>
      </c>
      <c r="B595" s="18" t="s">
        <v>594</v>
      </c>
      <c r="C595" s="358" t="s">
        <v>7040</v>
      </c>
      <c r="D595" s="18" t="s">
        <v>45</v>
      </c>
      <c r="E595" s="359">
        <v>2149.0</v>
      </c>
      <c r="F595" s="359">
        <v>291.0</v>
      </c>
      <c r="G595" s="359">
        <v>12.0</v>
      </c>
      <c r="H595" s="359">
        <v>10.0</v>
      </c>
      <c r="I595" s="359">
        <v>22.0</v>
      </c>
      <c r="J595" s="360">
        <v>0.55</v>
      </c>
      <c r="K595" s="18" t="s">
        <v>595</v>
      </c>
      <c r="L595" s="18">
        <v>5.304677333E9</v>
      </c>
      <c r="M595" s="18" t="s">
        <v>156</v>
      </c>
      <c r="N595" s="18" t="s">
        <v>596</v>
      </c>
      <c r="O595" s="18" t="s">
        <v>597</v>
      </c>
      <c r="P595" s="18" t="s">
        <v>7041</v>
      </c>
      <c r="Q595" s="20">
        <f>COUNTIF('Hedef Liste'!A:A,A595)</f>
        <v>1</v>
      </c>
    </row>
    <row r="596" ht="15.75" hidden="1" customHeight="1">
      <c r="A596" s="18" t="s">
        <v>3899</v>
      </c>
      <c r="B596" s="18" t="s">
        <v>3900</v>
      </c>
      <c r="C596" s="358" t="s">
        <v>7040</v>
      </c>
      <c r="D596" s="18" t="s">
        <v>1063</v>
      </c>
      <c r="E596" s="359">
        <v>147.0</v>
      </c>
      <c r="F596" s="359">
        <v>35.0</v>
      </c>
      <c r="G596" s="359">
        <v>29.0</v>
      </c>
      <c r="H596" s="359">
        <v>5.0</v>
      </c>
      <c r="I596" s="359">
        <v>34.0</v>
      </c>
      <c r="J596" s="360">
        <v>0.85</v>
      </c>
      <c r="K596" s="18" t="s">
        <v>3901</v>
      </c>
      <c r="L596" s="18">
        <v>3.249992255E9</v>
      </c>
      <c r="M596" s="18" t="s">
        <v>63</v>
      </c>
      <c r="N596" s="18" t="s">
        <v>100</v>
      </c>
      <c r="O596" s="18" t="s">
        <v>3902</v>
      </c>
      <c r="P596" s="18" t="s">
        <v>7041</v>
      </c>
      <c r="Q596" s="20">
        <f>COUNTIF('Hedef Liste'!A:A,A596)</f>
        <v>1</v>
      </c>
    </row>
    <row r="597" ht="15.75" hidden="1" customHeight="1">
      <c r="A597" s="18" t="s">
        <v>1466</v>
      </c>
      <c r="B597" s="18" t="s">
        <v>1467</v>
      </c>
      <c r="C597" s="358" t="s">
        <v>7040</v>
      </c>
      <c r="D597" s="18" t="s">
        <v>167</v>
      </c>
      <c r="E597" s="359">
        <v>2185.0</v>
      </c>
      <c r="F597" s="359">
        <v>126.0</v>
      </c>
      <c r="G597" s="359">
        <v>44.0</v>
      </c>
      <c r="H597" s="359">
        <v>4.0</v>
      </c>
      <c r="I597" s="359">
        <v>48.0</v>
      </c>
      <c r="J597" s="360">
        <v>0.92</v>
      </c>
      <c r="K597" s="18" t="s">
        <v>1468</v>
      </c>
      <c r="L597" s="18">
        <v>5.422540924E9</v>
      </c>
      <c r="M597" s="18" t="s">
        <v>72</v>
      </c>
      <c r="N597" s="18" t="s">
        <v>73</v>
      </c>
      <c r="O597" s="18" t="s">
        <v>1469</v>
      </c>
      <c r="P597" s="18" t="s">
        <v>7047</v>
      </c>
      <c r="Q597" s="20">
        <f>COUNTIF('Hedef Liste'!A:A,A597)</f>
        <v>1</v>
      </c>
    </row>
    <row r="598" ht="15.75" hidden="1" customHeight="1">
      <c r="A598" s="18" t="s">
        <v>2860</v>
      </c>
      <c r="B598" s="18" t="s">
        <v>2861</v>
      </c>
      <c r="C598" s="358" t="s">
        <v>7040</v>
      </c>
      <c r="D598" s="18" t="s">
        <v>363</v>
      </c>
      <c r="E598" s="359">
        <v>2164.0</v>
      </c>
      <c r="F598" s="359">
        <v>49.0</v>
      </c>
      <c r="G598" s="359">
        <v>16.0</v>
      </c>
      <c r="H598" s="359">
        <v>33.0</v>
      </c>
      <c r="I598" s="359">
        <v>49.0</v>
      </c>
      <c r="J598" s="360">
        <v>0.33</v>
      </c>
      <c r="K598" s="18" t="s">
        <v>2862</v>
      </c>
      <c r="L598" s="18">
        <v>3.243411114E9</v>
      </c>
      <c r="M598" s="18" t="s">
        <v>72</v>
      </c>
      <c r="N598" s="18" t="s">
        <v>1148</v>
      </c>
      <c r="O598" s="18" t="s">
        <v>2863</v>
      </c>
      <c r="P598" s="18" t="s">
        <v>7041</v>
      </c>
      <c r="Q598" s="20">
        <f>COUNTIF('Hedef Liste'!A:A,A598)</f>
        <v>1</v>
      </c>
    </row>
    <row r="599" ht="15.75" hidden="1" customHeight="1">
      <c r="A599" s="18" t="s">
        <v>1431</v>
      </c>
      <c r="B599" s="18" t="s">
        <v>1432</v>
      </c>
      <c r="C599" s="358" t="s">
        <v>7040</v>
      </c>
      <c r="D599" s="18" t="s">
        <v>167</v>
      </c>
      <c r="E599" s="359">
        <v>292.0</v>
      </c>
      <c r="F599" s="359">
        <v>20.0</v>
      </c>
      <c r="G599" s="359">
        <v>7.0</v>
      </c>
      <c r="H599" s="359">
        <v>10.0</v>
      </c>
      <c r="I599" s="359">
        <v>17.0</v>
      </c>
      <c r="J599" s="360">
        <v>0.41</v>
      </c>
      <c r="K599" s="18" t="s">
        <v>1433</v>
      </c>
      <c r="L599" s="18">
        <v>5.535311033E9</v>
      </c>
      <c r="M599" s="18" t="s">
        <v>156</v>
      </c>
      <c r="N599" s="18" t="s">
        <v>338</v>
      </c>
      <c r="O599" s="18" t="s">
        <v>1434</v>
      </c>
      <c r="P599" s="18" t="s">
        <v>7041</v>
      </c>
      <c r="Q599" s="20">
        <f>COUNTIF('Hedef Liste'!A:A,A599)</f>
        <v>1</v>
      </c>
    </row>
    <row r="600" ht="15.75" hidden="1" customHeight="1">
      <c r="A600" s="18" t="s">
        <v>7315</v>
      </c>
      <c r="B600" s="18" t="s">
        <v>5171</v>
      </c>
      <c r="C600" s="358" t="s">
        <v>7040</v>
      </c>
      <c r="D600" s="18" t="s">
        <v>363</v>
      </c>
      <c r="E600" s="359">
        <v>2816.0</v>
      </c>
      <c r="F600" s="359">
        <v>261.0</v>
      </c>
      <c r="G600" s="359">
        <v>40.0</v>
      </c>
      <c r="H600" s="359">
        <v>9.0</v>
      </c>
      <c r="I600" s="359">
        <v>49.0</v>
      </c>
      <c r="J600" s="360">
        <v>0.82</v>
      </c>
      <c r="K600" s="18" t="s">
        <v>7316</v>
      </c>
      <c r="L600" s="18">
        <v>3.243582727E9</v>
      </c>
      <c r="M600" s="18" t="s">
        <v>63</v>
      </c>
      <c r="N600" s="18" t="s">
        <v>93</v>
      </c>
      <c r="O600" s="18" t="s">
        <v>7317</v>
      </c>
      <c r="P600" s="18" t="s">
        <v>7041</v>
      </c>
      <c r="Q600" s="20">
        <f>COUNTIF('Hedef Liste'!A:A,A600)</f>
        <v>0</v>
      </c>
    </row>
    <row r="601" ht="15.75" hidden="1" customHeight="1">
      <c r="A601" s="18" t="s">
        <v>3923</v>
      </c>
      <c r="B601" s="18" t="s">
        <v>3924</v>
      </c>
      <c r="C601" s="358" t="s">
        <v>7040</v>
      </c>
      <c r="D601" s="18" t="s">
        <v>80</v>
      </c>
      <c r="E601" s="359">
        <v>454.0</v>
      </c>
      <c r="F601" s="359">
        <v>4.0</v>
      </c>
      <c r="G601" s="359">
        <v>0.0</v>
      </c>
      <c r="H601" s="359">
        <v>12.0</v>
      </c>
      <c r="I601" s="359">
        <v>12.0</v>
      </c>
      <c r="J601" s="360">
        <v>0.0</v>
      </c>
      <c r="K601" s="18" t="s">
        <v>3925</v>
      </c>
      <c r="L601" s="18">
        <v>5.380535233E9</v>
      </c>
      <c r="M601" s="18" t="s">
        <v>47</v>
      </c>
      <c r="N601" s="18" t="s">
        <v>479</v>
      </c>
      <c r="O601" s="18" t="s">
        <v>3926</v>
      </c>
      <c r="P601" s="18" t="s">
        <v>7041</v>
      </c>
      <c r="Q601" s="20">
        <f>COUNTIF('Hedef Liste'!A:A,A601)</f>
        <v>1</v>
      </c>
    </row>
    <row r="602" ht="15.75" hidden="1" customHeight="1">
      <c r="A602" s="18" t="s">
        <v>4645</v>
      </c>
      <c r="B602" s="18" t="s">
        <v>7318</v>
      </c>
      <c r="C602" s="358" t="s">
        <v>7040</v>
      </c>
      <c r="D602" s="18" t="s">
        <v>80</v>
      </c>
      <c r="E602" s="362">
        <v>82.0</v>
      </c>
      <c r="F602" s="18"/>
      <c r="G602" s="359">
        <v>0.0</v>
      </c>
      <c r="H602" s="359">
        <v>10.0</v>
      </c>
      <c r="I602" s="359">
        <v>10.0</v>
      </c>
      <c r="J602" s="360">
        <v>0.0</v>
      </c>
      <c r="K602" s="18" t="s">
        <v>4647</v>
      </c>
      <c r="L602" s="18">
        <v>5.342480101E9</v>
      </c>
      <c r="M602" s="18" t="s">
        <v>72</v>
      </c>
      <c r="N602" s="18" t="s">
        <v>73</v>
      </c>
      <c r="O602" s="18" t="s">
        <v>7319</v>
      </c>
      <c r="P602" s="18" t="s">
        <v>7041</v>
      </c>
      <c r="Q602" s="20">
        <f>COUNTIF('Hedef Liste'!A:A,A602)</f>
        <v>1</v>
      </c>
    </row>
    <row r="603" ht="15.75" hidden="1" customHeight="1">
      <c r="A603" s="18" t="s">
        <v>3419</v>
      </c>
      <c r="B603" s="18" t="s">
        <v>3420</v>
      </c>
      <c r="C603" s="358" t="s">
        <v>7040</v>
      </c>
      <c r="D603" s="18" t="s">
        <v>118</v>
      </c>
      <c r="E603" s="359">
        <v>31.0</v>
      </c>
      <c r="F603" s="18"/>
      <c r="G603" s="359">
        <v>0.0</v>
      </c>
      <c r="H603" s="359">
        <v>10.0</v>
      </c>
      <c r="I603" s="359">
        <v>10.0</v>
      </c>
      <c r="J603" s="360">
        <v>0.0</v>
      </c>
      <c r="K603" s="18" t="s">
        <v>3421</v>
      </c>
      <c r="L603" s="18">
        <v>5.376689496E9</v>
      </c>
      <c r="M603" s="18" t="s">
        <v>156</v>
      </c>
      <c r="N603" s="18" t="s">
        <v>234</v>
      </c>
      <c r="O603" s="18" t="s">
        <v>3422</v>
      </c>
      <c r="P603" s="18" t="s">
        <v>7041</v>
      </c>
      <c r="Q603" s="20">
        <f>COUNTIF('Hedef Liste'!A:A,A603)</f>
        <v>1</v>
      </c>
    </row>
    <row r="604" ht="15.75" hidden="1" customHeight="1">
      <c r="A604" s="18" t="s">
        <v>2310</v>
      </c>
      <c r="B604" s="18" t="s">
        <v>2311</v>
      </c>
      <c r="C604" s="358" t="s">
        <v>7040</v>
      </c>
      <c r="D604" s="18" t="s">
        <v>363</v>
      </c>
      <c r="E604" s="359">
        <v>14.0</v>
      </c>
      <c r="F604" s="18"/>
      <c r="G604" s="359">
        <v>0.0</v>
      </c>
      <c r="H604" s="359">
        <v>94.0</v>
      </c>
      <c r="I604" s="359">
        <v>94.0</v>
      </c>
      <c r="J604" s="360">
        <v>0.0</v>
      </c>
      <c r="K604" s="18" t="s">
        <v>2312</v>
      </c>
      <c r="L604" s="18">
        <v>3.24326009E9</v>
      </c>
      <c r="M604" s="18" t="s">
        <v>72</v>
      </c>
      <c r="N604" s="18" t="s">
        <v>73</v>
      </c>
      <c r="O604" s="18" t="s">
        <v>2313</v>
      </c>
      <c r="P604" s="18" t="s">
        <v>7041</v>
      </c>
      <c r="Q604" s="20">
        <f>COUNTIF('Hedef Liste'!A:A,A604)</f>
        <v>1</v>
      </c>
    </row>
    <row r="605" ht="15.75" hidden="1" customHeight="1">
      <c r="A605" s="18" t="s">
        <v>2817</v>
      </c>
      <c r="B605" s="18" t="s">
        <v>2818</v>
      </c>
      <c r="C605" s="358" t="s">
        <v>7040</v>
      </c>
      <c r="D605" s="18" t="s">
        <v>564</v>
      </c>
      <c r="E605" s="359">
        <v>200.0</v>
      </c>
      <c r="F605" s="359">
        <v>12.0</v>
      </c>
      <c r="G605" s="359">
        <v>0.0</v>
      </c>
      <c r="H605" s="359">
        <v>49.0</v>
      </c>
      <c r="I605" s="359">
        <v>49.0</v>
      </c>
      <c r="J605" s="360">
        <v>0.0</v>
      </c>
      <c r="K605" s="18" t="s">
        <v>2819</v>
      </c>
      <c r="L605" s="18">
        <v>3.247413327E9</v>
      </c>
      <c r="M605" s="18" t="s">
        <v>187</v>
      </c>
      <c r="N605" s="18" t="s">
        <v>1533</v>
      </c>
      <c r="O605" s="18" t="s">
        <v>2820</v>
      </c>
      <c r="P605" s="18" t="s">
        <v>7041</v>
      </c>
      <c r="Q605" s="20">
        <f>COUNTIF('Hedef Liste'!A:A,A605)</f>
        <v>1</v>
      </c>
    </row>
    <row r="606" ht="15.75" hidden="1" customHeight="1">
      <c r="A606" s="18" t="s">
        <v>669</v>
      </c>
      <c r="B606" s="18" t="s">
        <v>670</v>
      </c>
      <c r="C606" s="358" t="s">
        <v>7040</v>
      </c>
      <c r="D606" s="18" t="s">
        <v>363</v>
      </c>
      <c r="E606" s="359">
        <v>922.0</v>
      </c>
      <c r="F606" s="359">
        <v>274.0</v>
      </c>
      <c r="G606" s="359">
        <v>0.0</v>
      </c>
      <c r="H606" s="359">
        <v>30.0</v>
      </c>
      <c r="I606" s="359">
        <v>30.0</v>
      </c>
      <c r="J606" s="360">
        <v>0.0</v>
      </c>
      <c r="K606" s="18" t="s">
        <v>667</v>
      </c>
      <c r="L606" s="18">
        <v>5.526602615E9</v>
      </c>
      <c r="M606" s="18" t="s">
        <v>215</v>
      </c>
      <c r="N606" s="18" t="s">
        <v>671</v>
      </c>
      <c r="O606" s="18" t="s">
        <v>672</v>
      </c>
      <c r="P606" s="18" t="s">
        <v>7041</v>
      </c>
      <c r="Q606" s="20">
        <f>COUNTIF('Hedef Liste'!A:A,A606)</f>
        <v>1</v>
      </c>
    </row>
    <row r="607" ht="15.75" hidden="1" customHeight="1">
      <c r="A607" s="18" t="s">
        <v>7320</v>
      </c>
      <c r="B607" s="18" t="s">
        <v>7321</v>
      </c>
      <c r="C607" s="358" t="s">
        <v>7040</v>
      </c>
      <c r="D607" s="18" t="s">
        <v>167</v>
      </c>
      <c r="E607" s="359">
        <v>565.0</v>
      </c>
      <c r="F607" s="359">
        <v>27.0</v>
      </c>
      <c r="G607" s="359">
        <v>60.0</v>
      </c>
      <c r="H607" s="359">
        <v>0.0</v>
      </c>
      <c r="I607" s="359">
        <v>60.0</v>
      </c>
      <c r="J607" s="360">
        <v>1.0</v>
      </c>
      <c r="K607" s="18" t="s">
        <v>7322</v>
      </c>
      <c r="L607" s="18">
        <v>5.304725618E9</v>
      </c>
      <c r="M607" s="18" t="s">
        <v>156</v>
      </c>
      <c r="N607" s="18" t="s">
        <v>1000</v>
      </c>
      <c r="O607" s="18" t="s">
        <v>7323</v>
      </c>
      <c r="P607" s="18" t="s">
        <v>7047</v>
      </c>
      <c r="Q607" s="20">
        <f>COUNTIF('Hedef Liste'!A:A,A607)</f>
        <v>0</v>
      </c>
    </row>
    <row r="608" ht="15.75" hidden="1" customHeight="1">
      <c r="A608" s="18" t="s">
        <v>7324</v>
      </c>
      <c r="B608" s="18" t="s">
        <v>7325</v>
      </c>
      <c r="C608" s="358" t="s">
        <v>7040</v>
      </c>
      <c r="D608" s="18" t="s">
        <v>167</v>
      </c>
      <c r="E608" s="359">
        <v>648.0</v>
      </c>
      <c r="F608" s="359">
        <v>59.0</v>
      </c>
      <c r="G608" s="359">
        <v>65.0</v>
      </c>
      <c r="H608" s="359">
        <v>0.0</v>
      </c>
      <c r="I608" s="359">
        <v>65.0</v>
      </c>
      <c r="J608" s="360">
        <v>1.0</v>
      </c>
      <c r="K608" s="18" t="s">
        <v>3541</v>
      </c>
      <c r="L608" s="18">
        <v>5.013320033E9</v>
      </c>
      <c r="M608" s="18" t="s">
        <v>215</v>
      </c>
      <c r="N608" s="18" t="s">
        <v>799</v>
      </c>
      <c r="O608" s="18" t="s">
        <v>7326</v>
      </c>
      <c r="P608" s="18" t="s">
        <v>7047</v>
      </c>
      <c r="Q608" s="20">
        <f>COUNTIF('Hedef Liste'!A:A,A608)</f>
        <v>0</v>
      </c>
    </row>
    <row r="609" ht="15.75" hidden="1" customHeight="1">
      <c r="A609" s="18" t="s">
        <v>7327</v>
      </c>
      <c r="B609" s="18" t="s">
        <v>7328</v>
      </c>
      <c r="C609" s="358" t="s">
        <v>7040</v>
      </c>
      <c r="D609" s="18" t="s">
        <v>167</v>
      </c>
      <c r="E609" s="359">
        <v>618.0</v>
      </c>
      <c r="F609" s="359">
        <v>41.0</v>
      </c>
      <c r="G609" s="359">
        <v>43.0</v>
      </c>
      <c r="H609" s="359">
        <v>0.0</v>
      </c>
      <c r="I609" s="359">
        <v>43.0</v>
      </c>
      <c r="J609" s="360">
        <v>1.0</v>
      </c>
      <c r="K609" s="18" t="s">
        <v>7329</v>
      </c>
      <c r="L609" s="18">
        <v>5.394665033E9</v>
      </c>
      <c r="M609" s="18" t="s">
        <v>215</v>
      </c>
      <c r="N609" s="18" t="s">
        <v>288</v>
      </c>
      <c r="O609" s="18" t="s">
        <v>7330</v>
      </c>
      <c r="P609" s="18" t="s">
        <v>7047</v>
      </c>
      <c r="Q609" s="20">
        <f>COUNTIF('Hedef Liste'!A:A,A609)</f>
        <v>0</v>
      </c>
    </row>
    <row r="610" ht="15.75" hidden="1" customHeight="1">
      <c r="A610" s="18" t="s">
        <v>7331</v>
      </c>
      <c r="B610" s="18" t="s">
        <v>7332</v>
      </c>
      <c r="C610" s="358" t="s">
        <v>7040</v>
      </c>
      <c r="D610" s="18" t="s">
        <v>167</v>
      </c>
      <c r="E610" s="359">
        <v>1304.0</v>
      </c>
      <c r="F610" s="359">
        <v>90.0</v>
      </c>
      <c r="G610" s="359">
        <v>63.0</v>
      </c>
      <c r="H610" s="359">
        <v>0.0</v>
      </c>
      <c r="I610" s="359">
        <v>63.0</v>
      </c>
      <c r="J610" s="360">
        <v>1.0</v>
      </c>
      <c r="K610" s="18" t="s">
        <v>7333</v>
      </c>
      <c r="L610" s="18">
        <v>3.249996831E9</v>
      </c>
      <c r="M610" s="18" t="s">
        <v>63</v>
      </c>
      <c r="N610" s="18" t="s">
        <v>93</v>
      </c>
      <c r="O610" s="18" t="s">
        <v>7334</v>
      </c>
      <c r="P610" s="18" t="s">
        <v>7047</v>
      </c>
      <c r="Q610" s="20">
        <f>COUNTIF('Hedef Liste'!A:A,A610)</f>
        <v>0</v>
      </c>
    </row>
    <row r="611" ht="15.75" hidden="1" customHeight="1">
      <c r="A611" s="18" t="s">
        <v>2850</v>
      </c>
      <c r="B611" s="18" t="s">
        <v>2851</v>
      </c>
      <c r="C611" s="358" t="s">
        <v>7040</v>
      </c>
      <c r="D611" s="18" t="s">
        <v>80</v>
      </c>
      <c r="F611" s="18"/>
      <c r="G611" s="359">
        <v>0.0</v>
      </c>
      <c r="H611" s="359">
        <v>14.0</v>
      </c>
      <c r="I611" s="359">
        <v>14.0</v>
      </c>
      <c r="J611" s="360">
        <v>0.0</v>
      </c>
      <c r="K611" s="18" t="s">
        <v>2852</v>
      </c>
      <c r="L611" s="18">
        <v>5.39227102E9</v>
      </c>
      <c r="M611" s="18" t="s">
        <v>72</v>
      </c>
      <c r="N611" s="18" t="s">
        <v>415</v>
      </c>
      <c r="O611" s="18" t="s">
        <v>2853</v>
      </c>
      <c r="P611" s="18" t="s">
        <v>7041</v>
      </c>
      <c r="Q611" s="20">
        <f>COUNTIF('Hedef Liste'!A:A,A611)</f>
        <v>1</v>
      </c>
    </row>
    <row r="612" ht="15.75" hidden="1" customHeight="1">
      <c r="A612" s="18" t="s">
        <v>2617</v>
      </c>
      <c r="B612" s="18" t="s">
        <v>7335</v>
      </c>
      <c r="C612" s="358" t="s">
        <v>7040</v>
      </c>
      <c r="D612" s="18" t="s">
        <v>80</v>
      </c>
      <c r="E612" s="359">
        <v>1730.0</v>
      </c>
      <c r="F612" s="359">
        <v>79.0</v>
      </c>
      <c r="G612" s="359">
        <v>0.0</v>
      </c>
      <c r="H612" s="359">
        <v>17.0</v>
      </c>
      <c r="I612" s="359">
        <v>17.0</v>
      </c>
      <c r="J612" s="360">
        <v>0.0</v>
      </c>
      <c r="K612" s="18" t="s">
        <v>2614</v>
      </c>
      <c r="L612" s="18">
        <v>3.243213356E9</v>
      </c>
      <c r="M612" s="18" t="s">
        <v>215</v>
      </c>
      <c r="N612" s="18" t="s">
        <v>227</v>
      </c>
      <c r="O612" s="18" t="s">
        <v>2619</v>
      </c>
      <c r="P612" s="18" t="s">
        <v>7041</v>
      </c>
      <c r="Q612" s="20">
        <f>COUNTIF('Hedef Liste'!A:A,A612)</f>
        <v>1</v>
      </c>
    </row>
    <row r="613" ht="15.75" hidden="1" customHeight="1">
      <c r="A613" s="18" t="s">
        <v>481</v>
      </c>
      <c r="B613" s="18" t="s">
        <v>482</v>
      </c>
      <c r="C613" s="358" t="s">
        <v>7040</v>
      </c>
      <c r="D613" s="18" t="s">
        <v>80</v>
      </c>
      <c r="E613" s="359">
        <v>1766.0</v>
      </c>
      <c r="F613" s="359">
        <v>187.0</v>
      </c>
      <c r="G613" s="359">
        <v>0.0</v>
      </c>
      <c r="H613" s="359">
        <v>7.0</v>
      </c>
      <c r="I613" s="359">
        <v>7.0</v>
      </c>
      <c r="J613" s="360">
        <v>0.0</v>
      </c>
      <c r="K613" s="18" t="s">
        <v>483</v>
      </c>
      <c r="L613" s="18">
        <v>3.24515113E9</v>
      </c>
      <c r="M613" s="18" t="s">
        <v>47</v>
      </c>
      <c r="N613" s="18" t="s">
        <v>479</v>
      </c>
      <c r="O613" s="18" t="s">
        <v>484</v>
      </c>
      <c r="P613" s="18" t="s">
        <v>7041</v>
      </c>
      <c r="Q613" s="20">
        <f>COUNTIF('Hedef Liste'!A:A,A613)</f>
        <v>1</v>
      </c>
    </row>
    <row r="614" ht="15.75" hidden="1" customHeight="1">
      <c r="A614" s="18" t="s">
        <v>728</v>
      </c>
      <c r="B614" s="18" t="s">
        <v>729</v>
      </c>
      <c r="C614" s="358" t="s">
        <v>7040</v>
      </c>
      <c r="D614" s="18" t="s">
        <v>451</v>
      </c>
      <c r="E614" s="359">
        <v>140.0</v>
      </c>
      <c r="F614" s="18"/>
      <c r="G614" s="359">
        <v>5.0</v>
      </c>
      <c r="H614" s="359">
        <v>4.0</v>
      </c>
      <c r="I614" s="359">
        <v>9.0</v>
      </c>
      <c r="J614" s="360">
        <v>0.56</v>
      </c>
      <c r="K614" s="18" t="s">
        <v>730</v>
      </c>
      <c r="L614" s="18">
        <v>5.446140112E9</v>
      </c>
      <c r="M614" s="18" t="s">
        <v>72</v>
      </c>
      <c r="N614" s="18" t="s">
        <v>352</v>
      </c>
      <c r="O614" s="18" t="s">
        <v>731</v>
      </c>
      <c r="P614" s="18" t="s">
        <v>7041</v>
      </c>
      <c r="Q614" s="20">
        <f>COUNTIF('Hedef Liste'!A:A,A614)</f>
        <v>1</v>
      </c>
    </row>
    <row r="615" ht="15.75" hidden="1" customHeight="1">
      <c r="A615" s="18" t="s">
        <v>3701</v>
      </c>
      <c r="B615" s="18" t="s">
        <v>3702</v>
      </c>
      <c r="C615" s="358" t="s">
        <v>7040</v>
      </c>
      <c r="D615" s="18" t="s">
        <v>564</v>
      </c>
      <c r="E615" s="359">
        <v>101.0</v>
      </c>
      <c r="F615" s="18"/>
      <c r="G615" s="359">
        <v>1.0</v>
      </c>
      <c r="H615" s="359">
        <v>60.0</v>
      </c>
      <c r="I615" s="359">
        <v>61.0</v>
      </c>
      <c r="J615" s="360">
        <v>0.02</v>
      </c>
      <c r="K615" s="18" t="s">
        <v>3703</v>
      </c>
      <c r="L615" s="18">
        <v>5.395769996E9</v>
      </c>
      <c r="M615" s="18" t="s">
        <v>137</v>
      </c>
      <c r="N615" s="18" t="s">
        <v>845</v>
      </c>
      <c r="O615" s="18" t="s">
        <v>3704</v>
      </c>
      <c r="P615" s="18" t="s">
        <v>7041</v>
      </c>
      <c r="Q615" s="20">
        <f>COUNTIF('Hedef Liste'!A:A,A615)</f>
        <v>1</v>
      </c>
    </row>
    <row r="616" ht="15.75" hidden="1" customHeight="1">
      <c r="A616" s="18" t="s">
        <v>344</v>
      </c>
      <c r="B616" s="18" t="s">
        <v>345</v>
      </c>
      <c r="C616" s="358" t="s">
        <v>7040</v>
      </c>
      <c r="D616" s="18" t="s">
        <v>70</v>
      </c>
      <c r="E616" s="359">
        <v>24.0</v>
      </c>
      <c r="F616" s="359">
        <v>1.0</v>
      </c>
      <c r="G616" s="359">
        <v>0.0</v>
      </c>
      <c r="H616" s="359">
        <v>12.0</v>
      </c>
      <c r="I616" s="359">
        <v>12.0</v>
      </c>
      <c r="J616" s="361">
        <v>0.0</v>
      </c>
      <c r="K616" s="18" t="s">
        <v>346</v>
      </c>
      <c r="L616" s="18">
        <v>3.243285252E9</v>
      </c>
      <c r="M616" s="18" t="s">
        <v>72</v>
      </c>
      <c r="N616" s="18" t="s">
        <v>113</v>
      </c>
      <c r="O616" s="18" t="s">
        <v>347</v>
      </c>
      <c r="P616" s="18" t="s">
        <v>7041</v>
      </c>
      <c r="Q616" s="20">
        <f>COUNTIF('Hedef Liste'!A:A,A616)</f>
        <v>1</v>
      </c>
    </row>
    <row r="617" ht="15.75" hidden="1" customHeight="1">
      <c r="A617" s="18" t="s">
        <v>3042</v>
      </c>
      <c r="B617" s="18" t="s">
        <v>3043</v>
      </c>
      <c r="C617" s="358" t="s">
        <v>7040</v>
      </c>
      <c r="D617" s="18" t="s">
        <v>106</v>
      </c>
      <c r="E617" s="359">
        <v>195.0</v>
      </c>
      <c r="F617" s="359">
        <v>9.0</v>
      </c>
      <c r="G617" s="359">
        <v>0.0</v>
      </c>
      <c r="H617" s="359">
        <v>34.0</v>
      </c>
      <c r="I617" s="359">
        <v>34.0</v>
      </c>
      <c r="J617" s="360">
        <v>0.0</v>
      </c>
      <c r="K617" s="18" t="s">
        <v>3044</v>
      </c>
      <c r="L617" s="18">
        <v>5.38740362E9</v>
      </c>
      <c r="M617" s="18" t="s">
        <v>47</v>
      </c>
      <c r="N617" s="18" t="s">
        <v>756</v>
      </c>
      <c r="O617" s="18" t="s">
        <v>3045</v>
      </c>
      <c r="P617" s="18" t="s">
        <v>7041</v>
      </c>
      <c r="Q617" s="20">
        <f>COUNTIF('Hedef Liste'!A:A,A617)</f>
        <v>1</v>
      </c>
    </row>
    <row r="618" ht="15.75" hidden="1" customHeight="1">
      <c r="A618" s="18" t="s">
        <v>2889</v>
      </c>
      <c r="B618" s="18" t="s">
        <v>2890</v>
      </c>
      <c r="C618" s="358" t="s">
        <v>7062</v>
      </c>
      <c r="D618" s="18" t="s">
        <v>363</v>
      </c>
      <c r="E618" s="359">
        <v>1.0</v>
      </c>
      <c r="F618" s="18"/>
      <c r="G618" s="359">
        <v>0.0</v>
      </c>
      <c r="H618" s="359">
        <v>61.0</v>
      </c>
      <c r="I618" s="359">
        <v>61.0</v>
      </c>
      <c r="J618" s="360">
        <v>0.0</v>
      </c>
      <c r="K618" s="18" t="s">
        <v>2891</v>
      </c>
      <c r="L618" s="18">
        <v>5.37823818E9</v>
      </c>
      <c r="M618" s="18" t="s">
        <v>215</v>
      </c>
      <c r="N618" s="18" t="s">
        <v>216</v>
      </c>
      <c r="O618" s="18" t="s">
        <v>2892</v>
      </c>
      <c r="P618" s="18" t="s">
        <v>7041</v>
      </c>
      <c r="Q618" s="20">
        <f>COUNTIF('Hedef Liste'!A:A,A618)</f>
        <v>1</v>
      </c>
    </row>
    <row r="619" ht="15.75" hidden="1" customHeight="1">
      <c r="A619" s="18" t="s">
        <v>1951</v>
      </c>
      <c r="B619" s="18" t="s">
        <v>1952</v>
      </c>
      <c r="C619" s="358" t="s">
        <v>7040</v>
      </c>
      <c r="D619" s="18" t="s">
        <v>80</v>
      </c>
      <c r="E619" s="359">
        <v>1269.0</v>
      </c>
      <c r="F619" s="359">
        <v>90.0</v>
      </c>
      <c r="G619" s="359">
        <v>0.0</v>
      </c>
      <c r="H619" s="359">
        <v>15.0</v>
      </c>
      <c r="I619" s="359">
        <v>15.0</v>
      </c>
      <c r="J619" s="360">
        <v>0.0</v>
      </c>
      <c r="K619" s="18" t="s">
        <v>1953</v>
      </c>
      <c r="L619" s="18">
        <v>3.242382071E9</v>
      </c>
      <c r="M619" s="18" t="s">
        <v>137</v>
      </c>
      <c r="N619" s="18" t="s">
        <v>426</v>
      </c>
      <c r="O619" s="18" t="s">
        <v>1954</v>
      </c>
      <c r="P619" s="18" t="s">
        <v>7041</v>
      </c>
      <c r="Q619" s="20">
        <f>COUNTIF('Hedef Liste'!A:A,A619)</f>
        <v>1</v>
      </c>
    </row>
    <row r="620" ht="15.75" hidden="1" customHeight="1">
      <c r="A620" s="18" t="s">
        <v>4448</v>
      </c>
      <c r="B620" s="18" t="s">
        <v>4449</v>
      </c>
      <c r="C620" s="358" t="s">
        <v>7040</v>
      </c>
      <c r="D620" s="18" t="s">
        <v>363</v>
      </c>
      <c r="E620" s="359">
        <v>492.0</v>
      </c>
      <c r="F620" s="359">
        <v>49.0</v>
      </c>
      <c r="G620" s="359">
        <v>0.0</v>
      </c>
      <c r="H620" s="359">
        <v>55.0</v>
      </c>
      <c r="I620" s="359">
        <v>55.0</v>
      </c>
      <c r="J620" s="360">
        <v>0.0</v>
      </c>
      <c r="K620" s="18" t="s">
        <v>4450</v>
      </c>
      <c r="L620" s="18">
        <v>3.243291133E9</v>
      </c>
      <c r="M620" s="18" t="s">
        <v>72</v>
      </c>
      <c r="N620" s="18" t="s">
        <v>810</v>
      </c>
      <c r="O620" s="18" t="s">
        <v>162</v>
      </c>
      <c r="P620" s="18" t="s">
        <v>7041</v>
      </c>
      <c r="Q620" s="20">
        <f>COUNTIF('Hedef Liste'!A:A,A620)</f>
        <v>1</v>
      </c>
    </row>
    <row r="621" ht="15.75" hidden="1" customHeight="1">
      <c r="A621" s="18" t="s">
        <v>4768</v>
      </c>
      <c r="B621" s="18" t="s">
        <v>4769</v>
      </c>
      <c r="C621" s="358" t="s">
        <v>7040</v>
      </c>
      <c r="D621" s="18" t="s">
        <v>118</v>
      </c>
      <c r="E621" s="359">
        <v>699.0</v>
      </c>
      <c r="F621" s="359">
        <v>72.0</v>
      </c>
      <c r="G621" s="359">
        <v>9.0</v>
      </c>
      <c r="H621" s="359">
        <v>10.0</v>
      </c>
      <c r="I621" s="359">
        <v>19.0</v>
      </c>
      <c r="J621" s="360">
        <v>0.47</v>
      </c>
      <c r="K621" s="18" t="s">
        <v>4770</v>
      </c>
      <c r="L621" s="18">
        <v>3.242324027E9</v>
      </c>
      <c r="M621" s="18" t="s">
        <v>137</v>
      </c>
      <c r="N621" s="18" t="s">
        <v>318</v>
      </c>
      <c r="O621" s="18" t="s">
        <v>4771</v>
      </c>
      <c r="P621" s="18" t="s">
        <v>7041</v>
      </c>
      <c r="Q621" s="20">
        <f>COUNTIF('Hedef Liste'!A:A,A621)</f>
        <v>1</v>
      </c>
    </row>
    <row r="622" ht="15.75" hidden="1" customHeight="1">
      <c r="A622" s="18" t="s">
        <v>7336</v>
      </c>
      <c r="B622" s="18" t="s">
        <v>7337</v>
      </c>
      <c r="C622" s="358" t="s">
        <v>7040</v>
      </c>
      <c r="D622" s="18" t="s">
        <v>372</v>
      </c>
      <c r="E622" s="359">
        <v>1252.0</v>
      </c>
      <c r="F622" s="359">
        <v>63.0</v>
      </c>
      <c r="G622" s="359">
        <v>78.0</v>
      </c>
      <c r="H622" s="359">
        <v>1.0</v>
      </c>
      <c r="I622" s="359">
        <v>79.0</v>
      </c>
      <c r="J622" s="360">
        <v>0.99</v>
      </c>
      <c r="K622" s="18" t="s">
        <v>7192</v>
      </c>
      <c r="L622" s="18">
        <v>9.999999999E9</v>
      </c>
      <c r="M622" s="18" t="s">
        <v>72</v>
      </c>
      <c r="N622" s="18" t="s">
        <v>73</v>
      </c>
      <c r="O622" s="18" t="s">
        <v>7297</v>
      </c>
      <c r="P622" s="18" t="s">
        <v>7047</v>
      </c>
      <c r="Q622" s="20">
        <f>COUNTIF('Hedef Liste'!A:A,A622)</f>
        <v>0</v>
      </c>
    </row>
    <row r="623" ht="15.75" hidden="1" customHeight="1">
      <c r="A623" s="18" t="s">
        <v>4293</v>
      </c>
      <c r="B623" s="18" t="s">
        <v>4294</v>
      </c>
      <c r="C623" s="358" t="s">
        <v>7040</v>
      </c>
      <c r="D623" s="18" t="s">
        <v>948</v>
      </c>
      <c r="E623" s="359">
        <v>31.0</v>
      </c>
      <c r="F623" s="359">
        <v>6.0</v>
      </c>
      <c r="G623" s="359">
        <v>3.0</v>
      </c>
      <c r="H623" s="359">
        <v>5.0</v>
      </c>
      <c r="I623" s="359">
        <v>8.0</v>
      </c>
      <c r="J623" s="360">
        <v>0.38</v>
      </c>
      <c r="K623" s="18" t="s">
        <v>4295</v>
      </c>
      <c r="L623" s="18">
        <v>5.354602338E9</v>
      </c>
      <c r="M623" s="18" t="s">
        <v>137</v>
      </c>
      <c r="N623" s="18" t="s">
        <v>138</v>
      </c>
      <c r="O623" s="18" t="s">
        <v>4296</v>
      </c>
      <c r="P623" s="18" t="s">
        <v>7041</v>
      </c>
      <c r="Q623" s="20">
        <f>COUNTIF('Hedef Liste'!A:A,A623)</f>
        <v>1</v>
      </c>
    </row>
    <row r="624" ht="15.75" hidden="1" customHeight="1">
      <c r="A624" s="18" t="s">
        <v>703</v>
      </c>
      <c r="B624" s="18" t="s">
        <v>704</v>
      </c>
      <c r="C624" s="358" t="s">
        <v>7040</v>
      </c>
      <c r="D624" s="18" t="s">
        <v>70</v>
      </c>
      <c r="E624" s="359">
        <v>823.0</v>
      </c>
      <c r="F624" s="359">
        <v>77.0</v>
      </c>
      <c r="G624" s="359">
        <v>0.0</v>
      </c>
      <c r="H624" s="359">
        <v>9.0</v>
      </c>
      <c r="I624" s="359">
        <v>9.0</v>
      </c>
      <c r="J624" s="360">
        <v>0.0</v>
      </c>
      <c r="K624" s="18" t="s">
        <v>705</v>
      </c>
      <c r="L624" s="18">
        <v>3.243250015E9</v>
      </c>
      <c r="M624" s="18" t="s">
        <v>72</v>
      </c>
      <c r="N624" s="18" t="s">
        <v>181</v>
      </c>
      <c r="O624" s="18" t="s">
        <v>706</v>
      </c>
      <c r="P624" s="18" t="s">
        <v>7041</v>
      </c>
      <c r="Q624" s="20">
        <f>COUNTIF('Hedef Liste'!A:A,A624)</f>
        <v>1</v>
      </c>
    </row>
    <row r="625" ht="15.75" hidden="1" customHeight="1">
      <c r="A625" s="18" t="s">
        <v>2165</v>
      </c>
      <c r="B625" s="18" t="s">
        <v>2166</v>
      </c>
      <c r="C625" s="358" t="s">
        <v>7040</v>
      </c>
      <c r="D625" s="18" t="s">
        <v>118</v>
      </c>
      <c r="E625" s="359">
        <v>84.0</v>
      </c>
      <c r="F625" s="18"/>
      <c r="G625" s="359">
        <v>0.0</v>
      </c>
      <c r="H625" s="359">
        <v>12.0</v>
      </c>
      <c r="I625" s="359">
        <v>12.0</v>
      </c>
      <c r="J625" s="360">
        <v>0.0</v>
      </c>
      <c r="K625" s="18" t="s">
        <v>2150</v>
      </c>
      <c r="L625" s="18">
        <v>3.243315302E9</v>
      </c>
      <c r="M625" s="18" t="s">
        <v>72</v>
      </c>
      <c r="N625" s="18" t="s">
        <v>73</v>
      </c>
      <c r="O625" s="18" t="s">
        <v>2167</v>
      </c>
      <c r="P625" s="18" t="s">
        <v>7041</v>
      </c>
      <c r="Q625" s="20">
        <f>COUNTIF('Hedef Liste'!A:A,A625)</f>
        <v>1</v>
      </c>
    </row>
    <row r="626" ht="15.75" hidden="1" customHeight="1">
      <c r="A626" s="18" t="s">
        <v>7338</v>
      </c>
      <c r="B626" s="18" t="s">
        <v>7339</v>
      </c>
      <c r="C626" s="358" t="s">
        <v>7040</v>
      </c>
      <c r="D626" s="18" t="s">
        <v>167</v>
      </c>
      <c r="E626" s="359">
        <v>354.0</v>
      </c>
      <c r="F626" s="359">
        <v>41.0</v>
      </c>
      <c r="G626" s="359">
        <v>62.0</v>
      </c>
      <c r="H626" s="359">
        <v>0.0</v>
      </c>
      <c r="I626" s="359">
        <v>62.0</v>
      </c>
      <c r="J626" s="360">
        <v>1.0</v>
      </c>
      <c r="K626" s="18" t="s">
        <v>7340</v>
      </c>
      <c r="L626" s="18">
        <v>5.434665033E9</v>
      </c>
      <c r="M626" s="18" t="s">
        <v>215</v>
      </c>
      <c r="N626" s="18" t="s">
        <v>1613</v>
      </c>
      <c r="O626" s="18" t="s">
        <v>7341</v>
      </c>
      <c r="P626" s="18" t="s">
        <v>7047</v>
      </c>
      <c r="Q626" s="20">
        <f>COUNTIF('Hedef Liste'!A:A,A626)</f>
        <v>0</v>
      </c>
    </row>
    <row r="627" ht="15.75" hidden="1" customHeight="1">
      <c r="A627" s="18" t="s">
        <v>610</v>
      </c>
      <c r="B627" s="18" t="s">
        <v>7342</v>
      </c>
      <c r="C627" s="358" t="s">
        <v>7040</v>
      </c>
      <c r="D627" s="18" t="s">
        <v>118</v>
      </c>
      <c r="E627" s="359">
        <v>2809.0</v>
      </c>
      <c r="F627" s="359">
        <v>12.0</v>
      </c>
      <c r="G627" s="359">
        <v>5.0</v>
      </c>
      <c r="H627" s="359">
        <v>7.0</v>
      </c>
      <c r="I627" s="359">
        <v>12.0</v>
      </c>
      <c r="J627" s="360">
        <v>0.42</v>
      </c>
      <c r="K627" s="18" t="s">
        <v>612</v>
      </c>
      <c r="L627" s="18">
        <v>5.346909173E9</v>
      </c>
      <c r="M627" s="18" t="s">
        <v>215</v>
      </c>
      <c r="N627" s="18" t="s">
        <v>613</v>
      </c>
      <c r="O627" s="18" t="s">
        <v>614</v>
      </c>
      <c r="P627" s="18" t="s">
        <v>7041</v>
      </c>
      <c r="Q627" s="20">
        <f>COUNTIF('Hedef Liste'!A:A,A627)</f>
        <v>1</v>
      </c>
    </row>
    <row r="628" ht="15.75" hidden="1" customHeight="1">
      <c r="A628" s="18" t="s">
        <v>4730</v>
      </c>
      <c r="B628" s="18" t="s">
        <v>4731</v>
      </c>
      <c r="C628" s="358" t="s">
        <v>7040</v>
      </c>
      <c r="D628" s="18" t="s">
        <v>356</v>
      </c>
      <c r="E628" s="359">
        <v>109.0</v>
      </c>
      <c r="F628" s="359">
        <v>20.0</v>
      </c>
      <c r="G628" s="359">
        <v>0.0</v>
      </c>
      <c r="H628" s="359">
        <v>17.0</v>
      </c>
      <c r="I628" s="359">
        <v>17.0</v>
      </c>
      <c r="J628" s="360">
        <v>0.0</v>
      </c>
      <c r="K628" s="18" t="s">
        <v>4732</v>
      </c>
      <c r="L628" s="18">
        <v>5.539577441E9</v>
      </c>
      <c r="M628" s="18" t="s">
        <v>137</v>
      </c>
      <c r="N628" s="18" t="s">
        <v>209</v>
      </c>
      <c r="O628" s="18" t="s">
        <v>4733</v>
      </c>
      <c r="P628" s="18" t="s">
        <v>7041</v>
      </c>
      <c r="Q628" s="20">
        <f>COUNTIF('Hedef Liste'!A:A,A628)</f>
        <v>1</v>
      </c>
    </row>
    <row r="629" ht="15.75" hidden="1" customHeight="1">
      <c r="A629" s="18" t="s">
        <v>1129</v>
      </c>
      <c r="B629" s="18" t="s">
        <v>1130</v>
      </c>
      <c r="C629" s="358" t="s">
        <v>7040</v>
      </c>
      <c r="D629" s="18" t="s">
        <v>913</v>
      </c>
      <c r="E629" s="359">
        <v>1968.0</v>
      </c>
      <c r="F629" s="359">
        <v>86.0</v>
      </c>
      <c r="G629" s="359">
        <v>0.0</v>
      </c>
      <c r="H629" s="359">
        <v>72.0</v>
      </c>
      <c r="I629" s="359">
        <v>72.0</v>
      </c>
      <c r="J629" s="361">
        <v>0.0</v>
      </c>
      <c r="K629" s="18" t="s">
        <v>1131</v>
      </c>
      <c r="L629" s="18">
        <v>3.24329292E9</v>
      </c>
      <c r="M629" s="18" t="s">
        <v>72</v>
      </c>
      <c r="N629" s="18" t="s">
        <v>73</v>
      </c>
      <c r="O629" s="18" t="s">
        <v>1132</v>
      </c>
      <c r="P629" s="18" t="s">
        <v>7041</v>
      </c>
      <c r="Q629" s="20">
        <f>COUNTIF('Hedef Liste'!A:A,A629)</f>
        <v>1</v>
      </c>
    </row>
    <row r="630" ht="15.75" hidden="1" customHeight="1">
      <c r="A630" s="18" t="s">
        <v>2962</v>
      </c>
      <c r="B630" s="18" t="s">
        <v>2963</v>
      </c>
      <c r="C630" s="358" t="s">
        <v>7040</v>
      </c>
      <c r="D630" s="18" t="s">
        <v>363</v>
      </c>
      <c r="E630" s="359">
        <v>1545.0</v>
      </c>
      <c r="F630" s="359">
        <v>55.0</v>
      </c>
      <c r="G630" s="359">
        <v>0.0</v>
      </c>
      <c r="H630" s="359">
        <v>16.0</v>
      </c>
      <c r="I630" s="359">
        <v>16.0</v>
      </c>
      <c r="J630" s="360">
        <v>0.0</v>
      </c>
      <c r="K630" s="18" t="s">
        <v>2964</v>
      </c>
      <c r="L630" s="18">
        <v>5.418286687E9</v>
      </c>
      <c r="M630" s="18" t="s">
        <v>187</v>
      </c>
      <c r="N630" s="18" t="s">
        <v>1667</v>
      </c>
      <c r="O630" s="18" t="s">
        <v>2965</v>
      </c>
      <c r="P630" s="18" t="s">
        <v>7041</v>
      </c>
      <c r="Q630" s="20">
        <f>COUNTIF('Hedef Liste'!A:A,A630)</f>
        <v>1</v>
      </c>
    </row>
    <row r="631" ht="15.75" hidden="1" customHeight="1">
      <c r="A631" s="18" t="s">
        <v>1140</v>
      </c>
      <c r="B631" s="18" t="s">
        <v>1141</v>
      </c>
      <c r="C631" s="358" t="s">
        <v>7040</v>
      </c>
      <c r="D631" s="18" t="s">
        <v>45</v>
      </c>
      <c r="E631" s="359">
        <v>1351.0</v>
      </c>
      <c r="F631" s="359">
        <v>164.0</v>
      </c>
      <c r="G631" s="359">
        <v>42.0</v>
      </c>
      <c r="H631" s="359">
        <v>18.0</v>
      </c>
      <c r="I631" s="359">
        <v>60.0</v>
      </c>
      <c r="J631" s="360">
        <v>0.7</v>
      </c>
      <c r="K631" s="18" t="s">
        <v>1142</v>
      </c>
      <c r="L631" s="18">
        <v>5.078744198E9</v>
      </c>
      <c r="M631" s="18" t="s">
        <v>63</v>
      </c>
      <c r="N631" s="18" t="s">
        <v>93</v>
      </c>
      <c r="O631" s="18" t="s">
        <v>1143</v>
      </c>
      <c r="P631" s="18" t="s">
        <v>7041</v>
      </c>
      <c r="Q631" s="20">
        <f>COUNTIF('Hedef Liste'!A:A,A631)</f>
        <v>1</v>
      </c>
    </row>
    <row r="632" ht="15.75" hidden="1" customHeight="1">
      <c r="A632" s="18" t="s">
        <v>3737</v>
      </c>
      <c r="B632" s="18" t="s">
        <v>3738</v>
      </c>
      <c r="C632" s="358" t="s">
        <v>7040</v>
      </c>
      <c r="D632" s="18" t="s">
        <v>106</v>
      </c>
      <c r="E632" s="359">
        <v>77.0</v>
      </c>
      <c r="F632" s="18"/>
      <c r="G632" s="359">
        <v>8.0</v>
      </c>
      <c r="H632" s="359">
        <v>7.0</v>
      </c>
      <c r="I632" s="359">
        <v>15.0</v>
      </c>
      <c r="J632" s="360">
        <v>0.53</v>
      </c>
      <c r="K632" s="18" t="s">
        <v>3739</v>
      </c>
      <c r="L632" s="18">
        <v>5.44854335E9</v>
      </c>
      <c r="M632" s="18" t="s">
        <v>72</v>
      </c>
      <c r="N632" s="18" t="s">
        <v>352</v>
      </c>
      <c r="O632" s="18" t="s">
        <v>3740</v>
      </c>
      <c r="P632" s="18" t="s">
        <v>7041</v>
      </c>
      <c r="Q632" s="20">
        <f>COUNTIF('Hedef Liste'!A:A,A632)</f>
        <v>1</v>
      </c>
    </row>
    <row r="633" ht="15.75" hidden="1" customHeight="1">
      <c r="A633" s="18" t="s">
        <v>1471</v>
      </c>
      <c r="B633" s="18" t="s">
        <v>1472</v>
      </c>
      <c r="C633" s="358" t="s">
        <v>7062</v>
      </c>
      <c r="D633" s="18" t="s">
        <v>167</v>
      </c>
      <c r="E633" s="359">
        <v>243.0</v>
      </c>
      <c r="F633" s="18"/>
      <c r="G633" s="359">
        <v>50.0</v>
      </c>
      <c r="H633" s="359">
        <v>15.0</v>
      </c>
      <c r="I633" s="359">
        <v>65.0</v>
      </c>
      <c r="J633" s="360">
        <v>0.77</v>
      </c>
      <c r="K633" s="18" t="s">
        <v>1473</v>
      </c>
      <c r="L633" s="18">
        <v>5.424319445E9</v>
      </c>
      <c r="M633" s="18" t="s">
        <v>72</v>
      </c>
      <c r="N633" s="18" t="s">
        <v>1277</v>
      </c>
      <c r="O633" s="18" t="s">
        <v>1474</v>
      </c>
      <c r="P633" s="18" t="s">
        <v>7047</v>
      </c>
      <c r="Q633" s="20">
        <f>COUNTIF('Hedef Liste'!A:A,A633)</f>
        <v>1</v>
      </c>
    </row>
    <row r="634" ht="15.75" hidden="1" customHeight="1">
      <c r="A634" s="18" t="s">
        <v>7343</v>
      </c>
      <c r="B634" s="18" t="s">
        <v>7344</v>
      </c>
      <c r="C634" s="358" t="s">
        <v>7040</v>
      </c>
      <c r="D634" s="18" t="s">
        <v>884</v>
      </c>
      <c r="E634" s="359">
        <v>58.0</v>
      </c>
      <c r="F634" s="359">
        <v>4.0</v>
      </c>
      <c r="G634" s="359">
        <v>60.0</v>
      </c>
      <c r="H634" s="359">
        <v>34.0</v>
      </c>
      <c r="I634" s="359">
        <v>94.0</v>
      </c>
      <c r="J634" s="360">
        <v>0.64</v>
      </c>
      <c r="K634" s="18" t="s">
        <v>7345</v>
      </c>
      <c r="L634" s="18">
        <v>5.497759672E9</v>
      </c>
      <c r="M634" s="18" t="s">
        <v>72</v>
      </c>
      <c r="N634" s="18" t="s">
        <v>113</v>
      </c>
      <c r="O634" s="18" t="s">
        <v>7346</v>
      </c>
      <c r="P634" s="18" t="s">
        <v>7347</v>
      </c>
      <c r="Q634" s="20">
        <f>COUNTIF('Hedef Liste'!A:A,A634)</f>
        <v>0</v>
      </c>
    </row>
    <row r="635" ht="15.75" hidden="1" customHeight="1">
      <c r="A635" s="18" t="s">
        <v>486</v>
      </c>
      <c r="B635" s="18" t="s">
        <v>487</v>
      </c>
      <c r="C635" s="358" t="s">
        <v>7040</v>
      </c>
      <c r="D635" s="18" t="s">
        <v>363</v>
      </c>
      <c r="E635" s="359">
        <v>978.0</v>
      </c>
      <c r="F635" s="359">
        <v>70.0</v>
      </c>
      <c r="G635" s="359">
        <v>0.0</v>
      </c>
      <c r="H635" s="359">
        <v>15.0</v>
      </c>
      <c r="I635" s="359">
        <v>15.0</v>
      </c>
      <c r="J635" s="360">
        <v>0.0</v>
      </c>
      <c r="K635" s="18" t="s">
        <v>488</v>
      </c>
      <c r="L635" s="18">
        <v>3.243571314E9</v>
      </c>
      <c r="M635" s="18" t="s">
        <v>47</v>
      </c>
      <c r="N635" s="18" t="s">
        <v>489</v>
      </c>
      <c r="O635" s="18" t="s">
        <v>490</v>
      </c>
      <c r="P635" s="18" t="s">
        <v>7041</v>
      </c>
      <c r="Q635" s="20">
        <f>COUNTIF('Hedef Liste'!A:A,A635)</f>
        <v>1</v>
      </c>
    </row>
    <row r="636" ht="15.75" hidden="1" customHeight="1">
      <c r="A636" s="18" t="s">
        <v>1853</v>
      </c>
      <c r="B636" s="18" t="s">
        <v>1854</v>
      </c>
      <c r="C636" s="358" t="s">
        <v>7062</v>
      </c>
      <c r="D636" s="18" t="s">
        <v>118</v>
      </c>
      <c r="E636" s="359">
        <v>145.0</v>
      </c>
      <c r="F636" s="18"/>
      <c r="G636" s="359">
        <v>0.0</v>
      </c>
      <c r="H636" s="359">
        <v>11.0</v>
      </c>
      <c r="I636" s="359">
        <v>11.0</v>
      </c>
      <c r="J636" s="360">
        <v>0.0</v>
      </c>
      <c r="K636" s="18" t="s">
        <v>1855</v>
      </c>
      <c r="L636" s="18">
        <v>3.243582838E9</v>
      </c>
      <c r="M636" s="18" t="s">
        <v>63</v>
      </c>
      <c r="N636" s="18" t="s">
        <v>1808</v>
      </c>
      <c r="O636" s="18" t="s">
        <v>1856</v>
      </c>
      <c r="P636" s="18" t="s">
        <v>7041</v>
      </c>
      <c r="Q636" s="20">
        <f>COUNTIF('Hedef Liste'!A:A,A636)</f>
        <v>1</v>
      </c>
    </row>
    <row r="637" ht="15.75" hidden="1" customHeight="1">
      <c r="A637" s="18" t="s">
        <v>2607</v>
      </c>
      <c r="B637" s="18" t="s">
        <v>2608</v>
      </c>
      <c r="C637" s="358" t="s">
        <v>7040</v>
      </c>
      <c r="D637" s="18" t="s">
        <v>80</v>
      </c>
      <c r="E637" s="359">
        <v>25.0</v>
      </c>
      <c r="F637" s="18"/>
      <c r="G637" s="359">
        <v>0.0</v>
      </c>
      <c r="H637" s="359">
        <v>13.0</v>
      </c>
      <c r="I637" s="359">
        <v>13.0</v>
      </c>
      <c r="J637" s="360">
        <v>0.0</v>
      </c>
      <c r="K637" s="18" t="s">
        <v>2609</v>
      </c>
      <c r="L637" s="18">
        <v>3.243212223E9</v>
      </c>
      <c r="M637" s="18" t="s">
        <v>215</v>
      </c>
      <c r="N637" s="18" t="s">
        <v>1053</v>
      </c>
      <c r="O637" s="18" t="s">
        <v>2610</v>
      </c>
      <c r="P637" s="18" t="s">
        <v>7041</v>
      </c>
      <c r="Q637" s="20">
        <f>COUNTIF('Hedef Liste'!A:A,A637)</f>
        <v>1</v>
      </c>
    </row>
    <row r="638" ht="15.75" hidden="1" customHeight="1">
      <c r="A638" s="18" t="s">
        <v>7348</v>
      </c>
      <c r="B638" s="18" t="s">
        <v>4993</v>
      </c>
      <c r="C638" s="358" t="s">
        <v>7040</v>
      </c>
      <c r="D638" s="18" t="s">
        <v>372</v>
      </c>
      <c r="E638" s="359">
        <v>1739.0</v>
      </c>
      <c r="F638" s="359">
        <v>174.0</v>
      </c>
      <c r="G638" s="359">
        <v>10.0</v>
      </c>
      <c r="H638" s="359">
        <v>23.0</v>
      </c>
      <c r="I638" s="359">
        <v>33.0</v>
      </c>
      <c r="J638" s="360">
        <v>0.3</v>
      </c>
      <c r="K638" s="18" t="s">
        <v>7349</v>
      </c>
      <c r="L638" s="18">
        <v>3.242334047E9</v>
      </c>
      <c r="M638" s="18" t="s">
        <v>137</v>
      </c>
      <c r="N638" s="18" t="s">
        <v>209</v>
      </c>
      <c r="O638" s="18" t="s">
        <v>4996</v>
      </c>
      <c r="P638" s="18" t="s">
        <v>7041</v>
      </c>
      <c r="Q638" s="20">
        <f>COUNTIF('Hedef Liste'!A:A,A638)</f>
        <v>0</v>
      </c>
    </row>
    <row r="639" ht="15.75" hidden="1" customHeight="1">
      <c r="A639" s="18" t="s">
        <v>1975</v>
      </c>
      <c r="B639" s="18" t="s">
        <v>1976</v>
      </c>
      <c r="C639" s="358" t="s">
        <v>7040</v>
      </c>
      <c r="D639" s="18" t="s">
        <v>80</v>
      </c>
      <c r="E639" s="359">
        <v>2148.0</v>
      </c>
      <c r="F639" s="359">
        <v>131.0</v>
      </c>
      <c r="G639" s="359">
        <v>14.0</v>
      </c>
      <c r="H639" s="359">
        <v>4.0</v>
      </c>
      <c r="I639" s="359">
        <v>18.0</v>
      </c>
      <c r="J639" s="360">
        <v>0.78</v>
      </c>
      <c r="K639" s="18" t="s">
        <v>1977</v>
      </c>
      <c r="L639" s="18">
        <v>5.059998575E9</v>
      </c>
      <c r="M639" s="18" t="s">
        <v>63</v>
      </c>
      <c r="N639" s="18" t="s">
        <v>566</v>
      </c>
      <c r="O639" s="18" t="s">
        <v>1978</v>
      </c>
      <c r="P639" s="18" t="s">
        <v>7041</v>
      </c>
      <c r="Q639" s="20">
        <f>COUNTIF('Hedef Liste'!A:A,A639)</f>
        <v>1</v>
      </c>
    </row>
    <row r="640" ht="15.75" hidden="1" customHeight="1">
      <c r="A640" s="18" t="s">
        <v>2220</v>
      </c>
      <c r="B640" s="18" t="s">
        <v>2221</v>
      </c>
      <c r="C640" s="358" t="s">
        <v>7062</v>
      </c>
      <c r="D640" s="18" t="s">
        <v>754</v>
      </c>
      <c r="E640" s="359">
        <v>33.0</v>
      </c>
      <c r="F640" s="18"/>
      <c r="G640" s="359">
        <v>0.0</v>
      </c>
      <c r="H640" s="359">
        <v>25.0</v>
      </c>
      <c r="I640" s="359">
        <v>25.0</v>
      </c>
      <c r="J640" s="360">
        <v>0.0</v>
      </c>
      <c r="K640" s="18" t="s">
        <v>2222</v>
      </c>
      <c r="L640" s="18">
        <v>5.300928835E9</v>
      </c>
      <c r="M640" s="18" t="s">
        <v>156</v>
      </c>
      <c r="N640" s="18" t="s">
        <v>157</v>
      </c>
      <c r="O640" s="18" t="s">
        <v>2223</v>
      </c>
      <c r="P640" s="18" t="s">
        <v>7041</v>
      </c>
      <c r="Q640" s="20">
        <f>COUNTIF('Hedef Liste'!A:A,A640)</f>
        <v>1</v>
      </c>
    </row>
    <row r="641" ht="15.75" hidden="1" customHeight="1">
      <c r="A641" s="18" t="s">
        <v>2976</v>
      </c>
      <c r="B641" s="18" t="s">
        <v>2977</v>
      </c>
      <c r="C641" s="358" t="s">
        <v>7040</v>
      </c>
      <c r="D641" s="18" t="s">
        <v>80</v>
      </c>
      <c r="E641" s="359">
        <v>685.0</v>
      </c>
      <c r="F641" s="359">
        <v>56.0</v>
      </c>
      <c r="G641" s="359">
        <v>12.0</v>
      </c>
      <c r="H641" s="359">
        <v>6.0</v>
      </c>
      <c r="I641" s="359">
        <v>18.0</v>
      </c>
      <c r="J641" s="360">
        <v>0.67</v>
      </c>
      <c r="K641" s="18" t="s">
        <v>2978</v>
      </c>
      <c r="L641" s="18">
        <v>3.243223222E9</v>
      </c>
      <c r="M641" s="18" t="s">
        <v>137</v>
      </c>
      <c r="N641" s="18" t="s">
        <v>1261</v>
      </c>
      <c r="O641" s="18" t="s">
        <v>2979</v>
      </c>
      <c r="P641" s="18" t="s">
        <v>7041</v>
      </c>
      <c r="Q641" s="20">
        <f>COUNTIF('Hedef Liste'!A:A,A641)</f>
        <v>1</v>
      </c>
    </row>
    <row r="642" ht="15.75" hidden="1" customHeight="1">
      <c r="A642" s="18" t="s">
        <v>2768</v>
      </c>
      <c r="B642" s="18" t="s">
        <v>2769</v>
      </c>
      <c r="C642" s="358" t="s">
        <v>7040</v>
      </c>
      <c r="D642" s="18" t="s">
        <v>80</v>
      </c>
      <c r="E642" s="359">
        <v>410.0</v>
      </c>
      <c r="F642" s="359">
        <v>30.0</v>
      </c>
      <c r="G642" s="359">
        <v>0.0</v>
      </c>
      <c r="H642" s="359">
        <v>13.0</v>
      </c>
      <c r="I642" s="359">
        <v>13.0</v>
      </c>
      <c r="J642" s="360">
        <v>0.0</v>
      </c>
      <c r="K642" s="18" t="s">
        <v>2770</v>
      </c>
      <c r="L642" s="18">
        <v>5.448383633E9</v>
      </c>
      <c r="M642" s="18" t="s">
        <v>47</v>
      </c>
      <c r="N642" s="18" t="s">
        <v>515</v>
      </c>
      <c r="O642" s="18" t="s">
        <v>2771</v>
      </c>
      <c r="P642" s="18" t="s">
        <v>7041</v>
      </c>
      <c r="Q642" s="20">
        <f>COUNTIF('Hedef Liste'!A:A,A642)</f>
        <v>1</v>
      </c>
    </row>
    <row r="643" ht="15.75" hidden="1" customHeight="1">
      <c r="A643" s="18" t="s">
        <v>2089</v>
      </c>
      <c r="B643" s="18" t="s">
        <v>2090</v>
      </c>
      <c r="C643" s="358" t="s">
        <v>7040</v>
      </c>
      <c r="D643" s="18" t="s">
        <v>80</v>
      </c>
      <c r="E643" s="359">
        <v>400.0</v>
      </c>
      <c r="F643" s="359">
        <v>14.0</v>
      </c>
      <c r="G643" s="359">
        <v>4.0</v>
      </c>
      <c r="H643" s="359">
        <v>2.0</v>
      </c>
      <c r="I643" s="359">
        <v>6.0</v>
      </c>
      <c r="J643" s="360">
        <v>0.67</v>
      </c>
      <c r="K643" s="18" t="s">
        <v>2091</v>
      </c>
      <c r="L643" s="18">
        <v>3.243364444E9</v>
      </c>
      <c r="M643" s="18" t="s">
        <v>137</v>
      </c>
      <c r="N643" s="18" t="s">
        <v>526</v>
      </c>
      <c r="O643" s="18" t="s">
        <v>2092</v>
      </c>
      <c r="P643" s="18" t="s">
        <v>7041</v>
      </c>
      <c r="Q643" s="20">
        <f>COUNTIF('Hedef Liste'!A:A,A643)</f>
        <v>1</v>
      </c>
    </row>
    <row r="644" ht="15.75" hidden="1" customHeight="1">
      <c r="A644" s="18" t="s">
        <v>687</v>
      </c>
      <c r="B644" s="18" t="s">
        <v>688</v>
      </c>
      <c r="C644" s="358" t="s">
        <v>7040</v>
      </c>
      <c r="D644" s="18" t="s">
        <v>7053</v>
      </c>
      <c r="E644" s="359">
        <v>2.0</v>
      </c>
      <c r="F644" s="18"/>
      <c r="G644" s="359">
        <v>0.0</v>
      </c>
      <c r="H644" s="359">
        <v>23.0</v>
      </c>
      <c r="I644" s="359">
        <v>23.0</v>
      </c>
      <c r="J644" s="360">
        <v>0.0</v>
      </c>
      <c r="K644" s="18" t="s">
        <v>689</v>
      </c>
      <c r="L644" s="18">
        <v>5.373734724E9</v>
      </c>
      <c r="M644" s="18" t="s">
        <v>137</v>
      </c>
      <c r="N644" s="18" t="s">
        <v>374</v>
      </c>
      <c r="O644" s="18" t="s">
        <v>690</v>
      </c>
      <c r="P644" s="18" t="s">
        <v>7041</v>
      </c>
      <c r="Q644" s="20">
        <f>COUNTIF('Hedef Liste'!A:A,A644)</f>
        <v>1</v>
      </c>
    </row>
    <row r="645" ht="15.75" hidden="1" customHeight="1">
      <c r="A645" s="18" t="s">
        <v>4026</v>
      </c>
      <c r="B645" s="18" t="s">
        <v>4027</v>
      </c>
      <c r="C645" s="358" t="s">
        <v>7040</v>
      </c>
      <c r="D645" s="18" t="s">
        <v>106</v>
      </c>
      <c r="E645" s="359">
        <v>144.0</v>
      </c>
      <c r="F645" s="359">
        <v>10.0</v>
      </c>
      <c r="G645" s="359">
        <v>0.0</v>
      </c>
      <c r="H645" s="359">
        <v>20.0</v>
      </c>
      <c r="I645" s="359">
        <v>20.0</v>
      </c>
      <c r="J645" s="360">
        <v>0.0</v>
      </c>
      <c r="K645" s="18" t="s">
        <v>4022</v>
      </c>
      <c r="L645" s="18">
        <v>3.245033646E9</v>
      </c>
      <c r="M645" s="18" t="s">
        <v>215</v>
      </c>
      <c r="N645" s="18" t="s">
        <v>442</v>
      </c>
      <c r="O645" s="18" t="s">
        <v>4028</v>
      </c>
      <c r="P645" s="18" t="s">
        <v>7041</v>
      </c>
      <c r="Q645" s="20">
        <f>COUNTIF('Hedef Liste'!A:A,A645)</f>
        <v>1</v>
      </c>
    </row>
    <row r="646" ht="15.75" hidden="1" customHeight="1">
      <c r="A646" s="18" t="s">
        <v>449</v>
      </c>
      <c r="B646" s="18" t="s">
        <v>450</v>
      </c>
      <c r="C646" s="358" t="s">
        <v>7040</v>
      </c>
      <c r="D646" s="18" t="s">
        <v>451</v>
      </c>
      <c r="E646" s="359">
        <v>7815.0</v>
      </c>
      <c r="F646" s="359">
        <v>658.0</v>
      </c>
      <c r="G646" s="359">
        <v>40.0</v>
      </c>
      <c r="H646" s="359">
        <v>11.0</v>
      </c>
      <c r="I646" s="359">
        <v>51.0</v>
      </c>
      <c r="J646" s="360">
        <v>0.78</v>
      </c>
      <c r="K646" s="18" t="s">
        <v>452</v>
      </c>
      <c r="L646" s="18">
        <v>5.462334534E9</v>
      </c>
      <c r="M646" s="18" t="s">
        <v>72</v>
      </c>
      <c r="N646" s="18" t="s">
        <v>82</v>
      </c>
      <c r="O646" s="18" t="s">
        <v>453</v>
      </c>
      <c r="P646" s="18" t="s">
        <v>7041</v>
      </c>
      <c r="Q646" s="20">
        <f>COUNTIF('Hedef Liste'!A:A,A646)</f>
        <v>1</v>
      </c>
    </row>
    <row r="647" ht="15.75" hidden="1" customHeight="1">
      <c r="A647" s="18" t="s">
        <v>817</v>
      </c>
      <c r="B647" s="18" t="s">
        <v>818</v>
      </c>
      <c r="C647" s="358" t="s">
        <v>7040</v>
      </c>
      <c r="D647" s="18" t="s">
        <v>167</v>
      </c>
      <c r="E647" s="359">
        <v>418.0</v>
      </c>
      <c r="F647" s="359">
        <v>35.0</v>
      </c>
      <c r="G647" s="359">
        <v>9.0</v>
      </c>
      <c r="H647" s="359">
        <v>9.0</v>
      </c>
      <c r="I647" s="359">
        <v>18.0</v>
      </c>
      <c r="J647" s="360">
        <v>0.5</v>
      </c>
      <c r="K647" s="18" t="s">
        <v>819</v>
      </c>
      <c r="L647" s="18">
        <v>5.443451303E9</v>
      </c>
      <c r="M647" s="18" t="s">
        <v>72</v>
      </c>
      <c r="N647" s="18" t="s">
        <v>82</v>
      </c>
      <c r="O647" s="18" t="s">
        <v>820</v>
      </c>
      <c r="P647" s="18" t="s">
        <v>7041</v>
      </c>
      <c r="Q647" s="20">
        <f>COUNTIF('Hedef Liste'!A:A,A647)</f>
        <v>1</v>
      </c>
    </row>
    <row r="648" ht="15.75" hidden="1" customHeight="1">
      <c r="A648" s="18" t="s">
        <v>1045</v>
      </c>
      <c r="B648" s="18" t="s">
        <v>1046</v>
      </c>
      <c r="C648" s="358" t="s">
        <v>7040</v>
      </c>
      <c r="D648" s="18" t="s">
        <v>7053</v>
      </c>
      <c r="E648" s="359">
        <v>8.0</v>
      </c>
      <c r="F648" s="18"/>
      <c r="G648" s="359">
        <v>4.0</v>
      </c>
      <c r="H648" s="359">
        <v>18.0</v>
      </c>
      <c r="I648" s="359">
        <v>22.0</v>
      </c>
      <c r="J648" s="360">
        <v>0.18</v>
      </c>
      <c r="K648" s="18" t="s">
        <v>1047</v>
      </c>
      <c r="L648" s="18">
        <v>5.304411269E9</v>
      </c>
      <c r="M648" s="18" t="s">
        <v>72</v>
      </c>
      <c r="N648" s="18" t="s">
        <v>509</v>
      </c>
      <c r="O648" s="18" t="s">
        <v>1048</v>
      </c>
      <c r="P648" s="18" t="s">
        <v>7041</v>
      </c>
      <c r="Q648" s="20">
        <f>COUNTIF('Hedef Liste'!A:A,A648)</f>
        <v>1</v>
      </c>
    </row>
    <row r="649" ht="15.75" hidden="1" customHeight="1">
      <c r="A649" s="18" t="s">
        <v>2754</v>
      </c>
      <c r="B649" s="18" t="s">
        <v>2755</v>
      </c>
      <c r="C649" s="358" t="s">
        <v>7040</v>
      </c>
      <c r="D649" s="18" t="s">
        <v>106</v>
      </c>
      <c r="E649" s="359">
        <v>1680.0</v>
      </c>
      <c r="F649" s="359">
        <v>168.0</v>
      </c>
      <c r="G649" s="359">
        <v>14.0</v>
      </c>
      <c r="H649" s="359">
        <v>26.0</v>
      </c>
      <c r="I649" s="359">
        <v>40.0</v>
      </c>
      <c r="J649" s="360">
        <v>0.35</v>
      </c>
      <c r="K649" s="18" t="s">
        <v>2756</v>
      </c>
      <c r="L649" s="18">
        <v>5.386555757E9</v>
      </c>
      <c r="M649" s="18" t="s">
        <v>47</v>
      </c>
      <c r="N649" s="18" t="s">
        <v>489</v>
      </c>
      <c r="O649" s="18" t="s">
        <v>2757</v>
      </c>
      <c r="P649" s="18" t="s">
        <v>7041</v>
      </c>
      <c r="Q649" s="20">
        <f>COUNTIF('Hedef Liste'!A:A,A649)</f>
        <v>1</v>
      </c>
    </row>
    <row r="650" ht="15.75" hidden="1" customHeight="1">
      <c r="A650" s="18" t="s">
        <v>2283</v>
      </c>
      <c r="B650" s="18" t="s">
        <v>2284</v>
      </c>
      <c r="C650" s="358" t="s">
        <v>7040</v>
      </c>
      <c r="D650" s="18" t="s">
        <v>363</v>
      </c>
      <c r="E650" s="359">
        <v>902.0</v>
      </c>
      <c r="F650" s="359">
        <v>109.0</v>
      </c>
      <c r="G650" s="359">
        <v>19.0</v>
      </c>
      <c r="H650" s="359">
        <v>22.0</v>
      </c>
      <c r="I650" s="359">
        <v>41.0</v>
      </c>
      <c r="J650" s="360">
        <v>0.46</v>
      </c>
      <c r="K650" s="18" t="s">
        <v>2285</v>
      </c>
      <c r="L650" s="18">
        <v>3.246271617E9</v>
      </c>
      <c r="M650" s="18" t="s">
        <v>156</v>
      </c>
      <c r="N650" s="18" t="s">
        <v>283</v>
      </c>
      <c r="O650" s="18" t="s">
        <v>2286</v>
      </c>
      <c r="P650" s="18" t="s">
        <v>7041</v>
      </c>
      <c r="Q650" s="20">
        <f>COUNTIF('Hedef Liste'!A:A,A650)</f>
        <v>1</v>
      </c>
    </row>
    <row r="651" ht="15.75" hidden="1" customHeight="1">
      <c r="A651" s="18" t="s">
        <v>7350</v>
      </c>
      <c r="B651" s="18" t="s">
        <v>7351</v>
      </c>
      <c r="C651" s="358" t="s">
        <v>7040</v>
      </c>
      <c r="D651" s="18" t="s">
        <v>1136</v>
      </c>
      <c r="E651" s="359">
        <v>170.0</v>
      </c>
      <c r="F651" s="359">
        <v>20.0</v>
      </c>
      <c r="G651" s="359">
        <v>144.0</v>
      </c>
      <c r="H651" s="359">
        <v>11.0</v>
      </c>
      <c r="I651" s="359">
        <v>155.0</v>
      </c>
      <c r="J651" s="360">
        <v>0.93</v>
      </c>
      <c r="K651" s="18" t="s">
        <v>7352</v>
      </c>
      <c r="L651" s="18">
        <v>3.243300077E9</v>
      </c>
      <c r="M651" s="18" t="s">
        <v>72</v>
      </c>
      <c r="N651" s="18" t="s">
        <v>915</v>
      </c>
      <c r="O651" s="18" t="s">
        <v>7353</v>
      </c>
      <c r="P651" s="18" t="s">
        <v>7047</v>
      </c>
      <c r="Q651" s="20">
        <f>COUNTIF('Hedef Liste'!A:A,A651)</f>
        <v>0</v>
      </c>
    </row>
    <row r="652" ht="15.75" hidden="1" customHeight="1">
      <c r="A652" s="18" t="s">
        <v>7354</v>
      </c>
      <c r="B652" s="18" t="s">
        <v>7355</v>
      </c>
      <c r="C652" s="358" t="s">
        <v>7040</v>
      </c>
      <c r="D652" s="18" t="s">
        <v>167</v>
      </c>
      <c r="E652" s="359">
        <v>849.0</v>
      </c>
      <c r="F652" s="359">
        <v>50.0</v>
      </c>
      <c r="G652" s="359">
        <v>62.0</v>
      </c>
      <c r="H652" s="359">
        <v>0.0</v>
      </c>
      <c r="I652" s="359">
        <v>62.0</v>
      </c>
      <c r="J652" s="360">
        <v>1.0</v>
      </c>
      <c r="K652" s="18" t="s">
        <v>7356</v>
      </c>
      <c r="L652" s="18">
        <v>3.243595538E9</v>
      </c>
      <c r="M652" s="18" t="s">
        <v>63</v>
      </c>
      <c r="N652" s="18" t="s">
        <v>700</v>
      </c>
      <c r="O652" s="18" t="s">
        <v>7357</v>
      </c>
      <c r="P652" s="18" t="s">
        <v>7047</v>
      </c>
      <c r="Q652" s="20">
        <f>COUNTIF('Hedef Liste'!A:A,A652)</f>
        <v>0</v>
      </c>
    </row>
    <row r="653" ht="15.75" hidden="1" customHeight="1">
      <c r="A653" s="18" t="s">
        <v>7358</v>
      </c>
      <c r="B653" s="18" t="s">
        <v>7359</v>
      </c>
      <c r="C653" s="358" t="s">
        <v>7040</v>
      </c>
      <c r="D653" s="18" t="s">
        <v>1136</v>
      </c>
      <c r="E653" s="359">
        <v>489.0</v>
      </c>
      <c r="F653" s="359">
        <v>16.0</v>
      </c>
      <c r="G653" s="359">
        <v>167.0</v>
      </c>
      <c r="H653" s="359">
        <v>14.0</v>
      </c>
      <c r="I653" s="359">
        <v>181.0</v>
      </c>
      <c r="J653" s="360">
        <v>0.92</v>
      </c>
      <c r="K653" s="18" t="s">
        <v>7352</v>
      </c>
      <c r="L653" s="18">
        <v>3.243300077E9</v>
      </c>
      <c r="M653" s="18" t="s">
        <v>72</v>
      </c>
      <c r="N653" s="18" t="s">
        <v>915</v>
      </c>
      <c r="O653" s="18" t="s">
        <v>7353</v>
      </c>
      <c r="P653" s="18" t="s">
        <v>7047</v>
      </c>
      <c r="Q653" s="20">
        <f>COUNTIF('Hedef Liste'!A:A,A653)</f>
        <v>0</v>
      </c>
    </row>
    <row r="654" ht="15.75" hidden="1" customHeight="1">
      <c r="A654" s="18" t="s">
        <v>4512</v>
      </c>
      <c r="B654" s="18" t="s">
        <v>4513</v>
      </c>
      <c r="C654" s="358" t="s">
        <v>7040</v>
      </c>
      <c r="D654" s="18" t="s">
        <v>45</v>
      </c>
      <c r="E654" s="359">
        <v>741.0</v>
      </c>
      <c r="F654" s="359">
        <v>59.0</v>
      </c>
      <c r="G654" s="359">
        <v>0.0</v>
      </c>
      <c r="H654" s="359">
        <v>25.0</v>
      </c>
      <c r="I654" s="359">
        <v>25.0</v>
      </c>
      <c r="J654" s="360">
        <v>0.0</v>
      </c>
      <c r="K654" s="18" t="s">
        <v>4514</v>
      </c>
      <c r="L654" s="18">
        <v>3.245032218E9</v>
      </c>
      <c r="M654" s="18" t="s">
        <v>63</v>
      </c>
      <c r="N654" s="18" t="s">
        <v>64</v>
      </c>
      <c r="O654" s="18" t="s">
        <v>1681</v>
      </c>
      <c r="P654" s="18" t="s">
        <v>7041</v>
      </c>
      <c r="Q654" s="20">
        <f>COUNTIF('Hedef Liste'!A:A,A654)</f>
        <v>1</v>
      </c>
    </row>
    <row r="655" ht="15.75" hidden="1" customHeight="1">
      <c r="A655" s="18" t="s">
        <v>2714</v>
      </c>
      <c r="B655" s="18" t="s">
        <v>2715</v>
      </c>
      <c r="C655" s="358" t="s">
        <v>7040</v>
      </c>
      <c r="D655" s="18" t="s">
        <v>80</v>
      </c>
      <c r="E655" s="359">
        <v>93.0</v>
      </c>
      <c r="F655" s="359">
        <v>31.0</v>
      </c>
      <c r="G655" s="359">
        <v>13.0</v>
      </c>
      <c r="H655" s="359">
        <v>21.0</v>
      </c>
      <c r="I655" s="359">
        <v>34.0</v>
      </c>
      <c r="J655" s="360">
        <v>0.38</v>
      </c>
      <c r="K655" s="18" t="s">
        <v>2716</v>
      </c>
      <c r="L655" s="18">
        <v>3.243598989E9</v>
      </c>
      <c r="M655" s="18" t="s">
        <v>63</v>
      </c>
      <c r="N655" s="18" t="s">
        <v>100</v>
      </c>
      <c r="O655" s="18" t="s">
        <v>2717</v>
      </c>
      <c r="P655" s="18" t="s">
        <v>7041</v>
      </c>
      <c r="Q655" s="20">
        <f>COUNTIF('Hedef Liste'!A:A,A655)</f>
        <v>1</v>
      </c>
    </row>
    <row r="656" ht="15.75" hidden="1" customHeight="1">
      <c r="A656" s="18" t="s">
        <v>1702</v>
      </c>
      <c r="B656" s="18" t="s">
        <v>1703</v>
      </c>
      <c r="C656" s="358" t="s">
        <v>7040</v>
      </c>
      <c r="D656" s="18" t="s">
        <v>106</v>
      </c>
      <c r="E656" s="359">
        <v>437.0</v>
      </c>
      <c r="F656" s="359">
        <v>44.0</v>
      </c>
      <c r="G656" s="359">
        <v>0.0</v>
      </c>
      <c r="H656" s="359">
        <v>18.0</v>
      </c>
      <c r="I656" s="359">
        <v>18.0</v>
      </c>
      <c r="J656" s="360">
        <v>0.0</v>
      </c>
      <c r="K656" s="18" t="s">
        <v>1704</v>
      </c>
      <c r="L656" s="18">
        <v>5.305154733E9</v>
      </c>
      <c r="M656" s="18" t="s">
        <v>215</v>
      </c>
      <c r="N656" s="18" t="s">
        <v>671</v>
      </c>
      <c r="O656" s="18" t="s">
        <v>1705</v>
      </c>
      <c r="P656" s="18" t="s">
        <v>7041</v>
      </c>
      <c r="Q656" s="20">
        <f>COUNTIF('Hedef Liste'!A:A,A656)</f>
        <v>1</v>
      </c>
    </row>
    <row r="657" ht="15.75" hidden="1" customHeight="1">
      <c r="A657" s="18" t="s">
        <v>2303</v>
      </c>
      <c r="B657" s="18" t="s">
        <v>2304</v>
      </c>
      <c r="C657" s="358" t="s">
        <v>7062</v>
      </c>
      <c r="D657" s="18" t="s">
        <v>363</v>
      </c>
      <c r="E657" s="359">
        <v>24.0</v>
      </c>
      <c r="F657" s="18"/>
      <c r="G657" s="359">
        <v>0.0</v>
      </c>
      <c r="H657" s="359">
        <v>66.0</v>
      </c>
      <c r="I657" s="359">
        <v>66.0</v>
      </c>
      <c r="J657" s="360">
        <v>0.0</v>
      </c>
      <c r="K657" s="18" t="s">
        <v>2300</v>
      </c>
      <c r="L657" s="18">
        <v>3.243211127E9</v>
      </c>
      <c r="M657" s="18" t="s">
        <v>215</v>
      </c>
      <c r="N657" s="18" t="s">
        <v>658</v>
      </c>
      <c r="O657" s="18" t="s">
        <v>2305</v>
      </c>
      <c r="P657" s="18" t="s">
        <v>7041</v>
      </c>
      <c r="Q657" s="20">
        <f>COUNTIF('Hedef Liste'!A:A,A657)</f>
        <v>1</v>
      </c>
    </row>
    <row r="658" ht="15.75" hidden="1" customHeight="1">
      <c r="A658" s="18" t="s">
        <v>2894</v>
      </c>
      <c r="B658" s="18" t="s">
        <v>2895</v>
      </c>
      <c r="C658" s="358" t="s">
        <v>7040</v>
      </c>
      <c r="D658" s="18" t="s">
        <v>45</v>
      </c>
      <c r="E658" s="359">
        <v>3547.0</v>
      </c>
      <c r="F658" s="359">
        <v>425.0</v>
      </c>
      <c r="G658" s="359">
        <v>33.0</v>
      </c>
      <c r="H658" s="359">
        <v>1.0</v>
      </c>
      <c r="I658" s="359">
        <v>34.0</v>
      </c>
      <c r="J658" s="360">
        <v>0.97</v>
      </c>
      <c r="K658" s="18" t="s">
        <v>2896</v>
      </c>
      <c r="L658" s="18">
        <v>3.243265864E9</v>
      </c>
      <c r="M658" s="18" t="s">
        <v>72</v>
      </c>
      <c r="N658" s="18" t="s">
        <v>73</v>
      </c>
      <c r="O658" s="18" t="s">
        <v>1983</v>
      </c>
      <c r="P658" s="18" t="s">
        <v>7041</v>
      </c>
      <c r="Q658" s="20">
        <f>COUNTIF('Hedef Liste'!A:A,A658)</f>
        <v>1</v>
      </c>
    </row>
    <row r="659" ht="15.75" hidden="1" customHeight="1">
      <c r="A659" s="18" t="s">
        <v>7360</v>
      </c>
      <c r="B659" s="18" t="s">
        <v>7361</v>
      </c>
      <c r="C659" s="358" t="s">
        <v>7040</v>
      </c>
      <c r="D659" s="18" t="s">
        <v>884</v>
      </c>
      <c r="E659" s="359">
        <v>39.0</v>
      </c>
      <c r="F659" s="359">
        <v>5.0</v>
      </c>
      <c r="G659" s="359">
        <v>29.0</v>
      </c>
      <c r="H659" s="359">
        <v>12.0</v>
      </c>
      <c r="I659" s="359">
        <v>41.0</v>
      </c>
      <c r="J659" s="360">
        <v>0.71</v>
      </c>
      <c r="K659" s="18" t="s">
        <v>7362</v>
      </c>
      <c r="L659" s="18">
        <v>3.243315538E9</v>
      </c>
      <c r="M659" s="18" t="s">
        <v>72</v>
      </c>
      <c r="N659" s="18" t="s">
        <v>73</v>
      </c>
      <c r="O659" s="18" t="s">
        <v>7363</v>
      </c>
      <c r="P659" s="18" t="s">
        <v>7347</v>
      </c>
      <c r="Q659" s="20">
        <f>COUNTIF('Hedef Liste'!A:A,A659)</f>
        <v>0</v>
      </c>
    </row>
    <row r="660" ht="15.75" hidden="1" customHeight="1">
      <c r="A660" s="18" t="s">
        <v>776</v>
      </c>
      <c r="B660" s="18" t="s">
        <v>777</v>
      </c>
      <c r="C660" s="358" t="s">
        <v>7040</v>
      </c>
      <c r="D660" s="18" t="s">
        <v>118</v>
      </c>
      <c r="E660" s="359">
        <v>552.0</v>
      </c>
      <c r="F660" s="359">
        <v>55.0</v>
      </c>
      <c r="G660" s="359">
        <v>8.0</v>
      </c>
      <c r="H660" s="359">
        <v>8.0</v>
      </c>
      <c r="I660" s="359">
        <v>16.0</v>
      </c>
      <c r="J660" s="360">
        <v>0.5</v>
      </c>
      <c r="K660" s="18" t="s">
        <v>778</v>
      </c>
      <c r="L660" s="18">
        <v>5.441552133E9</v>
      </c>
      <c r="M660" s="18" t="s">
        <v>215</v>
      </c>
      <c r="N660" s="18" t="s">
        <v>779</v>
      </c>
      <c r="O660" s="18" t="s">
        <v>780</v>
      </c>
      <c r="P660" s="18" t="s">
        <v>7041</v>
      </c>
      <c r="Q660" s="20">
        <f>COUNTIF('Hedef Liste'!A:A,A660)</f>
        <v>1</v>
      </c>
    </row>
    <row r="661" ht="15.75" hidden="1" customHeight="1">
      <c r="A661" s="18" t="s">
        <v>7364</v>
      </c>
      <c r="B661" s="18" t="s">
        <v>7365</v>
      </c>
      <c r="C661" s="358" t="s">
        <v>7040</v>
      </c>
      <c r="D661" s="18" t="s">
        <v>167</v>
      </c>
      <c r="E661" s="359">
        <v>1020.0</v>
      </c>
      <c r="F661" s="359">
        <v>52.0</v>
      </c>
      <c r="G661" s="359">
        <v>38.0</v>
      </c>
      <c r="H661" s="359">
        <v>1.0</v>
      </c>
      <c r="I661" s="359">
        <v>39.0</v>
      </c>
      <c r="J661" s="360">
        <v>0.97</v>
      </c>
      <c r="K661" s="18" t="s">
        <v>7045</v>
      </c>
      <c r="L661" s="18">
        <v>5.421653313E9</v>
      </c>
      <c r="M661" s="18" t="s">
        <v>63</v>
      </c>
      <c r="N661" s="18" t="s">
        <v>1148</v>
      </c>
      <c r="O661" s="18" t="s">
        <v>7366</v>
      </c>
      <c r="P661" s="18" t="s">
        <v>7047</v>
      </c>
      <c r="Q661" s="20">
        <f>COUNTIF('Hedef Liste'!A:A,A661)</f>
        <v>0</v>
      </c>
    </row>
    <row r="662" ht="15.75" hidden="1" customHeight="1">
      <c r="A662" s="18" t="s">
        <v>3378</v>
      </c>
      <c r="B662" s="18" t="s">
        <v>3379</v>
      </c>
      <c r="C662" s="358" t="s">
        <v>7040</v>
      </c>
      <c r="D662" s="18" t="s">
        <v>913</v>
      </c>
      <c r="E662" s="359">
        <v>67.0</v>
      </c>
      <c r="F662" s="359">
        <v>9.0</v>
      </c>
      <c r="G662" s="359">
        <v>0.0</v>
      </c>
      <c r="H662" s="359">
        <v>40.0</v>
      </c>
      <c r="I662" s="359">
        <v>40.0</v>
      </c>
      <c r="J662" s="360">
        <v>0.0</v>
      </c>
      <c r="K662" s="18" t="s">
        <v>3380</v>
      </c>
      <c r="L662" s="18">
        <v>5.334507848E9</v>
      </c>
      <c r="M662" s="18" t="s">
        <v>156</v>
      </c>
      <c r="N662" s="18" t="s">
        <v>283</v>
      </c>
      <c r="O662" s="18" t="s">
        <v>3381</v>
      </c>
      <c r="P662" s="18" t="s">
        <v>7041</v>
      </c>
      <c r="Q662" s="20">
        <f>COUNTIF('Hedef Liste'!A:A,A662)</f>
        <v>1</v>
      </c>
    </row>
    <row r="663" ht="15.75" hidden="1" customHeight="1">
      <c r="A663" s="18" t="s">
        <v>4590</v>
      </c>
      <c r="B663" s="18" t="s">
        <v>4591</v>
      </c>
      <c r="C663" s="358" t="s">
        <v>7062</v>
      </c>
      <c r="D663" s="18" t="s">
        <v>372</v>
      </c>
      <c r="E663" s="359">
        <v>44.0</v>
      </c>
      <c r="F663" s="18"/>
      <c r="G663" s="359">
        <v>0.0</v>
      </c>
      <c r="H663" s="359">
        <v>199.0</v>
      </c>
      <c r="I663" s="359">
        <v>199.0</v>
      </c>
      <c r="J663" s="360">
        <v>0.0</v>
      </c>
      <c r="K663" s="18" t="s">
        <v>4592</v>
      </c>
      <c r="L663" s="18">
        <v>5.550222053E9</v>
      </c>
      <c r="M663" s="18" t="s">
        <v>72</v>
      </c>
      <c r="N663" s="18" t="s">
        <v>82</v>
      </c>
      <c r="O663" s="18" t="s">
        <v>4593</v>
      </c>
      <c r="P663" s="18" t="s">
        <v>7041</v>
      </c>
      <c r="Q663" s="20">
        <f>COUNTIF('Hedef Liste'!A:A,A663)</f>
        <v>1</v>
      </c>
    </row>
    <row r="664" ht="15.75" hidden="1" customHeight="1">
      <c r="A664" s="18" t="s">
        <v>388</v>
      </c>
      <c r="B664" s="18" t="s">
        <v>389</v>
      </c>
      <c r="C664" s="358" t="s">
        <v>7040</v>
      </c>
      <c r="D664" s="18" t="s">
        <v>80</v>
      </c>
      <c r="E664" s="359">
        <v>1878.0</v>
      </c>
      <c r="F664" s="359">
        <v>93.0</v>
      </c>
      <c r="G664" s="359">
        <v>8.0</v>
      </c>
      <c r="H664" s="359">
        <v>11.0</v>
      </c>
      <c r="I664" s="359">
        <v>19.0</v>
      </c>
      <c r="J664" s="360">
        <v>0.42</v>
      </c>
      <c r="K664" s="18" t="s">
        <v>390</v>
      </c>
      <c r="L664" s="18">
        <v>5.446430603E9</v>
      </c>
      <c r="M664" s="18" t="s">
        <v>72</v>
      </c>
      <c r="N664" s="18" t="s">
        <v>82</v>
      </c>
      <c r="O664" s="18" t="s">
        <v>391</v>
      </c>
      <c r="P664" s="18" t="s">
        <v>7041</v>
      </c>
      <c r="Q664" s="20">
        <f>COUNTIF('Hedef Liste'!A:A,A664)</f>
        <v>1</v>
      </c>
    </row>
    <row r="665" ht="15.75" hidden="1" customHeight="1">
      <c r="A665" s="18" t="s">
        <v>2395</v>
      </c>
      <c r="B665" s="18" t="s">
        <v>2396</v>
      </c>
      <c r="C665" s="358" t="s">
        <v>7040</v>
      </c>
      <c r="D665" s="18" t="s">
        <v>70</v>
      </c>
      <c r="E665" s="359">
        <v>1004.0</v>
      </c>
      <c r="F665" s="359">
        <v>94.0</v>
      </c>
      <c r="G665" s="359">
        <v>0.0</v>
      </c>
      <c r="H665" s="359">
        <v>11.0</v>
      </c>
      <c r="I665" s="359">
        <v>11.0</v>
      </c>
      <c r="J665" s="360">
        <v>0.0</v>
      </c>
      <c r="K665" s="18" t="s">
        <v>2397</v>
      </c>
      <c r="L665" s="18">
        <v>3.247120014E9</v>
      </c>
      <c r="M665" s="18" t="s">
        <v>187</v>
      </c>
      <c r="N665" s="18" t="s">
        <v>188</v>
      </c>
      <c r="O665" s="18" t="s">
        <v>2398</v>
      </c>
      <c r="P665" s="18" t="s">
        <v>7041</v>
      </c>
      <c r="Q665" s="20">
        <f>COUNTIF('Hedef Liste'!A:A,A665)</f>
        <v>1</v>
      </c>
    </row>
    <row r="666" ht="15.75" hidden="1" customHeight="1">
      <c r="A666" s="18" t="s">
        <v>3369</v>
      </c>
      <c r="B666" s="18" t="s">
        <v>3370</v>
      </c>
      <c r="C666" s="358" t="s">
        <v>7040</v>
      </c>
      <c r="D666" s="18" t="s">
        <v>363</v>
      </c>
      <c r="E666" s="359">
        <v>372.0</v>
      </c>
      <c r="F666" s="359">
        <v>46.0</v>
      </c>
      <c r="G666" s="359">
        <v>0.0</v>
      </c>
      <c r="H666" s="359">
        <v>9.0</v>
      </c>
      <c r="I666" s="359">
        <v>9.0</v>
      </c>
      <c r="J666" s="360">
        <v>0.0</v>
      </c>
      <c r="K666" s="18" t="s">
        <v>3371</v>
      </c>
      <c r="L666" s="18">
        <v>5.453587607E9</v>
      </c>
      <c r="M666" s="18" t="s">
        <v>156</v>
      </c>
      <c r="N666" s="18" t="s">
        <v>64</v>
      </c>
      <c r="O666" s="18" t="s">
        <v>3372</v>
      </c>
      <c r="P666" s="18" t="s">
        <v>7041</v>
      </c>
      <c r="Q666" s="20">
        <f>COUNTIF('Hedef Liste'!A:A,A666)</f>
        <v>1</v>
      </c>
    </row>
    <row r="667" ht="15.75" hidden="1" customHeight="1">
      <c r="A667" s="18" t="s">
        <v>1785</v>
      </c>
      <c r="B667" s="18" t="s">
        <v>1786</v>
      </c>
      <c r="C667" s="358" t="s">
        <v>7040</v>
      </c>
      <c r="D667" s="18" t="s">
        <v>118</v>
      </c>
      <c r="E667" s="359">
        <v>923.0</v>
      </c>
      <c r="F667" s="359">
        <v>66.0</v>
      </c>
      <c r="G667" s="359">
        <v>22.0</v>
      </c>
      <c r="H667" s="359">
        <v>43.0</v>
      </c>
      <c r="I667" s="359">
        <v>65.0</v>
      </c>
      <c r="J667" s="360">
        <v>0.34</v>
      </c>
      <c r="K667" s="18" t="s">
        <v>1787</v>
      </c>
      <c r="L667" s="18">
        <v>5.435575157E9</v>
      </c>
      <c r="M667" s="18" t="s">
        <v>72</v>
      </c>
      <c r="N667" s="18" t="s">
        <v>716</v>
      </c>
      <c r="O667" s="18" t="s">
        <v>1788</v>
      </c>
      <c r="P667" s="18" t="s">
        <v>7041</v>
      </c>
      <c r="Q667" s="20">
        <f>COUNTIF('Hedef Liste'!A:A,A667)</f>
        <v>1</v>
      </c>
    </row>
    <row r="668" ht="15.75" hidden="1" customHeight="1">
      <c r="A668" s="18" t="s">
        <v>153</v>
      </c>
      <c r="B668" s="18" t="s">
        <v>154</v>
      </c>
      <c r="C668" s="358" t="s">
        <v>7040</v>
      </c>
      <c r="D668" s="18" t="s">
        <v>70</v>
      </c>
      <c r="E668" s="359">
        <v>281.0</v>
      </c>
      <c r="F668" s="359">
        <v>39.0</v>
      </c>
      <c r="G668" s="359">
        <v>0.0</v>
      </c>
      <c r="H668" s="359">
        <v>26.0</v>
      </c>
      <c r="I668" s="359">
        <v>26.0</v>
      </c>
      <c r="J668" s="360">
        <v>0.0</v>
      </c>
      <c r="K668" s="18" t="s">
        <v>155</v>
      </c>
      <c r="L668" s="18">
        <v>3.246140909E9</v>
      </c>
      <c r="M668" s="18" t="s">
        <v>156</v>
      </c>
      <c r="N668" s="18" t="s">
        <v>157</v>
      </c>
      <c r="O668" s="18" t="s">
        <v>158</v>
      </c>
      <c r="P668" s="18" t="s">
        <v>7041</v>
      </c>
      <c r="Q668" s="20">
        <f>COUNTIF('Hedef Liste'!A:A,A668)</f>
        <v>1</v>
      </c>
    </row>
    <row r="669" ht="15.75" hidden="1" customHeight="1">
      <c r="A669" s="18" t="s">
        <v>1258</v>
      </c>
      <c r="B669" s="18" t="s">
        <v>1259</v>
      </c>
      <c r="C669" s="358" t="s">
        <v>7040</v>
      </c>
      <c r="D669" s="18" t="s">
        <v>118</v>
      </c>
      <c r="E669" s="359">
        <v>209.0</v>
      </c>
      <c r="F669" s="359">
        <v>37.0</v>
      </c>
      <c r="G669" s="359">
        <v>0.0</v>
      </c>
      <c r="H669" s="359">
        <v>10.0</v>
      </c>
      <c r="I669" s="359">
        <v>10.0</v>
      </c>
      <c r="J669" s="360">
        <v>0.0</v>
      </c>
      <c r="K669" s="18" t="s">
        <v>1260</v>
      </c>
      <c r="L669" s="18">
        <v>3.242340908E9</v>
      </c>
      <c r="M669" s="18" t="s">
        <v>137</v>
      </c>
      <c r="N669" s="18" t="s">
        <v>1261</v>
      </c>
      <c r="O669" s="18" t="s">
        <v>1262</v>
      </c>
      <c r="P669" s="18" t="s">
        <v>7041</v>
      </c>
      <c r="Q669" s="20">
        <f>COUNTIF('Hedef Liste'!A:A,A669)</f>
        <v>1</v>
      </c>
    </row>
    <row r="670" ht="15.75" hidden="1" customHeight="1">
      <c r="A670" s="18" t="s">
        <v>7367</v>
      </c>
      <c r="B670" s="18" t="s">
        <v>7368</v>
      </c>
      <c r="C670" s="358" t="s">
        <v>7040</v>
      </c>
      <c r="D670" s="18" t="s">
        <v>70</v>
      </c>
      <c r="E670" s="359">
        <v>2132.0</v>
      </c>
      <c r="F670" s="359">
        <v>282.0</v>
      </c>
      <c r="G670" s="359">
        <v>12.0</v>
      </c>
      <c r="H670" s="359">
        <v>20.0</v>
      </c>
      <c r="I670" s="359">
        <v>32.0</v>
      </c>
      <c r="J670" s="360">
        <v>0.38</v>
      </c>
      <c r="K670" s="18" t="s">
        <v>7369</v>
      </c>
      <c r="L670" s="18">
        <v>3.246220303E9</v>
      </c>
      <c r="M670" s="18" t="s">
        <v>156</v>
      </c>
      <c r="N670" s="18" t="s">
        <v>7135</v>
      </c>
      <c r="O670" s="18" t="s">
        <v>7370</v>
      </c>
      <c r="P670" s="18" t="s">
        <v>7041</v>
      </c>
      <c r="Q670" s="20">
        <f>COUNTIF('Hedef Liste'!A:A,A670)</f>
        <v>0</v>
      </c>
    </row>
    <row r="671" ht="15.75" hidden="1" customHeight="1">
      <c r="A671" s="18" t="s">
        <v>7371</v>
      </c>
      <c r="B671" s="18" t="s">
        <v>7372</v>
      </c>
      <c r="C671" s="358" t="s">
        <v>7040</v>
      </c>
      <c r="D671" s="18" t="s">
        <v>167</v>
      </c>
      <c r="E671" s="359">
        <v>69.0</v>
      </c>
      <c r="F671" s="359">
        <v>15.0</v>
      </c>
      <c r="G671" s="359">
        <v>57.0</v>
      </c>
      <c r="H671" s="359">
        <v>0.0</v>
      </c>
      <c r="I671" s="359">
        <v>57.0</v>
      </c>
      <c r="J671" s="360">
        <v>1.0</v>
      </c>
      <c r="K671" s="18" t="s">
        <v>3541</v>
      </c>
      <c r="L671" s="18">
        <v>5.523782588E9</v>
      </c>
      <c r="M671" s="18" t="s">
        <v>72</v>
      </c>
      <c r="N671" s="18" t="s">
        <v>415</v>
      </c>
      <c r="O671" s="18" t="s">
        <v>7373</v>
      </c>
      <c r="P671" s="18" t="s">
        <v>7047</v>
      </c>
      <c r="Q671" s="20">
        <f>COUNTIF('Hedef Liste'!A:A,A671)</f>
        <v>0</v>
      </c>
    </row>
    <row r="672" ht="15.75" hidden="1" customHeight="1">
      <c r="A672" s="18" t="s">
        <v>4203</v>
      </c>
      <c r="B672" s="18" t="s">
        <v>4204</v>
      </c>
      <c r="C672" s="358" t="s">
        <v>7040</v>
      </c>
      <c r="D672" s="18" t="s">
        <v>118</v>
      </c>
      <c r="E672" s="359">
        <v>44.0</v>
      </c>
      <c r="F672" s="359">
        <v>2.0</v>
      </c>
      <c r="G672" s="359">
        <v>9.0</v>
      </c>
      <c r="H672" s="359">
        <v>10.0</v>
      </c>
      <c r="I672" s="359">
        <v>19.0</v>
      </c>
      <c r="J672" s="360">
        <v>0.47</v>
      </c>
      <c r="K672" s="18" t="s">
        <v>4205</v>
      </c>
      <c r="L672" s="18">
        <v>5.308670338E9</v>
      </c>
      <c r="M672" s="18" t="s">
        <v>137</v>
      </c>
      <c r="N672" s="18" t="s">
        <v>526</v>
      </c>
      <c r="O672" s="18" t="s">
        <v>4206</v>
      </c>
      <c r="P672" s="18" t="s">
        <v>7041</v>
      </c>
      <c r="Q672" s="20">
        <f>COUNTIF('Hedef Liste'!A:A,A672)</f>
        <v>1</v>
      </c>
    </row>
    <row r="673" ht="15.75" hidden="1" customHeight="1">
      <c r="A673" s="18" t="s">
        <v>5534</v>
      </c>
      <c r="B673" s="18" t="s">
        <v>5535</v>
      </c>
      <c r="C673" s="358" t="s">
        <v>7040</v>
      </c>
      <c r="D673" s="18" t="s">
        <v>564</v>
      </c>
      <c r="E673" s="359">
        <v>1903.0</v>
      </c>
      <c r="F673" s="359">
        <v>120.0</v>
      </c>
      <c r="G673" s="359">
        <v>8.0</v>
      </c>
      <c r="H673" s="359">
        <v>0.0</v>
      </c>
      <c r="I673" s="359">
        <v>8.0</v>
      </c>
      <c r="J673" s="360">
        <v>1.0</v>
      </c>
      <c r="K673" s="18" t="s">
        <v>7374</v>
      </c>
      <c r="L673" s="18">
        <v>3.24341101E9</v>
      </c>
      <c r="M673" s="18" t="s">
        <v>72</v>
      </c>
      <c r="N673" s="18" t="s">
        <v>915</v>
      </c>
      <c r="O673" s="18" t="s">
        <v>5538</v>
      </c>
      <c r="P673" s="18" t="s">
        <v>7047</v>
      </c>
      <c r="Q673" s="20">
        <f>COUNTIF('Hedef Liste'!A:A,A673)</f>
        <v>0</v>
      </c>
    </row>
    <row r="674" ht="15.75" hidden="1" customHeight="1">
      <c r="A674" s="18" t="s">
        <v>758</v>
      </c>
      <c r="B674" s="18" t="s">
        <v>759</v>
      </c>
      <c r="C674" s="358" t="s">
        <v>7040</v>
      </c>
      <c r="D674" s="18" t="s">
        <v>80</v>
      </c>
      <c r="E674" s="359">
        <v>725.0</v>
      </c>
      <c r="F674" s="359">
        <v>114.0</v>
      </c>
      <c r="G674" s="359">
        <v>15.0</v>
      </c>
      <c r="H674" s="359">
        <v>30.0</v>
      </c>
      <c r="I674" s="359">
        <v>45.0</v>
      </c>
      <c r="J674" s="360">
        <v>0.33</v>
      </c>
      <c r="K674" s="18" t="s">
        <v>760</v>
      </c>
      <c r="L674" s="18">
        <v>3.243581312E9</v>
      </c>
      <c r="M674" s="18" t="s">
        <v>63</v>
      </c>
      <c r="N674" s="18" t="s">
        <v>566</v>
      </c>
      <c r="O674" s="18" t="s">
        <v>761</v>
      </c>
      <c r="P674" s="18" t="s">
        <v>7041</v>
      </c>
      <c r="Q674" s="20">
        <f>COUNTIF('Hedef Liste'!A:A,A674)</f>
        <v>1</v>
      </c>
    </row>
    <row r="675" ht="15.75" hidden="1" customHeight="1">
      <c r="A675" s="18" t="s">
        <v>2210</v>
      </c>
      <c r="B675" s="18" t="s">
        <v>2211</v>
      </c>
      <c r="C675" s="358" t="s">
        <v>7040</v>
      </c>
      <c r="D675" s="18" t="s">
        <v>80</v>
      </c>
      <c r="E675" s="359">
        <v>4170.0</v>
      </c>
      <c r="F675" s="359">
        <v>154.0</v>
      </c>
      <c r="G675" s="359">
        <v>11.0</v>
      </c>
      <c r="H675" s="359">
        <v>6.0</v>
      </c>
      <c r="I675" s="359">
        <v>17.0</v>
      </c>
      <c r="J675" s="361">
        <v>0.65</v>
      </c>
      <c r="K675" s="18" t="s">
        <v>2212</v>
      </c>
      <c r="L675" s="18">
        <v>3.242231686E9</v>
      </c>
      <c r="M675" s="18" t="s">
        <v>215</v>
      </c>
      <c r="N675" s="18" t="s">
        <v>288</v>
      </c>
      <c r="O675" s="18" t="s">
        <v>2213</v>
      </c>
      <c r="P675" s="18" t="s">
        <v>7041</v>
      </c>
      <c r="Q675" s="20">
        <f>COUNTIF('Hedef Liste'!A:A,A675)</f>
        <v>1</v>
      </c>
    </row>
    <row r="676" ht="15.75" hidden="1" customHeight="1">
      <c r="A676" s="18" t="s">
        <v>3867</v>
      </c>
      <c r="B676" s="18" t="s">
        <v>3868</v>
      </c>
      <c r="C676" s="358" t="s">
        <v>7040</v>
      </c>
      <c r="D676" s="18" t="s">
        <v>363</v>
      </c>
      <c r="E676" s="359">
        <v>288.0</v>
      </c>
      <c r="F676" s="18"/>
      <c r="G676" s="359">
        <v>19.0</v>
      </c>
      <c r="H676" s="359">
        <v>6.0</v>
      </c>
      <c r="I676" s="359">
        <v>25.0</v>
      </c>
      <c r="J676" s="360">
        <v>0.76</v>
      </c>
      <c r="K676" s="18" t="s">
        <v>3869</v>
      </c>
      <c r="L676" s="18">
        <v>3.243255802E9</v>
      </c>
      <c r="M676" s="18" t="s">
        <v>72</v>
      </c>
      <c r="N676" s="18" t="s">
        <v>716</v>
      </c>
      <c r="O676" s="18" t="s">
        <v>3870</v>
      </c>
      <c r="P676" s="18" t="s">
        <v>7041</v>
      </c>
      <c r="Q676" s="20">
        <f>COUNTIF('Hedef Liste'!A:A,A676)</f>
        <v>1</v>
      </c>
    </row>
    <row r="677" ht="15.75" hidden="1" customHeight="1">
      <c r="A677" s="18" t="s">
        <v>7375</v>
      </c>
      <c r="B677" s="18" t="s">
        <v>7376</v>
      </c>
      <c r="C677" s="358" t="s">
        <v>7040</v>
      </c>
      <c r="D677" s="18" t="s">
        <v>363</v>
      </c>
      <c r="E677" s="359">
        <v>120.0</v>
      </c>
      <c r="F677" s="359">
        <v>10.0</v>
      </c>
      <c r="G677" s="359">
        <v>56.0</v>
      </c>
      <c r="H677" s="359">
        <v>11.0</v>
      </c>
      <c r="I677" s="359">
        <v>67.0</v>
      </c>
      <c r="J677" s="360">
        <v>0.84</v>
      </c>
      <c r="K677" s="18" t="s">
        <v>7377</v>
      </c>
      <c r="L677" s="18">
        <v>5.013533353E9</v>
      </c>
      <c r="M677" s="18" t="s">
        <v>63</v>
      </c>
      <c r="N677" s="18" t="s">
        <v>1148</v>
      </c>
      <c r="O677" s="18" t="s">
        <v>7378</v>
      </c>
      <c r="P677" s="18" t="s">
        <v>7041</v>
      </c>
      <c r="Q677" s="20">
        <f>COUNTIF('Hedef Liste'!A:A,A677)</f>
        <v>0</v>
      </c>
    </row>
    <row r="678" ht="15.75" hidden="1" customHeight="1">
      <c r="A678" s="18" t="s">
        <v>7379</v>
      </c>
      <c r="B678" s="18" t="s">
        <v>4870</v>
      </c>
      <c r="C678" s="358" t="s">
        <v>7040</v>
      </c>
      <c r="D678" s="18" t="s">
        <v>564</v>
      </c>
      <c r="E678" s="359">
        <v>329.0</v>
      </c>
      <c r="F678" s="359">
        <v>18.0</v>
      </c>
      <c r="G678" s="359">
        <v>9.0</v>
      </c>
      <c r="H678" s="359">
        <v>4.0</v>
      </c>
      <c r="I678" s="359">
        <v>13.0</v>
      </c>
      <c r="J678" s="360">
        <v>0.69</v>
      </c>
      <c r="K678" s="18" t="s">
        <v>7380</v>
      </c>
      <c r="L678" s="18">
        <v>5.301203362E9</v>
      </c>
      <c r="M678" s="18" t="s">
        <v>63</v>
      </c>
      <c r="N678" s="18" t="s">
        <v>318</v>
      </c>
      <c r="O678" s="18" t="s">
        <v>4873</v>
      </c>
      <c r="P678" s="18" t="s">
        <v>7041</v>
      </c>
      <c r="Q678" s="20">
        <f>COUNTIF('Hedef Liste'!A:A,A678)</f>
        <v>0</v>
      </c>
    </row>
    <row r="679" ht="15.75" hidden="1" customHeight="1">
      <c r="A679" s="18" t="s">
        <v>4358</v>
      </c>
      <c r="B679" s="18" t="s">
        <v>4359</v>
      </c>
      <c r="C679" s="358" t="s">
        <v>7040</v>
      </c>
      <c r="D679" s="18" t="s">
        <v>70</v>
      </c>
      <c r="E679" s="359">
        <v>679.0</v>
      </c>
      <c r="F679" s="359">
        <v>58.0</v>
      </c>
      <c r="G679" s="359">
        <v>0.0</v>
      </c>
      <c r="H679" s="359">
        <v>14.0</v>
      </c>
      <c r="I679" s="359">
        <v>14.0</v>
      </c>
      <c r="J679" s="360">
        <v>0.0</v>
      </c>
      <c r="K679" s="18" t="s">
        <v>4360</v>
      </c>
      <c r="L679" s="18">
        <v>5.492183355E9</v>
      </c>
      <c r="M679" s="18" t="s">
        <v>63</v>
      </c>
      <c r="N679" s="18" t="s">
        <v>4361</v>
      </c>
      <c r="O679" s="18" t="s">
        <v>4362</v>
      </c>
      <c r="P679" s="18" t="s">
        <v>7041</v>
      </c>
      <c r="Q679" s="20">
        <f>COUNTIF('Hedef Liste'!A:A,A679)</f>
        <v>1</v>
      </c>
    </row>
    <row r="680" ht="15.75" hidden="1" customHeight="1">
      <c r="A680" s="18" t="s">
        <v>3322</v>
      </c>
      <c r="B680" s="18" t="s">
        <v>3323</v>
      </c>
      <c r="C680" s="358" t="s">
        <v>7040</v>
      </c>
      <c r="D680" s="18" t="s">
        <v>45</v>
      </c>
      <c r="E680" s="359">
        <v>900.0</v>
      </c>
      <c r="F680" s="359">
        <v>71.0</v>
      </c>
      <c r="G680" s="359">
        <v>0.0</v>
      </c>
      <c r="H680" s="359">
        <v>32.0</v>
      </c>
      <c r="I680" s="359">
        <v>32.0</v>
      </c>
      <c r="J680" s="360">
        <v>0.0</v>
      </c>
      <c r="K680" s="18" t="s">
        <v>584</v>
      </c>
      <c r="L680" s="18">
        <v>5.531263333E9</v>
      </c>
      <c r="M680" s="18" t="s">
        <v>215</v>
      </c>
      <c r="N680" s="18" t="s">
        <v>227</v>
      </c>
      <c r="O680" s="18" t="s">
        <v>585</v>
      </c>
      <c r="P680" s="18" t="s">
        <v>7041</v>
      </c>
      <c r="Q680" s="20">
        <f>COUNTIF('Hedef Liste'!A:A,A680)</f>
        <v>1</v>
      </c>
    </row>
    <row r="681" ht="15.75" hidden="1" customHeight="1">
      <c r="A681" s="18" t="s">
        <v>2337</v>
      </c>
      <c r="B681" s="18" t="s">
        <v>2338</v>
      </c>
      <c r="C681" s="358" t="s">
        <v>7040</v>
      </c>
      <c r="D681" s="18" t="s">
        <v>363</v>
      </c>
      <c r="E681" s="359">
        <v>1703.0</v>
      </c>
      <c r="F681" s="359">
        <v>109.0</v>
      </c>
      <c r="G681" s="359">
        <v>20.0</v>
      </c>
      <c r="H681" s="359">
        <v>40.0</v>
      </c>
      <c r="I681" s="359">
        <v>60.0</v>
      </c>
      <c r="J681" s="360">
        <v>0.33</v>
      </c>
      <c r="K681" s="18" t="s">
        <v>819</v>
      </c>
      <c r="L681" s="18">
        <v>5.443451303E9</v>
      </c>
      <c r="M681" s="18" t="s">
        <v>72</v>
      </c>
      <c r="N681" s="18" t="s">
        <v>82</v>
      </c>
      <c r="O681" s="18" t="s">
        <v>2339</v>
      </c>
      <c r="P681" s="18" t="s">
        <v>7041</v>
      </c>
      <c r="Q681" s="20">
        <f>COUNTIF('Hedef Liste'!A:A,A681)</f>
        <v>1</v>
      </c>
    </row>
    <row r="682" ht="15.75" hidden="1" customHeight="1">
      <c r="A682" s="18" t="s">
        <v>4198</v>
      </c>
      <c r="B682" s="18" t="s">
        <v>4199</v>
      </c>
      <c r="C682" s="358" t="s">
        <v>7040</v>
      </c>
      <c r="D682" s="18" t="s">
        <v>363</v>
      </c>
      <c r="E682" s="359">
        <v>228.0</v>
      </c>
      <c r="F682" s="359">
        <v>29.0</v>
      </c>
      <c r="G682" s="359">
        <v>0.0</v>
      </c>
      <c r="H682" s="359">
        <v>18.0</v>
      </c>
      <c r="I682" s="359">
        <v>18.0</v>
      </c>
      <c r="J682" s="360">
        <v>0.0</v>
      </c>
      <c r="K682" s="18" t="s">
        <v>4200</v>
      </c>
      <c r="L682" s="18">
        <v>5.013592003E9</v>
      </c>
      <c r="M682" s="18" t="s">
        <v>156</v>
      </c>
      <c r="N682" s="18" t="s">
        <v>4201</v>
      </c>
      <c r="O682" s="18" t="s">
        <v>4202</v>
      </c>
      <c r="P682" s="18" t="s">
        <v>7041</v>
      </c>
      <c r="Q682" s="20">
        <f>COUNTIF('Hedef Liste'!A:A,A682)</f>
        <v>1</v>
      </c>
    </row>
    <row r="683" ht="15.75" hidden="1" customHeight="1">
      <c r="A683" s="18" t="s">
        <v>7381</v>
      </c>
      <c r="B683" s="18" t="s">
        <v>7382</v>
      </c>
      <c r="C683" s="358" t="s">
        <v>7040</v>
      </c>
      <c r="D683" s="18" t="s">
        <v>167</v>
      </c>
      <c r="E683" s="359">
        <v>663.0</v>
      </c>
      <c r="F683" s="359">
        <v>60.0</v>
      </c>
      <c r="G683" s="359">
        <v>71.0</v>
      </c>
      <c r="H683" s="359">
        <v>7.0</v>
      </c>
      <c r="I683" s="359">
        <v>78.0</v>
      </c>
      <c r="J683" s="360">
        <v>0.91</v>
      </c>
      <c r="K683" s="18" t="s">
        <v>7045</v>
      </c>
      <c r="L683" s="18">
        <v>5.350132215E9</v>
      </c>
      <c r="M683" s="18" t="s">
        <v>63</v>
      </c>
      <c r="N683" s="18" t="s">
        <v>318</v>
      </c>
      <c r="O683" s="18" t="s">
        <v>7383</v>
      </c>
      <c r="P683" s="18" t="s">
        <v>7047</v>
      </c>
      <c r="Q683" s="20">
        <f>COUNTIF('Hedef Liste'!A:A,A683)</f>
        <v>0</v>
      </c>
    </row>
    <row r="684" ht="15.75" hidden="1" customHeight="1">
      <c r="A684" s="18" t="s">
        <v>1225</v>
      </c>
      <c r="B684" s="18" t="s">
        <v>1226</v>
      </c>
      <c r="C684" s="358" t="s">
        <v>7040</v>
      </c>
      <c r="D684" s="18" t="s">
        <v>80</v>
      </c>
      <c r="E684" s="359">
        <v>121.0</v>
      </c>
      <c r="F684" s="359">
        <v>59.0</v>
      </c>
      <c r="G684" s="359">
        <v>13.0</v>
      </c>
      <c r="H684" s="359">
        <v>10.0</v>
      </c>
      <c r="I684" s="359">
        <v>23.0</v>
      </c>
      <c r="J684" s="360">
        <v>0.57</v>
      </c>
      <c r="K684" s="18" t="s">
        <v>1227</v>
      </c>
      <c r="L684" s="18">
        <v>3.243241816E9</v>
      </c>
      <c r="M684" s="18" t="s">
        <v>215</v>
      </c>
      <c r="N684" s="18" t="s">
        <v>1190</v>
      </c>
      <c r="O684" s="18" t="s">
        <v>1228</v>
      </c>
      <c r="P684" s="18" t="s">
        <v>7041</v>
      </c>
      <c r="Q684" s="20">
        <f>COUNTIF('Hedef Liste'!A:A,A684)</f>
        <v>1</v>
      </c>
    </row>
    <row r="685" ht="15.75" hidden="1" customHeight="1">
      <c r="A685" s="18" t="s">
        <v>7384</v>
      </c>
      <c r="B685" s="18" t="s">
        <v>7385</v>
      </c>
      <c r="C685" s="358" t="s">
        <v>7062</v>
      </c>
      <c r="D685" s="18" t="s">
        <v>167</v>
      </c>
      <c r="E685" s="18"/>
      <c r="F685" s="18"/>
      <c r="G685" s="359">
        <v>90.0</v>
      </c>
      <c r="H685" s="359">
        <v>89.0</v>
      </c>
      <c r="I685" s="359">
        <v>179.0</v>
      </c>
      <c r="J685" s="360">
        <v>0.5</v>
      </c>
      <c r="K685" s="18" t="s">
        <v>7386</v>
      </c>
      <c r="L685" s="18">
        <v>5.332194377E9</v>
      </c>
      <c r="M685" s="18" t="s">
        <v>47</v>
      </c>
      <c r="N685" s="18" t="s">
        <v>608</v>
      </c>
      <c r="O685" s="18" t="s">
        <v>7387</v>
      </c>
      <c r="P685" s="18" t="s">
        <v>7047</v>
      </c>
      <c r="Q685" s="20">
        <f>COUNTIF('Hedef Liste'!A:A,A685)</f>
        <v>0</v>
      </c>
    </row>
    <row r="686" ht="15.75" hidden="1" customHeight="1">
      <c r="A686" s="18" t="s">
        <v>1710</v>
      </c>
      <c r="B686" s="18" t="s">
        <v>1711</v>
      </c>
      <c r="C686" s="358" t="s">
        <v>7040</v>
      </c>
      <c r="D686" s="18" t="s">
        <v>80</v>
      </c>
      <c r="E686" s="359">
        <v>462.0</v>
      </c>
      <c r="F686" s="359">
        <v>26.0</v>
      </c>
      <c r="G686" s="359">
        <v>0.0</v>
      </c>
      <c r="H686" s="359">
        <v>18.0</v>
      </c>
      <c r="I686" s="359">
        <v>18.0</v>
      </c>
      <c r="J686" s="360">
        <v>0.0</v>
      </c>
      <c r="K686" s="18" t="s">
        <v>794</v>
      </c>
      <c r="L686" s="18">
        <v>5.380249486E9</v>
      </c>
      <c r="M686" s="18" t="s">
        <v>156</v>
      </c>
      <c r="N686" s="18" t="s">
        <v>283</v>
      </c>
      <c r="O686" s="18" t="s">
        <v>1712</v>
      </c>
      <c r="P686" s="18" t="s">
        <v>7041</v>
      </c>
      <c r="Q686" s="20">
        <f>COUNTIF('Hedef Liste'!A:A,A686)</f>
        <v>1</v>
      </c>
    </row>
    <row r="687" ht="15.75" hidden="1" customHeight="1">
      <c r="A687" s="18" t="s">
        <v>4231</v>
      </c>
      <c r="B687" s="18" t="s">
        <v>4232</v>
      </c>
      <c r="C687" s="358" t="s">
        <v>7040</v>
      </c>
      <c r="D687" s="18" t="s">
        <v>106</v>
      </c>
      <c r="E687" s="359">
        <v>162.0</v>
      </c>
      <c r="F687" s="359">
        <v>8.0</v>
      </c>
      <c r="G687" s="359">
        <v>0.0</v>
      </c>
      <c r="H687" s="359">
        <v>22.0</v>
      </c>
      <c r="I687" s="359">
        <v>22.0</v>
      </c>
      <c r="J687" s="360">
        <v>0.0</v>
      </c>
      <c r="K687" s="18" t="s">
        <v>4233</v>
      </c>
      <c r="L687" s="18">
        <v>5.417257356E9</v>
      </c>
      <c r="M687" s="18" t="s">
        <v>215</v>
      </c>
      <c r="N687" s="18" t="s">
        <v>442</v>
      </c>
      <c r="O687" s="18" t="s">
        <v>4234</v>
      </c>
      <c r="P687" s="18" t="s">
        <v>7041</v>
      </c>
      <c r="Q687" s="20">
        <f>COUNTIF('Hedef Liste'!A:A,A687)</f>
        <v>1</v>
      </c>
    </row>
    <row r="688" ht="15.75" hidden="1" customHeight="1">
      <c r="A688" s="18" t="s">
        <v>4461</v>
      </c>
      <c r="B688" s="18" t="s">
        <v>4462</v>
      </c>
      <c r="C688" s="358" t="s">
        <v>7040</v>
      </c>
      <c r="D688" s="18" t="s">
        <v>558</v>
      </c>
      <c r="E688" s="359">
        <v>172.0</v>
      </c>
      <c r="F688" s="359">
        <v>27.0</v>
      </c>
      <c r="G688" s="359">
        <v>43.0</v>
      </c>
      <c r="H688" s="359">
        <v>95.0</v>
      </c>
      <c r="I688" s="359">
        <v>138.0</v>
      </c>
      <c r="J688" s="360">
        <v>0.31</v>
      </c>
      <c r="K688" s="18" t="s">
        <v>4463</v>
      </c>
      <c r="L688" s="18">
        <v>5.336400633E9</v>
      </c>
      <c r="M688" s="18" t="s">
        <v>72</v>
      </c>
      <c r="N688" s="18" t="s">
        <v>113</v>
      </c>
      <c r="O688" s="18" t="s">
        <v>4464</v>
      </c>
      <c r="P688" s="18" t="s">
        <v>7041</v>
      </c>
      <c r="Q688" s="20">
        <f>COUNTIF('Hedef Liste'!A:A,A688)</f>
        <v>1</v>
      </c>
    </row>
    <row r="689" ht="15.75" hidden="1" customHeight="1">
      <c r="A689" s="18" t="s">
        <v>7388</v>
      </c>
      <c r="B689" s="18" t="s">
        <v>7389</v>
      </c>
      <c r="C689" s="358" t="s">
        <v>7040</v>
      </c>
      <c r="D689" s="18" t="s">
        <v>167</v>
      </c>
      <c r="E689" s="359">
        <v>170.0</v>
      </c>
      <c r="F689" s="359">
        <v>20.0</v>
      </c>
      <c r="G689" s="359">
        <v>63.0</v>
      </c>
      <c r="H689" s="359">
        <v>0.0</v>
      </c>
      <c r="I689" s="359">
        <v>63.0</v>
      </c>
      <c r="J689" s="360">
        <v>1.0</v>
      </c>
      <c r="K689" s="18" t="s">
        <v>7390</v>
      </c>
      <c r="L689" s="18">
        <v>5.551006737E9</v>
      </c>
      <c r="M689" s="18" t="s">
        <v>187</v>
      </c>
      <c r="N689" s="18" t="s">
        <v>3860</v>
      </c>
      <c r="O689" s="18" t="s">
        <v>7391</v>
      </c>
      <c r="P689" s="18" t="s">
        <v>7047</v>
      </c>
      <c r="Q689" s="20">
        <f>COUNTIF('Hedef Liste'!A:A,A689)</f>
        <v>0</v>
      </c>
    </row>
    <row r="690" ht="15.75" hidden="1" customHeight="1">
      <c r="A690" s="18" t="s">
        <v>1862</v>
      </c>
      <c r="B690" s="18" t="s">
        <v>1863</v>
      </c>
      <c r="C690" s="358" t="s">
        <v>7040</v>
      </c>
      <c r="D690" s="18" t="s">
        <v>451</v>
      </c>
      <c r="E690" s="359">
        <v>1103.0</v>
      </c>
      <c r="F690" s="359">
        <v>130.0</v>
      </c>
      <c r="G690" s="359">
        <v>0.0</v>
      </c>
      <c r="H690" s="359">
        <v>16.0</v>
      </c>
      <c r="I690" s="359">
        <v>16.0</v>
      </c>
      <c r="J690" s="360">
        <v>0.0</v>
      </c>
      <c r="K690" s="18" t="s">
        <v>1864</v>
      </c>
      <c r="L690" s="18">
        <v>5.511457432E9</v>
      </c>
      <c r="M690" s="18" t="s">
        <v>72</v>
      </c>
      <c r="N690" s="18" t="s">
        <v>82</v>
      </c>
      <c r="O690" s="18" t="s">
        <v>1865</v>
      </c>
      <c r="P690" s="18" t="s">
        <v>7041</v>
      </c>
      <c r="Q690" s="20">
        <f>COUNTIF('Hedef Liste'!A:A,A690)</f>
        <v>1</v>
      </c>
    </row>
    <row r="691" ht="15.75" hidden="1" customHeight="1">
      <c r="A691" s="18" t="s">
        <v>254</v>
      </c>
      <c r="B691" s="18" t="s">
        <v>255</v>
      </c>
      <c r="C691" s="358" t="s">
        <v>7040</v>
      </c>
      <c r="D691" s="18" t="s">
        <v>167</v>
      </c>
      <c r="E691" s="359">
        <v>671.0</v>
      </c>
      <c r="F691" s="359">
        <v>40.0</v>
      </c>
      <c r="G691" s="359">
        <v>10.0</v>
      </c>
      <c r="H691" s="359">
        <v>2.0</v>
      </c>
      <c r="I691" s="359">
        <v>12.0</v>
      </c>
      <c r="J691" s="360">
        <v>0.83</v>
      </c>
      <c r="K691" s="18" t="s">
        <v>256</v>
      </c>
      <c r="L691" s="18">
        <v>3.243370037E9</v>
      </c>
      <c r="M691" s="18" t="s">
        <v>137</v>
      </c>
      <c r="N691" s="18" t="s">
        <v>526</v>
      </c>
      <c r="O691" s="18" t="s">
        <v>257</v>
      </c>
      <c r="P691" s="18" t="s">
        <v>7041</v>
      </c>
      <c r="Q691" s="20">
        <f>COUNTIF('Hedef Liste'!A:A,A691)</f>
        <v>1</v>
      </c>
    </row>
    <row r="692" ht="15.75" hidden="1" customHeight="1">
      <c r="A692" s="18" t="s">
        <v>4490</v>
      </c>
      <c r="B692" s="18" t="s">
        <v>7392</v>
      </c>
      <c r="C692" s="358" t="s">
        <v>7040</v>
      </c>
      <c r="D692" s="18" t="s">
        <v>106</v>
      </c>
      <c r="E692" s="359">
        <v>975.0</v>
      </c>
      <c r="F692" s="359">
        <v>95.0</v>
      </c>
      <c r="G692" s="359">
        <v>17.0</v>
      </c>
      <c r="H692" s="359">
        <v>3.0</v>
      </c>
      <c r="I692" s="359">
        <v>20.0</v>
      </c>
      <c r="J692" s="360">
        <v>0.85</v>
      </c>
      <c r="K692" s="18" t="s">
        <v>4492</v>
      </c>
      <c r="L692" s="18">
        <v>3.243220024E9</v>
      </c>
      <c r="M692" s="18" t="s">
        <v>215</v>
      </c>
      <c r="N692" s="18" t="s">
        <v>2416</v>
      </c>
      <c r="O692" s="18" t="s">
        <v>4493</v>
      </c>
      <c r="P692" s="18" t="s">
        <v>7041</v>
      </c>
      <c r="Q692" s="20">
        <f>COUNTIF('Hedef Liste'!A:A,A692)</f>
        <v>1</v>
      </c>
    </row>
    <row r="693" ht="15.75" hidden="1" customHeight="1">
      <c r="A693" s="18" t="s">
        <v>7393</v>
      </c>
      <c r="B693" s="18" t="s">
        <v>7394</v>
      </c>
      <c r="C693" s="358" t="s">
        <v>7040</v>
      </c>
      <c r="D693" s="18" t="s">
        <v>372</v>
      </c>
      <c r="E693" s="359">
        <v>5866.0</v>
      </c>
      <c r="F693" s="359">
        <v>309.0</v>
      </c>
      <c r="G693" s="359">
        <v>77.0</v>
      </c>
      <c r="H693" s="359">
        <v>26.0</v>
      </c>
      <c r="I693" s="359">
        <v>103.0</v>
      </c>
      <c r="J693" s="360">
        <v>0.75</v>
      </c>
      <c r="K693" s="18" t="s">
        <v>7179</v>
      </c>
      <c r="L693" s="18">
        <v>3.245025E9</v>
      </c>
      <c r="M693" s="18" t="s">
        <v>72</v>
      </c>
      <c r="N693" s="18" t="s">
        <v>1090</v>
      </c>
      <c r="O693" s="18" t="s">
        <v>7395</v>
      </c>
      <c r="P693" s="18" t="s">
        <v>7047</v>
      </c>
      <c r="Q693" s="20">
        <f>COUNTIF('Hedef Liste'!A:A,A693)</f>
        <v>0</v>
      </c>
    </row>
    <row r="694" ht="15.75" hidden="1" customHeight="1">
      <c r="A694" s="18" t="s">
        <v>3162</v>
      </c>
      <c r="B694" s="18" t="s">
        <v>3163</v>
      </c>
      <c r="C694" s="358" t="s">
        <v>7040</v>
      </c>
      <c r="D694" s="18" t="s">
        <v>913</v>
      </c>
      <c r="E694" s="359">
        <v>2032.0</v>
      </c>
      <c r="F694" s="359">
        <v>267.0</v>
      </c>
      <c r="G694" s="359">
        <v>21.0</v>
      </c>
      <c r="H694" s="359">
        <v>59.0</v>
      </c>
      <c r="I694" s="359">
        <v>80.0</v>
      </c>
      <c r="J694" s="360">
        <v>0.26</v>
      </c>
      <c r="K694" s="18" t="s">
        <v>3164</v>
      </c>
      <c r="L694" s="18">
        <v>5.424093373E9</v>
      </c>
      <c r="M694" s="18" t="s">
        <v>72</v>
      </c>
      <c r="N694" s="18" t="s">
        <v>82</v>
      </c>
      <c r="O694" s="18" t="s">
        <v>3165</v>
      </c>
      <c r="P694" s="18" t="s">
        <v>7041</v>
      </c>
      <c r="Q694" s="20">
        <f>COUNTIF('Hedef Liste'!A:A,A694)</f>
        <v>1</v>
      </c>
    </row>
    <row r="695" ht="15.75" hidden="1" customHeight="1">
      <c r="A695" s="18" t="s">
        <v>2803</v>
      </c>
      <c r="B695" s="18" t="s">
        <v>2804</v>
      </c>
      <c r="C695" s="358" t="s">
        <v>7040</v>
      </c>
      <c r="D695" s="18" t="s">
        <v>363</v>
      </c>
      <c r="E695" s="359">
        <v>431.0</v>
      </c>
      <c r="F695" s="359">
        <v>74.0</v>
      </c>
      <c r="G695" s="359">
        <v>24.0</v>
      </c>
      <c r="H695" s="359">
        <v>17.0</v>
      </c>
      <c r="I695" s="359">
        <v>41.0</v>
      </c>
      <c r="J695" s="360">
        <v>0.59</v>
      </c>
      <c r="K695" s="18" t="s">
        <v>2805</v>
      </c>
      <c r="L695" s="18">
        <v>3.246250161E9</v>
      </c>
      <c r="M695" s="18" t="s">
        <v>156</v>
      </c>
      <c r="N695" s="18" t="s">
        <v>306</v>
      </c>
      <c r="O695" s="18" t="s">
        <v>2806</v>
      </c>
      <c r="P695" s="18" t="s">
        <v>7041</v>
      </c>
      <c r="Q695" s="20">
        <f>COUNTIF('Hedef Liste'!A:A,A695)</f>
        <v>1</v>
      </c>
    </row>
    <row r="696" ht="15.75" hidden="1" customHeight="1">
      <c r="A696" s="18" t="s">
        <v>4391</v>
      </c>
      <c r="B696" s="18" t="s">
        <v>4392</v>
      </c>
      <c r="C696" s="358" t="s">
        <v>7040</v>
      </c>
      <c r="D696" s="18" t="s">
        <v>167</v>
      </c>
      <c r="E696" s="359">
        <v>109.0</v>
      </c>
      <c r="F696" s="359">
        <v>4.0</v>
      </c>
      <c r="G696" s="359">
        <v>9.0</v>
      </c>
      <c r="H696" s="359">
        <v>5.0</v>
      </c>
      <c r="I696" s="359">
        <v>14.0</v>
      </c>
      <c r="J696" s="360">
        <v>0.64</v>
      </c>
      <c r="K696" s="18" t="s">
        <v>4393</v>
      </c>
      <c r="L696" s="18">
        <v>5.441343563E9</v>
      </c>
      <c r="M696" s="18" t="s">
        <v>47</v>
      </c>
      <c r="N696" s="18" t="s">
        <v>48</v>
      </c>
      <c r="O696" s="18" t="s">
        <v>4394</v>
      </c>
      <c r="P696" s="18" t="s">
        <v>7041</v>
      </c>
      <c r="Q696" s="20">
        <f>COUNTIF('Hedef Liste'!A:A,A696)</f>
        <v>1</v>
      </c>
    </row>
    <row r="697" ht="15.75" hidden="1" customHeight="1">
      <c r="A697" s="18" t="s">
        <v>7396</v>
      </c>
      <c r="B697" s="18" t="s">
        <v>4913</v>
      </c>
      <c r="C697" s="358" t="s">
        <v>7040</v>
      </c>
      <c r="D697" s="18" t="s">
        <v>80</v>
      </c>
      <c r="E697" s="359">
        <v>410.0</v>
      </c>
      <c r="F697" s="359">
        <v>31.0</v>
      </c>
      <c r="G697" s="359">
        <v>15.0</v>
      </c>
      <c r="H697" s="359">
        <v>1.0</v>
      </c>
      <c r="I697" s="359">
        <v>16.0</v>
      </c>
      <c r="J697" s="360">
        <v>0.94</v>
      </c>
      <c r="K697" s="18" t="s">
        <v>7397</v>
      </c>
      <c r="L697" s="18">
        <v>3.245021159E9</v>
      </c>
      <c r="M697" s="18" t="s">
        <v>63</v>
      </c>
      <c r="N697" s="18" t="s">
        <v>93</v>
      </c>
      <c r="O697" s="18" t="s">
        <v>4917</v>
      </c>
      <c r="P697" s="18" t="s">
        <v>7041</v>
      </c>
      <c r="Q697" s="20">
        <f>COUNTIF('Hedef Liste'!A:A,A697)</f>
        <v>0</v>
      </c>
    </row>
    <row r="698" ht="15.75" hidden="1" customHeight="1">
      <c r="A698" s="18" t="s">
        <v>3330</v>
      </c>
      <c r="B698" s="18" t="s">
        <v>3331</v>
      </c>
      <c r="C698" s="358" t="s">
        <v>7040</v>
      </c>
      <c r="D698" s="18" t="s">
        <v>80</v>
      </c>
      <c r="E698" s="359">
        <v>3.0</v>
      </c>
      <c r="F698" s="18"/>
      <c r="G698" s="359">
        <v>0.0</v>
      </c>
      <c r="H698" s="359">
        <v>12.0</v>
      </c>
      <c r="I698" s="359">
        <v>12.0</v>
      </c>
      <c r="J698" s="360">
        <v>0.0</v>
      </c>
      <c r="K698" s="18" t="s">
        <v>3332</v>
      </c>
      <c r="L698" s="18">
        <v>3.242330166E9</v>
      </c>
      <c r="M698" s="18" t="s">
        <v>137</v>
      </c>
      <c r="N698" s="18" t="s">
        <v>209</v>
      </c>
      <c r="O698" s="18" t="s">
        <v>3333</v>
      </c>
      <c r="P698" s="18" t="s">
        <v>7041</v>
      </c>
      <c r="Q698" s="20">
        <f>COUNTIF('Hedef Liste'!A:A,A698)</f>
        <v>1</v>
      </c>
    </row>
    <row r="699" ht="15.75" hidden="1" customHeight="1">
      <c r="A699" s="18" t="s">
        <v>1892</v>
      </c>
      <c r="B699" s="18" t="s">
        <v>1893</v>
      </c>
      <c r="C699" s="358" t="s">
        <v>7040</v>
      </c>
      <c r="D699" s="18" t="s">
        <v>118</v>
      </c>
      <c r="E699" s="359">
        <v>119.0</v>
      </c>
      <c r="F699" s="359">
        <v>3.0</v>
      </c>
      <c r="G699" s="359">
        <v>0.0</v>
      </c>
      <c r="H699" s="359">
        <v>33.0</v>
      </c>
      <c r="I699" s="359">
        <v>33.0</v>
      </c>
      <c r="J699" s="360">
        <v>0.0</v>
      </c>
      <c r="K699" s="18" t="s">
        <v>1894</v>
      </c>
      <c r="L699" s="18">
        <v>3.243293939E9</v>
      </c>
      <c r="M699" s="18" t="s">
        <v>72</v>
      </c>
      <c r="N699" s="18" t="s">
        <v>538</v>
      </c>
      <c r="O699" s="18" t="s">
        <v>1895</v>
      </c>
      <c r="P699" s="18" t="s">
        <v>7041</v>
      </c>
      <c r="Q699" s="20">
        <f>COUNTIF('Hedef Liste'!A:A,A699)</f>
        <v>1</v>
      </c>
    </row>
    <row r="700" ht="15.75" hidden="1" customHeight="1">
      <c r="A700" s="18" t="s">
        <v>3959</v>
      </c>
      <c r="B700" s="18" t="s">
        <v>3960</v>
      </c>
      <c r="C700" s="358" t="s">
        <v>7040</v>
      </c>
      <c r="D700" s="18" t="s">
        <v>80</v>
      </c>
      <c r="E700" s="359">
        <v>963.0</v>
      </c>
      <c r="F700" s="359">
        <v>150.0</v>
      </c>
      <c r="G700" s="359">
        <v>0.0</v>
      </c>
      <c r="H700" s="359">
        <v>10.0</v>
      </c>
      <c r="I700" s="359">
        <v>10.0</v>
      </c>
      <c r="J700" s="360">
        <v>0.0</v>
      </c>
      <c r="K700" s="18" t="s">
        <v>3961</v>
      </c>
      <c r="L700" s="18">
        <v>3.24814981E9</v>
      </c>
      <c r="M700" s="18" t="s">
        <v>902</v>
      </c>
      <c r="N700" s="18" t="s">
        <v>1667</v>
      </c>
      <c r="O700" s="18" t="s">
        <v>3962</v>
      </c>
      <c r="P700" s="18" t="s">
        <v>7041</v>
      </c>
      <c r="Q700" s="20">
        <f>COUNTIF('Hedef Liste'!A:A,A700)</f>
        <v>1</v>
      </c>
    </row>
    <row r="701" ht="15.75" hidden="1" customHeight="1">
      <c r="A701" s="18" t="s">
        <v>3318</v>
      </c>
      <c r="B701" s="18" t="s">
        <v>3319</v>
      </c>
      <c r="C701" s="358" t="s">
        <v>7040</v>
      </c>
      <c r="D701" s="18" t="s">
        <v>363</v>
      </c>
      <c r="E701" s="359">
        <v>1272.0</v>
      </c>
      <c r="F701" s="359">
        <v>291.0</v>
      </c>
      <c r="G701" s="359">
        <v>0.0</v>
      </c>
      <c r="H701" s="359">
        <v>40.0</v>
      </c>
      <c r="I701" s="359">
        <v>40.0</v>
      </c>
      <c r="J701" s="360">
        <v>0.0</v>
      </c>
      <c r="K701" s="18" t="s">
        <v>3320</v>
      </c>
      <c r="L701" s="18">
        <v>5.541740555E9</v>
      </c>
      <c r="M701" s="18" t="s">
        <v>63</v>
      </c>
      <c r="N701" s="18" t="s">
        <v>318</v>
      </c>
      <c r="O701" s="18" t="s">
        <v>3321</v>
      </c>
      <c r="P701" s="18" t="s">
        <v>7041</v>
      </c>
      <c r="Q701" s="20">
        <f>COUNTIF('Hedef Liste'!A:A,A701)</f>
        <v>1</v>
      </c>
    </row>
    <row r="702" ht="15.75" hidden="1" customHeight="1">
      <c r="A702" s="18" t="s">
        <v>1160</v>
      </c>
      <c r="B702" s="18" t="s">
        <v>1161</v>
      </c>
      <c r="C702" s="358" t="s">
        <v>7040</v>
      </c>
      <c r="D702" s="18" t="s">
        <v>106</v>
      </c>
      <c r="E702" s="359">
        <v>346.0</v>
      </c>
      <c r="F702" s="359">
        <v>96.0</v>
      </c>
      <c r="G702" s="359">
        <v>0.0</v>
      </c>
      <c r="H702" s="359">
        <v>42.0</v>
      </c>
      <c r="I702" s="359">
        <v>42.0</v>
      </c>
      <c r="J702" s="360">
        <v>0.0</v>
      </c>
      <c r="K702" s="18" t="s">
        <v>1162</v>
      </c>
      <c r="L702" s="18">
        <v>5.320650218E9</v>
      </c>
      <c r="M702" s="18" t="s">
        <v>47</v>
      </c>
      <c r="N702" s="18" t="s">
        <v>365</v>
      </c>
      <c r="O702" s="18" t="s">
        <v>1163</v>
      </c>
      <c r="P702" s="18" t="s">
        <v>7041</v>
      </c>
      <c r="Q702" s="20">
        <f>COUNTIF('Hedef Liste'!A:A,A702)</f>
        <v>1</v>
      </c>
    </row>
    <row r="703" ht="15.75" hidden="1" customHeight="1">
      <c r="A703" s="18" t="s">
        <v>460</v>
      </c>
      <c r="B703" s="18" t="s">
        <v>461</v>
      </c>
      <c r="C703" s="358" t="s">
        <v>7040</v>
      </c>
      <c r="D703" s="18" t="s">
        <v>118</v>
      </c>
      <c r="E703" s="18"/>
      <c r="F703" s="18"/>
      <c r="G703" s="359">
        <v>0.0</v>
      </c>
      <c r="H703" s="359">
        <v>19.0</v>
      </c>
      <c r="I703" s="359">
        <v>19.0</v>
      </c>
      <c r="J703" s="360">
        <v>0.0</v>
      </c>
      <c r="K703" s="18" t="s">
        <v>462</v>
      </c>
      <c r="L703" s="18">
        <v>5.067190992E9</v>
      </c>
      <c r="M703" s="18" t="s">
        <v>137</v>
      </c>
      <c r="N703" s="18" t="s">
        <v>463</v>
      </c>
      <c r="O703" s="18" t="s">
        <v>464</v>
      </c>
      <c r="P703" s="18" t="s">
        <v>7041</v>
      </c>
      <c r="Q703" s="20">
        <f>COUNTIF('Hedef Liste'!A:A,A703)</f>
        <v>1</v>
      </c>
    </row>
    <row r="704" ht="15.75" hidden="1" customHeight="1">
      <c r="A704" s="18" t="s">
        <v>2423</v>
      </c>
      <c r="B704" s="18" t="s">
        <v>2424</v>
      </c>
      <c r="C704" s="358" t="s">
        <v>7040</v>
      </c>
      <c r="D704" s="18" t="s">
        <v>80</v>
      </c>
      <c r="E704" s="359">
        <v>723.0</v>
      </c>
      <c r="F704" s="359">
        <v>86.0</v>
      </c>
      <c r="G704" s="359">
        <v>0.0</v>
      </c>
      <c r="H704" s="359">
        <v>24.0</v>
      </c>
      <c r="I704" s="359">
        <v>24.0</v>
      </c>
      <c r="J704" s="360">
        <v>0.0</v>
      </c>
      <c r="K704" s="18" t="s">
        <v>2425</v>
      </c>
      <c r="L704" s="18">
        <v>3.243584777E9</v>
      </c>
      <c r="M704" s="18" t="s">
        <v>63</v>
      </c>
      <c r="N704" s="18" t="s">
        <v>700</v>
      </c>
      <c r="O704" s="18" t="s">
        <v>2426</v>
      </c>
      <c r="P704" s="18" t="s">
        <v>7041</v>
      </c>
      <c r="Q704" s="20">
        <f>COUNTIF('Hedef Liste'!A:A,A704)</f>
        <v>1</v>
      </c>
    </row>
    <row r="705" ht="15.75" hidden="1" customHeight="1">
      <c r="A705" s="18" t="s">
        <v>3752</v>
      </c>
      <c r="B705" s="18" t="s">
        <v>3753</v>
      </c>
      <c r="C705" s="358" t="s">
        <v>7040</v>
      </c>
      <c r="D705" s="18" t="s">
        <v>372</v>
      </c>
      <c r="E705" s="359">
        <v>900.0</v>
      </c>
      <c r="F705" s="359">
        <v>87.0</v>
      </c>
      <c r="G705" s="359">
        <v>0.0</v>
      </c>
      <c r="H705" s="359">
        <v>24.0</v>
      </c>
      <c r="I705" s="359">
        <v>24.0</v>
      </c>
      <c r="J705" s="360">
        <v>0.0</v>
      </c>
      <c r="K705" s="18" t="s">
        <v>3754</v>
      </c>
      <c r="L705" s="18">
        <v>3.242230055E9</v>
      </c>
      <c r="M705" s="18" t="s">
        <v>215</v>
      </c>
      <c r="N705" s="18" t="s">
        <v>745</v>
      </c>
      <c r="O705" s="18" t="s">
        <v>3755</v>
      </c>
      <c r="P705" s="18" t="s">
        <v>7041</v>
      </c>
      <c r="Q705" s="20">
        <f>COUNTIF('Hedef Liste'!A:A,A705)</f>
        <v>1</v>
      </c>
    </row>
    <row r="706" ht="15.75" hidden="1" customHeight="1">
      <c r="A706" s="18" t="s">
        <v>4057</v>
      </c>
      <c r="B706" s="18" t="s">
        <v>4058</v>
      </c>
      <c r="C706" s="358" t="s">
        <v>7040</v>
      </c>
      <c r="D706" s="18" t="s">
        <v>564</v>
      </c>
      <c r="E706" s="359">
        <v>187.0</v>
      </c>
      <c r="F706" s="18"/>
      <c r="G706" s="359">
        <v>0.0</v>
      </c>
      <c r="H706" s="359">
        <v>80.0</v>
      </c>
      <c r="I706" s="359">
        <v>80.0</v>
      </c>
      <c r="J706" s="360">
        <v>0.0</v>
      </c>
      <c r="K706" s="18" t="s">
        <v>4059</v>
      </c>
      <c r="L706" s="18">
        <v>5.530073996E9</v>
      </c>
      <c r="M706" s="18" t="s">
        <v>72</v>
      </c>
      <c r="N706" s="18" t="s">
        <v>82</v>
      </c>
      <c r="O706" s="18" t="s">
        <v>4060</v>
      </c>
      <c r="P706" s="18" t="s">
        <v>7041</v>
      </c>
      <c r="Q706" s="20">
        <f>COUNTIF('Hedef Liste'!A:A,A706)</f>
        <v>1</v>
      </c>
    </row>
    <row r="707" ht="15.75" hidden="1" customHeight="1">
      <c r="A707" s="18" t="s">
        <v>4534</v>
      </c>
      <c r="B707" s="18" t="s">
        <v>4535</v>
      </c>
      <c r="C707" s="358" t="s">
        <v>7040</v>
      </c>
      <c r="D707" s="18" t="s">
        <v>118</v>
      </c>
      <c r="E707" s="359">
        <v>248.0</v>
      </c>
      <c r="F707" s="359">
        <v>79.0</v>
      </c>
      <c r="G707" s="359">
        <v>0.0</v>
      </c>
      <c r="H707" s="359">
        <v>27.0</v>
      </c>
      <c r="I707" s="359">
        <v>27.0</v>
      </c>
      <c r="J707" s="360">
        <v>0.0</v>
      </c>
      <c r="K707" s="18" t="s">
        <v>4536</v>
      </c>
      <c r="L707" s="18">
        <v>5.335935402E9</v>
      </c>
      <c r="M707" s="18" t="s">
        <v>63</v>
      </c>
      <c r="N707" s="18" t="s">
        <v>1148</v>
      </c>
      <c r="O707" s="18" t="s">
        <v>4537</v>
      </c>
      <c r="P707" s="18" t="s">
        <v>7041</v>
      </c>
      <c r="Q707" s="20">
        <f>COUNTIF('Hedef Liste'!A:A,A707)</f>
        <v>1</v>
      </c>
    </row>
    <row r="708" ht="15.75" hidden="1" customHeight="1">
      <c r="A708" s="18" t="s">
        <v>7398</v>
      </c>
      <c r="B708" s="18" t="s">
        <v>7399</v>
      </c>
      <c r="C708" s="358" t="s">
        <v>7040</v>
      </c>
      <c r="D708" s="18" t="s">
        <v>61</v>
      </c>
      <c r="E708" s="359">
        <v>676.0</v>
      </c>
      <c r="F708" s="359">
        <v>4.0</v>
      </c>
      <c r="G708" s="359">
        <v>25.0</v>
      </c>
      <c r="H708" s="359">
        <v>1.0</v>
      </c>
      <c r="I708" s="359">
        <v>26.0</v>
      </c>
      <c r="J708" s="360">
        <v>0.96</v>
      </c>
      <c r="K708" s="18" t="s">
        <v>2787</v>
      </c>
      <c r="L708" s="18">
        <v>5.465457373E9</v>
      </c>
      <c r="M708" s="18" t="s">
        <v>47</v>
      </c>
      <c r="N708" s="18" t="s">
        <v>7400</v>
      </c>
      <c r="O708" s="18" t="s">
        <v>7401</v>
      </c>
      <c r="P708" s="18" t="s">
        <v>7047</v>
      </c>
      <c r="Q708" s="20">
        <f>COUNTIF('Hedef Liste'!A:A,A708)</f>
        <v>0</v>
      </c>
    </row>
    <row r="709" ht="15.75" hidden="1" customHeight="1">
      <c r="A709" s="18" t="s">
        <v>3543</v>
      </c>
      <c r="B709" s="18" t="s">
        <v>3544</v>
      </c>
      <c r="C709" s="358" t="s">
        <v>7040</v>
      </c>
      <c r="D709" s="18" t="s">
        <v>80</v>
      </c>
      <c r="E709" s="359">
        <v>210.0</v>
      </c>
      <c r="F709" s="359">
        <v>24.0</v>
      </c>
      <c r="G709" s="359">
        <v>0.0</v>
      </c>
      <c r="H709" s="359">
        <v>16.0</v>
      </c>
      <c r="I709" s="359">
        <v>16.0</v>
      </c>
      <c r="J709" s="360">
        <v>0.0</v>
      </c>
      <c r="K709" s="18" t="s">
        <v>3545</v>
      </c>
      <c r="L709" s="18">
        <v>3.243594757E9</v>
      </c>
      <c r="M709" s="18" t="s">
        <v>63</v>
      </c>
      <c r="N709" s="18" t="s">
        <v>137</v>
      </c>
      <c r="O709" s="18" t="s">
        <v>3546</v>
      </c>
      <c r="P709" s="18" t="s">
        <v>7041</v>
      </c>
      <c r="Q709" s="20">
        <f>COUNTIF('Hedef Liste'!A:A,A709)</f>
        <v>1</v>
      </c>
    </row>
    <row r="710" ht="15.75" hidden="1" customHeight="1">
      <c r="A710" s="18" t="s">
        <v>2486</v>
      </c>
      <c r="B710" s="18" t="s">
        <v>2487</v>
      </c>
      <c r="C710" s="358" t="s">
        <v>7040</v>
      </c>
      <c r="D710" s="18" t="s">
        <v>564</v>
      </c>
      <c r="E710" s="359">
        <v>171.0</v>
      </c>
      <c r="F710" s="18"/>
      <c r="G710" s="359">
        <v>7.0</v>
      </c>
      <c r="H710" s="359">
        <v>9.0</v>
      </c>
      <c r="I710" s="359">
        <v>16.0</v>
      </c>
      <c r="J710" s="360">
        <v>0.44</v>
      </c>
      <c r="K710" s="18" t="s">
        <v>2488</v>
      </c>
      <c r="L710" s="18">
        <v>5.304452668E9</v>
      </c>
      <c r="M710" s="18" t="s">
        <v>63</v>
      </c>
      <c r="N710" s="18" t="s">
        <v>318</v>
      </c>
      <c r="O710" s="18" t="s">
        <v>2489</v>
      </c>
      <c r="P710" s="18" t="s">
        <v>7041</v>
      </c>
      <c r="Q710" s="20">
        <f>COUNTIF('Hedef Liste'!A:A,A710)</f>
        <v>1</v>
      </c>
    </row>
    <row r="711" ht="15.75" hidden="1" customHeight="1">
      <c r="A711" s="18" t="s">
        <v>303</v>
      </c>
      <c r="B711" s="18" t="s">
        <v>304</v>
      </c>
      <c r="C711" s="358" t="s">
        <v>7040</v>
      </c>
      <c r="D711" s="18" t="s">
        <v>167</v>
      </c>
      <c r="E711" s="359">
        <v>169.0</v>
      </c>
      <c r="F711" s="359">
        <v>47.0</v>
      </c>
      <c r="G711" s="359">
        <v>0.0</v>
      </c>
      <c r="H711" s="359">
        <v>19.0</v>
      </c>
      <c r="I711" s="359">
        <v>19.0</v>
      </c>
      <c r="J711" s="360">
        <v>0.0</v>
      </c>
      <c r="K711" s="18" t="s">
        <v>305</v>
      </c>
      <c r="L711" s="18">
        <v>5.511773355E9</v>
      </c>
      <c r="M711" s="18" t="s">
        <v>156</v>
      </c>
      <c r="N711" s="18" t="s">
        <v>306</v>
      </c>
      <c r="O711" s="18" t="s">
        <v>307</v>
      </c>
      <c r="P711" s="18" t="s">
        <v>7041</v>
      </c>
      <c r="Q711" s="20">
        <f>COUNTIF('Hedef Liste'!A:A,A711)</f>
        <v>1</v>
      </c>
    </row>
    <row r="712" ht="15.75" hidden="1" customHeight="1">
      <c r="A712" s="18" t="s">
        <v>2759</v>
      </c>
      <c r="B712" s="18" t="s">
        <v>2760</v>
      </c>
      <c r="C712" s="358" t="s">
        <v>7040</v>
      </c>
      <c r="D712" s="18" t="s">
        <v>80</v>
      </c>
      <c r="E712" s="359">
        <v>37.0</v>
      </c>
      <c r="F712" s="359">
        <v>1.0</v>
      </c>
      <c r="G712" s="359">
        <v>0.0</v>
      </c>
      <c r="H712" s="359">
        <v>10.0</v>
      </c>
      <c r="I712" s="359">
        <v>10.0</v>
      </c>
      <c r="J712" s="360">
        <v>0.0</v>
      </c>
      <c r="K712" s="18" t="s">
        <v>2761</v>
      </c>
      <c r="L712" s="18">
        <v>3.24515404E9</v>
      </c>
      <c r="M712" s="18" t="s">
        <v>47</v>
      </c>
      <c r="N712" s="18" t="s">
        <v>489</v>
      </c>
      <c r="O712" s="18" t="s">
        <v>2762</v>
      </c>
      <c r="P712" s="18" t="s">
        <v>7041</v>
      </c>
      <c r="Q712" s="20">
        <f>COUNTIF('Hedef Liste'!A:A,A712)</f>
        <v>1</v>
      </c>
    </row>
    <row r="713" ht="15.75" hidden="1" customHeight="1">
      <c r="A713" s="18" t="s">
        <v>2986</v>
      </c>
      <c r="B713" s="18" t="s">
        <v>2987</v>
      </c>
      <c r="C713" s="358" t="s">
        <v>7040</v>
      </c>
      <c r="D713" s="18" t="s">
        <v>45</v>
      </c>
      <c r="E713" s="359">
        <v>235.0</v>
      </c>
      <c r="F713" s="359">
        <v>72.0</v>
      </c>
      <c r="G713" s="359">
        <v>10.0</v>
      </c>
      <c r="H713" s="359">
        <v>6.0</v>
      </c>
      <c r="I713" s="359">
        <v>16.0</v>
      </c>
      <c r="J713" s="360">
        <v>0.63</v>
      </c>
      <c r="K713" s="18" t="s">
        <v>2988</v>
      </c>
      <c r="L713" s="18">
        <v>5.441992013E9</v>
      </c>
      <c r="M713" s="18" t="s">
        <v>72</v>
      </c>
      <c r="N713" s="18" t="s">
        <v>2989</v>
      </c>
      <c r="O713" s="18" t="s">
        <v>2990</v>
      </c>
      <c r="P713" s="18" t="s">
        <v>7041</v>
      </c>
      <c r="Q713" s="20">
        <f>COUNTIF('Hedef Liste'!A:A,A713)</f>
        <v>1</v>
      </c>
    </row>
    <row r="714" ht="15.75" hidden="1" customHeight="1">
      <c r="A714" s="18" t="s">
        <v>1327</v>
      </c>
      <c r="B714" s="18" t="s">
        <v>7402</v>
      </c>
      <c r="C714" s="358" t="s">
        <v>7040</v>
      </c>
      <c r="D714" s="18" t="s">
        <v>372</v>
      </c>
      <c r="E714" s="359">
        <v>245.0</v>
      </c>
      <c r="F714" s="359">
        <v>49.0</v>
      </c>
      <c r="G714" s="359">
        <v>19.0</v>
      </c>
      <c r="H714" s="359">
        <v>56.0</v>
      </c>
      <c r="I714" s="359">
        <v>75.0</v>
      </c>
      <c r="J714" s="360">
        <v>0.25</v>
      </c>
      <c r="K714" s="18" t="s">
        <v>1325</v>
      </c>
      <c r="L714" s="18">
        <v>5.318889315E9</v>
      </c>
      <c r="M714" s="18" t="s">
        <v>72</v>
      </c>
      <c r="N714" s="18" t="s">
        <v>538</v>
      </c>
      <c r="O714" s="18" t="s">
        <v>7403</v>
      </c>
      <c r="P714" s="18" t="s">
        <v>7041</v>
      </c>
      <c r="Q714" s="20">
        <f>COUNTIF('Hedef Liste'!A:A,A714)</f>
        <v>1</v>
      </c>
    </row>
    <row r="715" ht="15.75" hidden="1" customHeight="1">
      <c r="A715" s="18" t="s">
        <v>578</v>
      </c>
      <c r="B715" s="18" t="s">
        <v>579</v>
      </c>
      <c r="C715" s="358" t="s">
        <v>7040</v>
      </c>
      <c r="D715" s="18" t="s">
        <v>564</v>
      </c>
      <c r="E715" s="359">
        <v>695.0</v>
      </c>
      <c r="F715" s="359">
        <v>299.0</v>
      </c>
      <c r="G715" s="359">
        <v>16.0</v>
      </c>
      <c r="H715" s="359">
        <v>8.0</v>
      </c>
      <c r="I715" s="359">
        <v>24.0</v>
      </c>
      <c r="J715" s="360">
        <v>0.67</v>
      </c>
      <c r="K715" s="18" t="s">
        <v>576</v>
      </c>
      <c r="L715" s="18">
        <v>5.346801734E9</v>
      </c>
      <c r="M715" s="18" t="s">
        <v>72</v>
      </c>
      <c r="N715" s="18" t="s">
        <v>120</v>
      </c>
      <c r="O715" s="18" t="s">
        <v>580</v>
      </c>
      <c r="P715" s="18" t="s">
        <v>7041</v>
      </c>
      <c r="Q715" s="20">
        <f>COUNTIF('Hedef Liste'!A:A,A715)</f>
        <v>1</v>
      </c>
    </row>
    <row r="716" ht="15.75" hidden="1" customHeight="1">
      <c r="A716" s="18" t="s">
        <v>1480</v>
      </c>
      <c r="B716" s="18" t="s">
        <v>1481</v>
      </c>
      <c r="C716" s="358" t="s">
        <v>7040</v>
      </c>
      <c r="D716" s="18" t="s">
        <v>363</v>
      </c>
      <c r="E716" s="359">
        <v>226.0</v>
      </c>
      <c r="F716" s="359">
        <v>26.0</v>
      </c>
      <c r="G716" s="359">
        <v>0.0</v>
      </c>
      <c r="H716" s="359">
        <v>8.0</v>
      </c>
      <c r="I716" s="359">
        <v>8.0</v>
      </c>
      <c r="J716" s="360">
        <v>0.0</v>
      </c>
      <c r="K716" s="18" t="s">
        <v>1482</v>
      </c>
      <c r="L716" s="18">
        <v>5.525259697E9</v>
      </c>
      <c r="M716" s="18" t="s">
        <v>902</v>
      </c>
      <c r="N716" s="18" t="s">
        <v>1483</v>
      </c>
      <c r="O716" s="18" t="s">
        <v>1484</v>
      </c>
      <c r="P716" s="18" t="s">
        <v>7041</v>
      </c>
      <c r="Q716" s="20">
        <f>COUNTIF('Hedef Liste'!A:A,A716)</f>
        <v>1</v>
      </c>
    </row>
    <row r="717" ht="15.75" hidden="1" customHeight="1">
      <c r="A717" s="18" t="s">
        <v>1544</v>
      </c>
      <c r="B717" s="18" t="s">
        <v>1545</v>
      </c>
      <c r="C717" s="358" t="s">
        <v>7040</v>
      </c>
      <c r="D717" s="18" t="s">
        <v>118</v>
      </c>
      <c r="E717" s="359">
        <v>826.0</v>
      </c>
      <c r="F717" s="359">
        <v>287.0</v>
      </c>
      <c r="G717" s="359">
        <v>4.0</v>
      </c>
      <c r="H717" s="359">
        <v>18.0</v>
      </c>
      <c r="I717" s="359">
        <v>22.0</v>
      </c>
      <c r="J717" s="360">
        <v>0.18</v>
      </c>
      <c r="K717" s="18" t="s">
        <v>1546</v>
      </c>
      <c r="L717" s="18">
        <v>3.242383803E9</v>
      </c>
      <c r="M717" s="18" t="s">
        <v>137</v>
      </c>
      <c r="N717" s="18" t="s">
        <v>138</v>
      </c>
      <c r="O717" s="18" t="s">
        <v>1547</v>
      </c>
      <c r="P717" s="18" t="s">
        <v>7041</v>
      </c>
      <c r="Q717" s="20">
        <f>COUNTIF('Hedef Liste'!A:A,A717)</f>
        <v>1</v>
      </c>
    </row>
    <row r="718" ht="15.75" hidden="1" customHeight="1">
      <c r="A718" s="18" t="s">
        <v>617</v>
      </c>
      <c r="B718" s="18" t="s">
        <v>618</v>
      </c>
      <c r="C718" s="358" t="s">
        <v>7040</v>
      </c>
      <c r="D718" s="18" t="s">
        <v>564</v>
      </c>
      <c r="E718" s="359">
        <v>1634.0</v>
      </c>
      <c r="F718" s="359">
        <v>352.0</v>
      </c>
      <c r="G718" s="359">
        <v>29.0</v>
      </c>
      <c r="H718" s="359">
        <v>9.0</v>
      </c>
      <c r="I718" s="359">
        <v>38.0</v>
      </c>
      <c r="J718" s="360">
        <v>0.76</v>
      </c>
      <c r="K718" s="18" t="s">
        <v>619</v>
      </c>
      <c r="L718" s="18">
        <v>3.243410033E9</v>
      </c>
      <c r="M718" s="18" t="s">
        <v>72</v>
      </c>
      <c r="N718" s="18" t="s">
        <v>548</v>
      </c>
      <c r="O718" s="18" t="s">
        <v>620</v>
      </c>
      <c r="P718" s="18" t="s">
        <v>7041</v>
      </c>
      <c r="Q718" s="20">
        <f>COUNTIF('Hedef Liste'!A:A,A718)</f>
        <v>1</v>
      </c>
    </row>
    <row r="719" ht="15.75" hidden="1" customHeight="1">
      <c r="A719" s="18" t="s">
        <v>4395</v>
      </c>
      <c r="B719" s="18" t="s">
        <v>4396</v>
      </c>
      <c r="C719" s="358" t="s">
        <v>7040</v>
      </c>
      <c r="D719" s="18" t="s">
        <v>1992</v>
      </c>
      <c r="E719" s="359">
        <v>875.0</v>
      </c>
      <c r="F719" s="359">
        <v>123.0</v>
      </c>
      <c r="G719" s="359">
        <v>0.0</v>
      </c>
      <c r="H719" s="359">
        <v>33.0</v>
      </c>
      <c r="I719" s="359">
        <v>33.0</v>
      </c>
      <c r="J719" s="360">
        <v>0.0</v>
      </c>
      <c r="K719" s="18" t="s">
        <v>4397</v>
      </c>
      <c r="L719" s="18">
        <v>3.247145367E9</v>
      </c>
      <c r="M719" s="18" t="s">
        <v>187</v>
      </c>
      <c r="N719" s="18" t="s">
        <v>188</v>
      </c>
      <c r="O719" s="18" t="s">
        <v>4398</v>
      </c>
      <c r="P719" s="18" t="s">
        <v>7041</v>
      </c>
      <c r="Q719" s="20">
        <f>COUNTIF('Hedef Liste'!A:A,A719)</f>
        <v>1</v>
      </c>
    </row>
    <row r="720" ht="15.75" hidden="1" customHeight="1">
      <c r="A720" s="18" t="s">
        <v>7404</v>
      </c>
      <c r="B720" s="18" t="s">
        <v>7405</v>
      </c>
      <c r="C720" s="358" t="s">
        <v>7040</v>
      </c>
      <c r="D720" s="18" t="s">
        <v>61</v>
      </c>
      <c r="E720" s="359">
        <v>250.0</v>
      </c>
      <c r="F720" s="359">
        <v>14.0</v>
      </c>
      <c r="G720" s="359">
        <v>36.0</v>
      </c>
      <c r="H720" s="359">
        <v>1.0</v>
      </c>
      <c r="I720" s="359">
        <v>37.0</v>
      </c>
      <c r="J720" s="360">
        <v>0.97</v>
      </c>
      <c r="K720" s="18" t="s">
        <v>7406</v>
      </c>
      <c r="L720" s="18">
        <v>5.367660133E9</v>
      </c>
      <c r="M720" s="18" t="s">
        <v>215</v>
      </c>
      <c r="N720" s="18" t="s">
        <v>634</v>
      </c>
      <c r="O720" s="18" t="s">
        <v>7407</v>
      </c>
      <c r="P720" s="18" t="s">
        <v>7047</v>
      </c>
      <c r="Q720" s="20">
        <f>COUNTIF('Hedef Liste'!A:A,A720)</f>
        <v>0</v>
      </c>
    </row>
    <row r="721" ht="15.75" hidden="1" customHeight="1">
      <c r="A721" s="18" t="s">
        <v>1411</v>
      </c>
      <c r="B721" s="18" t="s">
        <v>1412</v>
      </c>
      <c r="C721" s="358" t="s">
        <v>7040</v>
      </c>
      <c r="D721" s="18" t="s">
        <v>167</v>
      </c>
      <c r="E721" s="359">
        <v>281.0</v>
      </c>
      <c r="F721" s="359">
        <v>16.0</v>
      </c>
      <c r="G721" s="359">
        <v>0.0</v>
      </c>
      <c r="H721" s="359">
        <v>4.0</v>
      </c>
      <c r="I721" s="359">
        <v>4.0</v>
      </c>
      <c r="J721" s="360">
        <v>0.0</v>
      </c>
      <c r="K721" s="18" t="s">
        <v>1413</v>
      </c>
      <c r="L721" s="18">
        <v>5.528369039E9</v>
      </c>
      <c r="M721" s="18" t="s">
        <v>187</v>
      </c>
      <c r="N721" s="18" t="s">
        <v>188</v>
      </c>
      <c r="O721" s="18" t="s">
        <v>1414</v>
      </c>
      <c r="P721" s="18" t="s">
        <v>7041</v>
      </c>
      <c r="Q721" s="20">
        <f>COUNTIF('Hedef Liste'!A:A,A721)</f>
        <v>1</v>
      </c>
    </row>
    <row r="722" ht="15.75" hidden="1" customHeight="1">
      <c r="A722" s="18" t="s">
        <v>3795</v>
      </c>
      <c r="B722" s="18" t="s">
        <v>3796</v>
      </c>
      <c r="C722" s="358" t="s">
        <v>7040</v>
      </c>
      <c r="D722" s="18" t="s">
        <v>372</v>
      </c>
      <c r="E722" s="359">
        <v>368.0</v>
      </c>
      <c r="F722" s="359">
        <v>39.0</v>
      </c>
      <c r="G722" s="359">
        <v>0.0</v>
      </c>
      <c r="H722" s="359">
        <v>41.0</v>
      </c>
      <c r="I722" s="359">
        <v>41.0</v>
      </c>
      <c r="J722" s="360">
        <v>0.0</v>
      </c>
      <c r="K722" s="18" t="s">
        <v>3797</v>
      </c>
      <c r="L722" s="18">
        <v>3.248142411E9</v>
      </c>
      <c r="M722" s="18" t="s">
        <v>902</v>
      </c>
      <c r="N722" s="18" t="s">
        <v>1667</v>
      </c>
      <c r="O722" s="18" t="s">
        <v>3798</v>
      </c>
      <c r="P722" s="18" t="s">
        <v>7041</v>
      </c>
      <c r="Q722" s="20">
        <f>COUNTIF('Hedef Liste'!A:A,A722)</f>
        <v>1</v>
      </c>
    </row>
    <row r="723" ht="15.75" hidden="1" customHeight="1">
      <c r="A723" s="18" t="s">
        <v>7408</v>
      </c>
      <c r="B723" s="18" t="s">
        <v>7409</v>
      </c>
      <c r="C723" s="358" t="s">
        <v>7040</v>
      </c>
      <c r="D723" s="18" t="s">
        <v>61</v>
      </c>
      <c r="E723" s="359">
        <v>4325.0</v>
      </c>
      <c r="F723" s="359">
        <v>28.0</v>
      </c>
      <c r="G723" s="359">
        <v>18.0</v>
      </c>
      <c r="H723" s="359">
        <v>1.0</v>
      </c>
      <c r="I723" s="359">
        <v>19.0</v>
      </c>
      <c r="J723" s="361">
        <v>0.95</v>
      </c>
      <c r="K723" s="18" t="s">
        <v>7410</v>
      </c>
      <c r="L723" s="18">
        <v>5.336973202E9</v>
      </c>
      <c r="M723" s="18" t="s">
        <v>72</v>
      </c>
      <c r="N723" s="18" t="s">
        <v>915</v>
      </c>
      <c r="O723" s="18" t="s">
        <v>7411</v>
      </c>
      <c r="P723" s="18" t="s">
        <v>7047</v>
      </c>
      <c r="Q723" s="20">
        <f>COUNTIF('Hedef Liste'!A:A,A723)</f>
        <v>0</v>
      </c>
    </row>
    <row r="724" ht="15.75" hidden="1" customHeight="1">
      <c r="A724" s="18" t="s">
        <v>7412</v>
      </c>
      <c r="B724" s="18" t="s">
        <v>7413</v>
      </c>
      <c r="C724" s="358" t="s">
        <v>7040</v>
      </c>
      <c r="D724" s="18" t="s">
        <v>61</v>
      </c>
      <c r="E724" s="359">
        <v>1412.0</v>
      </c>
      <c r="F724" s="359">
        <v>60.0</v>
      </c>
      <c r="G724" s="359">
        <v>39.0</v>
      </c>
      <c r="H724" s="359">
        <v>1.0</v>
      </c>
      <c r="I724" s="359">
        <v>40.0</v>
      </c>
      <c r="J724" s="360">
        <v>0.98</v>
      </c>
      <c r="K724" s="18" t="s">
        <v>7406</v>
      </c>
      <c r="L724" s="18">
        <v>5.434040133E9</v>
      </c>
      <c r="M724" s="18" t="s">
        <v>215</v>
      </c>
      <c r="N724" s="18" t="s">
        <v>227</v>
      </c>
      <c r="O724" s="18" t="s">
        <v>7414</v>
      </c>
      <c r="P724" s="18" t="s">
        <v>7047</v>
      </c>
      <c r="Q724" s="20">
        <f>COUNTIF('Hedef Liste'!A:A,A724)</f>
        <v>0</v>
      </c>
    </row>
    <row r="725" ht="15.75" hidden="1" customHeight="1">
      <c r="A725" s="18" t="s">
        <v>2500</v>
      </c>
      <c r="B725" s="18" t="s">
        <v>2501</v>
      </c>
      <c r="C725" s="358" t="s">
        <v>7040</v>
      </c>
      <c r="D725" s="18" t="s">
        <v>61</v>
      </c>
      <c r="E725" s="359">
        <v>477.0</v>
      </c>
      <c r="F725" s="359">
        <v>72.0</v>
      </c>
      <c r="G725" s="359">
        <v>0.0</v>
      </c>
      <c r="H725" s="359">
        <v>24.0</v>
      </c>
      <c r="I725" s="359">
        <v>24.0</v>
      </c>
      <c r="J725" s="360">
        <v>0.0</v>
      </c>
      <c r="K725" s="18" t="s">
        <v>2502</v>
      </c>
      <c r="L725" s="18">
        <v>5.521522428E9</v>
      </c>
      <c r="M725" s="18" t="s">
        <v>187</v>
      </c>
      <c r="N725" s="18" t="s">
        <v>188</v>
      </c>
      <c r="O725" s="18" t="s">
        <v>2503</v>
      </c>
      <c r="P725" s="18" t="s">
        <v>7041</v>
      </c>
      <c r="Q725" s="20">
        <f>COUNTIF('Hedef Liste'!A:A,A725)</f>
        <v>1</v>
      </c>
    </row>
    <row r="726" ht="15.75" hidden="1" customHeight="1">
      <c r="A726" s="18" t="s">
        <v>2675</v>
      </c>
      <c r="B726" s="18" t="s">
        <v>2676</v>
      </c>
      <c r="C726" s="358" t="s">
        <v>7040</v>
      </c>
      <c r="D726" s="18" t="s">
        <v>363</v>
      </c>
      <c r="E726" s="359">
        <v>193.0</v>
      </c>
      <c r="F726" s="359">
        <v>76.0</v>
      </c>
      <c r="G726" s="359">
        <v>0.0</v>
      </c>
      <c r="H726" s="359">
        <v>13.0</v>
      </c>
      <c r="I726" s="359">
        <v>13.0</v>
      </c>
      <c r="J726" s="360">
        <v>0.0</v>
      </c>
      <c r="K726" s="18" t="s">
        <v>2677</v>
      </c>
      <c r="L726" s="18">
        <v>3.245037861E9</v>
      </c>
      <c r="M726" s="18" t="s">
        <v>63</v>
      </c>
      <c r="N726" s="18" t="s">
        <v>93</v>
      </c>
      <c r="O726" s="18" t="s">
        <v>2678</v>
      </c>
      <c r="P726" s="18" t="s">
        <v>7041</v>
      </c>
      <c r="Q726" s="20">
        <f>COUNTIF('Hedef Liste'!A:A,A726)</f>
        <v>1</v>
      </c>
    </row>
    <row r="727" ht="15.75" hidden="1" customHeight="1">
      <c r="A727" s="18" t="s">
        <v>4307</v>
      </c>
      <c r="B727" s="18" t="s">
        <v>4308</v>
      </c>
      <c r="C727" s="358" t="s">
        <v>7062</v>
      </c>
      <c r="D727" s="18" t="s">
        <v>167</v>
      </c>
      <c r="E727" s="359">
        <v>6.0</v>
      </c>
      <c r="F727" s="18"/>
      <c r="G727" s="359">
        <v>4.0</v>
      </c>
      <c r="H727" s="359">
        <v>16.0</v>
      </c>
      <c r="I727" s="359">
        <v>20.0</v>
      </c>
      <c r="J727" s="360">
        <v>0.2</v>
      </c>
      <c r="K727" s="18" t="s">
        <v>4309</v>
      </c>
      <c r="L727" s="18">
        <v>5.333196308E9</v>
      </c>
      <c r="M727" s="18" t="s">
        <v>156</v>
      </c>
      <c r="N727" s="18" t="s">
        <v>4310</v>
      </c>
      <c r="O727" s="18" t="s">
        <v>4311</v>
      </c>
      <c r="P727" s="18" t="s">
        <v>7041</v>
      </c>
      <c r="Q727" s="20">
        <f>COUNTIF('Hedef Liste'!A:A,A727)</f>
        <v>1</v>
      </c>
    </row>
    <row r="728" ht="15.75" hidden="1" customHeight="1">
      <c r="A728" s="18" t="s">
        <v>1390</v>
      </c>
      <c r="B728" s="18" t="s">
        <v>1391</v>
      </c>
      <c r="C728" s="358" t="s">
        <v>7062</v>
      </c>
      <c r="D728" s="18" t="s">
        <v>167</v>
      </c>
      <c r="E728" s="359">
        <v>395.0</v>
      </c>
      <c r="F728" s="18"/>
      <c r="G728" s="359">
        <v>6.0</v>
      </c>
      <c r="H728" s="359">
        <v>0.0</v>
      </c>
      <c r="I728" s="359">
        <v>6.0</v>
      </c>
      <c r="J728" s="360">
        <v>1.0</v>
      </c>
      <c r="K728" s="18" t="s">
        <v>1392</v>
      </c>
      <c r="L728" s="18">
        <v>3.242343302E9</v>
      </c>
      <c r="M728" s="18" t="s">
        <v>215</v>
      </c>
      <c r="N728" s="18" t="s">
        <v>263</v>
      </c>
      <c r="O728" s="18" t="s">
        <v>1393</v>
      </c>
      <c r="P728" s="18" t="s">
        <v>7041</v>
      </c>
      <c r="Q728" s="20">
        <f>COUNTIF('Hedef Liste'!A:A,A728)</f>
        <v>1</v>
      </c>
    </row>
    <row r="729" ht="15.75" hidden="1" customHeight="1">
      <c r="A729" s="18" t="s">
        <v>134</v>
      </c>
      <c r="B729" s="18" t="s">
        <v>135</v>
      </c>
      <c r="C729" s="358" t="s">
        <v>7040</v>
      </c>
      <c r="D729" s="18" t="s">
        <v>80</v>
      </c>
      <c r="E729" s="359">
        <v>345.0</v>
      </c>
      <c r="F729" s="359">
        <v>40.0</v>
      </c>
      <c r="G729" s="359">
        <v>0.0</v>
      </c>
      <c r="H729" s="359">
        <v>15.0</v>
      </c>
      <c r="I729" s="359">
        <v>15.0</v>
      </c>
      <c r="J729" s="360">
        <v>0.0</v>
      </c>
      <c r="K729" s="18" t="s">
        <v>136</v>
      </c>
      <c r="L729" s="18">
        <v>3.242382306E9</v>
      </c>
      <c r="M729" s="18" t="s">
        <v>137</v>
      </c>
      <c r="N729" s="18" t="s">
        <v>138</v>
      </c>
      <c r="O729" s="18" t="s">
        <v>139</v>
      </c>
      <c r="P729" s="18" t="s">
        <v>7041</v>
      </c>
      <c r="Q729" s="20">
        <f>COUNTIF('Hedef Liste'!A:A,A729)</f>
        <v>1</v>
      </c>
    </row>
    <row r="730" ht="15.75" hidden="1" customHeight="1">
      <c r="A730" s="18" t="s">
        <v>4378</v>
      </c>
      <c r="B730" s="18" t="s">
        <v>4379</v>
      </c>
      <c r="C730" s="358" t="s">
        <v>7040</v>
      </c>
      <c r="D730" s="18" t="s">
        <v>363</v>
      </c>
      <c r="E730" s="359">
        <v>580.0</v>
      </c>
      <c r="F730" s="359">
        <v>104.0</v>
      </c>
      <c r="G730" s="359">
        <v>12.0</v>
      </c>
      <c r="H730" s="359">
        <v>12.0</v>
      </c>
      <c r="I730" s="359">
        <v>24.0</v>
      </c>
      <c r="J730" s="360">
        <v>0.5</v>
      </c>
      <c r="K730" s="18" t="s">
        <v>4380</v>
      </c>
      <c r="L730" s="18">
        <v>3.243291966E9</v>
      </c>
      <c r="M730" s="18" t="s">
        <v>72</v>
      </c>
      <c r="N730" s="18" t="s">
        <v>181</v>
      </c>
      <c r="O730" s="18" t="s">
        <v>4381</v>
      </c>
      <c r="P730" s="18" t="s">
        <v>7041</v>
      </c>
      <c r="Q730" s="20">
        <f>COUNTIF('Hedef Liste'!A:A,A730)</f>
        <v>1</v>
      </c>
    </row>
    <row r="731" ht="15.75" hidden="1" customHeight="1">
      <c r="A731" s="18" t="s">
        <v>877</v>
      </c>
      <c r="B731" s="18" t="s">
        <v>878</v>
      </c>
      <c r="C731" s="358" t="s">
        <v>7040</v>
      </c>
      <c r="D731" s="18" t="s">
        <v>356</v>
      </c>
      <c r="E731" s="359">
        <v>52.0</v>
      </c>
      <c r="F731" s="359">
        <v>1.0</v>
      </c>
      <c r="G731" s="359">
        <v>1.0</v>
      </c>
      <c r="H731" s="359">
        <v>6.0</v>
      </c>
      <c r="I731" s="359">
        <v>7.0</v>
      </c>
      <c r="J731" s="360">
        <v>0.14</v>
      </c>
      <c r="K731" s="18" t="s">
        <v>879</v>
      </c>
      <c r="L731" s="18">
        <v>5.307804533E9</v>
      </c>
      <c r="M731" s="18" t="s">
        <v>72</v>
      </c>
      <c r="N731" s="18" t="s">
        <v>128</v>
      </c>
      <c r="O731" s="18" t="s">
        <v>880</v>
      </c>
      <c r="P731" s="18" t="s">
        <v>7041</v>
      </c>
      <c r="Q731" s="20">
        <f>COUNTIF('Hedef Liste'!A:A,A731)</f>
        <v>1</v>
      </c>
    </row>
    <row r="732" ht="15.75" hidden="1" customHeight="1">
      <c r="A732" s="18" t="s">
        <v>1821</v>
      </c>
      <c r="B732" s="18" t="s">
        <v>1822</v>
      </c>
      <c r="C732" s="358" t="s">
        <v>7040</v>
      </c>
      <c r="D732" s="18" t="s">
        <v>70</v>
      </c>
      <c r="E732" s="359">
        <v>455.0</v>
      </c>
      <c r="F732" s="359">
        <v>14.0</v>
      </c>
      <c r="G732" s="359">
        <v>12.0</v>
      </c>
      <c r="H732" s="359">
        <v>6.0</v>
      </c>
      <c r="I732" s="359">
        <v>18.0</v>
      </c>
      <c r="J732" s="360">
        <v>0.67</v>
      </c>
      <c r="K732" s="18" t="s">
        <v>1823</v>
      </c>
      <c r="L732" s="18">
        <v>3.24325216E9</v>
      </c>
      <c r="M732" s="18" t="s">
        <v>72</v>
      </c>
      <c r="N732" s="18" t="s">
        <v>1277</v>
      </c>
      <c r="O732" s="18" t="s">
        <v>1824</v>
      </c>
      <c r="P732" s="18" t="s">
        <v>7041</v>
      </c>
      <c r="Q732" s="20">
        <f>COUNTIF('Hedef Liste'!A:A,A732)</f>
        <v>1</v>
      </c>
    </row>
    <row r="733" ht="15.75" hidden="1" customHeight="1">
      <c r="A733" s="18" t="s">
        <v>1301</v>
      </c>
      <c r="B733" s="18" t="s">
        <v>1302</v>
      </c>
      <c r="C733" s="358" t="s">
        <v>7040</v>
      </c>
      <c r="D733" s="18" t="s">
        <v>45</v>
      </c>
      <c r="E733" s="359">
        <v>6.0</v>
      </c>
      <c r="F733" s="359">
        <v>2.0</v>
      </c>
      <c r="G733" s="359">
        <v>0.0</v>
      </c>
      <c r="H733" s="359">
        <v>31.0</v>
      </c>
      <c r="I733" s="359">
        <v>31.0</v>
      </c>
      <c r="J733" s="360">
        <v>0.0</v>
      </c>
      <c r="K733" s="18" t="s">
        <v>1303</v>
      </c>
      <c r="L733" s="18">
        <v>3.243280016E9</v>
      </c>
      <c r="M733" s="18" t="s">
        <v>72</v>
      </c>
      <c r="N733" s="18" t="s">
        <v>120</v>
      </c>
      <c r="O733" s="18" t="s">
        <v>1304</v>
      </c>
      <c r="P733" s="18" t="s">
        <v>7041</v>
      </c>
      <c r="Q733" s="20">
        <f>COUNTIF('Hedef Liste'!A:A,A733)</f>
        <v>1</v>
      </c>
    </row>
    <row r="734" ht="15.75" hidden="1" customHeight="1">
      <c r="A734" s="18" t="s">
        <v>4405</v>
      </c>
      <c r="B734" s="18" t="s">
        <v>4406</v>
      </c>
      <c r="C734" s="358" t="s">
        <v>7040</v>
      </c>
      <c r="D734" s="18" t="s">
        <v>106</v>
      </c>
      <c r="E734" s="359">
        <v>1272.0</v>
      </c>
      <c r="F734" s="359">
        <v>51.0</v>
      </c>
      <c r="G734" s="359">
        <v>0.0</v>
      </c>
      <c r="H734" s="359">
        <v>10.0</v>
      </c>
      <c r="I734" s="359">
        <v>10.0</v>
      </c>
      <c r="J734" s="361">
        <v>0.0</v>
      </c>
      <c r="K734" s="18" t="s">
        <v>4407</v>
      </c>
      <c r="L734" s="18">
        <v>5.076806969E9</v>
      </c>
      <c r="M734" s="18" t="s">
        <v>215</v>
      </c>
      <c r="N734" s="18" t="s">
        <v>1190</v>
      </c>
      <c r="O734" s="18" t="s">
        <v>4408</v>
      </c>
      <c r="P734" s="18" t="s">
        <v>7041</v>
      </c>
      <c r="Q734" s="20">
        <f>COUNTIF('Hedef Liste'!A:A,A734)</f>
        <v>1</v>
      </c>
    </row>
    <row r="735" ht="15.75" hidden="1" customHeight="1">
      <c r="A735" s="18" t="s">
        <v>4653</v>
      </c>
      <c r="B735" s="18" t="s">
        <v>4654</v>
      </c>
      <c r="C735" s="358" t="s">
        <v>7040</v>
      </c>
      <c r="D735" s="18" t="s">
        <v>70</v>
      </c>
      <c r="E735" s="359">
        <v>921.0</v>
      </c>
      <c r="F735" s="359">
        <v>48.0</v>
      </c>
      <c r="G735" s="359">
        <v>0.0</v>
      </c>
      <c r="H735" s="359">
        <v>7.0</v>
      </c>
      <c r="I735" s="359">
        <v>7.0</v>
      </c>
      <c r="J735" s="360">
        <v>0.0</v>
      </c>
      <c r="K735" s="18" t="s">
        <v>4655</v>
      </c>
      <c r="L735" s="18">
        <v>3.246147015E9</v>
      </c>
      <c r="M735" s="18" t="s">
        <v>156</v>
      </c>
      <c r="N735" s="18" t="s">
        <v>338</v>
      </c>
      <c r="O735" s="18" t="s">
        <v>4656</v>
      </c>
      <c r="P735" s="18" t="s">
        <v>7041</v>
      </c>
      <c r="Q735" s="20">
        <f>COUNTIF('Hedef Liste'!A:A,A735)</f>
        <v>1</v>
      </c>
    </row>
    <row r="736" ht="15.75" hidden="1" customHeight="1">
      <c r="A736" s="18" t="s">
        <v>1694</v>
      </c>
      <c r="B736" s="18" t="s">
        <v>1695</v>
      </c>
      <c r="C736" s="358" t="s">
        <v>7062</v>
      </c>
      <c r="D736" s="18" t="s">
        <v>80</v>
      </c>
      <c r="E736" s="359">
        <v>1354.0</v>
      </c>
      <c r="F736" s="359">
        <v>1.0</v>
      </c>
      <c r="G736" s="359">
        <v>7.0</v>
      </c>
      <c r="H736" s="359">
        <v>15.0</v>
      </c>
      <c r="I736" s="359">
        <v>22.0</v>
      </c>
      <c r="J736" s="360">
        <v>0.32</v>
      </c>
      <c r="K736" s="18" t="s">
        <v>1696</v>
      </c>
      <c r="L736" s="18">
        <v>3.243610121E9</v>
      </c>
      <c r="M736" s="18" t="s">
        <v>72</v>
      </c>
      <c r="N736" s="18" t="s">
        <v>82</v>
      </c>
      <c r="O736" s="18" t="s">
        <v>1697</v>
      </c>
      <c r="P736" s="18" t="s">
        <v>7041</v>
      </c>
      <c r="Q736" s="20">
        <f>COUNTIF('Hedef Liste'!A:A,A736)</f>
        <v>1</v>
      </c>
    </row>
    <row r="737" ht="15.75" hidden="1" customHeight="1">
      <c r="A737" s="18" t="s">
        <v>3184</v>
      </c>
      <c r="B737" s="18" t="s">
        <v>3185</v>
      </c>
      <c r="C737" s="358" t="s">
        <v>7040</v>
      </c>
      <c r="D737" s="18" t="s">
        <v>167</v>
      </c>
      <c r="E737" s="359">
        <v>528.0</v>
      </c>
      <c r="F737" s="18"/>
      <c r="G737" s="359">
        <v>6.0</v>
      </c>
      <c r="H737" s="359">
        <v>4.0</v>
      </c>
      <c r="I737" s="359">
        <v>10.0</v>
      </c>
      <c r="J737" s="360">
        <v>0.6</v>
      </c>
      <c r="K737" s="18" t="s">
        <v>3186</v>
      </c>
      <c r="L737" s="18">
        <v>5.459503887E9</v>
      </c>
      <c r="M737" s="18" t="s">
        <v>215</v>
      </c>
      <c r="N737" s="18" t="s">
        <v>216</v>
      </c>
      <c r="O737" s="18" t="s">
        <v>3187</v>
      </c>
      <c r="P737" s="18" t="s">
        <v>7041</v>
      </c>
      <c r="Q737" s="20">
        <f>COUNTIF('Hedef Liste'!A:A,A737)</f>
        <v>1</v>
      </c>
    </row>
    <row r="738" ht="15.75" hidden="1" customHeight="1">
      <c r="A738" s="18" t="s">
        <v>2745</v>
      </c>
      <c r="B738" s="18" t="s">
        <v>2746</v>
      </c>
      <c r="C738" s="358" t="s">
        <v>7040</v>
      </c>
      <c r="D738" s="18" t="s">
        <v>372</v>
      </c>
      <c r="E738" s="359">
        <v>131.0</v>
      </c>
      <c r="F738" s="359">
        <v>5.0</v>
      </c>
      <c r="G738" s="359">
        <v>0.0</v>
      </c>
      <c r="H738" s="359">
        <v>34.0</v>
      </c>
      <c r="I738" s="359">
        <v>34.0</v>
      </c>
      <c r="J738" s="360">
        <v>0.0</v>
      </c>
      <c r="K738" s="18" t="s">
        <v>2747</v>
      </c>
      <c r="L738" s="18">
        <v>5.527456785E9</v>
      </c>
      <c r="M738" s="18" t="s">
        <v>47</v>
      </c>
      <c r="N738" s="18" t="s">
        <v>608</v>
      </c>
      <c r="O738" s="18" t="s">
        <v>2748</v>
      </c>
      <c r="P738" s="18" t="s">
        <v>7041</v>
      </c>
      <c r="Q738" s="20">
        <f>COUNTIF('Hedef Liste'!A:A,A738)</f>
        <v>1</v>
      </c>
    </row>
    <row r="739" ht="15.75" hidden="1" customHeight="1">
      <c r="A739" s="18" t="s">
        <v>2670</v>
      </c>
      <c r="B739" s="18" t="s">
        <v>2671</v>
      </c>
      <c r="C739" s="358" t="s">
        <v>7040</v>
      </c>
      <c r="D739" s="18" t="s">
        <v>363</v>
      </c>
      <c r="E739" s="359">
        <v>209.0</v>
      </c>
      <c r="F739" s="359">
        <v>22.0</v>
      </c>
      <c r="G739" s="359">
        <v>2.0</v>
      </c>
      <c r="H739" s="359">
        <v>9.0</v>
      </c>
      <c r="I739" s="359">
        <v>11.0</v>
      </c>
      <c r="J739" s="360">
        <v>0.18</v>
      </c>
      <c r="K739" s="18" t="s">
        <v>2677</v>
      </c>
      <c r="L739" s="18">
        <v>5.461000042E9</v>
      </c>
      <c r="M739" s="18" t="s">
        <v>63</v>
      </c>
      <c r="N739" s="18" t="s">
        <v>100</v>
      </c>
      <c r="O739" s="18" t="s">
        <v>2673</v>
      </c>
      <c r="P739" s="18" t="s">
        <v>7041</v>
      </c>
      <c r="Q739" s="20">
        <f>COUNTIF('Hedef Liste'!A:A,A739)</f>
        <v>1</v>
      </c>
    </row>
    <row r="740" ht="15.75" hidden="1" customHeight="1">
      <c r="A740" s="18" t="s">
        <v>4248</v>
      </c>
      <c r="B740" s="18" t="s">
        <v>4249</v>
      </c>
      <c r="C740" s="358" t="s">
        <v>7040</v>
      </c>
      <c r="D740" s="18" t="s">
        <v>80</v>
      </c>
      <c r="E740" s="359">
        <v>1530.0</v>
      </c>
      <c r="F740" s="359">
        <v>113.0</v>
      </c>
      <c r="G740" s="359">
        <v>0.0</v>
      </c>
      <c r="H740" s="359">
        <v>16.0</v>
      </c>
      <c r="I740" s="359">
        <v>16.0</v>
      </c>
      <c r="J740" s="360">
        <v>0.0</v>
      </c>
      <c r="K740" s="18" t="s">
        <v>4250</v>
      </c>
      <c r="L740" s="18">
        <v>5.306473221E9</v>
      </c>
      <c r="M740" s="18" t="s">
        <v>63</v>
      </c>
      <c r="N740" s="18" t="s">
        <v>93</v>
      </c>
      <c r="O740" s="18" t="s">
        <v>4251</v>
      </c>
      <c r="P740" s="18" t="s">
        <v>7041</v>
      </c>
      <c r="Q740" s="20">
        <f>COUNTIF('Hedef Liste'!A:A,A740)</f>
        <v>1</v>
      </c>
    </row>
    <row r="741" ht="15.75" hidden="1" customHeight="1">
      <c r="A741" s="18" t="s">
        <v>3942</v>
      </c>
      <c r="B741" s="18" t="s">
        <v>7415</v>
      </c>
      <c r="C741" s="358" t="s">
        <v>7040</v>
      </c>
      <c r="D741" s="18" t="s">
        <v>451</v>
      </c>
      <c r="E741" s="359">
        <v>49960.0</v>
      </c>
      <c r="F741" s="359">
        <v>1706.0</v>
      </c>
      <c r="G741" s="359">
        <v>18.0</v>
      </c>
      <c r="H741" s="359">
        <v>68.0</v>
      </c>
      <c r="I741" s="359">
        <v>86.0</v>
      </c>
      <c r="J741" s="360">
        <v>0.21</v>
      </c>
      <c r="K741" s="18" t="s">
        <v>3935</v>
      </c>
      <c r="L741" s="18">
        <v>2.22239956E8</v>
      </c>
      <c r="M741" s="18" t="s">
        <v>72</v>
      </c>
      <c r="N741" s="18" t="s">
        <v>113</v>
      </c>
      <c r="O741" s="18" t="s">
        <v>3944</v>
      </c>
      <c r="P741" s="18" t="s">
        <v>7041</v>
      </c>
      <c r="Q741" s="20">
        <f>COUNTIF('Hedef Liste'!A:A,A741)</f>
        <v>1</v>
      </c>
    </row>
    <row r="742" ht="15.75" hidden="1" customHeight="1">
      <c r="A742" s="18" t="s">
        <v>3973</v>
      </c>
      <c r="B742" s="18" t="s">
        <v>3974</v>
      </c>
      <c r="C742" s="358" t="s">
        <v>7040</v>
      </c>
      <c r="D742" s="18" t="s">
        <v>70</v>
      </c>
      <c r="E742" s="359">
        <v>11.0</v>
      </c>
      <c r="F742" s="18"/>
      <c r="G742" s="359">
        <v>6.0</v>
      </c>
      <c r="H742" s="359">
        <v>2.0</v>
      </c>
      <c r="I742" s="359">
        <v>8.0</v>
      </c>
      <c r="J742" s="360">
        <v>0.75</v>
      </c>
      <c r="K742" s="18" t="s">
        <v>3975</v>
      </c>
      <c r="L742" s="18">
        <v>3.24337361E9</v>
      </c>
      <c r="M742" s="18" t="s">
        <v>137</v>
      </c>
      <c r="N742" s="18" t="s">
        <v>374</v>
      </c>
      <c r="O742" s="18" t="s">
        <v>3976</v>
      </c>
      <c r="P742" s="18" t="s">
        <v>7041</v>
      </c>
      <c r="Q742" s="20">
        <f>COUNTIF('Hedef Liste'!A:A,A742)</f>
        <v>1</v>
      </c>
    </row>
    <row r="743" ht="15.75" hidden="1" customHeight="1">
      <c r="A743" s="18" t="s">
        <v>2054</v>
      </c>
      <c r="B743" s="18" t="s">
        <v>2055</v>
      </c>
      <c r="C743" s="358" t="s">
        <v>7040</v>
      </c>
      <c r="D743" s="18" t="s">
        <v>80</v>
      </c>
      <c r="E743" s="359">
        <v>192.0</v>
      </c>
      <c r="F743" s="359">
        <v>17.0</v>
      </c>
      <c r="G743" s="359">
        <v>0.0</v>
      </c>
      <c r="H743" s="359">
        <v>15.0</v>
      </c>
      <c r="I743" s="359">
        <v>15.0</v>
      </c>
      <c r="J743" s="360">
        <v>0.0</v>
      </c>
      <c r="K743" s="18" t="s">
        <v>2056</v>
      </c>
      <c r="L743" s="18">
        <v>3.246132427E9</v>
      </c>
      <c r="M743" s="18" t="s">
        <v>156</v>
      </c>
      <c r="N743" s="18" t="s">
        <v>2057</v>
      </c>
      <c r="O743" s="18" t="s">
        <v>2058</v>
      </c>
      <c r="P743" s="18" t="s">
        <v>7041</v>
      </c>
      <c r="Q743" s="20">
        <f>COUNTIF('Hedef Liste'!A:A,A743)</f>
        <v>1</v>
      </c>
    </row>
    <row r="744" ht="15.75" hidden="1" customHeight="1">
      <c r="A744" s="18" t="s">
        <v>7416</v>
      </c>
      <c r="B744" s="18" t="s">
        <v>5151</v>
      </c>
      <c r="C744" s="358" t="s">
        <v>7040</v>
      </c>
      <c r="D744" s="18" t="s">
        <v>45</v>
      </c>
      <c r="E744" s="359">
        <v>1040.0</v>
      </c>
      <c r="F744" s="359">
        <v>155.0</v>
      </c>
      <c r="G744" s="359">
        <v>22.0</v>
      </c>
      <c r="H744" s="359">
        <v>30.0</v>
      </c>
      <c r="I744" s="359">
        <v>52.0</v>
      </c>
      <c r="J744" s="360">
        <v>0.42</v>
      </c>
      <c r="K744" s="18" t="s">
        <v>7417</v>
      </c>
      <c r="L744" s="18">
        <v>3.243260333E9</v>
      </c>
      <c r="M744" s="18" t="s">
        <v>72</v>
      </c>
      <c r="N744" s="18" t="s">
        <v>73</v>
      </c>
      <c r="O744" s="18" t="s">
        <v>5153</v>
      </c>
      <c r="P744" s="18" t="s">
        <v>7041</v>
      </c>
      <c r="Q744" s="20">
        <f>COUNTIF('Hedef Liste'!A:A,A744)</f>
        <v>0</v>
      </c>
    </row>
    <row r="745" ht="15.75" hidden="1" customHeight="1">
      <c r="A745" s="18" t="s">
        <v>825</v>
      </c>
      <c r="B745" s="18" t="s">
        <v>826</v>
      </c>
      <c r="C745" s="358" t="s">
        <v>7040</v>
      </c>
      <c r="D745" s="18" t="s">
        <v>118</v>
      </c>
      <c r="E745" s="359">
        <v>64.0</v>
      </c>
      <c r="F745" s="18"/>
      <c r="G745" s="359">
        <v>0.0</v>
      </c>
      <c r="H745" s="359">
        <v>13.0</v>
      </c>
      <c r="I745" s="359">
        <v>13.0</v>
      </c>
      <c r="J745" s="360">
        <v>0.0</v>
      </c>
      <c r="K745" s="18" t="s">
        <v>827</v>
      </c>
      <c r="L745" s="18">
        <v>3.242390909E9</v>
      </c>
      <c r="M745" s="18" t="s">
        <v>137</v>
      </c>
      <c r="N745" s="18" t="s">
        <v>175</v>
      </c>
      <c r="O745" s="18" t="s">
        <v>828</v>
      </c>
      <c r="P745" s="18" t="s">
        <v>7041</v>
      </c>
      <c r="Q745" s="20">
        <f>COUNTIF('Hedef Liste'!A:A,A745)</f>
        <v>1</v>
      </c>
    </row>
    <row r="746" ht="15.75" hidden="1" customHeight="1">
      <c r="A746" s="18" t="s">
        <v>4452</v>
      </c>
      <c r="B746" s="18" t="s">
        <v>4453</v>
      </c>
      <c r="C746" s="358" t="s">
        <v>7040</v>
      </c>
      <c r="D746" s="18" t="s">
        <v>118</v>
      </c>
      <c r="E746" s="359">
        <v>377.0</v>
      </c>
      <c r="F746" s="359">
        <v>40.0</v>
      </c>
      <c r="G746" s="359">
        <v>0.0</v>
      </c>
      <c r="H746" s="359">
        <v>26.0</v>
      </c>
      <c r="I746" s="359">
        <v>26.0</v>
      </c>
      <c r="J746" s="360">
        <v>0.0</v>
      </c>
      <c r="K746" s="18" t="s">
        <v>4454</v>
      </c>
      <c r="L746" s="18">
        <v>5.072477211E9</v>
      </c>
      <c r="M746" s="18" t="s">
        <v>156</v>
      </c>
      <c r="N746" s="18" t="s">
        <v>204</v>
      </c>
      <c r="O746" s="18" t="s">
        <v>4455</v>
      </c>
      <c r="P746" s="18" t="s">
        <v>7041</v>
      </c>
      <c r="Q746" s="20">
        <f>COUNTIF('Hedef Liste'!A:A,A746)</f>
        <v>1</v>
      </c>
    </row>
    <row r="747" ht="15.75" hidden="1" customHeight="1">
      <c r="A747" s="18" t="s">
        <v>4712</v>
      </c>
      <c r="B747" s="18" t="s">
        <v>4713</v>
      </c>
      <c r="C747" s="358" t="s">
        <v>7040</v>
      </c>
      <c r="D747" s="18" t="s">
        <v>70</v>
      </c>
      <c r="E747" s="359">
        <v>268.0</v>
      </c>
      <c r="F747" s="359">
        <v>30.0</v>
      </c>
      <c r="G747" s="359">
        <v>9.0</v>
      </c>
      <c r="H747" s="359">
        <v>0.0</v>
      </c>
      <c r="I747" s="359">
        <v>9.0</v>
      </c>
      <c r="J747" s="360">
        <v>1.0</v>
      </c>
      <c r="K747" s="18" t="s">
        <v>4714</v>
      </c>
      <c r="L747" s="18">
        <v>5.551458933E9</v>
      </c>
      <c r="M747" s="18" t="s">
        <v>215</v>
      </c>
      <c r="N747" s="18" t="s">
        <v>442</v>
      </c>
      <c r="O747" s="18" t="s">
        <v>4715</v>
      </c>
      <c r="P747" s="18" t="s">
        <v>7041</v>
      </c>
      <c r="Q747" s="20">
        <f>COUNTIF('Hedef Liste'!A:A,A747)</f>
        <v>1</v>
      </c>
    </row>
    <row r="748" ht="15.75" hidden="1" customHeight="1">
      <c r="A748" s="18" t="s">
        <v>4543</v>
      </c>
      <c r="B748" s="18" t="s">
        <v>4544</v>
      </c>
      <c r="C748" s="358" t="s">
        <v>7040</v>
      </c>
      <c r="D748" s="18" t="s">
        <v>118</v>
      </c>
      <c r="E748" s="359">
        <v>523.0</v>
      </c>
      <c r="F748" s="18"/>
      <c r="G748" s="359">
        <v>5.0</v>
      </c>
      <c r="H748" s="359">
        <v>51.0</v>
      </c>
      <c r="I748" s="359">
        <v>56.0</v>
      </c>
      <c r="J748" s="360">
        <v>0.09</v>
      </c>
      <c r="K748" s="18" t="s">
        <v>4545</v>
      </c>
      <c r="L748" s="18">
        <v>5.528678688E9</v>
      </c>
      <c r="M748" s="18" t="s">
        <v>72</v>
      </c>
      <c r="N748" s="18" t="s">
        <v>716</v>
      </c>
      <c r="O748" s="18" t="s">
        <v>4546</v>
      </c>
      <c r="P748" s="18" t="s">
        <v>7041</v>
      </c>
      <c r="Q748" s="20">
        <f>COUNTIF('Hedef Liste'!A:A,A748)</f>
        <v>1</v>
      </c>
    </row>
    <row r="749" ht="15.75" hidden="1" customHeight="1">
      <c r="A749" s="18" t="s">
        <v>3848</v>
      </c>
      <c r="B749" s="18" t="s">
        <v>3849</v>
      </c>
      <c r="C749" s="358" t="s">
        <v>7040</v>
      </c>
      <c r="D749" s="18" t="s">
        <v>45</v>
      </c>
      <c r="E749" s="359">
        <v>494.0</v>
      </c>
      <c r="F749" s="359">
        <v>67.0</v>
      </c>
      <c r="G749" s="359">
        <v>0.0</v>
      </c>
      <c r="H749" s="359">
        <v>16.0</v>
      </c>
      <c r="I749" s="359">
        <v>16.0</v>
      </c>
      <c r="J749" s="360">
        <v>0.0</v>
      </c>
      <c r="K749" s="18" t="s">
        <v>3850</v>
      </c>
      <c r="L749" s="18">
        <v>5.384045669E9</v>
      </c>
      <c r="M749" s="18" t="s">
        <v>902</v>
      </c>
      <c r="N749" s="18" t="s">
        <v>1483</v>
      </c>
      <c r="O749" s="18" t="s">
        <v>3851</v>
      </c>
      <c r="P749" s="18" t="s">
        <v>7041</v>
      </c>
      <c r="Q749" s="20">
        <f>COUNTIF('Hedef Liste'!A:A,A749)</f>
        <v>1</v>
      </c>
    </row>
    <row r="750" ht="15.75" hidden="1" customHeight="1">
      <c r="A750" s="18" t="s">
        <v>7418</v>
      </c>
      <c r="B750" s="18" t="s">
        <v>7419</v>
      </c>
      <c r="C750" s="358" t="s">
        <v>7040</v>
      </c>
      <c r="D750" s="18" t="s">
        <v>70</v>
      </c>
      <c r="E750" s="359">
        <v>425.0</v>
      </c>
      <c r="F750" s="359">
        <v>128.0</v>
      </c>
      <c r="G750" s="359">
        <v>42.0</v>
      </c>
      <c r="H750" s="359">
        <v>25.0</v>
      </c>
      <c r="I750" s="359">
        <v>67.0</v>
      </c>
      <c r="J750" s="360">
        <v>0.63</v>
      </c>
      <c r="K750" s="18" t="s">
        <v>7420</v>
      </c>
      <c r="L750" s="18">
        <v>3.245042555E9</v>
      </c>
      <c r="M750" s="18" t="s">
        <v>156</v>
      </c>
      <c r="N750" s="18" t="s">
        <v>283</v>
      </c>
      <c r="O750" s="18" t="s">
        <v>7421</v>
      </c>
      <c r="P750" s="18" t="s">
        <v>7041</v>
      </c>
      <c r="Q750" s="20">
        <f>COUNTIF('Hedef Liste'!A:A,A750)</f>
        <v>0</v>
      </c>
    </row>
    <row r="751" ht="15.75" hidden="1" customHeight="1">
      <c r="A751" s="18" t="s">
        <v>1795</v>
      </c>
      <c r="B751" s="18" t="s">
        <v>1796</v>
      </c>
      <c r="C751" s="358" t="s">
        <v>7040</v>
      </c>
      <c r="D751" s="18" t="s">
        <v>363</v>
      </c>
      <c r="E751" s="359">
        <v>226.0</v>
      </c>
      <c r="F751" s="359">
        <v>68.0</v>
      </c>
      <c r="G751" s="359">
        <v>53.0</v>
      </c>
      <c r="H751" s="359">
        <v>57.0</v>
      </c>
      <c r="I751" s="359">
        <v>110.0</v>
      </c>
      <c r="J751" s="360">
        <v>0.48</v>
      </c>
      <c r="K751" s="18" t="s">
        <v>1797</v>
      </c>
      <c r="L751" s="18">
        <v>3.243209971E9</v>
      </c>
      <c r="M751" s="18" t="s">
        <v>215</v>
      </c>
      <c r="N751" s="18" t="s">
        <v>634</v>
      </c>
      <c r="O751" s="18" t="s">
        <v>1798</v>
      </c>
      <c r="P751" s="18" t="s">
        <v>7041</v>
      </c>
      <c r="Q751" s="20">
        <f>COUNTIF('Hedef Liste'!A:A,A751)</f>
        <v>1</v>
      </c>
    </row>
    <row r="752" ht="15.75" hidden="1" customHeight="1">
      <c r="A752" s="18" t="s">
        <v>4253</v>
      </c>
      <c r="B752" s="18" t="s">
        <v>4254</v>
      </c>
      <c r="C752" s="358" t="s">
        <v>7040</v>
      </c>
      <c r="D752" s="18" t="s">
        <v>80</v>
      </c>
      <c r="E752" s="359">
        <v>87.0</v>
      </c>
      <c r="F752" s="18"/>
      <c r="G752" s="359">
        <v>0.0</v>
      </c>
      <c r="H752" s="359">
        <v>9.0</v>
      </c>
      <c r="I752" s="359">
        <v>9.0</v>
      </c>
      <c r="J752" s="360">
        <v>0.0</v>
      </c>
      <c r="K752" s="18" t="s">
        <v>4255</v>
      </c>
      <c r="L752" s="18">
        <v>5.411341234E9</v>
      </c>
      <c r="M752" s="18" t="s">
        <v>137</v>
      </c>
      <c r="N752" s="18" t="s">
        <v>4023</v>
      </c>
      <c r="O752" s="18" t="s">
        <v>4256</v>
      </c>
      <c r="P752" s="18" t="s">
        <v>7041</v>
      </c>
      <c r="Q752" s="20">
        <f>COUNTIF('Hedef Liste'!A:A,A752)</f>
        <v>1</v>
      </c>
    </row>
    <row r="753" ht="15.75" hidden="1" customHeight="1">
      <c r="A753" s="18" t="s">
        <v>2205</v>
      </c>
      <c r="B753" s="18" t="s">
        <v>2206</v>
      </c>
      <c r="C753" s="358" t="s">
        <v>7040</v>
      </c>
      <c r="D753" s="18" t="s">
        <v>2207</v>
      </c>
      <c r="E753" s="359">
        <v>3.0</v>
      </c>
      <c r="F753" s="18"/>
      <c r="G753" s="359">
        <v>4.0</v>
      </c>
      <c r="H753" s="359">
        <v>0.0</v>
      </c>
      <c r="I753" s="359">
        <v>4.0</v>
      </c>
      <c r="J753" s="360">
        <v>1.0</v>
      </c>
      <c r="K753" s="18" t="s">
        <v>2208</v>
      </c>
      <c r="L753" s="18">
        <v>5.398845236E9</v>
      </c>
      <c r="M753" s="18" t="s">
        <v>72</v>
      </c>
      <c r="N753" s="18" t="s">
        <v>113</v>
      </c>
      <c r="O753" s="18" t="s">
        <v>2209</v>
      </c>
      <c r="P753" s="18" t="s">
        <v>7041</v>
      </c>
      <c r="Q753" s="20">
        <f>COUNTIF('Hedef Liste'!A:A,A753)</f>
        <v>1</v>
      </c>
    </row>
    <row r="754" ht="15.75" hidden="1" customHeight="1">
      <c r="A754" s="18" t="s">
        <v>1476</v>
      </c>
      <c r="B754" s="18" t="s">
        <v>1477</v>
      </c>
      <c r="C754" s="358" t="s">
        <v>7040</v>
      </c>
      <c r="D754" s="18" t="s">
        <v>363</v>
      </c>
      <c r="E754" s="359">
        <v>4.0</v>
      </c>
      <c r="F754" s="359">
        <v>2.0</v>
      </c>
      <c r="G754" s="359">
        <v>62.0</v>
      </c>
      <c r="H754" s="359">
        <v>21.0</v>
      </c>
      <c r="I754" s="359">
        <v>83.0</v>
      </c>
      <c r="J754" s="360">
        <v>0.75</v>
      </c>
      <c r="K754" s="18" t="s">
        <v>1478</v>
      </c>
      <c r="L754" s="18">
        <v>3.243272797E9</v>
      </c>
      <c r="M754" s="18" t="s">
        <v>72</v>
      </c>
      <c r="N754" s="18" t="s">
        <v>128</v>
      </c>
      <c r="O754" s="18" t="s">
        <v>1479</v>
      </c>
      <c r="P754" s="18" t="s">
        <v>7041</v>
      </c>
      <c r="Q754" s="20">
        <f>COUNTIF('Hedef Liste'!A:A,A754)</f>
        <v>1</v>
      </c>
    </row>
    <row r="755" ht="15.75" hidden="1" customHeight="1">
      <c r="A755" s="18" t="s">
        <v>7422</v>
      </c>
      <c r="B755" s="18" t="s">
        <v>7423</v>
      </c>
      <c r="C755" s="358" t="s">
        <v>7040</v>
      </c>
      <c r="D755" s="18" t="s">
        <v>45</v>
      </c>
      <c r="E755" s="359">
        <v>56.0</v>
      </c>
      <c r="F755" s="359">
        <v>41.0</v>
      </c>
      <c r="G755" s="359">
        <v>16.0</v>
      </c>
      <c r="H755" s="359">
        <v>17.0</v>
      </c>
      <c r="I755" s="359">
        <v>33.0</v>
      </c>
      <c r="J755" s="361">
        <v>0.48</v>
      </c>
      <c r="K755" s="18" t="s">
        <v>7424</v>
      </c>
      <c r="L755" s="18">
        <v>3.249991915E9</v>
      </c>
      <c r="M755" s="18" t="s">
        <v>72</v>
      </c>
      <c r="N755" s="18" t="s">
        <v>716</v>
      </c>
      <c r="O755" s="18" t="s">
        <v>7425</v>
      </c>
      <c r="P755" s="18" t="s">
        <v>7041</v>
      </c>
      <c r="Q755" s="20">
        <f>COUNTIF('Hedef Liste'!A:A,A755)</f>
        <v>0</v>
      </c>
    </row>
    <row r="756" ht="15.75" hidden="1" customHeight="1">
      <c r="A756" s="18" t="s">
        <v>4764</v>
      </c>
      <c r="B756" s="18" t="s">
        <v>4765</v>
      </c>
      <c r="C756" s="358" t="s">
        <v>7040</v>
      </c>
      <c r="D756" s="18" t="s">
        <v>70</v>
      </c>
      <c r="E756" s="359">
        <v>474.0</v>
      </c>
      <c r="F756" s="359">
        <v>88.0</v>
      </c>
      <c r="G756" s="359">
        <v>0.0</v>
      </c>
      <c r="H756" s="359">
        <v>12.0</v>
      </c>
      <c r="I756" s="359">
        <v>12.0</v>
      </c>
      <c r="J756" s="360">
        <v>0.0</v>
      </c>
      <c r="K756" s="18" t="s">
        <v>4766</v>
      </c>
      <c r="L756" s="18">
        <v>3.247146333E9</v>
      </c>
      <c r="M756" s="18" t="s">
        <v>187</v>
      </c>
      <c r="N756" s="18" t="s">
        <v>150</v>
      </c>
      <c r="O756" s="18" t="s">
        <v>4767</v>
      </c>
      <c r="P756" s="18" t="s">
        <v>7041</v>
      </c>
      <c r="Q756" s="20">
        <f>COUNTIF('Hedef Liste'!A:A,A756)</f>
        <v>1</v>
      </c>
    </row>
    <row r="757" ht="15.75" hidden="1" customHeight="1">
      <c r="A757" s="18" t="s">
        <v>4158</v>
      </c>
      <c r="B757" s="18" t="s">
        <v>4159</v>
      </c>
      <c r="C757" s="358" t="s">
        <v>7040</v>
      </c>
      <c r="D757" s="18" t="s">
        <v>118</v>
      </c>
      <c r="E757" s="359">
        <v>48.0</v>
      </c>
      <c r="F757" s="359">
        <v>39.0</v>
      </c>
      <c r="G757" s="359">
        <v>0.0</v>
      </c>
      <c r="H757" s="359">
        <v>7.0</v>
      </c>
      <c r="I757" s="359">
        <v>7.0</v>
      </c>
      <c r="J757" s="360">
        <v>0.0</v>
      </c>
      <c r="K757" s="18" t="s">
        <v>4160</v>
      </c>
      <c r="L757" s="18">
        <v>5.339736233E9</v>
      </c>
      <c r="M757" s="18" t="s">
        <v>215</v>
      </c>
      <c r="N757" s="18" t="s">
        <v>671</v>
      </c>
      <c r="O757" s="18" t="s">
        <v>4161</v>
      </c>
      <c r="P757" s="18" t="s">
        <v>7041</v>
      </c>
      <c r="Q757" s="20">
        <f>COUNTIF('Hedef Liste'!A:A,A757)</f>
        <v>1</v>
      </c>
    </row>
    <row r="758" ht="15.75" hidden="1" customHeight="1">
      <c r="A758" s="18" t="s">
        <v>3148</v>
      </c>
      <c r="B758" s="18" t="s">
        <v>3149</v>
      </c>
      <c r="C758" s="358" t="s">
        <v>7040</v>
      </c>
      <c r="D758" s="18" t="s">
        <v>80</v>
      </c>
      <c r="E758" s="359">
        <v>9.0</v>
      </c>
      <c r="F758" s="359">
        <v>1.0</v>
      </c>
      <c r="G758" s="359">
        <v>0.0</v>
      </c>
      <c r="H758" s="359">
        <v>19.0</v>
      </c>
      <c r="I758" s="359">
        <v>19.0</v>
      </c>
      <c r="J758" s="360">
        <v>0.0</v>
      </c>
      <c r="K758" s="18" t="s">
        <v>3150</v>
      </c>
      <c r="L758" s="18">
        <v>3.243370521E9</v>
      </c>
      <c r="M758" s="18" t="s">
        <v>137</v>
      </c>
      <c r="N758" s="18" t="s">
        <v>526</v>
      </c>
      <c r="O758" s="18" t="s">
        <v>3151</v>
      </c>
      <c r="P758" s="18" t="s">
        <v>7041</v>
      </c>
      <c r="Q758" s="20">
        <f>COUNTIF('Hedef Liste'!A:A,A758)</f>
        <v>1</v>
      </c>
    </row>
    <row r="759" ht="15.75" hidden="1" customHeight="1">
      <c r="A759" s="18" t="s">
        <v>7426</v>
      </c>
      <c r="B759" s="18" t="s">
        <v>7427</v>
      </c>
      <c r="C759" s="358" t="s">
        <v>7040</v>
      </c>
      <c r="D759" s="18" t="s">
        <v>372</v>
      </c>
      <c r="E759" s="359">
        <v>1075.0</v>
      </c>
      <c r="F759" s="359">
        <v>32.0</v>
      </c>
      <c r="G759" s="359">
        <v>32.0</v>
      </c>
      <c r="H759" s="359">
        <v>3.0</v>
      </c>
      <c r="I759" s="359">
        <v>35.0</v>
      </c>
      <c r="J759" s="360">
        <v>0.91</v>
      </c>
      <c r="K759" s="18" t="s">
        <v>7112</v>
      </c>
      <c r="L759" s="18">
        <v>3.248165252E9</v>
      </c>
      <c r="M759" s="18" t="s">
        <v>47</v>
      </c>
      <c r="N759" s="18" t="s">
        <v>489</v>
      </c>
      <c r="O759" s="18" t="s">
        <v>7428</v>
      </c>
      <c r="P759" s="18" t="s">
        <v>7047</v>
      </c>
      <c r="Q759" s="20">
        <f>COUNTIF('Hedef Liste'!A:A,A759)</f>
        <v>0</v>
      </c>
    </row>
    <row r="760" ht="15.75" hidden="1" customHeight="1">
      <c r="A760" s="18" t="s">
        <v>641</v>
      </c>
      <c r="B760" s="18" t="s">
        <v>642</v>
      </c>
      <c r="C760" s="358" t="s">
        <v>7040</v>
      </c>
      <c r="D760" s="18" t="s">
        <v>70</v>
      </c>
      <c r="E760" s="359">
        <v>162.0</v>
      </c>
      <c r="F760" s="18"/>
      <c r="G760" s="359">
        <v>1.0</v>
      </c>
      <c r="H760" s="359">
        <v>4.0</v>
      </c>
      <c r="I760" s="359">
        <v>5.0</v>
      </c>
      <c r="J760" s="360">
        <v>0.2</v>
      </c>
      <c r="K760" s="18" t="s">
        <v>643</v>
      </c>
      <c r="L760" s="18">
        <v>5.373717529E9</v>
      </c>
      <c r="M760" s="18" t="s">
        <v>72</v>
      </c>
      <c r="N760" s="18" t="s">
        <v>113</v>
      </c>
      <c r="O760" s="18" t="s">
        <v>644</v>
      </c>
      <c r="P760" s="18" t="s">
        <v>7041</v>
      </c>
      <c r="Q760" s="20">
        <f>COUNTIF('Hedef Liste'!A:A,A760)</f>
        <v>1</v>
      </c>
    </row>
    <row r="761" ht="15.75" hidden="1" customHeight="1">
      <c r="A761" s="18" t="s">
        <v>2196</v>
      </c>
      <c r="B761" s="18" t="s">
        <v>2197</v>
      </c>
      <c r="C761" s="358" t="s">
        <v>7040</v>
      </c>
      <c r="D761" s="18" t="s">
        <v>70</v>
      </c>
      <c r="E761" s="359">
        <v>41.0</v>
      </c>
      <c r="F761" s="359">
        <v>7.0</v>
      </c>
      <c r="G761" s="359">
        <v>0.0</v>
      </c>
      <c r="H761" s="359">
        <v>12.0</v>
      </c>
      <c r="I761" s="359">
        <v>12.0</v>
      </c>
      <c r="J761" s="360">
        <v>0.0</v>
      </c>
      <c r="K761" s="18" t="s">
        <v>2198</v>
      </c>
      <c r="L761" s="18">
        <v>3.246140088E9</v>
      </c>
      <c r="M761" s="18" t="s">
        <v>156</v>
      </c>
      <c r="N761" s="18" t="s">
        <v>596</v>
      </c>
      <c r="O761" s="18" t="s">
        <v>2199</v>
      </c>
      <c r="P761" s="18" t="s">
        <v>7041</v>
      </c>
      <c r="Q761" s="20">
        <f>COUNTIF('Hedef Liste'!A:A,A761)</f>
        <v>1</v>
      </c>
    </row>
    <row r="762" ht="15.75" hidden="1" customHeight="1">
      <c r="A762" s="18" t="s">
        <v>1811</v>
      </c>
      <c r="B762" s="18" t="s">
        <v>1812</v>
      </c>
      <c r="C762" s="358" t="s">
        <v>7040</v>
      </c>
      <c r="D762" s="18" t="s">
        <v>498</v>
      </c>
      <c r="E762" s="359">
        <v>163.0</v>
      </c>
      <c r="F762" s="359">
        <v>21.0</v>
      </c>
      <c r="G762" s="359">
        <v>1.0</v>
      </c>
      <c r="H762" s="359">
        <v>32.0</v>
      </c>
      <c r="I762" s="359">
        <v>33.0</v>
      </c>
      <c r="J762" s="360">
        <v>0.03</v>
      </c>
      <c r="K762" s="18" t="s">
        <v>1813</v>
      </c>
      <c r="L762" s="18">
        <v>5.334617843E9</v>
      </c>
      <c r="M762" s="18" t="s">
        <v>47</v>
      </c>
      <c r="N762" s="18" t="s">
        <v>489</v>
      </c>
      <c r="O762" s="18" t="s">
        <v>1814</v>
      </c>
      <c r="P762" s="18" t="s">
        <v>7041</v>
      </c>
      <c r="Q762" s="20">
        <f>COUNTIF('Hedef Liste'!A:A,A762)</f>
        <v>1</v>
      </c>
    </row>
    <row r="763" ht="15.75" hidden="1" customHeight="1">
      <c r="A763" s="18" t="s">
        <v>2864</v>
      </c>
      <c r="B763" s="18" t="s">
        <v>2865</v>
      </c>
      <c r="C763" s="358" t="s">
        <v>7040</v>
      </c>
      <c r="D763" s="18" t="s">
        <v>363</v>
      </c>
      <c r="E763" s="359">
        <v>1677.0</v>
      </c>
      <c r="F763" s="359">
        <v>111.0</v>
      </c>
      <c r="G763" s="359">
        <v>31.0</v>
      </c>
      <c r="H763" s="359">
        <v>42.0</v>
      </c>
      <c r="I763" s="359">
        <v>73.0</v>
      </c>
      <c r="J763" s="360">
        <v>0.42</v>
      </c>
      <c r="K763" s="18" t="s">
        <v>2866</v>
      </c>
      <c r="L763" s="18">
        <v>5.300272502E9</v>
      </c>
      <c r="M763" s="18" t="s">
        <v>72</v>
      </c>
      <c r="N763" s="18" t="s">
        <v>82</v>
      </c>
      <c r="O763" s="18" t="s">
        <v>2867</v>
      </c>
      <c r="P763" s="18" t="s">
        <v>7041</v>
      </c>
      <c r="Q763" s="20">
        <f>COUNTIF('Hedef Liste'!A:A,A763)</f>
        <v>1</v>
      </c>
    </row>
    <row r="764" ht="15.75" hidden="1" customHeight="1">
      <c r="A764" s="18" t="s">
        <v>1971</v>
      </c>
      <c r="B764" s="18" t="s">
        <v>1972</v>
      </c>
      <c r="C764" s="358" t="s">
        <v>7040</v>
      </c>
      <c r="D764" s="18" t="s">
        <v>356</v>
      </c>
      <c r="E764" s="359">
        <v>6.0</v>
      </c>
      <c r="F764" s="359">
        <v>5.0</v>
      </c>
      <c r="G764" s="359">
        <v>6.0</v>
      </c>
      <c r="H764" s="359">
        <v>3.0</v>
      </c>
      <c r="I764" s="359">
        <v>9.0</v>
      </c>
      <c r="J764" s="360">
        <v>0.67</v>
      </c>
      <c r="K764" s="18" t="s">
        <v>1973</v>
      </c>
      <c r="L764" s="18">
        <v>5.30775015E9</v>
      </c>
      <c r="M764" s="18" t="s">
        <v>63</v>
      </c>
      <c r="N764" s="18" t="s">
        <v>700</v>
      </c>
      <c r="O764" s="18" t="s">
        <v>1974</v>
      </c>
      <c r="P764" s="18" t="s">
        <v>7041</v>
      </c>
      <c r="Q764" s="20">
        <f>COUNTIF('Hedef Liste'!A:A,A764)</f>
        <v>1</v>
      </c>
    </row>
    <row r="765" ht="15.75" hidden="1" customHeight="1">
      <c r="A765" s="18" t="s">
        <v>4521</v>
      </c>
      <c r="B765" s="18" t="s">
        <v>4522</v>
      </c>
      <c r="C765" s="358" t="s">
        <v>7040</v>
      </c>
      <c r="D765" s="18" t="s">
        <v>564</v>
      </c>
      <c r="E765" s="359">
        <v>4063.0</v>
      </c>
      <c r="F765" s="359">
        <v>327.0</v>
      </c>
      <c r="G765" s="359">
        <v>0.0</v>
      </c>
      <c r="H765" s="359">
        <v>54.0</v>
      </c>
      <c r="I765" s="359">
        <v>54.0</v>
      </c>
      <c r="J765" s="360">
        <v>0.0</v>
      </c>
      <c r="K765" s="18" t="s">
        <v>4523</v>
      </c>
      <c r="L765" s="18">
        <v>5.073518508E9</v>
      </c>
      <c r="M765" s="18" t="s">
        <v>187</v>
      </c>
      <c r="N765" s="18" t="s">
        <v>188</v>
      </c>
      <c r="O765" s="18" t="s">
        <v>4524</v>
      </c>
      <c r="P765" s="18" t="s">
        <v>7041</v>
      </c>
      <c r="Q765" s="20">
        <f>COUNTIF('Hedef Liste'!A:A,A765)</f>
        <v>1</v>
      </c>
    </row>
    <row r="766" ht="15.75" hidden="1" customHeight="1">
      <c r="A766" s="18" t="s">
        <v>7429</v>
      </c>
      <c r="B766" s="18" t="s">
        <v>7430</v>
      </c>
      <c r="C766" s="358" t="s">
        <v>7040</v>
      </c>
      <c r="D766" s="18" t="s">
        <v>167</v>
      </c>
      <c r="E766" s="359">
        <v>11.0</v>
      </c>
      <c r="F766" s="359">
        <v>6.0</v>
      </c>
      <c r="G766" s="359">
        <v>44.0</v>
      </c>
      <c r="H766" s="359">
        <v>5.0</v>
      </c>
      <c r="I766" s="359">
        <v>49.0</v>
      </c>
      <c r="J766" s="360">
        <v>0.9</v>
      </c>
      <c r="K766" s="18" t="s">
        <v>7045</v>
      </c>
      <c r="L766" s="18">
        <v>5.38377085E9</v>
      </c>
      <c r="M766" s="18" t="s">
        <v>7431</v>
      </c>
      <c r="N766" s="18" t="s">
        <v>7432</v>
      </c>
      <c r="O766" s="18" t="s">
        <v>7433</v>
      </c>
      <c r="P766" s="18" t="s">
        <v>7047</v>
      </c>
      <c r="Q766" s="20">
        <f>COUNTIF('Hedef Liste'!A:A,A766)</f>
        <v>0</v>
      </c>
    </row>
    <row r="767" ht="15.75" hidden="1" customHeight="1">
      <c r="A767" s="18" t="s">
        <v>3343</v>
      </c>
      <c r="B767" s="18" t="s">
        <v>3344</v>
      </c>
      <c r="C767" s="358" t="s">
        <v>7040</v>
      </c>
      <c r="D767" s="18" t="s">
        <v>70</v>
      </c>
      <c r="E767" s="359">
        <v>143.0</v>
      </c>
      <c r="F767" s="359">
        <v>53.0</v>
      </c>
      <c r="G767" s="359">
        <v>0.0</v>
      </c>
      <c r="H767" s="359">
        <v>11.0</v>
      </c>
      <c r="I767" s="359">
        <v>11.0</v>
      </c>
      <c r="J767" s="360">
        <v>0.0</v>
      </c>
      <c r="K767" s="18" t="s">
        <v>3345</v>
      </c>
      <c r="L767" s="18">
        <v>3.24515023E9</v>
      </c>
      <c r="M767" s="18" t="s">
        <v>47</v>
      </c>
      <c r="N767" s="18" t="s">
        <v>489</v>
      </c>
      <c r="O767" s="18" t="s">
        <v>3346</v>
      </c>
      <c r="P767" s="18" t="s">
        <v>7041</v>
      </c>
      <c r="Q767" s="20">
        <f>COUNTIF('Hedef Liste'!A:A,A767)</f>
        <v>1</v>
      </c>
    </row>
    <row r="768" ht="15.75" hidden="1" customHeight="1">
      <c r="A768" s="18" t="s">
        <v>933</v>
      </c>
      <c r="B768" s="18" t="s">
        <v>934</v>
      </c>
      <c r="C768" s="358" t="s">
        <v>7040</v>
      </c>
      <c r="D768" s="18" t="s">
        <v>45</v>
      </c>
      <c r="E768" s="359">
        <v>32.0</v>
      </c>
      <c r="F768" s="359">
        <v>10.0</v>
      </c>
      <c r="G768" s="359">
        <v>0.0</v>
      </c>
      <c r="H768" s="359">
        <v>19.0</v>
      </c>
      <c r="I768" s="359">
        <v>19.0</v>
      </c>
      <c r="J768" s="360">
        <v>0.0</v>
      </c>
      <c r="K768" s="18" t="s">
        <v>935</v>
      </c>
      <c r="L768" s="18">
        <v>5.536317783E9</v>
      </c>
      <c r="M768" s="18" t="s">
        <v>72</v>
      </c>
      <c r="N768" s="18" t="s">
        <v>73</v>
      </c>
      <c r="O768" s="18" t="s">
        <v>936</v>
      </c>
      <c r="P768" s="18" t="s">
        <v>7041</v>
      </c>
      <c r="Q768" s="20">
        <f>COUNTIF('Hedef Liste'!A:A,A768)</f>
        <v>1</v>
      </c>
    </row>
    <row r="769" ht="15.75" hidden="1" customHeight="1">
      <c r="A769" s="18" t="s">
        <v>767</v>
      </c>
      <c r="B769" s="18" t="s">
        <v>768</v>
      </c>
      <c r="C769" s="358" t="s">
        <v>7040</v>
      </c>
      <c r="D769" s="18" t="s">
        <v>70</v>
      </c>
      <c r="E769" s="359">
        <v>150.0</v>
      </c>
      <c r="F769" s="359">
        <v>4.0</v>
      </c>
      <c r="G769" s="359">
        <v>1.0</v>
      </c>
      <c r="H769" s="359">
        <v>4.0</v>
      </c>
      <c r="I769" s="359">
        <v>5.0</v>
      </c>
      <c r="J769" s="360">
        <v>0.2</v>
      </c>
      <c r="K769" s="18" t="s">
        <v>7434</v>
      </c>
      <c r="L769" s="18">
        <v>5.05005701E9</v>
      </c>
      <c r="M769" s="18" t="s">
        <v>63</v>
      </c>
      <c r="N769" s="18" t="s">
        <v>1808</v>
      </c>
      <c r="O769" s="18" t="s">
        <v>771</v>
      </c>
      <c r="P769" s="18" t="s">
        <v>7041</v>
      </c>
      <c r="Q769" s="20">
        <f>COUNTIF('Hedef Liste'!A:A,A769)</f>
        <v>1</v>
      </c>
    </row>
    <row r="770" ht="15.75" hidden="1" customHeight="1">
      <c r="A770" s="18" t="s">
        <v>2879</v>
      </c>
      <c r="B770" s="18" t="s">
        <v>2880</v>
      </c>
      <c r="C770" s="358" t="s">
        <v>7040</v>
      </c>
      <c r="D770" s="18" t="s">
        <v>754</v>
      </c>
      <c r="E770" s="359">
        <v>955.0</v>
      </c>
      <c r="F770" s="359">
        <v>112.0</v>
      </c>
      <c r="G770" s="359">
        <v>5.0</v>
      </c>
      <c r="H770" s="359">
        <v>8.0</v>
      </c>
      <c r="I770" s="359">
        <v>13.0</v>
      </c>
      <c r="J770" s="360">
        <v>0.38</v>
      </c>
      <c r="K770" s="18" t="s">
        <v>2881</v>
      </c>
      <c r="L770" s="18">
        <v>5.416794349E9</v>
      </c>
      <c r="M770" s="18" t="s">
        <v>47</v>
      </c>
      <c r="N770" s="18" t="s">
        <v>489</v>
      </c>
      <c r="O770" s="18" t="s">
        <v>2882</v>
      </c>
      <c r="P770" s="18" t="s">
        <v>7041</v>
      </c>
      <c r="Q770" s="20">
        <f>COUNTIF('Hedef Liste'!A:A,A770)</f>
        <v>1</v>
      </c>
    </row>
    <row r="771" ht="15.75" hidden="1" customHeight="1">
      <c r="A771" s="18" t="s">
        <v>1706</v>
      </c>
      <c r="B771" s="18" t="s">
        <v>1707</v>
      </c>
      <c r="C771" s="358" t="s">
        <v>7040</v>
      </c>
      <c r="D771" s="18" t="s">
        <v>356</v>
      </c>
      <c r="E771" s="359">
        <v>72.0</v>
      </c>
      <c r="F771" s="359">
        <v>2.0</v>
      </c>
      <c r="G771" s="359">
        <v>6.0</v>
      </c>
      <c r="H771" s="359">
        <v>2.0</v>
      </c>
      <c r="I771" s="359">
        <v>8.0</v>
      </c>
      <c r="J771" s="360">
        <v>0.75</v>
      </c>
      <c r="K771" s="18" t="s">
        <v>1708</v>
      </c>
      <c r="L771" s="18">
        <v>5.077043854E9</v>
      </c>
      <c r="M771" s="18" t="s">
        <v>72</v>
      </c>
      <c r="N771" s="18" t="s">
        <v>548</v>
      </c>
      <c r="O771" s="18" t="s">
        <v>1709</v>
      </c>
      <c r="P771" s="18" t="s">
        <v>7041</v>
      </c>
      <c r="Q771" s="20">
        <f>COUNTIF('Hedef Liste'!A:A,A771)</f>
        <v>1</v>
      </c>
    </row>
    <row r="772" ht="15.75" hidden="1" customHeight="1">
      <c r="A772" s="18" t="s">
        <v>1800</v>
      </c>
      <c r="B772" s="18" t="s">
        <v>1801</v>
      </c>
      <c r="C772" s="358" t="s">
        <v>7040</v>
      </c>
      <c r="D772" s="18" t="s">
        <v>363</v>
      </c>
      <c r="E772" s="359">
        <v>129.0</v>
      </c>
      <c r="F772" s="359">
        <v>9.0</v>
      </c>
      <c r="G772" s="359">
        <v>12.0</v>
      </c>
      <c r="H772" s="359">
        <v>19.0</v>
      </c>
      <c r="I772" s="359">
        <v>31.0</v>
      </c>
      <c r="J772" s="360">
        <v>0.39</v>
      </c>
      <c r="K772" s="18" t="s">
        <v>1802</v>
      </c>
      <c r="L772" s="18">
        <v>5.342927466E9</v>
      </c>
      <c r="M772" s="18" t="s">
        <v>63</v>
      </c>
      <c r="N772" s="18" t="s">
        <v>209</v>
      </c>
      <c r="O772" s="18" t="s">
        <v>1803</v>
      </c>
      <c r="P772" s="18" t="s">
        <v>7041</v>
      </c>
      <c r="Q772" s="20">
        <f>COUNTIF('Hedef Liste'!A:A,A772)</f>
        <v>1</v>
      </c>
    </row>
    <row r="773" ht="15.75" hidden="1" customHeight="1">
      <c r="A773" s="18" t="s">
        <v>4624</v>
      </c>
      <c r="B773" s="18" t="s">
        <v>4625</v>
      </c>
      <c r="C773" s="358" t="s">
        <v>7040</v>
      </c>
      <c r="D773" s="18" t="s">
        <v>4626</v>
      </c>
      <c r="E773" s="359">
        <v>10.0</v>
      </c>
      <c r="F773" s="18"/>
      <c r="G773" s="359">
        <v>0.0</v>
      </c>
      <c r="H773" s="359">
        <v>8.0</v>
      </c>
      <c r="I773" s="359">
        <v>8.0</v>
      </c>
      <c r="J773" s="360">
        <v>0.0</v>
      </c>
      <c r="K773" s="18" t="s">
        <v>4627</v>
      </c>
      <c r="L773" s="18">
        <v>5.449014858E9</v>
      </c>
      <c r="M773" s="18" t="s">
        <v>72</v>
      </c>
      <c r="N773" s="18" t="s">
        <v>113</v>
      </c>
      <c r="O773" s="18" t="s">
        <v>4628</v>
      </c>
      <c r="P773" s="18" t="s">
        <v>7041</v>
      </c>
      <c r="Q773" s="20">
        <f>COUNTIF('Hedef Liste'!A:A,A773)</f>
        <v>1</v>
      </c>
    </row>
    <row r="774" ht="15.75" hidden="1" customHeight="1">
      <c r="A774" s="18" t="s">
        <v>523</v>
      </c>
      <c r="B774" s="18" t="s">
        <v>524</v>
      </c>
      <c r="C774" s="358" t="s">
        <v>7040</v>
      </c>
      <c r="D774" s="18" t="s">
        <v>451</v>
      </c>
      <c r="E774" s="359">
        <v>753.0</v>
      </c>
      <c r="F774" s="18"/>
      <c r="G774" s="359">
        <v>0.0</v>
      </c>
      <c r="H774" s="359">
        <v>7.0</v>
      </c>
      <c r="I774" s="359">
        <v>7.0</v>
      </c>
      <c r="J774" s="360">
        <v>0.0</v>
      </c>
      <c r="K774" s="18" t="s">
        <v>525</v>
      </c>
      <c r="L774" s="18">
        <v>5.352681947E9</v>
      </c>
      <c r="M774" s="18" t="s">
        <v>137</v>
      </c>
      <c r="N774" s="18" t="s">
        <v>526</v>
      </c>
      <c r="O774" s="18" t="s">
        <v>527</v>
      </c>
      <c r="P774" s="18" t="s">
        <v>7041</v>
      </c>
      <c r="Q774" s="20">
        <f>COUNTIF('Hedef Liste'!A:A,A774)</f>
        <v>1</v>
      </c>
    </row>
    <row r="775" ht="15.75" hidden="1" customHeight="1">
      <c r="A775" s="18" t="s">
        <v>308</v>
      </c>
      <c r="B775" s="18" t="s">
        <v>309</v>
      </c>
      <c r="C775" s="358" t="s">
        <v>7062</v>
      </c>
      <c r="D775" s="18" t="s">
        <v>167</v>
      </c>
      <c r="E775" s="359">
        <v>663.0</v>
      </c>
      <c r="F775" s="18"/>
      <c r="G775" s="359">
        <v>0.0</v>
      </c>
      <c r="H775" s="359">
        <v>7.0</v>
      </c>
      <c r="I775" s="359">
        <v>7.0</v>
      </c>
      <c r="J775" s="360">
        <v>0.0</v>
      </c>
      <c r="K775" s="18" t="s">
        <v>310</v>
      </c>
      <c r="L775" s="18">
        <v>5.528688433E9</v>
      </c>
      <c r="M775" s="18" t="s">
        <v>137</v>
      </c>
      <c r="N775" s="18" t="s">
        <v>311</v>
      </c>
      <c r="O775" s="18" t="s">
        <v>312</v>
      </c>
      <c r="P775" s="18" t="s">
        <v>7041</v>
      </c>
      <c r="Q775" s="20">
        <f>COUNTIF('Hedef Liste'!A:A,A775)</f>
        <v>1</v>
      </c>
    </row>
    <row r="776" ht="15.75" hidden="1" customHeight="1">
      <c r="A776" s="18" t="s">
        <v>2958</v>
      </c>
      <c r="B776" s="18" t="s">
        <v>2959</v>
      </c>
      <c r="C776" s="358" t="s">
        <v>7040</v>
      </c>
      <c r="D776" s="18" t="s">
        <v>118</v>
      </c>
      <c r="E776" s="359">
        <v>615.0</v>
      </c>
      <c r="F776" s="359">
        <v>15.0</v>
      </c>
      <c r="G776" s="359">
        <v>0.0</v>
      </c>
      <c r="H776" s="359">
        <v>14.0</v>
      </c>
      <c r="I776" s="359">
        <v>14.0</v>
      </c>
      <c r="J776" s="360">
        <v>0.0</v>
      </c>
      <c r="K776" s="18" t="s">
        <v>2960</v>
      </c>
      <c r="L776" s="18">
        <v>5.523885482E9</v>
      </c>
      <c r="M776" s="18" t="s">
        <v>902</v>
      </c>
      <c r="N776" s="18" t="s">
        <v>263</v>
      </c>
      <c r="O776" s="18" t="s">
        <v>2961</v>
      </c>
      <c r="P776" s="18" t="s">
        <v>7041</v>
      </c>
      <c r="Q776" s="20">
        <f>COUNTIF('Hedef Liste'!A:A,A776)</f>
        <v>1</v>
      </c>
    </row>
    <row r="777" ht="15.75" hidden="1" customHeight="1">
      <c r="A777" s="18" t="s">
        <v>1643</v>
      </c>
      <c r="B777" s="18" t="s">
        <v>1644</v>
      </c>
      <c r="C777" s="358" t="s">
        <v>7040</v>
      </c>
      <c r="D777" s="18" t="s">
        <v>363</v>
      </c>
      <c r="E777" s="359">
        <v>1631.0</v>
      </c>
      <c r="F777" s="359">
        <v>160.0</v>
      </c>
      <c r="G777" s="359">
        <v>22.0</v>
      </c>
      <c r="H777" s="359">
        <v>11.0</v>
      </c>
      <c r="I777" s="359">
        <v>33.0</v>
      </c>
      <c r="J777" s="360">
        <v>0.67</v>
      </c>
      <c r="K777" s="18" t="s">
        <v>667</v>
      </c>
      <c r="L777" s="18">
        <v>5.526172747E9</v>
      </c>
      <c r="M777" s="18" t="s">
        <v>63</v>
      </c>
      <c r="N777" s="18" t="s">
        <v>93</v>
      </c>
      <c r="O777" s="18" t="s">
        <v>1645</v>
      </c>
      <c r="P777" s="18" t="s">
        <v>7041</v>
      </c>
      <c r="Q777" s="20">
        <f>COUNTIF('Hedef Liste'!A:A,A777)</f>
        <v>1</v>
      </c>
    </row>
    <row r="778" ht="15.75" hidden="1" customHeight="1">
      <c r="A778" s="18" t="s">
        <v>7435</v>
      </c>
      <c r="B778" s="18" t="s">
        <v>7436</v>
      </c>
      <c r="C778" s="358" t="s">
        <v>7040</v>
      </c>
      <c r="D778" s="18" t="s">
        <v>61</v>
      </c>
      <c r="E778" s="359">
        <v>336.0</v>
      </c>
      <c r="F778" s="359">
        <v>62.0</v>
      </c>
      <c r="G778" s="359">
        <v>28.0</v>
      </c>
      <c r="H778" s="359">
        <v>7.0</v>
      </c>
      <c r="I778" s="359">
        <v>35.0</v>
      </c>
      <c r="J778" s="360">
        <v>0.8</v>
      </c>
      <c r="K778" s="18" t="s">
        <v>7437</v>
      </c>
      <c r="L778" s="18">
        <v>5.431289833E9</v>
      </c>
      <c r="M778" s="18" t="s">
        <v>63</v>
      </c>
      <c r="N778" s="18" t="s">
        <v>318</v>
      </c>
      <c r="O778" s="18" t="s">
        <v>7438</v>
      </c>
      <c r="P778" s="18" t="s">
        <v>7047</v>
      </c>
      <c r="Q778" s="20">
        <f>COUNTIF('Hedef Liste'!A:A,A778)</f>
        <v>0</v>
      </c>
    </row>
    <row r="779" ht="15.75" hidden="1" customHeight="1">
      <c r="A779" s="18" t="s">
        <v>439</v>
      </c>
      <c r="B779" s="18" t="s">
        <v>440</v>
      </c>
      <c r="C779" s="358" t="s">
        <v>7040</v>
      </c>
      <c r="D779" s="18" t="s">
        <v>80</v>
      </c>
      <c r="E779" s="359">
        <v>886.0</v>
      </c>
      <c r="F779" s="359">
        <v>66.0</v>
      </c>
      <c r="G779" s="359">
        <v>14.0</v>
      </c>
      <c r="H779" s="359">
        <v>1.0</v>
      </c>
      <c r="I779" s="359">
        <v>15.0</v>
      </c>
      <c r="J779" s="360">
        <v>0.93</v>
      </c>
      <c r="K779" s="18" t="s">
        <v>441</v>
      </c>
      <c r="L779" s="18">
        <v>5.357711059E9</v>
      </c>
      <c r="M779" s="18" t="s">
        <v>215</v>
      </c>
      <c r="N779" s="18" t="s">
        <v>504</v>
      </c>
      <c r="O779" s="18" t="s">
        <v>443</v>
      </c>
      <c r="P779" s="18" t="s">
        <v>7041</v>
      </c>
      <c r="Q779" s="20">
        <f>COUNTIF('Hedef Liste'!A:A,A779)</f>
        <v>1</v>
      </c>
    </row>
    <row r="780" ht="15.75" hidden="1" customHeight="1">
      <c r="A780" s="18" t="s">
        <v>631</v>
      </c>
      <c r="B780" s="18" t="s">
        <v>632</v>
      </c>
      <c r="C780" s="358" t="s">
        <v>7040</v>
      </c>
      <c r="D780" s="18" t="s">
        <v>118</v>
      </c>
      <c r="E780" s="359">
        <v>59.0</v>
      </c>
      <c r="F780" s="359">
        <v>13.0</v>
      </c>
      <c r="G780" s="359">
        <v>18.0</v>
      </c>
      <c r="H780" s="359">
        <v>0.0</v>
      </c>
      <c r="I780" s="359">
        <v>18.0</v>
      </c>
      <c r="J780" s="360">
        <v>1.0</v>
      </c>
      <c r="K780" s="18" t="s">
        <v>633</v>
      </c>
      <c r="L780" s="18">
        <v>5.363007575E9</v>
      </c>
      <c r="M780" s="18" t="s">
        <v>215</v>
      </c>
      <c r="N780" s="18" t="s">
        <v>634</v>
      </c>
      <c r="O780" s="18" t="s">
        <v>635</v>
      </c>
      <c r="P780" s="18" t="s">
        <v>7041</v>
      </c>
      <c r="Q780" s="20">
        <f>COUNTIF('Hedef Liste'!A:A,A780)</f>
        <v>1</v>
      </c>
    </row>
    <row r="781" ht="15.75" hidden="1" customHeight="1">
      <c r="A781" s="18" t="s">
        <v>1056</v>
      </c>
      <c r="B781" s="18" t="s">
        <v>1057</v>
      </c>
      <c r="C781" s="358" t="s">
        <v>7040</v>
      </c>
      <c r="D781" s="18" t="s">
        <v>80</v>
      </c>
      <c r="E781" s="359">
        <v>1596.0</v>
      </c>
      <c r="F781" s="359">
        <v>140.0</v>
      </c>
      <c r="G781" s="359">
        <v>11.0</v>
      </c>
      <c r="H781" s="359">
        <v>8.0</v>
      </c>
      <c r="I781" s="359">
        <v>19.0</v>
      </c>
      <c r="J781" s="360">
        <v>0.58</v>
      </c>
      <c r="K781" s="18" t="s">
        <v>1058</v>
      </c>
      <c r="L781" s="18">
        <v>5.347840563E9</v>
      </c>
      <c r="M781" s="18" t="s">
        <v>72</v>
      </c>
      <c r="N781" s="18" t="s">
        <v>73</v>
      </c>
      <c r="O781" s="18" t="s">
        <v>1059</v>
      </c>
      <c r="P781" s="18" t="s">
        <v>7041</v>
      </c>
      <c r="Q781" s="20">
        <f>COUNTIF('Hedef Liste'!A:A,A781)</f>
        <v>1</v>
      </c>
    </row>
    <row r="782" ht="15.75" hidden="1" customHeight="1">
      <c r="A782" s="18" t="s">
        <v>2981</v>
      </c>
      <c r="B782" s="18" t="s">
        <v>2982</v>
      </c>
      <c r="C782" s="358" t="s">
        <v>7040</v>
      </c>
      <c r="D782" s="18" t="s">
        <v>45</v>
      </c>
      <c r="E782" s="359">
        <v>231.0</v>
      </c>
      <c r="F782" s="359">
        <v>44.0</v>
      </c>
      <c r="G782" s="359">
        <v>0.0</v>
      </c>
      <c r="H782" s="359">
        <v>21.0</v>
      </c>
      <c r="I782" s="359">
        <v>21.0</v>
      </c>
      <c r="J782" s="360">
        <v>0.0</v>
      </c>
      <c r="K782" s="18" t="s">
        <v>2983</v>
      </c>
      <c r="L782" s="18">
        <v>5.314734343E9</v>
      </c>
      <c r="M782" s="18" t="s">
        <v>72</v>
      </c>
      <c r="N782" s="18" t="s">
        <v>73</v>
      </c>
      <c r="O782" s="18" t="s">
        <v>2984</v>
      </c>
      <c r="P782" s="18" t="s">
        <v>7041</v>
      </c>
      <c r="Q782" s="20">
        <f>COUNTIF('Hedef Liste'!A:A,A782)</f>
        <v>1</v>
      </c>
    </row>
    <row r="783" ht="15.75" hidden="1" customHeight="1">
      <c r="A783" s="18" t="s">
        <v>1050</v>
      </c>
      <c r="B783" s="18" t="s">
        <v>1051</v>
      </c>
      <c r="C783" s="358" t="s">
        <v>7040</v>
      </c>
      <c r="D783" s="18" t="s">
        <v>80</v>
      </c>
      <c r="E783" s="359">
        <v>44.0</v>
      </c>
      <c r="F783" s="359">
        <v>7.0</v>
      </c>
      <c r="G783" s="359">
        <v>0.0</v>
      </c>
      <c r="H783" s="359">
        <v>8.0</v>
      </c>
      <c r="I783" s="359">
        <v>8.0</v>
      </c>
      <c r="J783" s="360">
        <v>0.0</v>
      </c>
      <c r="K783" s="18" t="s">
        <v>1052</v>
      </c>
      <c r="L783" s="18">
        <v>3.243219451E9</v>
      </c>
      <c r="M783" s="18" t="s">
        <v>215</v>
      </c>
      <c r="N783" s="18" t="s">
        <v>1053</v>
      </c>
      <c r="O783" s="18" t="s">
        <v>1054</v>
      </c>
      <c r="P783" s="18" t="s">
        <v>7041</v>
      </c>
      <c r="Q783" s="20">
        <f>COUNTIF('Hedef Liste'!A:A,A783)</f>
        <v>1</v>
      </c>
    </row>
    <row r="784" ht="15.75" hidden="1" customHeight="1">
      <c r="A784" s="18" t="s">
        <v>4354</v>
      </c>
      <c r="B784" s="18" t="s">
        <v>4355</v>
      </c>
      <c r="C784" s="358" t="s">
        <v>7040</v>
      </c>
      <c r="D784" s="18" t="s">
        <v>80</v>
      </c>
      <c r="E784" s="359">
        <v>90.0</v>
      </c>
      <c r="F784" s="359">
        <v>16.0</v>
      </c>
      <c r="G784" s="359">
        <v>10.0</v>
      </c>
      <c r="H784" s="359">
        <v>0.0</v>
      </c>
      <c r="I784" s="359">
        <v>10.0</v>
      </c>
      <c r="J784" s="360">
        <v>1.0</v>
      </c>
      <c r="K784" s="18" t="s">
        <v>4356</v>
      </c>
      <c r="L784" s="18">
        <v>5.395275987E9</v>
      </c>
      <c r="M784" s="18" t="s">
        <v>215</v>
      </c>
      <c r="N784" s="18" t="s">
        <v>560</v>
      </c>
      <c r="O784" s="18" t="s">
        <v>4357</v>
      </c>
      <c r="P784" s="18" t="s">
        <v>7041</v>
      </c>
      <c r="Q784" s="20">
        <f>COUNTIF('Hedef Liste'!A:A,A784)</f>
        <v>1</v>
      </c>
    </row>
    <row r="785" ht="15.75" hidden="1" customHeight="1">
      <c r="A785" s="18" t="s">
        <v>4081</v>
      </c>
      <c r="B785" s="18" t="s">
        <v>4082</v>
      </c>
      <c r="C785" s="358" t="s">
        <v>7040</v>
      </c>
      <c r="D785" s="18" t="s">
        <v>754</v>
      </c>
      <c r="E785" s="359">
        <v>1235.0</v>
      </c>
      <c r="F785" s="359">
        <v>75.0</v>
      </c>
      <c r="G785" s="359">
        <v>0.0</v>
      </c>
      <c r="H785" s="359">
        <v>30.0</v>
      </c>
      <c r="I785" s="359">
        <v>30.0</v>
      </c>
      <c r="J785" s="360">
        <v>0.0</v>
      </c>
      <c r="K785" s="18" t="s">
        <v>4083</v>
      </c>
      <c r="L785" s="18">
        <v>3.243260747E9</v>
      </c>
      <c r="M785" s="18" t="s">
        <v>72</v>
      </c>
      <c r="N785" s="18" t="s">
        <v>73</v>
      </c>
      <c r="O785" s="18" t="s">
        <v>4084</v>
      </c>
      <c r="P785" s="18" t="s">
        <v>7041</v>
      </c>
      <c r="Q785" s="20">
        <f>COUNTIF('Hedef Liste'!A:A,A785)</f>
        <v>1</v>
      </c>
    </row>
    <row r="786" ht="15.75" hidden="1" customHeight="1">
      <c r="A786" s="18" t="s">
        <v>3374</v>
      </c>
      <c r="B786" s="18" t="s">
        <v>3375</v>
      </c>
      <c r="C786" s="358" t="s">
        <v>7040</v>
      </c>
      <c r="D786" s="18" t="s">
        <v>70</v>
      </c>
      <c r="E786" s="359">
        <v>786.0</v>
      </c>
      <c r="F786" s="359">
        <v>29.0</v>
      </c>
      <c r="G786" s="359">
        <v>0.0</v>
      </c>
      <c r="H786" s="359">
        <v>19.0</v>
      </c>
      <c r="I786" s="359">
        <v>19.0</v>
      </c>
      <c r="J786" s="360">
        <v>0.0</v>
      </c>
      <c r="K786" s="18" t="s">
        <v>3376</v>
      </c>
      <c r="L786" s="18">
        <v>5.378548006E9</v>
      </c>
      <c r="M786" s="18" t="s">
        <v>47</v>
      </c>
      <c r="N786" s="18" t="s">
        <v>48</v>
      </c>
      <c r="O786" s="18" t="s">
        <v>3377</v>
      </c>
      <c r="P786" s="18" t="s">
        <v>7041</v>
      </c>
      <c r="Q786" s="20">
        <f>COUNTIF('Hedef Liste'!A:A,A786)</f>
        <v>1</v>
      </c>
    </row>
    <row r="787" ht="15.75" hidden="1" customHeight="1">
      <c r="A787" s="18" t="s">
        <v>3127</v>
      </c>
      <c r="B787" s="18" t="s">
        <v>3128</v>
      </c>
      <c r="C787" s="358" t="s">
        <v>7040</v>
      </c>
      <c r="D787" s="18" t="s">
        <v>80</v>
      </c>
      <c r="E787" s="359">
        <v>3640.0</v>
      </c>
      <c r="F787" s="359">
        <v>121.0</v>
      </c>
      <c r="G787" s="359">
        <v>6.0</v>
      </c>
      <c r="H787" s="359">
        <v>2.0</v>
      </c>
      <c r="I787" s="359">
        <v>8.0</v>
      </c>
      <c r="J787" s="360">
        <v>0.75</v>
      </c>
      <c r="K787" s="18" t="s">
        <v>3129</v>
      </c>
      <c r="L787" s="18">
        <v>5.377175213E9</v>
      </c>
      <c r="M787" s="18" t="s">
        <v>63</v>
      </c>
      <c r="N787" s="18" t="s">
        <v>3104</v>
      </c>
      <c r="O787" s="18" t="s">
        <v>3130</v>
      </c>
      <c r="P787" s="18" t="s">
        <v>7041</v>
      </c>
      <c r="Q787" s="20">
        <f>COUNTIF('Hedef Liste'!A:A,A787)</f>
        <v>1</v>
      </c>
    </row>
    <row r="788" ht="15.75" hidden="1" customHeight="1">
      <c r="A788" s="18" t="s">
        <v>2340</v>
      </c>
      <c r="B788" s="18" t="s">
        <v>2341</v>
      </c>
      <c r="C788" s="358" t="s">
        <v>7040</v>
      </c>
      <c r="D788" s="18" t="s">
        <v>106</v>
      </c>
      <c r="E788" s="18"/>
      <c r="F788" s="18"/>
      <c r="G788" s="359">
        <v>0.0</v>
      </c>
      <c r="H788" s="359">
        <v>32.0</v>
      </c>
      <c r="I788" s="359">
        <v>32.0</v>
      </c>
      <c r="J788" s="360">
        <v>0.0</v>
      </c>
      <c r="K788" s="18" t="s">
        <v>2342</v>
      </c>
      <c r="L788" s="18">
        <v>3.24325007E9</v>
      </c>
      <c r="M788" s="18" t="s">
        <v>72</v>
      </c>
      <c r="N788" s="18" t="s">
        <v>181</v>
      </c>
      <c r="O788" s="18" t="s">
        <v>2343</v>
      </c>
      <c r="P788" s="18" t="s">
        <v>7041</v>
      </c>
      <c r="Q788" s="20">
        <f>COUNTIF('Hedef Liste'!A:A,A788)</f>
        <v>1</v>
      </c>
    </row>
    <row r="789" ht="15.75" hidden="1" customHeight="1">
      <c r="A789" s="18" t="s">
        <v>3152</v>
      </c>
      <c r="B789" s="18" t="s">
        <v>3153</v>
      </c>
      <c r="C789" s="358" t="s">
        <v>7040</v>
      </c>
      <c r="D789" s="18" t="s">
        <v>80</v>
      </c>
      <c r="E789" s="359">
        <v>182.0</v>
      </c>
      <c r="F789" s="359">
        <v>20.0</v>
      </c>
      <c r="G789" s="359">
        <v>0.0</v>
      </c>
      <c r="H789" s="359">
        <v>15.0</v>
      </c>
      <c r="I789" s="359">
        <v>15.0</v>
      </c>
      <c r="J789" s="360">
        <v>0.0</v>
      </c>
      <c r="K789" s="18" t="s">
        <v>3154</v>
      </c>
      <c r="L789" s="18">
        <v>3.243265566E9</v>
      </c>
      <c r="M789" s="18" t="s">
        <v>72</v>
      </c>
      <c r="N789" s="18" t="s">
        <v>716</v>
      </c>
      <c r="O789" s="18" t="s">
        <v>3155</v>
      </c>
      <c r="P789" s="18" t="s">
        <v>7041</v>
      </c>
      <c r="Q789" s="20">
        <f>COUNTIF('Hedef Liste'!A:A,A789)</f>
        <v>1</v>
      </c>
    </row>
    <row r="790" ht="15.75" hidden="1" customHeight="1">
      <c r="A790" s="18" t="s">
        <v>4257</v>
      </c>
      <c r="B790" s="18" t="s">
        <v>4258</v>
      </c>
      <c r="C790" s="358" t="s">
        <v>7040</v>
      </c>
      <c r="D790" s="18" t="s">
        <v>70</v>
      </c>
      <c r="E790" s="359">
        <v>710.0</v>
      </c>
      <c r="F790" s="359">
        <v>57.0</v>
      </c>
      <c r="G790" s="359">
        <v>8.0</v>
      </c>
      <c r="H790" s="359">
        <v>2.0</v>
      </c>
      <c r="I790" s="359">
        <v>10.0</v>
      </c>
      <c r="J790" s="360">
        <v>0.8</v>
      </c>
      <c r="K790" s="18" t="s">
        <v>2150</v>
      </c>
      <c r="L790" s="18">
        <v>3.243570747E9</v>
      </c>
      <c r="M790" s="18" t="s">
        <v>63</v>
      </c>
      <c r="N790" s="18" t="s">
        <v>93</v>
      </c>
      <c r="O790" s="18" t="s">
        <v>4259</v>
      </c>
      <c r="P790" s="18" t="s">
        <v>7041</v>
      </c>
      <c r="Q790" s="20">
        <f>COUNTIF('Hedef Liste'!A:A,A790)</f>
        <v>1</v>
      </c>
    </row>
    <row r="791" ht="15.75" hidden="1" customHeight="1">
      <c r="A791" s="18" t="s">
        <v>2452</v>
      </c>
      <c r="B791" s="18" t="s">
        <v>2453</v>
      </c>
      <c r="C791" s="358" t="s">
        <v>7040</v>
      </c>
      <c r="D791" s="18" t="s">
        <v>70</v>
      </c>
      <c r="E791" s="359">
        <v>2245.0</v>
      </c>
      <c r="F791" s="359">
        <v>411.0</v>
      </c>
      <c r="G791" s="359">
        <v>0.0</v>
      </c>
      <c r="H791" s="359">
        <v>10.0</v>
      </c>
      <c r="I791" s="359">
        <v>10.0</v>
      </c>
      <c r="J791" s="361">
        <v>0.0</v>
      </c>
      <c r="K791" s="18" t="s">
        <v>2454</v>
      </c>
      <c r="L791" s="18">
        <v>3.246246333E9</v>
      </c>
      <c r="M791" s="18" t="s">
        <v>156</v>
      </c>
      <c r="N791" s="18" t="s">
        <v>338</v>
      </c>
      <c r="O791" s="18" t="s">
        <v>2455</v>
      </c>
      <c r="P791" s="18" t="s">
        <v>7041</v>
      </c>
      <c r="Q791" s="20">
        <f>COUNTIF('Hedef Liste'!A:A,A791)</f>
        <v>1</v>
      </c>
    </row>
    <row r="792" ht="15.75" hidden="1" customHeight="1">
      <c r="A792" s="18" t="s">
        <v>190</v>
      </c>
      <c r="B792" s="18" t="s">
        <v>191</v>
      </c>
      <c r="C792" s="358" t="s">
        <v>7040</v>
      </c>
      <c r="D792" s="18" t="s">
        <v>118</v>
      </c>
      <c r="E792" s="359">
        <v>815.0</v>
      </c>
      <c r="F792" s="359">
        <v>76.0</v>
      </c>
      <c r="G792" s="359">
        <v>0.0</v>
      </c>
      <c r="H792" s="359">
        <v>13.0</v>
      </c>
      <c r="I792" s="359">
        <v>13.0</v>
      </c>
      <c r="J792" s="360">
        <v>0.0</v>
      </c>
      <c r="K792" s="18" t="s">
        <v>192</v>
      </c>
      <c r="L792" s="18">
        <v>3.243588844E9</v>
      </c>
      <c r="M792" s="18" t="s">
        <v>63</v>
      </c>
      <c r="N792" s="18" t="s">
        <v>100</v>
      </c>
      <c r="O792" s="18" t="s">
        <v>193</v>
      </c>
      <c r="P792" s="18" t="s">
        <v>7041</v>
      </c>
      <c r="Q792" s="20">
        <f>COUNTIF('Hedef Liste'!A:A,A792)</f>
        <v>1</v>
      </c>
    </row>
    <row r="793" ht="15.75" hidden="1" customHeight="1">
      <c r="A793" s="18" t="s">
        <v>4208</v>
      </c>
      <c r="B793" s="18" t="s">
        <v>4209</v>
      </c>
      <c r="C793" s="358" t="s">
        <v>7040</v>
      </c>
      <c r="D793" s="18" t="s">
        <v>70</v>
      </c>
      <c r="E793" s="359">
        <v>586.0</v>
      </c>
      <c r="F793" s="359">
        <v>36.0</v>
      </c>
      <c r="G793" s="359">
        <v>7.0</v>
      </c>
      <c r="H793" s="359">
        <v>1.0</v>
      </c>
      <c r="I793" s="359">
        <v>8.0</v>
      </c>
      <c r="J793" s="361">
        <v>0.88</v>
      </c>
      <c r="K793" s="18" t="s">
        <v>4210</v>
      </c>
      <c r="L793" s="18">
        <v>3.243270102E9</v>
      </c>
      <c r="M793" s="18" t="s">
        <v>72</v>
      </c>
      <c r="N793" s="18" t="s">
        <v>73</v>
      </c>
      <c r="O793" s="18" t="s">
        <v>4211</v>
      </c>
      <c r="P793" s="18" t="s">
        <v>7041</v>
      </c>
      <c r="Q793" s="20">
        <f>COUNTIF('Hedef Liste'!A:A,A793)</f>
        <v>1</v>
      </c>
    </row>
    <row r="794" ht="15.75" hidden="1" customHeight="1">
      <c r="A794" s="18" t="s">
        <v>3033</v>
      </c>
      <c r="B794" s="18" t="s">
        <v>3034</v>
      </c>
      <c r="C794" s="358" t="s">
        <v>7040</v>
      </c>
      <c r="D794" s="18" t="s">
        <v>754</v>
      </c>
      <c r="E794" s="359">
        <v>101.0</v>
      </c>
      <c r="F794" s="359">
        <v>1.0</v>
      </c>
      <c r="G794" s="359">
        <v>0.0</v>
      </c>
      <c r="H794" s="359">
        <v>32.0</v>
      </c>
      <c r="I794" s="359">
        <v>32.0</v>
      </c>
      <c r="J794" s="360">
        <v>0.0</v>
      </c>
      <c r="K794" s="18" t="s">
        <v>3035</v>
      </c>
      <c r="L794" s="18">
        <v>5.376595113E9</v>
      </c>
      <c r="M794" s="18" t="s">
        <v>47</v>
      </c>
      <c r="N794" s="18" t="s">
        <v>48</v>
      </c>
      <c r="O794" s="18" t="s">
        <v>3036</v>
      </c>
      <c r="P794" s="18" t="s">
        <v>7041</v>
      </c>
      <c r="Q794" s="20">
        <f>COUNTIF('Hedef Liste'!A:A,A794)</f>
        <v>1</v>
      </c>
    </row>
    <row r="795" ht="15.75" hidden="1" customHeight="1">
      <c r="A795" s="18" t="s">
        <v>3439</v>
      </c>
      <c r="B795" s="18" t="s">
        <v>3440</v>
      </c>
      <c r="C795" s="358" t="s">
        <v>7062</v>
      </c>
      <c r="D795" s="18" t="s">
        <v>167</v>
      </c>
      <c r="E795" s="359">
        <v>13.0</v>
      </c>
      <c r="F795" s="18"/>
      <c r="G795" s="359">
        <v>92.0</v>
      </c>
      <c r="H795" s="359">
        <v>89.0</v>
      </c>
      <c r="I795" s="359">
        <v>181.0</v>
      </c>
      <c r="J795" s="360">
        <v>0.51</v>
      </c>
      <c r="K795" s="18" t="s">
        <v>3441</v>
      </c>
      <c r="L795" s="18">
        <v>5.356858656E9</v>
      </c>
      <c r="M795" s="18" t="s">
        <v>137</v>
      </c>
      <c r="N795" s="18" t="s">
        <v>845</v>
      </c>
      <c r="O795" s="18" t="s">
        <v>3442</v>
      </c>
      <c r="P795" s="18" t="s">
        <v>7047</v>
      </c>
      <c r="Q795" s="20">
        <f>COUNTIF('Hedef Liste'!A:A,A795)</f>
        <v>1</v>
      </c>
    </row>
    <row r="796" ht="15.75" hidden="1" customHeight="1">
      <c r="A796" s="18" t="s">
        <v>7439</v>
      </c>
      <c r="B796" s="18" t="s">
        <v>7440</v>
      </c>
      <c r="C796" s="358" t="s">
        <v>7040</v>
      </c>
      <c r="D796" s="18" t="s">
        <v>363</v>
      </c>
      <c r="E796" s="359">
        <v>1.0</v>
      </c>
      <c r="F796" s="18"/>
      <c r="G796" s="359">
        <v>26.0</v>
      </c>
      <c r="H796" s="359">
        <v>8.0</v>
      </c>
      <c r="I796" s="359">
        <v>34.0</v>
      </c>
      <c r="J796" s="360">
        <v>0.76</v>
      </c>
      <c r="K796" s="18" t="s">
        <v>1997</v>
      </c>
      <c r="L796" s="18">
        <v>5.421138533E9</v>
      </c>
      <c r="M796" s="18" t="s">
        <v>215</v>
      </c>
      <c r="N796" s="18" t="s">
        <v>779</v>
      </c>
      <c r="O796" s="18" t="s">
        <v>7441</v>
      </c>
      <c r="P796" s="18" t="s">
        <v>7041</v>
      </c>
      <c r="Q796" s="20">
        <f>COUNTIF('Hedef Liste'!A:A,A796)</f>
        <v>0</v>
      </c>
    </row>
    <row r="797" ht="15.75" hidden="1" customHeight="1">
      <c r="A797" s="18" t="s">
        <v>3938</v>
      </c>
      <c r="B797" s="18" t="s">
        <v>7442</v>
      </c>
      <c r="C797" s="358" t="s">
        <v>7040</v>
      </c>
      <c r="D797" s="18" t="s">
        <v>451</v>
      </c>
      <c r="E797" s="359">
        <v>12306.0</v>
      </c>
      <c r="F797" s="359">
        <v>557.0</v>
      </c>
      <c r="G797" s="359">
        <v>43.0</v>
      </c>
      <c r="H797" s="359">
        <v>40.0</v>
      </c>
      <c r="I797" s="359">
        <v>83.0</v>
      </c>
      <c r="J797" s="360">
        <v>0.52</v>
      </c>
      <c r="K797" s="18" t="s">
        <v>3935</v>
      </c>
      <c r="L797" s="18">
        <v>3.242388282E9</v>
      </c>
      <c r="M797" s="18" t="s">
        <v>137</v>
      </c>
      <c r="N797" s="18" t="s">
        <v>209</v>
      </c>
      <c r="O797" s="18" t="s">
        <v>3940</v>
      </c>
      <c r="P797" s="18" t="s">
        <v>7041</v>
      </c>
      <c r="Q797" s="20">
        <f>COUNTIF('Hedef Liste'!A:A,A797)</f>
        <v>1</v>
      </c>
    </row>
    <row r="798" ht="15.75" hidden="1" customHeight="1">
      <c r="A798" s="18" t="s">
        <v>361</v>
      </c>
      <c r="B798" s="18" t="s">
        <v>362</v>
      </c>
      <c r="C798" s="358" t="s">
        <v>7040</v>
      </c>
      <c r="D798" s="18" t="s">
        <v>363</v>
      </c>
      <c r="E798" s="359">
        <v>58.0</v>
      </c>
      <c r="F798" s="359">
        <v>34.0</v>
      </c>
      <c r="G798" s="359">
        <v>0.0</v>
      </c>
      <c r="H798" s="359">
        <v>26.0</v>
      </c>
      <c r="I798" s="359">
        <v>26.0</v>
      </c>
      <c r="J798" s="360">
        <v>0.0</v>
      </c>
      <c r="K798" s="18" t="s">
        <v>364</v>
      </c>
      <c r="L798" s="18">
        <v>5.439471607E9</v>
      </c>
      <c r="M798" s="18" t="s">
        <v>47</v>
      </c>
      <c r="N798" s="18" t="s">
        <v>365</v>
      </c>
      <c r="O798" s="18" t="s">
        <v>366</v>
      </c>
      <c r="P798" s="18" t="s">
        <v>7041</v>
      </c>
      <c r="Q798" s="20">
        <f>COUNTIF('Hedef Liste'!A:A,A798)</f>
        <v>1</v>
      </c>
    </row>
    <row r="799" ht="15.75" hidden="1" customHeight="1">
      <c r="A799" s="18" t="s">
        <v>1112</v>
      </c>
      <c r="B799" s="18" t="s">
        <v>1113</v>
      </c>
      <c r="C799" s="358" t="s">
        <v>7040</v>
      </c>
      <c r="D799" s="18" t="s">
        <v>106</v>
      </c>
      <c r="E799" s="359">
        <v>334.0</v>
      </c>
      <c r="F799" s="359">
        <v>83.0</v>
      </c>
      <c r="G799" s="359">
        <v>0.0</v>
      </c>
      <c r="H799" s="359">
        <v>42.0</v>
      </c>
      <c r="I799" s="359">
        <v>42.0</v>
      </c>
      <c r="J799" s="360">
        <v>0.0</v>
      </c>
      <c r="K799" s="18" t="s">
        <v>1114</v>
      </c>
      <c r="L799" s="18">
        <v>5.395490133E9</v>
      </c>
      <c r="M799" s="18" t="s">
        <v>156</v>
      </c>
      <c r="N799" s="18" t="s">
        <v>252</v>
      </c>
      <c r="O799" s="18" t="s">
        <v>1115</v>
      </c>
      <c r="P799" s="18" t="s">
        <v>7041</v>
      </c>
      <c r="Q799" s="20">
        <f>COUNTIF('Hedef Liste'!A:A,A799)</f>
        <v>1</v>
      </c>
    </row>
    <row r="800" ht="15.75" hidden="1" customHeight="1">
      <c r="A800" s="18" t="s">
        <v>4115</v>
      </c>
      <c r="B800" s="18" t="s">
        <v>4116</v>
      </c>
      <c r="C800" s="358" t="s">
        <v>7040</v>
      </c>
      <c r="D800" s="18" t="s">
        <v>167</v>
      </c>
      <c r="E800" s="359">
        <v>45.0</v>
      </c>
      <c r="F800" s="18"/>
      <c r="G800" s="359">
        <v>9.0</v>
      </c>
      <c r="H800" s="359">
        <v>6.0</v>
      </c>
      <c r="I800" s="359">
        <v>15.0</v>
      </c>
      <c r="J800" s="360">
        <v>0.6</v>
      </c>
      <c r="K800" s="18" t="s">
        <v>4117</v>
      </c>
      <c r="L800" s="18">
        <v>5.510526273E9</v>
      </c>
      <c r="M800" s="18" t="s">
        <v>63</v>
      </c>
      <c r="N800" s="18" t="s">
        <v>318</v>
      </c>
      <c r="O800" s="18" t="s">
        <v>4118</v>
      </c>
      <c r="P800" s="18" t="s">
        <v>7041</v>
      </c>
      <c r="Q800" s="20">
        <f>COUNTIF('Hedef Liste'!A:A,A800)</f>
        <v>1</v>
      </c>
    </row>
    <row r="801" ht="15.75" hidden="1" customHeight="1">
      <c r="A801" s="18" t="s">
        <v>7443</v>
      </c>
      <c r="B801" s="18" t="s">
        <v>5032</v>
      </c>
      <c r="C801" s="358" t="s">
        <v>7040</v>
      </c>
      <c r="D801" s="18" t="s">
        <v>80</v>
      </c>
      <c r="E801" s="359">
        <v>1227.0</v>
      </c>
      <c r="F801" s="359">
        <v>44.0</v>
      </c>
      <c r="G801" s="359">
        <v>10.0</v>
      </c>
      <c r="H801" s="359">
        <v>7.0</v>
      </c>
      <c r="I801" s="359">
        <v>17.0</v>
      </c>
      <c r="J801" s="360">
        <v>0.59</v>
      </c>
      <c r="K801" s="18" t="s">
        <v>7444</v>
      </c>
      <c r="L801" s="18">
        <v>3.24328936E9</v>
      </c>
      <c r="M801" s="18" t="s">
        <v>72</v>
      </c>
      <c r="N801" s="18" t="s">
        <v>181</v>
      </c>
      <c r="O801" s="18" t="s">
        <v>5035</v>
      </c>
      <c r="P801" s="18" t="s">
        <v>7041</v>
      </c>
      <c r="Q801" s="20">
        <f>COUNTIF('Hedef Liste'!A:A,A801)</f>
        <v>0</v>
      </c>
    </row>
    <row r="802" ht="15.75" hidden="1" customHeight="1">
      <c r="A802" s="18" t="s">
        <v>7445</v>
      </c>
      <c r="B802" s="18" t="s">
        <v>7446</v>
      </c>
      <c r="C802" s="358" t="s">
        <v>7040</v>
      </c>
      <c r="D802" s="18" t="s">
        <v>363</v>
      </c>
      <c r="E802" s="359">
        <v>213.0</v>
      </c>
      <c r="F802" s="359">
        <v>77.0</v>
      </c>
      <c r="G802" s="359">
        <v>37.0</v>
      </c>
      <c r="H802" s="359">
        <v>102.0</v>
      </c>
      <c r="I802" s="359">
        <v>139.0</v>
      </c>
      <c r="J802" s="360">
        <v>0.27</v>
      </c>
      <c r="K802" s="18" t="s">
        <v>7447</v>
      </c>
      <c r="L802" s="18">
        <v>5.395990505E9</v>
      </c>
      <c r="M802" s="18" t="s">
        <v>63</v>
      </c>
      <c r="N802" s="18" t="s">
        <v>318</v>
      </c>
      <c r="O802" s="18" t="s">
        <v>7448</v>
      </c>
      <c r="P802" s="18" t="s">
        <v>7047</v>
      </c>
      <c r="Q802" s="20">
        <f>COUNTIF('Hedef Liste'!A:A,A802)</f>
        <v>0</v>
      </c>
    </row>
    <row r="803" ht="15.75" hidden="1" customHeight="1">
      <c r="A803" s="18" t="s">
        <v>4486</v>
      </c>
      <c r="B803" s="18" t="s">
        <v>4487</v>
      </c>
      <c r="C803" s="358" t="s">
        <v>7040</v>
      </c>
      <c r="D803" s="18" t="s">
        <v>118</v>
      </c>
      <c r="E803" s="359">
        <v>213.0</v>
      </c>
      <c r="F803" s="359">
        <v>48.0</v>
      </c>
      <c r="G803" s="359">
        <v>0.0</v>
      </c>
      <c r="H803" s="359">
        <v>23.0</v>
      </c>
      <c r="I803" s="359">
        <v>23.0</v>
      </c>
      <c r="J803" s="360">
        <v>0.0</v>
      </c>
      <c r="K803" s="18" t="s">
        <v>4488</v>
      </c>
      <c r="L803" s="18">
        <v>5.362217978E9</v>
      </c>
      <c r="M803" s="18" t="s">
        <v>47</v>
      </c>
      <c r="N803" s="18" t="s">
        <v>608</v>
      </c>
      <c r="O803" s="18" t="s">
        <v>4489</v>
      </c>
      <c r="P803" s="18" t="s">
        <v>7041</v>
      </c>
      <c r="Q803" s="20">
        <f>COUNTIF('Hedef Liste'!A:A,A803)</f>
        <v>1</v>
      </c>
    </row>
    <row r="804" ht="15.75" hidden="1" customHeight="1">
      <c r="A804" s="18" t="s">
        <v>587</v>
      </c>
      <c r="B804" s="18" t="s">
        <v>588</v>
      </c>
      <c r="C804" s="358" t="s">
        <v>7040</v>
      </c>
      <c r="D804" s="18" t="s">
        <v>45</v>
      </c>
      <c r="E804" s="18"/>
      <c r="F804" s="18"/>
      <c r="G804" s="359">
        <v>0.0</v>
      </c>
      <c r="H804" s="359">
        <v>47.0</v>
      </c>
      <c r="I804" s="359">
        <v>47.0</v>
      </c>
      <c r="J804" s="360">
        <v>0.0</v>
      </c>
      <c r="K804" s="18" t="s">
        <v>589</v>
      </c>
      <c r="L804" s="18">
        <v>5.522491033E9</v>
      </c>
      <c r="M804" s="18" t="s">
        <v>72</v>
      </c>
      <c r="N804" s="18" t="s">
        <v>113</v>
      </c>
      <c r="O804" s="18" t="s">
        <v>590</v>
      </c>
      <c r="P804" s="18" t="s">
        <v>7041</v>
      </c>
      <c r="Q804" s="20">
        <f>COUNTIF('Hedef Liste'!A:A,A804)</f>
        <v>1</v>
      </c>
    </row>
    <row r="805" ht="15.75" hidden="1" customHeight="1">
      <c r="A805" s="18" t="s">
        <v>219</v>
      </c>
      <c r="B805" s="18" t="s">
        <v>220</v>
      </c>
      <c r="C805" s="358" t="s">
        <v>7040</v>
      </c>
      <c r="D805" s="18" t="s">
        <v>167</v>
      </c>
      <c r="E805" s="359">
        <v>174.0</v>
      </c>
      <c r="F805" s="359">
        <v>38.0</v>
      </c>
      <c r="G805" s="359">
        <v>0.0</v>
      </c>
      <c r="H805" s="359">
        <v>16.0</v>
      </c>
      <c r="I805" s="359">
        <v>16.0</v>
      </c>
      <c r="J805" s="360">
        <v>0.0</v>
      </c>
      <c r="K805" s="18" t="s">
        <v>221</v>
      </c>
      <c r="L805" s="18">
        <v>5.302309957E9</v>
      </c>
      <c r="M805" s="18" t="s">
        <v>156</v>
      </c>
      <c r="N805" s="18" t="s">
        <v>222</v>
      </c>
      <c r="O805" s="18" t="s">
        <v>223</v>
      </c>
      <c r="P805" s="18" t="s">
        <v>7041</v>
      </c>
      <c r="Q805" s="20">
        <f>COUNTIF('Hedef Liste'!A:A,A805)</f>
        <v>1</v>
      </c>
    </row>
    <row r="806" ht="15.75" hidden="1" customHeight="1">
      <c r="A806" s="18" t="s">
        <v>3677</v>
      </c>
      <c r="B806" s="18" t="s">
        <v>3678</v>
      </c>
      <c r="C806" s="358" t="s">
        <v>7040</v>
      </c>
      <c r="D806" s="18" t="s">
        <v>498</v>
      </c>
      <c r="E806" s="359">
        <v>5.0</v>
      </c>
      <c r="F806" s="18"/>
      <c r="G806" s="359">
        <v>36.0</v>
      </c>
      <c r="H806" s="359">
        <v>13.0</v>
      </c>
      <c r="I806" s="359">
        <v>49.0</v>
      </c>
      <c r="J806" s="360">
        <v>0.73</v>
      </c>
      <c r="K806" s="18" t="s">
        <v>3679</v>
      </c>
      <c r="L806" s="18">
        <v>5.364874247E9</v>
      </c>
      <c r="M806" s="18" t="s">
        <v>72</v>
      </c>
      <c r="N806" s="18" t="s">
        <v>82</v>
      </c>
      <c r="O806" s="18" t="s">
        <v>3680</v>
      </c>
      <c r="P806" s="18" t="s">
        <v>7041</v>
      </c>
      <c r="Q806" s="20">
        <f>COUNTIF('Hedef Liste'!A:A,A806)</f>
        <v>1</v>
      </c>
    </row>
    <row r="807" ht="15.75" hidden="1" customHeight="1">
      <c r="A807" s="18" t="s">
        <v>3913</v>
      </c>
      <c r="B807" s="18" t="s">
        <v>3914</v>
      </c>
      <c r="C807" s="358" t="s">
        <v>7040</v>
      </c>
      <c r="D807" s="18" t="s">
        <v>61</v>
      </c>
      <c r="E807" s="359">
        <v>7.0</v>
      </c>
      <c r="F807" s="359">
        <v>2.0</v>
      </c>
      <c r="G807" s="359">
        <v>22.0</v>
      </c>
      <c r="H807" s="359">
        <v>0.0</v>
      </c>
      <c r="I807" s="359">
        <v>22.0</v>
      </c>
      <c r="J807" s="360">
        <v>1.0</v>
      </c>
      <c r="K807" s="18" t="s">
        <v>3915</v>
      </c>
      <c r="L807" s="18">
        <v>5.363666444E9</v>
      </c>
      <c r="M807" s="18" t="s">
        <v>63</v>
      </c>
      <c r="N807" s="18" t="s">
        <v>700</v>
      </c>
      <c r="O807" s="18" t="s">
        <v>3916</v>
      </c>
      <c r="P807" s="18" t="s">
        <v>7041</v>
      </c>
      <c r="Q807" s="20">
        <f>COUNTIF('Hedef Liste'!A:A,A807)</f>
        <v>1</v>
      </c>
    </row>
    <row r="808" ht="15.75" hidden="1" customHeight="1">
      <c r="A808" s="18" t="s">
        <v>3046</v>
      </c>
      <c r="B808" s="18" t="s">
        <v>3047</v>
      </c>
      <c r="C808" s="358" t="s">
        <v>7040</v>
      </c>
      <c r="D808" s="18" t="s">
        <v>80</v>
      </c>
      <c r="E808" s="359">
        <v>1.0</v>
      </c>
      <c r="F808" s="18"/>
      <c r="G808" s="359">
        <v>0.0</v>
      </c>
      <c r="H808" s="359">
        <v>24.0</v>
      </c>
      <c r="I808" s="359">
        <v>24.0</v>
      </c>
      <c r="J808" s="360">
        <v>0.0</v>
      </c>
      <c r="K808" s="18" t="s">
        <v>3048</v>
      </c>
      <c r="L808" s="18">
        <v>5.308404484E9</v>
      </c>
      <c r="M808" s="18" t="s">
        <v>72</v>
      </c>
      <c r="N808" s="18" t="s">
        <v>82</v>
      </c>
      <c r="O808" s="18" t="s">
        <v>3049</v>
      </c>
      <c r="P808" s="18" t="s">
        <v>7041</v>
      </c>
      <c r="Q808" s="20">
        <f>COUNTIF('Hedef Liste'!A:A,A808)</f>
        <v>1</v>
      </c>
    </row>
    <row r="809" ht="15.75" hidden="1" customHeight="1">
      <c r="A809" s="18" t="s">
        <v>1722</v>
      </c>
      <c r="B809" s="18" t="s">
        <v>1723</v>
      </c>
      <c r="C809" s="358" t="s">
        <v>7040</v>
      </c>
      <c r="D809" s="18" t="s">
        <v>363</v>
      </c>
      <c r="E809" s="359">
        <v>79.0</v>
      </c>
      <c r="F809" s="359">
        <v>68.0</v>
      </c>
      <c r="G809" s="359">
        <v>0.0</v>
      </c>
      <c r="H809" s="359">
        <v>36.0</v>
      </c>
      <c r="I809" s="359">
        <v>36.0</v>
      </c>
      <c r="J809" s="360">
        <v>0.0</v>
      </c>
      <c r="K809" s="18" t="s">
        <v>1724</v>
      </c>
      <c r="L809" s="18">
        <v>5.336804832E9</v>
      </c>
      <c r="M809" s="18" t="s">
        <v>902</v>
      </c>
      <c r="N809" s="18" t="s">
        <v>7449</v>
      </c>
      <c r="O809" s="18" t="s">
        <v>1726</v>
      </c>
      <c r="P809" s="18" t="s">
        <v>7041</v>
      </c>
      <c r="Q809" s="20">
        <f>COUNTIF('Hedef Liste'!A:A,A809)</f>
        <v>1</v>
      </c>
    </row>
    <row r="810" ht="15.75" hidden="1" customHeight="1">
      <c r="A810" s="18" t="s">
        <v>2275</v>
      </c>
      <c r="B810" s="18" t="s">
        <v>2276</v>
      </c>
      <c r="C810" s="358" t="s">
        <v>7040</v>
      </c>
      <c r="D810" s="18" t="s">
        <v>167</v>
      </c>
      <c r="E810" s="359">
        <v>15.0</v>
      </c>
      <c r="F810" s="18"/>
      <c r="G810" s="359">
        <v>0.0</v>
      </c>
      <c r="H810" s="359">
        <v>9.0</v>
      </c>
      <c r="I810" s="359">
        <v>9.0</v>
      </c>
      <c r="J810" s="360">
        <v>0.0</v>
      </c>
      <c r="K810" s="18" t="s">
        <v>2277</v>
      </c>
      <c r="L810" s="18">
        <v>5.374388133E9</v>
      </c>
      <c r="M810" s="18" t="s">
        <v>215</v>
      </c>
      <c r="N810" s="18" t="s">
        <v>1613</v>
      </c>
      <c r="O810" s="18" t="s">
        <v>2278</v>
      </c>
      <c r="P810" s="18" t="s">
        <v>7041</v>
      </c>
      <c r="Q810" s="20">
        <f>COUNTIF('Hedef Liste'!A:A,A810)</f>
        <v>1</v>
      </c>
    </row>
    <row r="811" ht="15.75" hidden="1" customHeight="1">
      <c r="A811" s="18" t="s">
        <v>423</v>
      </c>
      <c r="B811" s="18" t="s">
        <v>424</v>
      </c>
      <c r="C811" s="358" t="s">
        <v>7040</v>
      </c>
      <c r="D811" s="18" t="s">
        <v>70</v>
      </c>
      <c r="E811" s="359">
        <v>12.0</v>
      </c>
      <c r="F811" s="359">
        <v>10.0</v>
      </c>
      <c r="G811" s="359">
        <v>0.0</v>
      </c>
      <c r="H811" s="359">
        <v>19.0</v>
      </c>
      <c r="I811" s="359">
        <v>19.0</v>
      </c>
      <c r="J811" s="360">
        <v>0.0</v>
      </c>
      <c r="K811" s="18" t="s">
        <v>425</v>
      </c>
      <c r="L811" s="18">
        <v>5.335015663E9</v>
      </c>
      <c r="M811" s="18" t="s">
        <v>137</v>
      </c>
      <c r="N811" s="18" t="s">
        <v>426</v>
      </c>
      <c r="O811" s="18" t="s">
        <v>427</v>
      </c>
      <c r="P811" s="18" t="s">
        <v>7041</v>
      </c>
      <c r="Q811" s="20">
        <f>COUNTIF('Hedef Liste'!A:A,A811)</f>
        <v>1</v>
      </c>
    </row>
    <row r="812" ht="15.75" hidden="1" customHeight="1">
      <c r="A812" s="18" t="s">
        <v>834</v>
      </c>
      <c r="B812" s="18" t="s">
        <v>835</v>
      </c>
      <c r="C812" s="358" t="s">
        <v>7040</v>
      </c>
      <c r="D812" s="18" t="s">
        <v>80</v>
      </c>
      <c r="E812" s="359">
        <v>36.0</v>
      </c>
      <c r="F812" s="359">
        <v>36.0</v>
      </c>
      <c r="G812" s="359">
        <v>0.0</v>
      </c>
      <c r="H812" s="359">
        <v>12.0</v>
      </c>
      <c r="I812" s="359">
        <v>12.0</v>
      </c>
      <c r="J812" s="360">
        <v>0.0</v>
      </c>
      <c r="K812" s="18" t="s">
        <v>827</v>
      </c>
      <c r="L812" s="18">
        <v>3.243595933E9</v>
      </c>
      <c r="M812" s="18" t="s">
        <v>63</v>
      </c>
      <c r="N812" s="18" t="s">
        <v>137</v>
      </c>
      <c r="O812" s="18" t="s">
        <v>836</v>
      </c>
      <c r="P812" s="18" t="s">
        <v>7041</v>
      </c>
      <c r="Q812" s="20">
        <f>COUNTIF('Hedef Liste'!A:A,A812)</f>
        <v>1</v>
      </c>
    </row>
    <row r="813" ht="15.75" hidden="1" customHeight="1">
      <c r="A813" s="18" t="s">
        <v>7450</v>
      </c>
      <c r="B813" s="18" t="s">
        <v>7451</v>
      </c>
      <c r="C813" s="358" t="s">
        <v>7040</v>
      </c>
      <c r="D813" s="18" t="s">
        <v>167</v>
      </c>
      <c r="E813" s="359">
        <v>181.0</v>
      </c>
      <c r="F813" s="359">
        <v>181.0</v>
      </c>
      <c r="G813" s="359">
        <v>9.0</v>
      </c>
      <c r="H813" s="359">
        <v>34.0</v>
      </c>
      <c r="I813" s="359">
        <v>43.0</v>
      </c>
      <c r="J813" s="360">
        <v>0.21</v>
      </c>
      <c r="K813" s="18" t="s">
        <v>7452</v>
      </c>
      <c r="L813" s="18">
        <v>5.468249838E9</v>
      </c>
      <c r="M813" s="18" t="s">
        <v>215</v>
      </c>
      <c r="N813" s="18" t="s">
        <v>239</v>
      </c>
      <c r="O813" s="18" t="s">
        <v>7453</v>
      </c>
      <c r="P813" s="18" t="s">
        <v>7041</v>
      </c>
      <c r="Q813" s="20">
        <f>COUNTIF('Hedef Liste'!A:A,A813)</f>
        <v>0</v>
      </c>
    </row>
    <row r="814" ht="15.75" hidden="1" customHeight="1">
      <c r="A814" s="18" t="s">
        <v>980</v>
      </c>
      <c r="B814" s="18" t="s">
        <v>981</v>
      </c>
      <c r="C814" s="358" t="s">
        <v>7040</v>
      </c>
      <c r="D814" s="18" t="s">
        <v>948</v>
      </c>
      <c r="E814" s="359">
        <v>18.0</v>
      </c>
      <c r="F814" s="359">
        <v>18.0</v>
      </c>
      <c r="G814" s="359">
        <v>0.0</v>
      </c>
      <c r="H814" s="359">
        <v>101.0</v>
      </c>
      <c r="I814" s="359">
        <v>101.0</v>
      </c>
      <c r="J814" s="360">
        <v>0.0</v>
      </c>
      <c r="K814" s="18" t="s">
        <v>982</v>
      </c>
      <c r="L814" s="18">
        <v>5.432145766E9</v>
      </c>
      <c r="M814" s="18" t="s">
        <v>72</v>
      </c>
      <c r="N814" s="18" t="s">
        <v>983</v>
      </c>
      <c r="O814" s="18" t="s">
        <v>984</v>
      </c>
      <c r="P814" s="18" t="s">
        <v>7041</v>
      </c>
      <c r="Q814" s="20">
        <f>COUNTIF('Hedef Liste'!A:A,A814)</f>
        <v>1</v>
      </c>
    </row>
    <row r="815" ht="15.75" hidden="1" customHeight="1">
      <c r="A815" s="18" t="s">
        <v>1539</v>
      </c>
      <c r="B815" s="18" t="s">
        <v>1540</v>
      </c>
      <c r="C815" s="358" t="s">
        <v>7040</v>
      </c>
      <c r="D815" s="18" t="s">
        <v>363</v>
      </c>
      <c r="E815" s="359">
        <v>32.0</v>
      </c>
      <c r="F815" s="359">
        <v>32.0</v>
      </c>
      <c r="G815" s="359">
        <v>0.0</v>
      </c>
      <c r="H815" s="359">
        <v>66.0</v>
      </c>
      <c r="I815" s="359">
        <v>66.0</v>
      </c>
      <c r="J815" s="360">
        <v>0.0</v>
      </c>
      <c r="K815" s="18" t="s">
        <v>1541</v>
      </c>
      <c r="L815" s="18">
        <v>5.346744169E9</v>
      </c>
      <c r="M815" s="18" t="s">
        <v>47</v>
      </c>
      <c r="N815" s="18" t="s">
        <v>489</v>
      </c>
      <c r="O815" s="18" t="s">
        <v>1542</v>
      </c>
      <c r="P815" s="18" t="s">
        <v>7041</v>
      </c>
      <c r="Q815" s="20">
        <f>COUNTIF('Hedef Liste'!A:A,A815)</f>
        <v>1</v>
      </c>
    </row>
    <row r="816" ht="15.75" customHeight="1">
      <c r="A816" s="18" t="s">
        <v>3212</v>
      </c>
      <c r="B816" s="18" t="s">
        <v>3213</v>
      </c>
      <c r="C816" s="358" t="s">
        <v>7040</v>
      </c>
      <c r="D816" s="18" t="s">
        <v>372</v>
      </c>
      <c r="E816" s="359">
        <v>29.0</v>
      </c>
      <c r="F816" s="359">
        <v>29.0</v>
      </c>
      <c r="G816" s="359">
        <v>0.0</v>
      </c>
      <c r="H816" s="359">
        <v>65.0</v>
      </c>
      <c r="I816" s="359">
        <v>65.0</v>
      </c>
      <c r="J816" s="360">
        <v>0.0</v>
      </c>
      <c r="K816" s="18" t="s">
        <v>3214</v>
      </c>
      <c r="L816" s="18">
        <v>5.339286133E9</v>
      </c>
      <c r="M816" s="18" t="s">
        <v>63</v>
      </c>
      <c r="N816" s="18" t="s">
        <v>93</v>
      </c>
      <c r="O816" s="18" t="s">
        <v>3215</v>
      </c>
      <c r="P816" s="18" t="s">
        <v>7041</v>
      </c>
      <c r="Q816" s="20">
        <f>COUNTIF('Hedef Liste'!A:A,A816)</f>
        <v>1</v>
      </c>
    </row>
    <row r="817" ht="15.75" hidden="1" customHeight="1">
      <c r="A817" s="18" t="s">
        <v>7454</v>
      </c>
      <c r="B817" s="18" t="s">
        <v>7455</v>
      </c>
      <c r="C817" s="358" t="s">
        <v>7040</v>
      </c>
      <c r="D817" s="18" t="s">
        <v>167</v>
      </c>
      <c r="E817" s="359">
        <v>4.0</v>
      </c>
      <c r="F817" s="359">
        <v>4.0</v>
      </c>
      <c r="G817" s="359">
        <v>62.0</v>
      </c>
      <c r="H817" s="359">
        <v>9.0</v>
      </c>
      <c r="I817" s="359">
        <v>71.0</v>
      </c>
      <c r="J817" s="360">
        <v>0.87</v>
      </c>
      <c r="K817" s="18" t="s">
        <v>7045</v>
      </c>
      <c r="L817" s="18">
        <v>5.325588986E9</v>
      </c>
      <c r="M817" s="18" t="s">
        <v>902</v>
      </c>
      <c r="N817" s="18" t="s">
        <v>903</v>
      </c>
      <c r="O817" s="18" t="s">
        <v>7456</v>
      </c>
      <c r="P817" s="18" t="s">
        <v>7047</v>
      </c>
      <c r="Q817" s="20">
        <f>COUNTIF('Hedef Liste'!A:A,A817)</f>
        <v>0</v>
      </c>
    </row>
    <row r="818" ht="15.75" customHeight="1">
      <c r="A818" s="18" t="s">
        <v>2763</v>
      </c>
      <c r="B818" s="18" t="s">
        <v>2764</v>
      </c>
      <c r="C818" s="358" t="s">
        <v>7040</v>
      </c>
      <c r="D818" s="18" t="s">
        <v>80</v>
      </c>
      <c r="E818" s="359">
        <v>12.0</v>
      </c>
      <c r="F818" s="359">
        <v>12.0</v>
      </c>
      <c r="G818" s="359">
        <v>0.0</v>
      </c>
      <c r="H818" s="359">
        <v>10.0</v>
      </c>
      <c r="I818" s="359">
        <v>10.0</v>
      </c>
      <c r="J818" s="360">
        <v>0.0</v>
      </c>
      <c r="K818" s="18" t="s">
        <v>2765</v>
      </c>
      <c r="L818" s="18">
        <v>5.397226633E9</v>
      </c>
      <c r="M818" s="18" t="s">
        <v>156</v>
      </c>
      <c r="N818" s="18" t="s">
        <v>2766</v>
      </c>
      <c r="O818" s="18" t="s">
        <v>2767</v>
      </c>
      <c r="P818" s="18" t="s">
        <v>7041</v>
      </c>
      <c r="Q818" s="20">
        <f>COUNTIF('Hedef Liste'!A:A,A818)</f>
        <v>1</v>
      </c>
    </row>
    <row r="819" ht="15.75" customHeight="1">
      <c r="A819" s="18" t="s">
        <v>1335</v>
      </c>
      <c r="B819" s="18" t="s">
        <v>1336</v>
      </c>
      <c r="C819" s="358" t="s">
        <v>7040</v>
      </c>
      <c r="D819" s="18" t="s">
        <v>363</v>
      </c>
      <c r="F819" s="18"/>
      <c r="G819" s="359">
        <v>0.0</v>
      </c>
      <c r="H819" s="359">
        <v>8.0</v>
      </c>
      <c r="I819" s="359">
        <v>8.0</v>
      </c>
      <c r="J819" s="360">
        <v>0.0</v>
      </c>
      <c r="K819" s="18" t="s">
        <v>1337</v>
      </c>
      <c r="L819" s="18">
        <v>5.458617716E9</v>
      </c>
      <c r="M819" s="18" t="s">
        <v>63</v>
      </c>
      <c r="N819" s="18" t="s">
        <v>566</v>
      </c>
      <c r="O819" s="18" t="s">
        <v>1338</v>
      </c>
      <c r="P819" s="18" t="s">
        <v>7041</v>
      </c>
      <c r="Q819" s="20">
        <f>COUNTIF('Hedef Liste'!A:A,A819)</f>
        <v>1</v>
      </c>
    </row>
    <row r="820" ht="15.75" hidden="1" customHeight="1">
      <c r="A820" s="18" t="s">
        <v>2315</v>
      </c>
      <c r="B820" s="18" t="s">
        <v>2316</v>
      </c>
      <c r="C820" s="358" t="s">
        <v>7040</v>
      </c>
      <c r="D820" s="18" t="s">
        <v>167</v>
      </c>
      <c r="E820" s="359">
        <v>24.0</v>
      </c>
      <c r="F820" s="359">
        <v>3.0</v>
      </c>
      <c r="G820" s="359">
        <v>6.0</v>
      </c>
      <c r="H820" s="359">
        <v>4.0</v>
      </c>
      <c r="I820" s="359">
        <v>10.0</v>
      </c>
      <c r="J820" s="360">
        <v>0.6</v>
      </c>
      <c r="K820" s="18" t="s">
        <v>2317</v>
      </c>
      <c r="L820" s="18">
        <v>5.448333265E9</v>
      </c>
      <c r="M820" s="18" t="s">
        <v>137</v>
      </c>
      <c r="N820" s="18" t="s">
        <v>374</v>
      </c>
      <c r="O820" s="18" t="s">
        <v>2318</v>
      </c>
      <c r="P820" s="18" t="s">
        <v>7041</v>
      </c>
      <c r="Q820" s="20">
        <f>COUNTIF('Hedef Liste'!A:A,A820)</f>
        <v>1</v>
      </c>
    </row>
    <row r="821" ht="15.75" hidden="1" customHeight="1">
      <c r="A821" s="18" t="s">
        <v>1435</v>
      </c>
      <c r="B821" s="18" t="s">
        <v>1436</v>
      </c>
      <c r="C821" s="358" t="s">
        <v>7040</v>
      </c>
      <c r="D821" s="18" t="s">
        <v>167</v>
      </c>
      <c r="E821" s="359">
        <v>339.0</v>
      </c>
      <c r="F821" s="359">
        <v>23.0</v>
      </c>
      <c r="G821" s="359">
        <v>8.0</v>
      </c>
      <c r="H821" s="359">
        <v>4.0</v>
      </c>
      <c r="I821" s="359">
        <v>12.0</v>
      </c>
      <c r="J821" s="360">
        <v>0.67</v>
      </c>
      <c r="K821" s="18" t="s">
        <v>1429</v>
      </c>
      <c r="L821" s="18">
        <v>5.444800987E9</v>
      </c>
      <c r="M821" s="18" t="s">
        <v>215</v>
      </c>
      <c r="N821" s="18" t="s">
        <v>1053</v>
      </c>
      <c r="O821" s="18" t="s">
        <v>1437</v>
      </c>
      <c r="P821" s="18" t="s">
        <v>7041</v>
      </c>
      <c r="Q821" s="20">
        <f>COUNTIF('Hedef Liste'!A:A,A821)</f>
        <v>1</v>
      </c>
    </row>
    <row r="822" ht="15.75" hidden="1" customHeight="1">
      <c r="A822" s="18" t="s">
        <v>2295</v>
      </c>
      <c r="B822" s="18" t="s">
        <v>2296</v>
      </c>
      <c r="C822" s="358" t="s">
        <v>7040</v>
      </c>
      <c r="D822" s="18" t="s">
        <v>167</v>
      </c>
      <c r="E822" s="359">
        <v>182.0</v>
      </c>
      <c r="F822" s="359">
        <v>66.0</v>
      </c>
      <c r="G822" s="359">
        <v>3.0</v>
      </c>
      <c r="H822" s="359">
        <v>14.0</v>
      </c>
      <c r="I822" s="359">
        <v>17.0</v>
      </c>
      <c r="J822" s="360">
        <v>0.18</v>
      </c>
      <c r="K822" s="18" t="s">
        <v>1114</v>
      </c>
      <c r="L822" s="18">
        <v>5.314239643E9</v>
      </c>
      <c r="M822" s="18" t="s">
        <v>156</v>
      </c>
      <c r="N822" s="18" t="s">
        <v>252</v>
      </c>
      <c r="O822" s="18" t="s">
        <v>2297</v>
      </c>
      <c r="P822" s="18" t="s">
        <v>7041</v>
      </c>
      <c r="Q822" s="20">
        <f>COUNTIF('Hedef Liste'!A:A,A822)</f>
        <v>1</v>
      </c>
    </row>
    <row r="823" ht="15.75" hidden="1" customHeight="1">
      <c r="A823" s="18" t="s">
        <v>3338</v>
      </c>
      <c r="B823" s="18" t="s">
        <v>3339</v>
      </c>
      <c r="C823" s="358" t="s">
        <v>7040</v>
      </c>
      <c r="D823" s="18" t="s">
        <v>451</v>
      </c>
      <c r="E823" s="359">
        <v>373.0</v>
      </c>
      <c r="F823" s="359">
        <v>34.0</v>
      </c>
      <c r="G823" s="359">
        <v>8.0</v>
      </c>
      <c r="H823" s="359">
        <v>6.0</v>
      </c>
      <c r="I823" s="359">
        <v>14.0</v>
      </c>
      <c r="J823" s="361">
        <v>0.57</v>
      </c>
      <c r="K823" s="18" t="s">
        <v>3340</v>
      </c>
      <c r="L823" s="18">
        <v>3.243571698E9</v>
      </c>
      <c r="M823" s="18" t="s">
        <v>63</v>
      </c>
      <c r="N823" s="18" t="s">
        <v>100</v>
      </c>
      <c r="O823" s="18" t="s">
        <v>3341</v>
      </c>
      <c r="P823" s="18" t="s">
        <v>7041</v>
      </c>
      <c r="Q823" s="20">
        <f>COUNTIF('Hedef Liste'!A:A,A823)</f>
        <v>1</v>
      </c>
    </row>
    <row r="824" ht="15.75" hidden="1" customHeight="1">
      <c r="A824" s="18" t="s">
        <v>2740</v>
      </c>
      <c r="B824" s="18" t="s">
        <v>2741</v>
      </c>
      <c r="C824" s="358" t="s">
        <v>7040</v>
      </c>
      <c r="D824" s="18" t="s">
        <v>80</v>
      </c>
      <c r="E824" s="359">
        <v>6833.0</v>
      </c>
      <c r="F824" s="359">
        <v>703.0</v>
      </c>
      <c r="G824" s="359">
        <v>0.0</v>
      </c>
      <c r="H824" s="359">
        <v>15.0</v>
      </c>
      <c r="I824" s="359">
        <v>15.0</v>
      </c>
      <c r="J824" s="360">
        <v>0.0</v>
      </c>
      <c r="K824" s="18" t="s">
        <v>2742</v>
      </c>
      <c r="L824" s="18">
        <v>3.245151318E9</v>
      </c>
      <c r="M824" s="18" t="s">
        <v>47</v>
      </c>
      <c r="N824" s="18" t="s">
        <v>489</v>
      </c>
      <c r="O824" s="18" t="s">
        <v>2743</v>
      </c>
      <c r="P824" s="18" t="s">
        <v>7041</v>
      </c>
      <c r="Q824" s="20">
        <f>COUNTIF('Hedef Liste'!A:A,A824)</f>
        <v>1</v>
      </c>
    </row>
    <row r="825" ht="15.75" hidden="1" customHeight="1">
      <c r="A825" s="18" t="s">
        <v>2649</v>
      </c>
      <c r="B825" s="18" t="s">
        <v>2650</v>
      </c>
      <c r="C825" s="358" t="s">
        <v>7040</v>
      </c>
      <c r="D825" s="18" t="s">
        <v>45</v>
      </c>
      <c r="E825" s="359">
        <v>82.0</v>
      </c>
      <c r="F825" s="359">
        <v>5.0</v>
      </c>
      <c r="G825" s="359">
        <v>0.0</v>
      </c>
      <c r="H825" s="359">
        <v>20.0</v>
      </c>
      <c r="I825" s="359">
        <v>20.0</v>
      </c>
      <c r="J825" s="360">
        <v>0.0</v>
      </c>
      <c r="K825" s="18" t="s">
        <v>2651</v>
      </c>
      <c r="L825" s="18">
        <v>5.413080083E9</v>
      </c>
      <c r="M825" s="18" t="s">
        <v>72</v>
      </c>
      <c r="N825" s="18" t="s">
        <v>716</v>
      </c>
      <c r="O825" s="18" t="s">
        <v>2652</v>
      </c>
      <c r="P825" s="18" t="s">
        <v>7041</v>
      </c>
      <c r="Q825" s="20">
        <f>COUNTIF('Hedef Liste'!A:A,A825)</f>
        <v>1</v>
      </c>
    </row>
    <row r="826" ht="15.75" hidden="1" customHeight="1">
      <c r="A826" s="18" t="s">
        <v>7457</v>
      </c>
      <c r="B826" s="18" t="s">
        <v>7458</v>
      </c>
      <c r="C826" s="358" t="s">
        <v>7040</v>
      </c>
      <c r="D826" s="18" t="s">
        <v>913</v>
      </c>
      <c r="E826" s="359">
        <v>366.0</v>
      </c>
      <c r="F826" s="359">
        <v>51.0</v>
      </c>
      <c r="G826" s="359">
        <v>55.0</v>
      </c>
      <c r="H826" s="359">
        <v>97.0</v>
      </c>
      <c r="I826" s="359">
        <v>152.0</v>
      </c>
      <c r="J826" s="360">
        <v>0.36</v>
      </c>
      <c r="K826" s="18" t="s">
        <v>7459</v>
      </c>
      <c r="L826" s="18">
        <v>3.243412227E9</v>
      </c>
      <c r="M826" s="18" t="s">
        <v>72</v>
      </c>
      <c r="N826" s="18" t="s">
        <v>548</v>
      </c>
      <c r="O826" s="18" t="s">
        <v>7460</v>
      </c>
      <c r="P826" s="18" t="s">
        <v>7347</v>
      </c>
      <c r="Q826" s="20">
        <f>COUNTIF('Hedef Liste'!A:A,A826)</f>
        <v>0</v>
      </c>
    </row>
    <row r="827" ht="15.75" hidden="1" customHeight="1">
      <c r="A827" s="18" t="s">
        <v>97</v>
      </c>
      <c r="B827" s="18" t="s">
        <v>98</v>
      </c>
      <c r="C827" s="358" t="s">
        <v>7040</v>
      </c>
      <c r="D827" s="18" t="s">
        <v>70</v>
      </c>
      <c r="E827" s="359">
        <v>1212.0</v>
      </c>
      <c r="F827" s="18"/>
      <c r="G827" s="359">
        <v>5.0</v>
      </c>
      <c r="H827" s="359">
        <v>2.0</v>
      </c>
      <c r="I827" s="359">
        <v>7.0</v>
      </c>
      <c r="J827" s="360">
        <v>0.71</v>
      </c>
      <c r="K827" s="18" t="s">
        <v>99</v>
      </c>
      <c r="L827" s="18">
        <v>3.243585861E9</v>
      </c>
      <c r="M827" s="18" t="s">
        <v>63</v>
      </c>
      <c r="N827" s="18" t="s">
        <v>100</v>
      </c>
      <c r="O827" s="18" t="s">
        <v>101</v>
      </c>
      <c r="P827" s="18" t="s">
        <v>7041</v>
      </c>
      <c r="Q827" s="20">
        <f>COUNTIF('Hedef Liste'!A:A,A827)</f>
        <v>1</v>
      </c>
    </row>
    <row r="828" ht="15.75" hidden="1" customHeight="1">
      <c r="A828" s="18" t="s">
        <v>466</v>
      </c>
      <c r="B828" s="18" t="s">
        <v>467</v>
      </c>
      <c r="C828" s="358" t="s">
        <v>7040</v>
      </c>
      <c r="D828" s="18" t="s">
        <v>356</v>
      </c>
      <c r="E828" s="359">
        <v>94.0</v>
      </c>
      <c r="F828" s="359">
        <v>7.0</v>
      </c>
      <c r="G828" s="359">
        <v>0.0</v>
      </c>
      <c r="H828" s="359">
        <v>38.0</v>
      </c>
      <c r="I828" s="359">
        <v>38.0</v>
      </c>
      <c r="J828" s="360">
        <v>0.0</v>
      </c>
      <c r="K828" s="18" t="s">
        <v>468</v>
      </c>
      <c r="L828" s="18">
        <v>5.525296565E9</v>
      </c>
      <c r="M828" s="18" t="s">
        <v>72</v>
      </c>
      <c r="N828" s="18" t="s">
        <v>73</v>
      </c>
      <c r="O828" s="18" t="s">
        <v>469</v>
      </c>
      <c r="P828" s="18" t="s">
        <v>7041</v>
      </c>
      <c r="Q828" s="20">
        <f>COUNTIF('Hedef Liste'!A:A,A828)</f>
        <v>1</v>
      </c>
    </row>
    <row r="829" ht="15.75" hidden="1" customHeight="1">
      <c r="A829" s="18" t="s">
        <v>1280</v>
      </c>
      <c r="B829" s="18" t="s">
        <v>1281</v>
      </c>
      <c r="C829" s="358" t="s">
        <v>7040</v>
      </c>
      <c r="D829" s="18" t="s">
        <v>80</v>
      </c>
      <c r="E829" s="359">
        <v>214.0</v>
      </c>
      <c r="F829" s="359">
        <v>54.0</v>
      </c>
      <c r="G829" s="359">
        <v>0.0</v>
      </c>
      <c r="H829" s="359">
        <v>11.0</v>
      </c>
      <c r="I829" s="359">
        <v>11.0</v>
      </c>
      <c r="J829" s="360">
        <v>0.0</v>
      </c>
      <c r="K829" s="18" t="s">
        <v>1282</v>
      </c>
      <c r="L829" s="18">
        <v>5.337715696E9</v>
      </c>
      <c r="M829" s="18" t="s">
        <v>137</v>
      </c>
      <c r="N829" s="18" t="s">
        <v>1283</v>
      </c>
      <c r="O829" s="18" t="s">
        <v>1284</v>
      </c>
      <c r="P829" s="18" t="s">
        <v>7041</v>
      </c>
      <c r="Q829" s="20">
        <f>COUNTIF('Hedef Liste'!A:A,A829)</f>
        <v>1</v>
      </c>
    </row>
    <row r="830" ht="15.75" hidden="1" customHeight="1">
      <c r="A830" s="18" t="s">
        <v>2225</v>
      </c>
      <c r="B830" s="18" t="s">
        <v>2226</v>
      </c>
      <c r="C830" s="358" t="s">
        <v>7040</v>
      </c>
      <c r="D830" s="18" t="s">
        <v>45</v>
      </c>
      <c r="E830" s="359">
        <v>27.0</v>
      </c>
      <c r="F830" s="359">
        <v>3.0</v>
      </c>
      <c r="G830" s="359">
        <v>10.0</v>
      </c>
      <c r="H830" s="359">
        <v>12.0</v>
      </c>
      <c r="I830" s="359">
        <v>22.0</v>
      </c>
      <c r="J830" s="360">
        <v>0.45</v>
      </c>
      <c r="K830" s="18" t="s">
        <v>2227</v>
      </c>
      <c r="L830" s="18">
        <v>5.061317966E9</v>
      </c>
      <c r="M830" s="18" t="s">
        <v>215</v>
      </c>
      <c r="N830" s="18" t="s">
        <v>658</v>
      </c>
      <c r="O830" s="18" t="s">
        <v>2228</v>
      </c>
      <c r="P830" s="18" t="s">
        <v>7041</v>
      </c>
      <c r="Q830" s="20">
        <f>COUNTIF('Hedef Liste'!A:A,A830)</f>
        <v>1</v>
      </c>
    </row>
    <row r="831" ht="15.75" hidden="1" customHeight="1">
      <c r="A831" s="18" t="s">
        <v>7461</v>
      </c>
      <c r="B831" s="18" t="s">
        <v>7462</v>
      </c>
      <c r="C831" s="358" t="s">
        <v>7040</v>
      </c>
      <c r="D831" s="18" t="s">
        <v>167</v>
      </c>
      <c r="E831" s="359">
        <v>155.0</v>
      </c>
      <c r="F831" s="359">
        <v>19.0</v>
      </c>
      <c r="G831" s="359">
        <v>63.0</v>
      </c>
      <c r="H831" s="359">
        <v>0.0</v>
      </c>
      <c r="I831" s="359">
        <v>63.0</v>
      </c>
      <c r="J831" s="360">
        <v>1.0</v>
      </c>
      <c r="K831" s="18" t="s">
        <v>7463</v>
      </c>
      <c r="L831" s="18">
        <v>5.444735633E9</v>
      </c>
      <c r="M831" s="18" t="s">
        <v>137</v>
      </c>
      <c r="N831" s="18" t="s">
        <v>7464</v>
      </c>
      <c r="O831" s="18" t="s">
        <v>7465</v>
      </c>
      <c r="P831" s="18" t="s">
        <v>7047</v>
      </c>
      <c r="Q831" s="20">
        <f>COUNTIF('Hedef Liste'!A:A,A831)</f>
        <v>0</v>
      </c>
    </row>
    <row r="832" ht="15.75" hidden="1" customHeight="1">
      <c r="A832" s="18" t="s">
        <v>3220</v>
      </c>
      <c r="B832" s="18" t="s">
        <v>3221</v>
      </c>
      <c r="C832" s="358" t="s">
        <v>7040</v>
      </c>
      <c r="D832" s="18" t="s">
        <v>118</v>
      </c>
      <c r="E832" s="359">
        <v>263.0</v>
      </c>
      <c r="F832" s="359">
        <v>9.0</v>
      </c>
      <c r="G832" s="359">
        <v>0.0</v>
      </c>
      <c r="H832" s="359">
        <v>31.0</v>
      </c>
      <c r="I832" s="359">
        <v>31.0</v>
      </c>
      <c r="J832" s="360">
        <v>0.0</v>
      </c>
      <c r="K832" s="18" t="s">
        <v>3222</v>
      </c>
      <c r="L832" s="18">
        <v>3.243253888E9</v>
      </c>
      <c r="M832" s="18" t="s">
        <v>72</v>
      </c>
      <c r="N832" s="18" t="s">
        <v>73</v>
      </c>
      <c r="O832" s="18" t="s">
        <v>3223</v>
      </c>
      <c r="P832" s="18" t="s">
        <v>7041</v>
      </c>
      <c r="Q832" s="20">
        <f>COUNTIF('Hedef Liste'!A:A,A832)</f>
        <v>1</v>
      </c>
    </row>
    <row r="833" ht="15.75" hidden="1" customHeight="1">
      <c r="A833" s="18" t="s">
        <v>4782</v>
      </c>
      <c r="B833" s="18" t="s">
        <v>4783</v>
      </c>
      <c r="C833" s="358" t="s">
        <v>7040</v>
      </c>
      <c r="D833" s="18" t="s">
        <v>356</v>
      </c>
      <c r="E833" s="359">
        <v>65.0</v>
      </c>
      <c r="F833" s="359">
        <v>10.0</v>
      </c>
      <c r="G833" s="359">
        <v>0.0</v>
      </c>
      <c r="H833" s="359">
        <v>35.0</v>
      </c>
      <c r="I833" s="359">
        <v>35.0</v>
      </c>
      <c r="J833" s="360">
        <v>0.0</v>
      </c>
      <c r="K833" s="18" t="s">
        <v>468</v>
      </c>
      <c r="L833" s="18">
        <v>5.525296565E9</v>
      </c>
      <c r="M833" s="18" t="s">
        <v>72</v>
      </c>
      <c r="N833" s="18" t="s">
        <v>73</v>
      </c>
      <c r="O833" s="18" t="s">
        <v>469</v>
      </c>
      <c r="P833" s="18" t="s">
        <v>7041</v>
      </c>
      <c r="Q833" s="20">
        <f>COUNTIF('Hedef Liste'!A:A,A833)</f>
        <v>1</v>
      </c>
    </row>
    <row r="834" ht="15.75" hidden="1" customHeight="1">
      <c r="A834" s="18" t="s">
        <v>2465</v>
      </c>
      <c r="B834" s="18" t="s">
        <v>2466</v>
      </c>
      <c r="C834" s="358" t="s">
        <v>7040</v>
      </c>
      <c r="D834" s="18" t="s">
        <v>167</v>
      </c>
      <c r="E834" s="359">
        <v>599.0</v>
      </c>
      <c r="F834" s="359">
        <v>30.0</v>
      </c>
      <c r="G834" s="359">
        <v>0.0</v>
      </c>
      <c r="H834" s="359">
        <v>11.0</v>
      </c>
      <c r="I834" s="359">
        <v>11.0</v>
      </c>
      <c r="J834" s="360">
        <v>0.0</v>
      </c>
      <c r="K834" s="18" t="s">
        <v>2467</v>
      </c>
      <c r="L834" s="18">
        <v>5.372047478E9</v>
      </c>
      <c r="M834" s="18" t="s">
        <v>215</v>
      </c>
      <c r="N834" s="18" t="s">
        <v>745</v>
      </c>
      <c r="O834" s="18" t="s">
        <v>2468</v>
      </c>
      <c r="P834" s="18" t="s">
        <v>7041</v>
      </c>
      <c r="Q834" s="20">
        <f>COUNTIF('Hedef Liste'!A:A,A834)</f>
        <v>1</v>
      </c>
    </row>
    <row r="835" ht="15.75" hidden="1" customHeight="1">
      <c r="A835" s="18" t="s">
        <v>1330</v>
      </c>
      <c r="B835" s="18" t="s">
        <v>7466</v>
      </c>
      <c r="C835" s="358" t="s">
        <v>7040</v>
      </c>
      <c r="D835" s="18" t="s">
        <v>451</v>
      </c>
      <c r="E835" s="359">
        <v>1608.0</v>
      </c>
      <c r="F835" s="359">
        <v>203.0</v>
      </c>
      <c r="G835" s="359">
        <v>9.0</v>
      </c>
      <c r="H835" s="359">
        <v>1.0</v>
      </c>
      <c r="I835" s="359">
        <v>10.0</v>
      </c>
      <c r="J835" s="360">
        <v>0.9</v>
      </c>
      <c r="K835" s="18" t="s">
        <v>1332</v>
      </c>
      <c r="L835" s="18">
        <v>3.24327213E9</v>
      </c>
      <c r="M835" s="18" t="s">
        <v>72</v>
      </c>
      <c r="N835" s="18" t="s">
        <v>181</v>
      </c>
      <c r="O835" s="18" t="s">
        <v>1333</v>
      </c>
      <c r="P835" s="18" t="s">
        <v>7041</v>
      </c>
      <c r="Q835" s="20">
        <f>COUNTIF('Hedef Liste'!A:A,A835)</f>
        <v>1</v>
      </c>
    </row>
    <row r="836" ht="15.75" hidden="1" customHeight="1">
      <c r="A836" s="18" t="s">
        <v>335</v>
      </c>
      <c r="B836" s="18" t="s">
        <v>336</v>
      </c>
      <c r="C836" s="358" t="s">
        <v>7040</v>
      </c>
      <c r="D836" s="18" t="s">
        <v>167</v>
      </c>
      <c r="E836" s="359">
        <v>52.0</v>
      </c>
      <c r="F836" s="359">
        <v>20.0</v>
      </c>
      <c r="G836" s="359">
        <v>6.0</v>
      </c>
      <c r="H836" s="359">
        <v>7.0</v>
      </c>
      <c r="I836" s="359">
        <v>13.0</v>
      </c>
      <c r="J836" s="360">
        <v>0.46</v>
      </c>
      <c r="K836" s="18" t="s">
        <v>337</v>
      </c>
      <c r="L836" s="18">
        <v>3.246143902E9</v>
      </c>
      <c r="M836" s="18" t="s">
        <v>156</v>
      </c>
      <c r="N836" s="18" t="s">
        <v>338</v>
      </c>
      <c r="O836" s="18" t="s">
        <v>339</v>
      </c>
      <c r="P836" s="18" t="s">
        <v>7041</v>
      </c>
      <c r="Q836" s="20">
        <f>COUNTIF('Hedef Liste'!A:A,A836)</f>
        <v>1</v>
      </c>
    </row>
    <row r="837" ht="15.75" hidden="1" customHeight="1">
      <c r="A837" s="18" t="s">
        <v>1578</v>
      </c>
      <c r="B837" s="18" t="s">
        <v>1579</v>
      </c>
      <c r="C837" s="358" t="s">
        <v>7040</v>
      </c>
      <c r="D837" s="18" t="s">
        <v>80</v>
      </c>
      <c r="E837" s="359">
        <v>89.0</v>
      </c>
      <c r="F837" s="359">
        <v>17.0</v>
      </c>
      <c r="G837" s="359">
        <v>12.0</v>
      </c>
      <c r="H837" s="359">
        <v>39.0</v>
      </c>
      <c r="I837" s="359">
        <v>51.0</v>
      </c>
      <c r="J837" s="360">
        <v>0.24</v>
      </c>
      <c r="K837" s="18" t="s">
        <v>1580</v>
      </c>
      <c r="L837" s="18">
        <v>3.24358088E9</v>
      </c>
      <c r="M837" s="18" t="s">
        <v>63</v>
      </c>
      <c r="N837" s="18" t="s">
        <v>700</v>
      </c>
      <c r="O837" s="18" t="s">
        <v>1581</v>
      </c>
      <c r="P837" s="18" t="s">
        <v>7041</v>
      </c>
      <c r="Q837" s="20">
        <f>COUNTIF('Hedef Liste'!A:A,A837)</f>
        <v>1</v>
      </c>
    </row>
    <row r="838" ht="15.75" hidden="1" customHeight="1">
      <c r="A838" s="18" t="s">
        <v>1348</v>
      </c>
      <c r="B838" s="18" t="s">
        <v>1349</v>
      </c>
      <c r="C838" s="358" t="s">
        <v>7040</v>
      </c>
      <c r="D838" s="18" t="s">
        <v>80</v>
      </c>
      <c r="E838" s="359">
        <v>1.0</v>
      </c>
      <c r="F838" s="18"/>
      <c r="G838" s="359">
        <v>0.0</v>
      </c>
      <c r="H838" s="359">
        <v>8.0</v>
      </c>
      <c r="I838" s="359">
        <v>8.0</v>
      </c>
      <c r="J838" s="360">
        <v>0.0</v>
      </c>
      <c r="K838" s="18" t="s">
        <v>1350</v>
      </c>
      <c r="L838" s="18">
        <v>5.357943678E9</v>
      </c>
      <c r="M838" s="18" t="s">
        <v>215</v>
      </c>
      <c r="N838" s="18" t="s">
        <v>779</v>
      </c>
      <c r="O838" s="18" t="s">
        <v>1351</v>
      </c>
      <c r="P838" s="18" t="s">
        <v>7041</v>
      </c>
      <c r="Q838" s="20">
        <f>COUNTIF('Hedef Liste'!A:A,A838)</f>
        <v>1</v>
      </c>
    </row>
    <row r="839" ht="15.75" hidden="1" customHeight="1">
      <c r="A839" s="18" t="s">
        <v>2693</v>
      </c>
      <c r="B839" s="18" t="s">
        <v>2694</v>
      </c>
      <c r="C839" s="358" t="s">
        <v>7040</v>
      </c>
      <c r="D839" s="18" t="s">
        <v>363</v>
      </c>
      <c r="E839" s="359">
        <v>50.0</v>
      </c>
      <c r="F839" s="359">
        <v>27.0</v>
      </c>
      <c r="G839" s="359">
        <v>22.0</v>
      </c>
      <c r="H839" s="359">
        <v>0.0</v>
      </c>
      <c r="I839" s="359">
        <v>22.0</v>
      </c>
      <c r="J839" s="360">
        <v>1.0</v>
      </c>
      <c r="K839" s="18" t="s">
        <v>2695</v>
      </c>
      <c r="L839" s="18">
        <v>5.36484584E9</v>
      </c>
      <c r="M839" s="18" t="s">
        <v>72</v>
      </c>
      <c r="N839" s="18" t="s">
        <v>128</v>
      </c>
      <c r="O839" s="18" t="s">
        <v>2696</v>
      </c>
      <c r="P839" s="18" t="s">
        <v>7041</v>
      </c>
      <c r="Q839" s="20">
        <f>COUNTIF('Hedef Liste'!A:A,A839)</f>
        <v>1</v>
      </c>
    </row>
    <row r="840" ht="15.75" hidden="1" customHeight="1">
      <c r="A840" s="18" t="s">
        <v>184</v>
      </c>
      <c r="B840" s="18" t="s">
        <v>185</v>
      </c>
      <c r="C840" s="358" t="s">
        <v>7040</v>
      </c>
      <c r="D840" s="18" t="s">
        <v>118</v>
      </c>
      <c r="E840" s="359">
        <v>693.0</v>
      </c>
      <c r="F840" s="359">
        <v>65.0</v>
      </c>
      <c r="G840" s="359">
        <v>0.0</v>
      </c>
      <c r="H840" s="359">
        <v>11.0</v>
      </c>
      <c r="I840" s="359">
        <v>11.0</v>
      </c>
      <c r="J840" s="360">
        <v>0.0</v>
      </c>
      <c r="K840" s="18" t="s">
        <v>186</v>
      </c>
      <c r="L840" s="18">
        <v>5.53307262E9</v>
      </c>
      <c r="M840" s="18" t="s">
        <v>187</v>
      </c>
      <c r="N840" s="18" t="s">
        <v>7467</v>
      </c>
      <c r="O840" s="18" t="s">
        <v>7468</v>
      </c>
      <c r="P840" s="18" t="s">
        <v>7041</v>
      </c>
      <c r="Q840" s="20">
        <f>COUNTIF('Hedef Liste'!A:A,A840)</f>
        <v>1</v>
      </c>
    </row>
    <row r="841" ht="15.75" hidden="1" customHeight="1">
      <c r="A841" s="18" t="s">
        <v>4612</v>
      </c>
      <c r="B841" s="18" t="s">
        <v>4613</v>
      </c>
      <c r="C841" s="358" t="s">
        <v>7040</v>
      </c>
      <c r="D841" s="18" t="s">
        <v>363</v>
      </c>
      <c r="E841" s="359">
        <v>392.0</v>
      </c>
      <c r="F841" s="359">
        <v>98.0</v>
      </c>
      <c r="G841" s="359">
        <v>0.0</v>
      </c>
      <c r="H841" s="359">
        <v>33.0</v>
      </c>
      <c r="I841" s="359">
        <v>33.0</v>
      </c>
      <c r="J841" s="360">
        <v>0.0</v>
      </c>
      <c r="K841" s="18" t="s">
        <v>4614</v>
      </c>
      <c r="L841" s="18">
        <v>5.413350807E9</v>
      </c>
      <c r="M841" s="18" t="s">
        <v>156</v>
      </c>
      <c r="N841" s="18" t="s">
        <v>596</v>
      </c>
      <c r="O841" s="18" t="s">
        <v>4615</v>
      </c>
      <c r="P841" s="18" t="s">
        <v>7041</v>
      </c>
      <c r="Q841" s="20">
        <f>COUNTIF('Hedef Liste'!A:A,A841)</f>
        <v>1</v>
      </c>
    </row>
    <row r="842" ht="15.75" hidden="1" customHeight="1">
      <c r="A842" s="18" t="s">
        <v>1193</v>
      </c>
      <c r="B842" s="18" t="s">
        <v>1194</v>
      </c>
      <c r="C842" s="358" t="s">
        <v>7040</v>
      </c>
      <c r="D842" s="18" t="s">
        <v>80</v>
      </c>
      <c r="E842" s="359">
        <v>10.0</v>
      </c>
      <c r="F842" s="359">
        <v>2.0</v>
      </c>
      <c r="G842" s="359">
        <v>0.0</v>
      </c>
      <c r="H842" s="359">
        <v>17.0</v>
      </c>
      <c r="I842" s="359">
        <v>17.0</v>
      </c>
      <c r="J842" s="360">
        <v>0.0</v>
      </c>
      <c r="K842" s="18" t="s">
        <v>1195</v>
      </c>
      <c r="L842" s="18">
        <v>5.39483401E9</v>
      </c>
      <c r="M842" s="18" t="s">
        <v>215</v>
      </c>
      <c r="N842" s="18" t="s">
        <v>504</v>
      </c>
      <c r="O842" s="18" t="s">
        <v>1196</v>
      </c>
      <c r="P842" s="18" t="s">
        <v>7041</v>
      </c>
      <c r="Q842" s="20">
        <f>COUNTIF('Hedef Liste'!A:A,A842)</f>
        <v>1</v>
      </c>
    </row>
    <row r="843" ht="15.75" hidden="1" customHeight="1">
      <c r="A843" s="18" t="s">
        <v>4666</v>
      </c>
      <c r="B843" s="18" t="s">
        <v>4667</v>
      </c>
      <c r="C843" s="358" t="s">
        <v>7040</v>
      </c>
      <c r="D843" s="18" t="s">
        <v>913</v>
      </c>
      <c r="E843" s="359">
        <v>357.0</v>
      </c>
      <c r="F843" s="359">
        <v>136.0</v>
      </c>
      <c r="G843" s="359">
        <v>22.0</v>
      </c>
      <c r="H843" s="359">
        <v>71.0</v>
      </c>
      <c r="I843" s="359">
        <v>93.0</v>
      </c>
      <c r="J843" s="360">
        <v>0.24</v>
      </c>
      <c r="K843" s="18" t="s">
        <v>4668</v>
      </c>
      <c r="L843" s="18">
        <v>5.30400999E9</v>
      </c>
      <c r="M843" s="18" t="s">
        <v>72</v>
      </c>
      <c r="N843" s="18" t="s">
        <v>415</v>
      </c>
      <c r="O843" s="18" t="s">
        <v>4669</v>
      </c>
      <c r="P843" s="18" t="s">
        <v>7041</v>
      </c>
      <c r="Q843" s="20">
        <f>COUNTIF('Hedef Liste'!A:A,A843)</f>
        <v>1</v>
      </c>
    </row>
    <row r="844" ht="15.75" hidden="1" customHeight="1">
      <c r="A844" s="18" t="s">
        <v>4135</v>
      </c>
      <c r="B844" s="18" t="s">
        <v>4136</v>
      </c>
      <c r="C844" s="358" t="s">
        <v>7040</v>
      </c>
      <c r="D844" s="18" t="s">
        <v>118</v>
      </c>
      <c r="E844" s="359">
        <v>10.0</v>
      </c>
      <c r="F844" s="18"/>
      <c r="G844" s="359">
        <v>0.0</v>
      </c>
      <c r="H844" s="359">
        <v>32.0</v>
      </c>
      <c r="I844" s="359">
        <v>32.0</v>
      </c>
      <c r="J844" s="360">
        <v>0.0</v>
      </c>
      <c r="K844" s="18" t="s">
        <v>4137</v>
      </c>
      <c r="L844" s="18">
        <v>5.312529612E9</v>
      </c>
      <c r="M844" s="18" t="s">
        <v>63</v>
      </c>
      <c r="N844" s="18" t="s">
        <v>100</v>
      </c>
      <c r="O844" s="18" t="s">
        <v>4138</v>
      </c>
      <c r="P844" s="18" t="s">
        <v>7041</v>
      </c>
      <c r="Q844" s="20">
        <f>COUNTIF('Hedef Liste'!A:A,A844)</f>
        <v>1</v>
      </c>
    </row>
    <row r="845" ht="15.75" hidden="1" customHeight="1">
      <c r="A845" s="18" t="s">
        <v>1630</v>
      </c>
      <c r="B845" s="18" t="s">
        <v>1631</v>
      </c>
      <c r="C845" s="358" t="s">
        <v>7040</v>
      </c>
      <c r="D845" s="18" t="s">
        <v>80</v>
      </c>
      <c r="E845" s="359">
        <v>135.0</v>
      </c>
      <c r="F845" s="359">
        <v>17.0</v>
      </c>
      <c r="G845" s="359">
        <v>0.0</v>
      </c>
      <c r="H845" s="359">
        <v>13.0</v>
      </c>
      <c r="I845" s="359">
        <v>13.0</v>
      </c>
      <c r="J845" s="360">
        <v>0.0</v>
      </c>
      <c r="K845" s="18" t="s">
        <v>1632</v>
      </c>
      <c r="L845" s="18">
        <v>5.466963372E9</v>
      </c>
      <c r="M845" s="18" t="s">
        <v>215</v>
      </c>
      <c r="N845" s="18" t="s">
        <v>442</v>
      </c>
      <c r="O845" s="18" t="s">
        <v>1633</v>
      </c>
      <c r="P845" s="18" t="s">
        <v>7041</v>
      </c>
      <c r="Q845" s="20">
        <f>COUNTIF('Hedef Liste'!A:A,A845)</f>
        <v>1</v>
      </c>
    </row>
    <row r="846" ht="15.75" hidden="1" customHeight="1">
      <c r="A846" s="18" t="s">
        <v>1290</v>
      </c>
      <c r="B846" s="18" t="s">
        <v>1291</v>
      </c>
      <c r="C846" s="358" t="s">
        <v>7040</v>
      </c>
      <c r="D846" s="18" t="s">
        <v>80</v>
      </c>
      <c r="E846" s="359">
        <v>154.0</v>
      </c>
      <c r="F846" s="359">
        <v>52.0</v>
      </c>
      <c r="G846" s="359">
        <v>0.0</v>
      </c>
      <c r="H846" s="359">
        <v>8.0</v>
      </c>
      <c r="I846" s="359">
        <v>8.0</v>
      </c>
      <c r="J846" s="360">
        <v>0.0</v>
      </c>
      <c r="K846" s="18" t="s">
        <v>1292</v>
      </c>
      <c r="L846" s="18">
        <v>5.061927475E9</v>
      </c>
      <c r="M846" s="18" t="s">
        <v>137</v>
      </c>
      <c r="N846" s="18" t="s">
        <v>209</v>
      </c>
      <c r="O846" s="18" t="s">
        <v>1293</v>
      </c>
      <c r="P846" s="18" t="s">
        <v>7041</v>
      </c>
      <c r="Q846" s="20">
        <f>COUNTIF('Hedef Liste'!A:A,A846)</f>
        <v>1</v>
      </c>
    </row>
    <row r="847" ht="15.75" hidden="1" customHeight="1">
      <c r="A847" s="18" t="s">
        <v>2897</v>
      </c>
      <c r="B847" s="18" t="s">
        <v>2898</v>
      </c>
      <c r="C847" s="358" t="s">
        <v>7040</v>
      </c>
      <c r="D847" s="18" t="s">
        <v>363</v>
      </c>
      <c r="E847" s="359">
        <v>54.0</v>
      </c>
      <c r="F847" s="359">
        <v>2.0</v>
      </c>
      <c r="G847" s="359">
        <v>13.0</v>
      </c>
      <c r="H847" s="359">
        <v>1.0</v>
      </c>
      <c r="I847" s="359">
        <v>14.0</v>
      </c>
      <c r="J847" s="360">
        <v>0.93</v>
      </c>
      <c r="K847" s="18" t="s">
        <v>2899</v>
      </c>
      <c r="L847" s="18">
        <v>5.306553371E9</v>
      </c>
      <c r="M847" s="18" t="s">
        <v>72</v>
      </c>
      <c r="N847" s="18" t="s">
        <v>120</v>
      </c>
      <c r="O847" s="18" t="s">
        <v>2900</v>
      </c>
      <c r="P847" s="18" t="s">
        <v>7041</v>
      </c>
      <c r="Q847" s="20">
        <f>COUNTIF('Hedef Liste'!A:A,A847)</f>
        <v>1</v>
      </c>
    </row>
    <row r="848" ht="15.75" hidden="1" customHeight="1">
      <c r="A848" s="18" t="s">
        <v>1990</v>
      </c>
      <c r="B848" s="18" t="s">
        <v>1991</v>
      </c>
      <c r="C848" s="358" t="s">
        <v>7040</v>
      </c>
      <c r="D848" s="18" t="s">
        <v>1992</v>
      </c>
      <c r="E848" s="359">
        <v>186.0</v>
      </c>
      <c r="F848" s="359">
        <v>34.0</v>
      </c>
      <c r="G848" s="359">
        <v>18.0</v>
      </c>
      <c r="H848" s="359">
        <v>9.0</v>
      </c>
      <c r="I848" s="359">
        <v>27.0</v>
      </c>
      <c r="J848" s="361">
        <v>0.67</v>
      </c>
      <c r="K848" s="18" t="s">
        <v>1993</v>
      </c>
      <c r="L848" s="18">
        <v>3.249998474E9</v>
      </c>
      <c r="M848" s="18" t="s">
        <v>72</v>
      </c>
      <c r="N848" s="18" t="s">
        <v>120</v>
      </c>
      <c r="O848" s="18" t="s">
        <v>1994</v>
      </c>
      <c r="P848" s="18" t="s">
        <v>7041</v>
      </c>
      <c r="Q848" s="20">
        <f>COUNTIF('Hedef Liste'!A:A,A848)</f>
        <v>1</v>
      </c>
    </row>
    <row r="849" ht="15.75" hidden="1" customHeight="1">
      <c r="A849" s="18" t="s">
        <v>1839</v>
      </c>
      <c r="B849" s="18" t="s">
        <v>1840</v>
      </c>
      <c r="C849" s="358" t="s">
        <v>7062</v>
      </c>
      <c r="D849" s="18" t="s">
        <v>106</v>
      </c>
      <c r="E849" s="359">
        <v>357.0</v>
      </c>
      <c r="F849" s="18"/>
      <c r="G849" s="359">
        <v>0.0</v>
      </c>
      <c r="H849" s="359">
        <v>14.0</v>
      </c>
      <c r="I849" s="359">
        <v>14.0</v>
      </c>
      <c r="J849" s="360">
        <v>0.0</v>
      </c>
      <c r="K849" s="18" t="s">
        <v>1841</v>
      </c>
      <c r="L849" s="18">
        <v>3.245154244E9</v>
      </c>
      <c r="M849" s="18" t="s">
        <v>47</v>
      </c>
      <c r="N849" s="18" t="s">
        <v>489</v>
      </c>
      <c r="O849" s="18" t="s">
        <v>1842</v>
      </c>
      <c r="P849" s="18" t="s">
        <v>7041</v>
      </c>
      <c r="Q849" s="20">
        <f>COUNTIF('Hedef Liste'!A:A,A849)</f>
        <v>1</v>
      </c>
    </row>
    <row r="850" ht="15.75" hidden="1" customHeight="1">
      <c r="A850" s="18" t="s">
        <v>4726</v>
      </c>
      <c r="B850" s="18" t="s">
        <v>4727</v>
      </c>
      <c r="C850" s="358" t="s">
        <v>7040</v>
      </c>
      <c r="D850" s="18" t="s">
        <v>80</v>
      </c>
      <c r="E850" s="359">
        <v>250.0</v>
      </c>
      <c r="F850" s="359">
        <v>25.0</v>
      </c>
      <c r="G850" s="359">
        <v>7.0</v>
      </c>
      <c r="H850" s="359">
        <v>11.0</v>
      </c>
      <c r="I850" s="359">
        <v>18.0</v>
      </c>
      <c r="J850" s="360">
        <v>0.39</v>
      </c>
      <c r="K850" s="18" t="s">
        <v>4728</v>
      </c>
      <c r="L850" s="18">
        <v>5.462472133E9</v>
      </c>
      <c r="M850" s="18" t="s">
        <v>137</v>
      </c>
      <c r="N850" s="18" t="s">
        <v>4023</v>
      </c>
      <c r="O850" s="18" t="s">
        <v>4729</v>
      </c>
      <c r="P850" s="18" t="s">
        <v>7041</v>
      </c>
      <c r="Q850" s="20">
        <f>COUNTIF('Hedef Liste'!A:A,A850)</f>
        <v>1</v>
      </c>
    </row>
    <row r="851" ht="15.75" hidden="1" customHeight="1">
      <c r="A851" s="18" t="s">
        <v>956</v>
      </c>
      <c r="B851" s="18" t="s">
        <v>957</v>
      </c>
      <c r="C851" s="358" t="s">
        <v>7040</v>
      </c>
      <c r="D851" s="18" t="s">
        <v>80</v>
      </c>
      <c r="E851" s="359">
        <v>194.0</v>
      </c>
      <c r="F851" s="359">
        <v>38.0</v>
      </c>
      <c r="G851" s="359">
        <v>7.0</v>
      </c>
      <c r="H851" s="359">
        <v>2.0</v>
      </c>
      <c r="I851" s="359">
        <v>9.0</v>
      </c>
      <c r="J851" s="360">
        <v>0.78</v>
      </c>
      <c r="K851" s="18" t="s">
        <v>958</v>
      </c>
      <c r="L851" s="18">
        <v>5.339735338E9</v>
      </c>
      <c r="M851" s="18" t="s">
        <v>72</v>
      </c>
      <c r="N851" s="18" t="s">
        <v>415</v>
      </c>
      <c r="O851" s="18" t="s">
        <v>959</v>
      </c>
      <c r="P851" s="18" t="s">
        <v>7041</v>
      </c>
      <c r="Q851" s="20">
        <f>COUNTIF('Hedef Liste'!A:A,A851)</f>
        <v>1</v>
      </c>
    </row>
    <row r="852" ht="15.75" hidden="1" customHeight="1">
      <c r="A852" s="18" t="s">
        <v>4581</v>
      </c>
      <c r="B852" s="18" t="s">
        <v>4582</v>
      </c>
      <c r="C852" s="358" t="s">
        <v>7040</v>
      </c>
      <c r="D852" s="18" t="s">
        <v>45</v>
      </c>
      <c r="E852" s="359">
        <v>113.0</v>
      </c>
      <c r="F852" s="359">
        <v>25.0</v>
      </c>
      <c r="G852" s="359">
        <v>0.0</v>
      </c>
      <c r="H852" s="359">
        <v>25.0</v>
      </c>
      <c r="I852" s="359">
        <v>25.0</v>
      </c>
      <c r="J852" s="360">
        <v>0.0</v>
      </c>
      <c r="K852" s="18" t="s">
        <v>4583</v>
      </c>
      <c r="L852" s="18">
        <v>5.494323433E9</v>
      </c>
      <c r="M852" s="18" t="s">
        <v>187</v>
      </c>
      <c r="N852" s="18" t="s">
        <v>1533</v>
      </c>
      <c r="O852" s="18" t="s">
        <v>4584</v>
      </c>
      <c r="P852" s="18" t="s">
        <v>7041</v>
      </c>
      <c r="Q852" s="20">
        <f>COUNTIF('Hedef Liste'!A:A,A852)</f>
        <v>1</v>
      </c>
    </row>
    <row r="853" ht="15.75" hidden="1" customHeight="1">
      <c r="A853" s="18" t="s">
        <v>3673</v>
      </c>
      <c r="B853" s="18" t="s">
        <v>7469</v>
      </c>
      <c r="C853" s="358" t="s">
        <v>7040</v>
      </c>
      <c r="D853" s="18" t="s">
        <v>106</v>
      </c>
      <c r="E853" s="359">
        <v>346.0</v>
      </c>
      <c r="F853" s="18"/>
      <c r="G853" s="359">
        <v>0.0</v>
      </c>
      <c r="H853" s="359">
        <v>23.0</v>
      </c>
      <c r="I853" s="359">
        <v>23.0</v>
      </c>
      <c r="J853" s="360">
        <v>0.0</v>
      </c>
      <c r="K853" s="18" t="s">
        <v>3675</v>
      </c>
      <c r="L853" s="18">
        <v>5.050215732E9</v>
      </c>
      <c r="M853" s="18" t="s">
        <v>187</v>
      </c>
      <c r="N853" s="18" t="s">
        <v>150</v>
      </c>
      <c r="O853" s="18" t="s">
        <v>3676</v>
      </c>
      <c r="P853" s="18" t="s">
        <v>7041</v>
      </c>
      <c r="Q853" s="20">
        <f>COUNTIF('Hedef Liste'!A:A,A853)</f>
        <v>1</v>
      </c>
    </row>
    <row r="854" ht="15.75" hidden="1" customHeight="1">
      <c r="A854" s="18" t="s">
        <v>3010</v>
      </c>
      <c r="B854" s="18" t="s">
        <v>3011</v>
      </c>
      <c r="C854" s="358" t="s">
        <v>7040</v>
      </c>
      <c r="D854" s="18" t="s">
        <v>564</v>
      </c>
      <c r="E854" s="359">
        <v>17.0</v>
      </c>
      <c r="F854" s="18"/>
      <c r="G854" s="359">
        <v>0.0</v>
      </c>
      <c r="H854" s="359">
        <v>17.0</v>
      </c>
      <c r="I854" s="359">
        <v>17.0</v>
      </c>
      <c r="J854" s="360">
        <v>0.0</v>
      </c>
      <c r="K854" s="18" t="s">
        <v>3012</v>
      </c>
      <c r="L854" s="18">
        <v>5.526403385E9</v>
      </c>
      <c r="M854" s="18" t="s">
        <v>137</v>
      </c>
      <c r="N854" s="18" t="s">
        <v>426</v>
      </c>
      <c r="O854" s="18" t="s">
        <v>3013</v>
      </c>
      <c r="P854" s="18" t="s">
        <v>7041</v>
      </c>
      <c r="Q854" s="20">
        <f>COUNTIF('Hedef Liste'!A:A,A854)</f>
        <v>1</v>
      </c>
    </row>
    <row r="855" ht="15.75" hidden="1" customHeight="1">
      <c r="A855" s="18" t="s">
        <v>4456</v>
      </c>
      <c r="B855" s="18" t="s">
        <v>7470</v>
      </c>
      <c r="C855" s="358" t="s">
        <v>7040</v>
      </c>
      <c r="D855" s="18" t="s">
        <v>106</v>
      </c>
      <c r="E855" s="359">
        <v>2442.0</v>
      </c>
      <c r="F855" s="359">
        <v>659.0</v>
      </c>
      <c r="G855" s="359">
        <v>0.0</v>
      </c>
      <c r="H855" s="359">
        <v>51.0</v>
      </c>
      <c r="I855" s="359">
        <v>51.0</v>
      </c>
      <c r="J855" s="360">
        <v>0.0</v>
      </c>
      <c r="K855" s="18" t="s">
        <v>4458</v>
      </c>
      <c r="L855" s="18">
        <v>3.243256565E9</v>
      </c>
      <c r="M855" s="18" t="s">
        <v>72</v>
      </c>
      <c r="N855" s="18" t="s">
        <v>73</v>
      </c>
      <c r="O855" s="18" t="s">
        <v>4459</v>
      </c>
      <c r="P855" s="18" t="s">
        <v>7041</v>
      </c>
      <c r="Q855" s="20">
        <f>COUNTIF('Hedef Liste'!A:A,A855)</f>
        <v>1</v>
      </c>
    </row>
    <row r="856" ht="15.75" customHeight="1">
      <c r="A856" s="18" t="s">
        <v>2847</v>
      </c>
      <c r="B856" s="18" t="s">
        <v>2848</v>
      </c>
      <c r="C856" s="358" t="s">
        <v>7040</v>
      </c>
      <c r="D856" s="18" t="s">
        <v>1136</v>
      </c>
      <c r="E856" s="18"/>
      <c r="F856" s="18"/>
      <c r="G856" s="359">
        <v>0.0</v>
      </c>
      <c r="H856" s="359">
        <v>44.0</v>
      </c>
      <c r="I856" s="359">
        <v>44.0</v>
      </c>
      <c r="J856" s="360">
        <v>0.0</v>
      </c>
      <c r="K856" s="18" t="s">
        <v>603</v>
      </c>
      <c r="L856" s="18">
        <v>5.313470333E9</v>
      </c>
      <c r="M856" s="18" t="s">
        <v>72</v>
      </c>
      <c r="N856" s="18" t="s">
        <v>113</v>
      </c>
      <c r="O856" s="18" t="s">
        <v>2849</v>
      </c>
      <c r="P856" s="18" t="s">
        <v>7041</v>
      </c>
      <c r="Q856" s="20">
        <f>COUNTIF('Hedef Liste'!A:A,A856)</f>
        <v>1</v>
      </c>
    </row>
    <row r="857" ht="15.75" hidden="1" customHeight="1">
      <c r="A857" s="18" t="s">
        <v>7471</v>
      </c>
      <c r="B857" s="18" t="s">
        <v>7472</v>
      </c>
      <c r="C857" s="358" t="s">
        <v>7040</v>
      </c>
      <c r="D857" s="18" t="s">
        <v>884</v>
      </c>
      <c r="E857" s="359">
        <v>5667.0</v>
      </c>
      <c r="F857" s="359">
        <v>229.0</v>
      </c>
      <c r="G857" s="359">
        <v>79.0</v>
      </c>
      <c r="H857" s="359">
        <v>0.0</v>
      </c>
      <c r="I857" s="359">
        <v>79.0</v>
      </c>
      <c r="J857" s="360">
        <v>1.0</v>
      </c>
      <c r="K857" s="18" t="s">
        <v>7148</v>
      </c>
      <c r="L857" s="18">
        <v>8.502123935E9</v>
      </c>
      <c r="M857" s="18" t="s">
        <v>72</v>
      </c>
      <c r="N857" s="18" t="s">
        <v>548</v>
      </c>
      <c r="O857" s="18" t="s">
        <v>7473</v>
      </c>
      <c r="P857" s="18" t="s">
        <v>7047</v>
      </c>
      <c r="Q857" s="20">
        <f>COUNTIF('Hedef Liste'!A:A,A857)</f>
        <v>0</v>
      </c>
    </row>
    <row r="858" ht="15.75" hidden="1" customHeight="1">
      <c r="A858" s="18" t="s">
        <v>7474</v>
      </c>
      <c r="B858" s="18" t="s">
        <v>7475</v>
      </c>
      <c r="C858" s="358" t="s">
        <v>7040</v>
      </c>
      <c r="D858" s="18" t="s">
        <v>45</v>
      </c>
      <c r="E858" s="359">
        <v>9187.0</v>
      </c>
      <c r="F858" s="359">
        <v>329.0</v>
      </c>
      <c r="G858" s="359">
        <v>167.0</v>
      </c>
      <c r="H858" s="359">
        <v>0.0</v>
      </c>
      <c r="I858" s="359">
        <v>167.0</v>
      </c>
      <c r="J858" s="361">
        <v>1.0</v>
      </c>
      <c r="K858" s="18" t="s">
        <v>7192</v>
      </c>
      <c r="L858" s="18">
        <v>9.999999999E9</v>
      </c>
      <c r="M858" s="18" t="s">
        <v>72</v>
      </c>
      <c r="N858" s="18" t="s">
        <v>915</v>
      </c>
      <c r="O858" s="18" t="s">
        <v>7476</v>
      </c>
      <c r="P858" s="18" t="s">
        <v>7047</v>
      </c>
      <c r="Q858" s="20">
        <f>COUNTIF('Hedef Liste'!A:A,A858)</f>
        <v>0</v>
      </c>
    </row>
    <row r="859" ht="15.75" hidden="1" customHeight="1">
      <c r="A859" s="18" t="s">
        <v>7477</v>
      </c>
      <c r="B859" s="18" t="s">
        <v>7478</v>
      </c>
      <c r="C859" s="358" t="s">
        <v>7040</v>
      </c>
      <c r="D859" s="18" t="s">
        <v>45</v>
      </c>
      <c r="E859" s="359">
        <v>17783.0</v>
      </c>
      <c r="F859" s="359">
        <v>872.0</v>
      </c>
      <c r="G859" s="359">
        <v>165.0</v>
      </c>
      <c r="H859" s="359">
        <v>0.0</v>
      </c>
      <c r="I859" s="359">
        <v>165.0</v>
      </c>
      <c r="J859" s="361">
        <v>1.0</v>
      </c>
      <c r="K859" s="18" t="s">
        <v>7192</v>
      </c>
      <c r="L859" s="18">
        <v>9.999999999E9</v>
      </c>
      <c r="M859" s="18" t="s">
        <v>137</v>
      </c>
      <c r="N859" s="18" t="s">
        <v>138</v>
      </c>
      <c r="O859" s="18" t="s">
        <v>7479</v>
      </c>
      <c r="P859" s="18" t="s">
        <v>7047</v>
      </c>
      <c r="Q859" s="20">
        <f>COUNTIF('Hedef Liste'!A:A,A859)</f>
        <v>0</v>
      </c>
    </row>
    <row r="860" ht="15.75" hidden="1" customHeight="1">
      <c r="A860" s="18" t="s">
        <v>7480</v>
      </c>
      <c r="B860" s="18" t="s">
        <v>7481</v>
      </c>
      <c r="C860" s="358" t="s">
        <v>7040</v>
      </c>
      <c r="D860" s="18" t="s">
        <v>451</v>
      </c>
      <c r="E860" s="359">
        <v>791.0</v>
      </c>
      <c r="F860" s="359">
        <v>68.0</v>
      </c>
      <c r="G860" s="359">
        <v>58.0</v>
      </c>
      <c r="H860" s="359">
        <v>0.0</v>
      </c>
      <c r="I860" s="359">
        <v>58.0</v>
      </c>
      <c r="J860" s="360">
        <v>1.0</v>
      </c>
      <c r="K860" s="18" t="s">
        <v>7192</v>
      </c>
      <c r="L860" s="18">
        <v>9.999999999E9</v>
      </c>
      <c r="M860" s="18" t="s">
        <v>156</v>
      </c>
      <c r="N860" s="18" t="s">
        <v>2057</v>
      </c>
      <c r="O860" s="18" t="s">
        <v>7243</v>
      </c>
      <c r="P860" s="18" t="s">
        <v>7047</v>
      </c>
      <c r="Q860" s="20">
        <f>COUNTIF('Hedef Liste'!A:A,A860)</f>
        <v>0</v>
      </c>
    </row>
    <row r="861" ht="15.75" hidden="1" customHeight="1">
      <c r="A861" s="18" t="s">
        <v>665</v>
      </c>
      <c r="B861" s="18" t="s">
        <v>666</v>
      </c>
      <c r="C861" s="358" t="s">
        <v>7040</v>
      </c>
      <c r="D861" s="18" t="s">
        <v>363</v>
      </c>
      <c r="E861" s="359">
        <v>1094.0</v>
      </c>
      <c r="F861" s="359">
        <v>225.0</v>
      </c>
      <c r="G861" s="359">
        <v>20.0</v>
      </c>
      <c r="H861" s="359">
        <v>6.0</v>
      </c>
      <c r="I861" s="359">
        <v>26.0</v>
      </c>
      <c r="J861" s="360">
        <v>0.77</v>
      </c>
      <c r="K861" s="18" t="s">
        <v>667</v>
      </c>
      <c r="L861" s="18">
        <v>5.526602614E9</v>
      </c>
      <c r="M861" s="18" t="s">
        <v>63</v>
      </c>
      <c r="N861" s="18" t="s">
        <v>93</v>
      </c>
      <c r="O861" s="18" t="s">
        <v>668</v>
      </c>
      <c r="P861" s="18" t="s">
        <v>7041</v>
      </c>
      <c r="Q861" s="20">
        <f>COUNTIF('Hedef Liste'!A:A,A861)</f>
        <v>1</v>
      </c>
    </row>
    <row r="862" ht="15.75" hidden="1" customHeight="1">
      <c r="A862" s="18" t="s">
        <v>4419</v>
      </c>
      <c r="B862" s="18" t="s">
        <v>4420</v>
      </c>
      <c r="C862" s="358" t="s">
        <v>7040</v>
      </c>
      <c r="D862" s="18" t="s">
        <v>356</v>
      </c>
      <c r="E862" s="359">
        <v>193.0</v>
      </c>
      <c r="F862" s="359">
        <v>36.0</v>
      </c>
      <c r="G862" s="359">
        <v>6.0</v>
      </c>
      <c r="H862" s="359">
        <v>13.0</v>
      </c>
      <c r="I862" s="359">
        <v>19.0</v>
      </c>
      <c r="J862" s="360">
        <v>0.32</v>
      </c>
      <c r="K862" s="18" t="s">
        <v>4421</v>
      </c>
      <c r="L862" s="18">
        <v>5.424600151E9</v>
      </c>
      <c r="M862" s="18" t="s">
        <v>72</v>
      </c>
      <c r="N862" s="18" t="s">
        <v>128</v>
      </c>
      <c r="O862" s="18" t="s">
        <v>4422</v>
      </c>
      <c r="P862" s="18" t="s">
        <v>7041</v>
      </c>
      <c r="Q862" s="20">
        <f>COUNTIF('Hedef Liste'!A:A,A862)</f>
        <v>1</v>
      </c>
    </row>
    <row r="863" ht="15.75" hidden="1" customHeight="1">
      <c r="A863" s="18" t="s">
        <v>3885</v>
      </c>
      <c r="B863" s="18" t="s">
        <v>3886</v>
      </c>
      <c r="C863" s="358" t="s">
        <v>7040</v>
      </c>
      <c r="D863" s="18" t="s">
        <v>45</v>
      </c>
      <c r="E863" s="359">
        <v>230.0</v>
      </c>
      <c r="F863" s="359">
        <v>22.0</v>
      </c>
      <c r="G863" s="359">
        <v>11.0</v>
      </c>
      <c r="H863" s="359">
        <v>3.0</v>
      </c>
      <c r="I863" s="359">
        <v>14.0</v>
      </c>
      <c r="J863" s="360">
        <v>0.79</v>
      </c>
      <c r="K863" s="18" t="s">
        <v>3887</v>
      </c>
      <c r="L863" s="18">
        <v>5.327070057E9</v>
      </c>
      <c r="M863" s="18" t="s">
        <v>137</v>
      </c>
      <c r="N863" s="18" t="s">
        <v>845</v>
      </c>
      <c r="O863" s="18" t="s">
        <v>3888</v>
      </c>
      <c r="P863" s="18" t="s">
        <v>7041</v>
      </c>
      <c r="Q863" s="20">
        <f>COUNTIF('Hedef Liste'!A:A,A863)</f>
        <v>1</v>
      </c>
    </row>
    <row r="864" ht="15.75" hidden="1" customHeight="1">
      <c r="A864" s="18" t="s">
        <v>1929</v>
      </c>
      <c r="B864" s="18" t="s">
        <v>1930</v>
      </c>
      <c r="C864" s="358" t="s">
        <v>7040</v>
      </c>
      <c r="D864" s="18" t="s">
        <v>363</v>
      </c>
      <c r="E864" s="359">
        <v>122.0</v>
      </c>
      <c r="F864" s="359">
        <v>52.0</v>
      </c>
      <c r="G864" s="359">
        <v>24.0</v>
      </c>
      <c r="H864" s="359">
        <v>16.0</v>
      </c>
      <c r="I864" s="359">
        <v>40.0</v>
      </c>
      <c r="J864" s="360">
        <v>0.6</v>
      </c>
      <c r="K864" s="18" t="s">
        <v>1931</v>
      </c>
      <c r="L864" s="18">
        <v>5.533327048E9</v>
      </c>
      <c r="M864" s="18" t="s">
        <v>137</v>
      </c>
      <c r="N864" s="18" t="s">
        <v>426</v>
      </c>
      <c r="O864" s="18" t="s">
        <v>1932</v>
      </c>
      <c r="P864" s="18" t="s">
        <v>7041</v>
      </c>
      <c r="Q864" s="20">
        <f>COUNTIF('Hedef Liste'!A:A,A864)</f>
        <v>1</v>
      </c>
    </row>
    <row r="865" ht="15.75" hidden="1" customHeight="1">
      <c r="A865" s="18" t="s">
        <v>7482</v>
      </c>
      <c r="B865" s="18" t="s">
        <v>7483</v>
      </c>
      <c r="C865" s="358" t="s">
        <v>7040</v>
      </c>
      <c r="D865" s="18" t="s">
        <v>106</v>
      </c>
      <c r="E865" s="359">
        <v>1303.0</v>
      </c>
      <c r="F865" s="359">
        <v>69.0</v>
      </c>
      <c r="G865" s="359">
        <v>40.0</v>
      </c>
      <c r="H865" s="359">
        <v>0.0</v>
      </c>
      <c r="I865" s="359">
        <v>40.0</v>
      </c>
      <c r="J865" s="360">
        <v>1.0</v>
      </c>
      <c r="K865" s="18" t="s">
        <v>7484</v>
      </c>
      <c r="L865" s="18">
        <v>3.243411122E9</v>
      </c>
      <c r="M865" s="18" t="s">
        <v>72</v>
      </c>
      <c r="N865" s="18" t="s">
        <v>548</v>
      </c>
      <c r="O865" s="18" t="s">
        <v>7485</v>
      </c>
      <c r="P865" s="18" t="s">
        <v>7047</v>
      </c>
      <c r="Q865" s="20">
        <f>COUNTIF('Hedef Liste'!A:A,A865)</f>
        <v>0</v>
      </c>
    </row>
    <row r="866" ht="15.75" hidden="1" customHeight="1">
      <c r="A866" s="18" t="s">
        <v>2262</v>
      </c>
      <c r="B866" s="18" t="s">
        <v>2263</v>
      </c>
      <c r="C866" s="358" t="s">
        <v>7040</v>
      </c>
      <c r="D866" s="18" t="s">
        <v>45</v>
      </c>
      <c r="E866" s="359">
        <v>8.0</v>
      </c>
      <c r="F866" s="359">
        <v>4.0</v>
      </c>
      <c r="G866" s="359">
        <v>0.0</v>
      </c>
      <c r="H866" s="359">
        <v>24.0</v>
      </c>
      <c r="I866" s="359">
        <v>24.0</v>
      </c>
      <c r="J866" s="360">
        <v>0.0</v>
      </c>
      <c r="K866" s="18" t="s">
        <v>2264</v>
      </c>
      <c r="L866" s="18">
        <v>5.380594633E9</v>
      </c>
      <c r="M866" s="18" t="s">
        <v>72</v>
      </c>
      <c r="N866" s="18" t="s">
        <v>128</v>
      </c>
      <c r="O866" s="18" t="s">
        <v>2265</v>
      </c>
      <c r="P866" s="18" t="s">
        <v>7041</v>
      </c>
      <c r="Q866" s="20">
        <f>COUNTIF('Hedef Liste'!A:A,A866)</f>
        <v>1</v>
      </c>
    </row>
    <row r="867" ht="15.75" hidden="1" customHeight="1">
      <c r="A867" s="18" t="s">
        <v>792</v>
      </c>
      <c r="B867" s="18" t="s">
        <v>793</v>
      </c>
      <c r="C867" s="358" t="s">
        <v>7040</v>
      </c>
      <c r="D867" s="18" t="s">
        <v>167</v>
      </c>
      <c r="E867" s="359">
        <v>9.0</v>
      </c>
      <c r="F867" s="359">
        <v>1.0</v>
      </c>
      <c r="G867" s="359">
        <v>0.0</v>
      </c>
      <c r="H867" s="359">
        <v>16.0</v>
      </c>
      <c r="I867" s="359">
        <v>16.0</v>
      </c>
      <c r="J867" s="361">
        <v>0.0</v>
      </c>
      <c r="K867" s="18" t="s">
        <v>794</v>
      </c>
      <c r="L867" s="18">
        <v>5.380249486E9</v>
      </c>
      <c r="M867" s="18" t="s">
        <v>156</v>
      </c>
      <c r="N867" s="18" t="s">
        <v>283</v>
      </c>
      <c r="O867" s="18" t="s">
        <v>795</v>
      </c>
      <c r="P867" s="18" t="s">
        <v>7041</v>
      </c>
      <c r="Q867" s="20">
        <f>COUNTIF('Hedef Liste'!A:A,A867)</f>
        <v>1</v>
      </c>
    </row>
    <row r="868" ht="15.75" hidden="1" customHeight="1">
      <c r="A868" s="18" t="s">
        <v>2474</v>
      </c>
      <c r="B868" s="18" t="s">
        <v>2475</v>
      </c>
      <c r="C868" s="358" t="s">
        <v>7040</v>
      </c>
      <c r="D868" s="18" t="s">
        <v>80</v>
      </c>
      <c r="E868" s="359">
        <v>268.0</v>
      </c>
      <c r="F868" s="359">
        <v>111.0</v>
      </c>
      <c r="G868" s="359">
        <v>26.0</v>
      </c>
      <c r="H868" s="359">
        <v>7.0</v>
      </c>
      <c r="I868" s="359">
        <v>33.0</v>
      </c>
      <c r="J868" s="361">
        <v>0.79</v>
      </c>
      <c r="K868" s="18" t="s">
        <v>2476</v>
      </c>
      <c r="L868" s="18">
        <v>3.245041127E9</v>
      </c>
      <c r="M868" s="18" t="s">
        <v>72</v>
      </c>
      <c r="N868" s="18" t="s">
        <v>82</v>
      </c>
      <c r="O868" s="18" t="s">
        <v>2477</v>
      </c>
      <c r="P868" s="18" t="s">
        <v>7041</v>
      </c>
      <c r="Q868" s="20">
        <f>COUNTIF('Hedef Liste'!A:A,A868)</f>
        <v>1</v>
      </c>
    </row>
    <row r="869" ht="15.75" hidden="1" customHeight="1">
      <c r="A869" s="18" t="s">
        <v>7486</v>
      </c>
      <c r="B869" s="18" t="s">
        <v>7487</v>
      </c>
      <c r="C869" s="358" t="s">
        <v>7040</v>
      </c>
      <c r="D869" s="18" t="s">
        <v>167</v>
      </c>
      <c r="E869" s="359">
        <v>479.0</v>
      </c>
      <c r="F869" s="359">
        <v>133.0</v>
      </c>
      <c r="G869" s="359">
        <v>65.0</v>
      </c>
      <c r="H869" s="359">
        <v>7.0</v>
      </c>
      <c r="I869" s="359">
        <v>72.0</v>
      </c>
      <c r="J869" s="360">
        <v>0.9</v>
      </c>
      <c r="K869" s="18" t="s">
        <v>7045</v>
      </c>
      <c r="L869" s="18">
        <v>5.313756442E9</v>
      </c>
      <c r="M869" s="18" t="s">
        <v>72</v>
      </c>
      <c r="N869" s="18" t="s">
        <v>983</v>
      </c>
      <c r="O869" s="18" t="s">
        <v>7488</v>
      </c>
      <c r="P869" s="18" t="s">
        <v>7047</v>
      </c>
      <c r="Q869" s="20">
        <f>COUNTIF('Hedef Liste'!A:A,A869)</f>
        <v>0</v>
      </c>
    </row>
    <row r="870" ht="15.75" hidden="1" customHeight="1">
      <c r="A870" s="18" t="s">
        <v>7489</v>
      </c>
      <c r="B870" s="18" t="s">
        <v>993</v>
      </c>
      <c r="C870" s="358" t="s">
        <v>7040</v>
      </c>
      <c r="D870" s="18" t="s">
        <v>45</v>
      </c>
      <c r="E870" s="359">
        <v>74.0</v>
      </c>
      <c r="F870" s="359">
        <v>35.0</v>
      </c>
      <c r="G870" s="359">
        <v>16.0</v>
      </c>
      <c r="H870" s="359">
        <v>17.0</v>
      </c>
      <c r="I870" s="359">
        <v>33.0</v>
      </c>
      <c r="J870" s="360">
        <v>0.48</v>
      </c>
      <c r="K870" s="18" t="s">
        <v>7424</v>
      </c>
      <c r="L870" s="18">
        <v>3.243285566E9</v>
      </c>
      <c r="M870" s="18" t="s">
        <v>72</v>
      </c>
      <c r="N870" s="18" t="s">
        <v>120</v>
      </c>
      <c r="O870" s="18" t="s">
        <v>995</v>
      </c>
      <c r="P870" s="18" t="s">
        <v>7041</v>
      </c>
      <c r="Q870" s="20">
        <f>COUNTIF('Hedef Liste'!A:A,A870)</f>
        <v>0</v>
      </c>
    </row>
    <row r="871" ht="15.75" hidden="1" customHeight="1">
      <c r="A871" s="18" t="s">
        <v>1367</v>
      </c>
      <c r="B871" s="18" t="s">
        <v>1368</v>
      </c>
      <c r="C871" s="358" t="s">
        <v>7040</v>
      </c>
      <c r="D871" s="18" t="s">
        <v>70</v>
      </c>
      <c r="E871" s="359">
        <v>118.0</v>
      </c>
      <c r="F871" s="359">
        <v>64.0</v>
      </c>
      <c r="G871" s="359">
        <v>3.0</v>
      </c>
      <c r="H871" s="359">
        <v>4.0</v>
      </c>
      <c r="I871" s="359">
        <v>7.0</v>
      </c>
      <c r="J871" s="360">
        <v>0.43</v>
      </c>
      <c r="K871" s="18" t="s">
        <v>1369</v>
      </c>
      <c r="L871" s="18">
        <v>3.24357577E9</v>
      </c>
      <c r="M871" s="18" t="s">
        <v>63</v>
      </c>
      <c r="N871" s="18" t="s">
        <v>700</v>
      </c>
      <c r="O871" s="18" t="s">
        <v>1370</v>
      </c>
      <c r="P871" s="18" t="s">
        <v>7041</v>
      </c>
      <c r="Q871" s="20">
        <f>COUNTIF('Hedef Liste'!A:A,A871)</f>
        <v>1</v>
      </c>
    </row>
    <row r="872" ht="15.75" hidden="1" customHeight="1">
      <c r="A872" s="18" t="s">
        <v>917</v>
      </c>
      <c r="B872" s="18" t="s">
        <v>918</v>
      </c>
      <c r="C872" s="358" t="s">
        <v>7040</v>
      </c>
      <c r="D872" s="18" t="s">
        <v>363</v>
      </c>
      <c r="E872" s="359">
        <v>13.0</v>
      </c>
      <c r="F872" s="359">
        <v>4.0</v>
      </c>
      <c r="G872" s="359">
        <v>49.0</v>
      </c>
      <c r="H872" s="359">
        <v>8.0</v>
      </c>
      <c r="I872" s="359">
        <v>57.0</v>
      </c>
      <c r="J872" s="360">
        <v>0.86</v>
      </c>
      <c r="K872" s="18" t="s">
        <v>919</v>
      </c>
      <c r="L872" s="18">
        <v>5.324224608E9</v>
      </c>
      <c r="M872" s="18" t="s">
        <v>72</v>
      </c>
      <c r="N872" s="18" t="s">
        <v>120</v>
      </c>
      <c r="O872" s="18" t="s">
        <v>920</v>
      </c>
      <c r="P872" s="18" t="s">
        <v>7041</v>
      </c>
      <c r="Q872" s="20">
        <f>COUNTIF('Hedef Liste'!A:A,A872)</f>
        <v>1</v>
      </c>
    </row>
    <row r="873" ht="15.75" hidden="1" customHeight="1">
      <c r="A873" s="18" t="s">
        <v>2777</v>
      </c>
      <c r="B873" s="18" t="s">
        <v>2778</v>
      </c>
      <c r="C873" s="358" t="s">
        <v>7040</v>
      </c>
      <c r="D873" s="18" t="s">
        <v>45</v>
      </c>
      <c r="E873" s="359">
        <v>381.0</v>
      </c>
      <c r="F873" s="359">
        <v>139.0</v>
      </c>
      <c r="G873" s="359">
        <v>0.0</v>
      </c>
      <c r="H873" s="359">
        <v>44.0</v>
      </c>
      <c r="I873" s="359">
        <v>44.0</v>
      </c>
      <c r="J873" s="360">
        <v>0.0</v>
      </c>
      <c r="K873" s="18" t="s">
        <v>2779</v>
      </c>
      <c r="L873" s="18">
        <v>3.245162525E9</v>
      </c>
      <c r="M873" s="18" t="s">
        <v>47</v>
      </c>
      <c r="N873" s="18" t="s">
        <v>365</v>
      </c>
      <c r="O873" s="18" t="s">
        <v>2780</v>
      </c>
      <c r="P873" s="18" t="s">
        <v>7041</v>
      </c>
      <c r="Q873" s="20">
        <f>COUNTIF('Hedef Liste'!A:A,A873)</f>
        <v>1</v>
      </c>
    </row>
    <row r="874" ht="15.75" hidden="1" customHeight="1">
      <c r="A874" s="18" t="s">
        <v>1031</v>
      </c>
      <c r="B874" s="18" t="s">
        <v>1032</v>
      </c>
      <c r="C874" s="358" t="s">
        <v>7040</v>
      </c>
      <c r="D874" s="18" t="s">
        <v>372</v>
      </c>
      <c r="E874" s="359">
        <v>748.0</v>
      </c>
      <c r="F874" s="359">
        <v>341.0</v>
      </c>
      <c r="G874" s="359">
        <v>35.0</v>
      </c>
      <c r="H874" s="359">
        <v>44.0</v>
      </c>
      <c r="I874" s="359">
        <v>79.0</v>
      </c>
      <c r="J874" s="360">
        <v>0.44</v>
      </c>
      <c r="K874" s="18" t="s">
        <v>1033</v>
      </c>
      <c r="L874" s="18">
        <v>5.356273633E9</v>
      </c>
      <c r="M874" s="18" t="s">
        <v>63</v>
      </c>
      <c r="N874" s="18" t="s">
        <v>318</v>
      </c>
      <c r="O874" s="18" t="s">
        <v>1034</v>
      </c>
      <c r="P874" s="18" t="s">
        <v>7041</v>
      </c>
      <c r="Q874" s="20">
        <f>COUNTIF('Hedef Liste'!A:A,A874)</f>
        <v>1</v>
      </c>
    </row>
    <row r="875" ht="15.75" hidden="1" customHeight="1">
      <c r="A875" s="18" t="s">
        <v>2658</v>
      </c>
      <c r="B875" s="18" t="s">
        <v>2659</v>
      </c>
      <c r="C875" s="358" t="s">
        <v>7040</v>
      </c>
      <c r="D875" s="18" t="s">
        <v>363</v>
      </c>
      <c r="E875" s="359">
        <v>45.0</v>
      </c>
      <c r="F875" s="359">
        <v>40.0</v>
      </c>
      <c r="G875" s="359">
        <v>0.0</v>
      </c>
      <c r="H875" s="359">
        <v>36.0</v>
      </c>
      <c r="I875" s="359">
        <v>36.0</v>
      </c>
      <c r="J875" s="360">
        <v>0.0</v>
      </c>
      <c r="K875" s="18" t="s">
        <v>2660</v>
      </c>
      <c r="L875" s="18">
        <v>3.243253454E9</v>
      </c>
      <c r="M875" s="18" t="s">
        <v>72</v>
      </c>
      <c r="N875" s="18" t="s">
        <v>1298</v>
      </c>
      <c r="O875" s="18" t="s">
        <v>2661</v>
      </c>
      <c r="P875" s="18" t="s">
        <v>7041</v>
      </c>
      <c r="Q875" s="20">
        <f>COUNTIF('Hedef Liste'!A:A,A875)</f>
        <v>1</v>
      </c>
    </row>
    <row r="876" ht="15.75" hidden="1" customHeight="1">
      <c r="A876" s="18" t="s">
        <v>7490</v>
      </c>
      <c r="B876" s="18" t="s">
        <v>7491</v>
      </c>
      <c r="C876" s="358" t="s">
        <v>7040</v>
      </c>
      <c r="D876" s="18" t="s">
        <v>372</v>
      </c>
      <c r="E876" s="359">
        <v>6030.0</v>
      </c>
      <c r="F876" s="359">
        <v>253.0</v>
      </c>
      <c r="G876" s="359">
        <v>77.0</v>
      </c>
      <c r="H876" s="359">
        <v>27.0</v>
      </c>
      <c r="I876" s="359">
        <v>104.0</v>
      </c>
      <c r="J876" s="360">
        <v>0.74</v>
      </c>
      <c r="K876" s="18" t="s">
        <v>7179</v>
      </c>
      <c r="L876" s="18">
        <v>3.243576565E9</v>
      </c>
      <c r="M876" s="18" t="s">
        <v>63</v>
      </c>
      <c r="N876" s="18" t="s">
        <v>566</v>
      </c>
      <c r="O876" s="18" t="s">
        <v>7492</v>
      </c>
      <c r="P876" s="18" t="s">
        <v>7047</v>
      </c>
      <c r="Q876" s="20">
        <f>COUNTIF('Hedef Liste'!A:A,A876)</f>
        <v>0</v>
      </c>
    </row>
    <row r="877" ht="15.75" hidden="1" customHeight="1">
      <c r="A877" s="18" t="s">
        <v>7493</v>
      </c>
      <c r="B877" s="18" t="s">
        <v>7494</v>
      </c>
      <c r="C877" s="358" t="s">
        <v>7040</v>
      </c>
      <c r="D877" s="18" t="s">
        <v>372</v>
      </c>
      <c r="E877" s="359">
        <v>3355.0</v>
      </c>
      <c r="F877" s="359">
        <v>182.0</v>
      </c>
      <c r="G877" s="359">
        <v>77.0</v>
      </c>
      <c r="H877" s="359">
        <v>138.0</v>
      </c>
      <c r="I877" s="359">
        <v>215.0</v>
      </c>
      <c r="J877" s="360">
        <v>0.36</v>
      </c>
      <c r="K877" s="18" t="s">
        <v>7179</v>
      </c>
      <c r="L877" s="18">
        <v>3.243421919E9</v>
      </c>
      <c r="M877" s="18" t="s">
        <v>63</v>
      </c>
      <c r="N877" s="18" t="s">
        <v>678</v>
      </c>
      <c r="O877" s="18" t="s">
        <v>7495</v>
      </c>
      <c r="P877" s="18" t="s">
        <v>7047</v>
      </c>
      <c r="Q877" s="20">
        <f>COUNTIF('Hedef Liste'!A:A,A877)</f>
        <v>0</v>
      </c>
    </row>
    <row r="878" ht="15.75" hidden="1" customHeight="1">
      <c r="A878" s="18" t="s">
        <v>636</v>
      </c>
      <c r="B878" s="18" t="s">
        <v>637</v>
      </c>
      <c r="C878" s="358" t="s">
        <v>7040</v>
      </c>
      <c r="D878" s="18" t="s">
        <v>45</v>
      </c>
      <c r="E878" s="359">
        <v>5.0</v>
      </c>
      <c r="F878" s="359">
        <v>4.0</v>
      </c>
      <c r="G878" s="359">
        <v>0.0</v>
      </c>
      <c r="H878" s="359">
        <v>21.0</v>
      </c>
      <c r="I878" s="359">
        <v>21.0</v>
      </c>
      <c r="J878" s="360">
        <v>0.0</v>
      </c>
      <c r="K878" s="18" t="s">
        <v>638</v>
      </c>
      <c r="L878" s="18">
        <v>5.301185333E9</v>
      </c>
      <c r="M878" s="18" t="s">
        <v>72</v>
      </c>
      <c r="N878" s="18" t="s">
        <v>538</v>
      </c>
      <c r="O878" s="18" t="s">
        <v>639</v>
      </c>
      <c r="P878" s="18" t="s">
        <v>7041</v>
      </c>
      <c r="Q878" s="20">
        <f>COUNTIF('Hedef Liste'!A:A,A878)</f>
        <v>1</v>
      </c>
    </row>
    <row r="879" ht="15.75" hidden="1" customHeight="1">
      <c r="A879" s="18" t="s">
        <v>4603</v>
      </c>
      <c r="B879" s="18" t="s">
        <v>4604</v>
      </c>
      <c r="C879" s="358" t="s">
        <v>7040</v>
      </c>
      <c r="D879" s="18" t="s">
        <v>363</v>
      </c>
      <c r="E879" s="359">
        <v>100.0</v>
      </c>
      <c r="F879" s="359">
        <v>32.0</v>
      </c>
      <c r="G879" s="359">
        <v>4.0</v>
      </c>
      <c r="H879" s="359">
        <v>6.0</v>
      </c>
      <c r="I879" s="359">
        <v>10.0</v>
      </c>
      <c r="J879" s="360">
        <v>0.4</v>
      </c>
      <c r="K879" s="18" t="s">
        <v>4605</v>
      </c>
      <c r="L879" s="18">
        <v>5.340789116E9</v>
      </c>
      <c r="M879" s="18" t="s">
        <v>156</v>
      </c>
      <c r="N879" s="18" t="s">
        <v>338</v>
      </c>
      <c r="O879" s="18" t="s">
        <v>4606</v>
      </c>
      <c r="P879" s="18" t="s">
        <v>7041</v>
      </c>
      <c r="Q879" s="20">
        <f>COUNTIF('Hedef Liste'!A:A,A879)</f>
        <v>1</v>
      </c>
    </row>
    <row r="880" ht="15.75" hidden="1" customHeight="1">
      <c r="A880" s="18" t="s">
        <v>1500</v>
      </c>
      <c r="B880" s="18" t="s">
        <v>1501</v>
      </c>
      <c r="C880" s="358" t="s">
        <v>7040</v>
      </c>
      <c r="D880" s="18" t="s">
        <v>118</v>
      </c>
      <c r="E880" s="359">
        <v>37.0</v>
      </c>
      <c r="F880" s="359">
        <v>10.0</v>
      </c>
      <c r="G880" s="359">
        <v>14.0</v>
      </c>
      <c r="H880" s="359">
        <v>2.0</v>
      </c>
      <c r="I880" s="359">
        <v>16.0</v>
      </c>
      <c r="J880" s="360">
        <v>0.88</v>
      </c>
      <c r="K880" s="18" t="s">
        <v>1502</v>
      </c>
      <c r="L880" s="18">
        <v>5.36469044E9</v>
      </c>
      <c r="M880" s="18" t="s">
        <v>137</v>
      </c>
      <c r="N880" s="18" t="s">
        <v>138</v>
      </c>
      <c r="O880" s="18" t="s">
        <v>1503</v>
      </c>
      <c r="P880" s="18" t="s">
        <v>7041</v>
      </c>
      <c r="Q880" s="20">
        <f>COUNTIF('Hedef Liste'!A:A,A880)</f>
        <v>1</v>
      </c>
    </row>
    <row r="881" ht="15.75" hidden="1" customHeight="1">
      <c r="A881" s="18" t="s">
        <v>7496</v>
      </c>
      <c r="B881" s="18" t="s">
        <v>7497</v>
      </c>
      <c r="C881" s="358" t="s">
        <v>7040</v>
      </c>
      <c r="D881" s="18" t="s">
        <v>363</v>
      </c>
      <c r="F881" s="18"/>
      <c r="G881" s="359">
        <v>14.0</v>
      </c>
      <c r="H881" s="359">
        <v>3.0</v>
      </c>
      <c r="I881" s="359">
        <v>17.0</v>
      </c>
      <c r="J881" s="360">
        <v>0.82</v>
      </c>
      <c r="K881" s="18" t="s">
        <v>1997</v>
      </c>
      <c r="L881" s="18">
        <v>5.421138533E9</v>
      </c>
      <c r="M881" s="18" t="s">
        <v>137</v>
      </c>
      <c r="N881" s="18" t="s">
        <v>1105</v>
      </c>
      <c r="O881" s="18" t="s">
        <v>7498</v>
      </c>
      <c r="P881" s="18" t="s">
        <v>7041</v>
      </c>
      <c r="Q881" s="20">
        <f>COUNTIF('Hedef Liste'!A:A,A881)</f>
        <v>0</v>
      </c>
    </row>
    <row r="882" ht="15.75" hidden="1" customHeight="1">
      <c r="A882" s="18" t="s">
        <v>7499</v>
      </c>
      <c r="B882" s="18" t="s">
        <v>7500</v>
      </c>
      <c r="C882" s="358" t="s">
        <v>7040</v>
      </c>
      <c r="D882" s="18" t="s">
        <v>167</v>
      </c>
      <c r="E882" s="359">
        <v>5.0</v>
      </c>
      <c r="F882" s="359">
        <v>3.0</v>
      </c>
      <c r="G882" s="359">
        <v>87.0</v>
      </c>
      <c r="H882" s="359">
        <v>8.0</v>
      </c>
      <c r="I882" s="359">
        <v>95.0</v>
      </c>
      <c r="J882" s="360">
        <v>0.92</v>
      </c>
      <c r="K882" s="18" t="s">
        <v>7045</v>
      </c>
      <c r="L882" s="18">
        <v>5.380140404E9</v>
      </c>
      <c r="M882" s="18" t="s">
        <v>7501</v>
      </c>
      <c r="N882" s="18" t="s">
        <v>7502</v>
      </c>
      <c r="O882" s="18" t="s">
        <v>7503</v>
      </c>
      <c r="P882" s="18" t="s">
        <v>7047</v>
      </c>
      <c r="Q882" s="20">
        <f>COUNTIF('Hedef Liste'!A:A,A882)</f>
        <v>0</v>
      </c>
    </row>
    <row r="883" ht="15.75" hidden="1" customHeight="1">
      <c r="A883" s="18" t="s">
        <v>3598</v>
      </c>
      <c r="B883" s="18" t="s">
        <v>3599</v>
      </c>
      <c r="C883" s="358" t="s">
        <v>7040</v>
      </c>
      <c r="D883" s="18" t="s">
        <v>363</v>
      </c>
      <c r="E883" s="362">
        <v>153.0</v>
      </c>
      <c r="F883" s="359">
        <v>56.0</v>
      </c>
      <c r="G883" s="359">
        <v>30.0</v>
      </c>
      <c r="H883" s="359">
        <v>28.0</v>
      </c>
      <c r="I883" s="359">
        <v>58.0</v>
      </c>
      <c r="J883" s="360">
        <v>0.52</v>
      </c>
      <c r="K883" s="18" t="s">
        <v>3600</v>
      </c>
      <c r="L883" s="18">
        <v>5.357309265E9</v>
      </c>
      <c r="M883" s="18" t="s">
        <v>63</v>
      </c>
      <c r="N883" s="18" t="s">
        <v>137</v>
      </c>
      <c r="O883" s="18" t="s">
        <v>3601</v>
      </c>
      <c r="P883" s="18" t="s">
        <v>7041</v>
      </c>
      <c r="Q883" s="20">
        <f>COUNTIF('Hedef Liste'!A:A,A883)</f>
        <v>1</v>
      </c>
    </row>
    <row r="884" ht="15.75" hidden="1" customHeight="1">
      <c r="A884" s="18" t="s">
        <v>4101</v>
      </c>
      <c r="B884" s="18" t="s">
        <v>4102</v>
      </c>
      <c r="C884" s="358" t="s">
        <v>7040</v>
      </c>
      <c r="D884" s="18" t="s">
        <v>80</v>
      </c>
      <c r="E884" s="359">
        <v>194.0</v>
      </c>
      <c r="F884" s="359">
        <v>121.0</v>
      </c>
      <c r="G884" s="359">
        <v>0.0</v>
      </c>
      <c r="H884" s="359">
        <v>8.0</v>
      </c>
      <c r="I884" s="359">
        <v>8.0</v>
      </c>
      <c r="J884" s="360">
        <v>0.0</v>
      </c>
      <c r="K884" s="18" t="s">
        <v>4103</v>
      </c>
      <c r="L884" s="18">
        <v>5.49232202E9</v>
      </c>
      <c r="M884" s="18" t="s">
        <v>156</v>
      </c>
      <c r="N884" s="18" t="s">
        <v>596</v>
      </c>
      <c r="O884" s="18" t="s">
        <v>4104</v>
      </c>
      <c r="P884" s="18" t="s">
        <v>7041</v>
      </c>
      <c r="Q884" s="20">
        <f>COUNTIF('Hedef Liste'!A:A,A884)</f>
        <v>1</v>
      </c>
    </row>
    <row r="885" ht="15.75" hidden="1" customHeight="1">
      <c r="A885" s="18" t="s">
        <v>7504</v>
      </c>
      <c r="B885" s="18" t="s">
        <v>7505</v>
      </c>
      <c r="C885" s="358" t="s">
        <v>7040</v>
      </c>
      <c r="D885" s="18" t="s">
        <v>167</v>
      </c>
      <c r="E885" s="359">
        <v>11.0</v>
      </c>
      <c r="F885" s="359">
        <v>5.0</v>
      </c>
      <c r="G885" s="359">
        <v>55.0</v>
      </c>
      <c r="H885" s="359">
        <v>3.0</v>
      </c>
      <c r="I885" s="359">
        <v>58.0</v>
      </c>
      <c r="J885" s="360">
        <v>0.95</v>
      </c>
      <c r="K885" s="18" t="s">
        <v>7045</v>
      </c>
      <c r="L885" s="18">
        <v>5.397928556E9</v>
      </c>
      <c r="M885" s="18" t="s">
        <v>7431</v>
      </c>
      <c r="N885" s="18" t="s">
        <v>7506</v>
      </c>
      <c r="O885" s="18" t="s">
        <v>7507</v>
      </c>
      <c r="P885" s="18" t="s">
        <v>7047</v>
      </c>
      <c r="Q885" s="20">
        <f>COUNTIF('Hedef Liste'!A:A,A885)</f>
        <v>0</v>
      </c>
    </row>
    <row r="886" ht="15.75" hidden="1" customHeight="1">
      <c r="A886" s="18" t="s">
        <v>1985</v>
      </c>
      <c r="B886" s="18" t="s">
        <v>1986</v>
      </c>
      <c r="C886" s="358" t="s">
        <v>7040</v>
      </c>
      <c r="D886" s="18" t="s">
        <v>45</v>
      </c>
      <c r="E886" s="359">
        <v>28.0</v>
      </c>
      <c r="F886" s="359">
        <v>21.0</v>
      </c>
      <c r="G886" s="359">
        <v>0.0</v>
      </c>
      <c r="H886" s="359">
        <v>21.0</v>
      </c>
      <c r="I886" s="359">
        <v>21.0</v>
      </c>
      <c r="J886" s="360">
        <v>0.0</v>
      </c>
      <c r="K886" s="18" t="s">
        <v>1987</v>
      </c>
      <c r="L886" s="18">
        <v>5.332784334E9</v>
      </c>
      <c r="M886" s="18" t="s">
        <v>72</v>
      </c>
      <c r="N886" s="18" t="s">
        <v>983</v>
      </c>
      <c r="O886" s="18" t="s">
        <v>1988</v>
      </c>
      <c r="P886" s="18" t="s">
        <v>7041</v>
      </c>
      <c r="Q886" s="20">
        <f>COUNTIF('Hedef Liste'!A:A,A886)</f>
        <v>1</v>
      </c>
    </row>
    <row r="887" ht="15.75" hidden="1" customHeight="1">
      <c r="A887" s="18" t="s">
        <v>1022</v>
      </c>
      <c r="B887" s="18" t="s">
        <v>1023</v>
      </c>
      <c r="C887" s="358" t="s">
        <v>7040</v>
      </c>
      <c r="D887" s="18" t="s">
        <v>70</v>
      </c>
      <c r="E887" s="362">
        <v>314.0</v>
      </c>
      <c r="F887" s="359">
        <v>195.0</v>
      </c>
      <c r="G887" s="359">
        <v>0.0</v>
      </c>
      <c r="H887" s="359">
        <v>22.0</v>
      </c>
      <c r="I887" s="359">
        <v>22.0</v>
      </c>
      <c r="J887" s="360">
        <v>0.0</v>
      </c>
      <c r="K887" s="18" t="s">
        <v>1024</v>
      </c>
      <c r="L887" s="18">
        <v>5.451952905E9</v>
      </c>
      <c r="M887" s="18" t="s">
        <v>72</v>
      </c>
      <c r="N887" s="18" t="s">
        <v>128</v>
      </c>
      <c r="O887" s="18" t="s">
        <v>1025</v>
      </c>
      <c r="P887" s="18" t="s">
        <v>7041</v>
      </c>
      <c r="Q887" s="20">
        <f>COUNTIF('Hedef Liste'!A:A,A887)</f>
        <v>1</v>
      </c>
    </row>
    <row r="888" ht="15.75" hidden="1" customHeight="1">
      <c r="A888" s="18" t="s">
        <v>349</v>
      </c>
      <c r="B888" s="18" t="s">
        <v>350</v>
      </c>
      <c r="C888" s="358" t="s">
        <v>7040</v>
      </c>
      <c r="D888" s="18" t="s">
        <v>61</v>
      </c>
      <c r="E888" s="359">
        <v>139.0</v>
      </c>
      <c r="F888" s="359">
        <v>10.0</v>
      </c>
      <c r="G888" s="359">
        <v>5.0</v>
      </c>
      <c r="H888" s="359">
        <v>3.0</v>
      </c>
      <c r="I888" s="359">
        <v>8.0</v>
      </c>
      <c r="J888" s="360">
        <v>0.63</v>
      </c>
      <c r="K888" s="18" t="s">
        <v>351</v>
      </c>
      <c r="L888" s="18">
        <v>5.359598033E9</v>
      </c>
      <c r="M888" s="18" t="s">
        <v>72</v>
      </c>
      <c r="N888" s="18" t="s">
        <v>352</v>
      </c>
      <c r="O888" s="18" t="s">
        <v>353</v>
      </c>
      <c r="P888" s="18" t="s">
        <v>7041</v>
      </c>
      <c r="Q888" s="20">
        <f>COUNTIF('Hedef Liste'!A:A,A888)</f>
        <v>1</v>
      </c>
    </row>
    <row r="889" ht="15.75" hidden="1" customHeight="1">
      <c r="A889" s="18" t="s">
        <v>4530</v>
      </c>
      <c r="B889" s="18" t="s">
        <v>4531</v>
      </c>
      <c r="C889" s="358" t="s">
        <v>7040</v>
      </c>
      <c r="D889" s="18" t="s">
        <v>70</v>
      </c>
      <c r="E889" s="359">
        <v>11.0</v>
      </c>
      <c r="F889" s="359">
        <v>8.0</v>
      </c>
      <c r="G889" s="359">
        <v>16.0</v>
      </c>
      <c r="H889" s="359">
        <v>7.0</v>
      </c>
      <c r="I889" s="359">
        <v>23.0</v>
      </c>
      <c r="J889" s="360">
        <v>0.7</v>
      </c>
      <c r="K889" s="18" t="s">
        <v>4532</v>
      </c>
      <c r="L889" s="18">
        <v>5.375795565E9</v>
      </c>
      <c r="M889" s="18" t="s">
        <v>137</v>
      </c>
      <c r="N889" s="18" t="s">
        <v>374</v>
      </c>
      <c r="O889" s="18" t="s">
        <v>4533</v>
      </c>
      <c r="P889" s="18" t="s">
        <v>7041</v>
      </c>
      <c r="Q889" s="20">
        <f>COUNTIF('Hedef Liste'!A:A,A889)</f>
        <v>1</v>
      </c>
    </row>
    <row r="890" ht="15.75" hidden="1" customHeight="1">
      <c r="A890" s="18" t="s">
        <v>2574</v>
      </c>
      <c r="B890" s="18" t="s">
        <v>2575</v>
      </c>
      <c r="C890" s="358" t="s">
        <v>7062</v>
      </c>
      <c r="D890" s="18" t="s">
        <v>70</v>
      </c>
      <c r="E890" s="359">
        <v>3141.0</v>
      </c>
      <c r="F890" s="18"/>
      <c r="G890" s="359">
        <v>14.0</v>
      </c>
      <c r="H890" s="359">
        <v>4.0</v>
      </c>
      <c r="I890" s="359">
        <v>18.0</v>
      </c>
      <c r="J890" s="360">
        <v>0.78</v>
      </c>
      <c r="K890" s="18" t="s">
        <v>2576</v>
      </c>
      <c r="L890" s="18">
        <v>3.242904445E9</v>
      </c>
      <c r="M890" s="18" t="s">
        <v>63</v>
      </c>
      <c r="N890" s="18" t="s">
        <v>137</v>
      </c>
      <c r="O890" s="18" t="s">
        <v>2577</v>
      </c>
      <c r="P890" s="18" t="s">
        <v>7041</v>
      </c>
      <c r="Q890" s="20">
        <f>COUNTIF('Hedef Liste'!A:A,A890)</f>
        <v>1</v>
      </c>
    </row>
    <row r="891" ht="15.75" hidden="1" customHeight="1">
      <c r="A891" s="18" t="s">
        <v>3000</v>
      </c>
      <c r="B891" s="18" t="s">
        <v>3001</v>
      </c>
      <c r="C891" s="358" t="s">
        <v>7040</v>
      </c>
      <c r="D891" s="18" t="s">
        <v>70</v>
      </c>
      <c r="E891" s="359">
        <v>28190.0</v>
      </c>
      <c r="F891" s="359">
        <v>1267.0</v>
      </c>
      <c r="G891" s="359">
        <v>5.0</v>
      </c>
      <c r="H891" s="359">
        <v>2.0</v>
      </c>
      <c r="I891" s="359">
        <v>7.0</v>
      </c>
      <c r="J891" s="360">
        <v>0.71</v>
      </c>
      <c r="K891" s="18" t="s">
        <v>3002</v>
      </c>
      <c r="L891" s="18">
        <v>3.243291881E9</v>
      </c>
      <c r="M891" s="18" t="s">
        <v>72</v>
      </c>
      <c r="N891" s="18" t="s">
        <v>73</v>
      </c>
      <c r="O891" s="18" t="s">
        <v>3003</v>
      </c>
      <c r="P891" s="18" t="s">
        <v>7041</v>
      </c>
      <c r="Q891" s="20">
        <f>COUNTIF('Hedef Liste'!A:A,A891)</f>
        <v>1</v>
      </c>
    </row>
    <row r="892" ht="15.75" hidden="1" customHeight="1">
      <c r="A892" s="18" t="s">
        <v>1751</v>
      </c>
      <c r="B892" s="18" t="s">
        <v>1752</v>
      </c>
      <c r="C892" s="358" t="s">
        <v>7040</v>
      </c>
      <c r="D892" s="18" t="s">
        <v>363</v>
      </c>
      <c r="E892" s="359">
        <v>114.0</v>
      </c>
      <c r="F892" s="359">
        <v>34.0</v>
      </c>
      <c r="G892" s="359">
        <v>11.0</v>
      </c>
      <c r="H892" s="359">
        <v>42.0</v>
      </c>
      <c r="I892" s="359">
        <v>53.0</v>
      </c>
      <c r="J892" s="360">
        <v>0.21</v>
      </c>
      <c r="K892" s="18" t="s">
        <v>1753</v>
      </c>
      <c r="L892" s="18">
        <v>5.332206327E9</v>
      </c>
      <c r="M892" s="18" t="s">
        <v>63</v>
      </c>
      <c r="N892" s="18" t="s">
        <v>1148</v>
      </c>
      <c r="O892" s="18" t="s">
        <v>1754</v>
      </c>
      <c r="P892" s="18" t="s">
        <v>7041</v>
      </c>
      <c r="Q892" s="20">
        <f>COUNTIF('Hedef Liste'!A:A,A892)</f>
        <v>1</v>
      </c>
    </row>
    <row r="893" ht="15.75" hidden="1" customHeight="1">
      <c r="A893" s="18" t="s">
        <v>3051</v>
      </c>
      <c r="B893" s="18" t="s">
        <v>3052</v>
      </c>
      <c r="C893" s="358" t="s">
        <v>7040</v>
      </c>
      <c r="D893" s="18" t="s">
        <v>80</v>
      </c>
      <c r="E893" s="359">
        <v>28.0</v>
      </c>
      <c r="F893" s="359">
        <v>19.0</v>
      </c>
      <c r="G893" s="359">
        <v>9.0</v>
      </c>
      <c r="H893" s="359">
        <v>1.0</v>
      </c>
      <c r="I893" s="359">
        <v>10.0</v>
      </c>
      <c r="J893" s="360">
        <v>0.9</v>
      </c>
      <c r="K893" s="18" t="s">
        <v>3053</v>
      </c>
      <c r="L893" s="18">
        <v>5.416814733E9</v>
      </c>
      <c r="M893" s="18" t="s">
        <v>137</v>
      </c>
      <c r="N893" s="18" t="s">
        <v>526</v>
      </c>
      <c r="O893" s="18" t="s">
        <v>3054</v>
      </c>
      <c r="P893" s="18" t="s">
        <v>7041</v>
      </c>
      <c r="Q893" s="20">
        <f>COUNTIF('Hedef Liste'!A:A,A893)</f>
        <v>1</v>
      </c>
    </row>
    <row r="894" ht="15.75" hidden="1" customHeight="1">
      <c r="A894" s="18" t="s">
        <v>4494</v>
      </c>
      <c r="B894" s="18" t="s">
        <v>4495</v>
      </c>
      <c r="C894" s="358" t="s">
        <v>7040</v>
      </c>
      <c r="D894" s="18" t="s">
        <v>80</v>
      </c>
      <c r="E894" s="359">
        <v>60.0</v>
      </c>
      <c r="F894" s="359">
        <v>15.0</v>
      </c>
      <c r="G894" s="359">
        <v>0.0</v>
      </c>
      <c r="H894" s="359">
        <v>6.0</v>
      </c>
      <c r="I894" s="359">
        <v>6.0</v>
      </c>
      <c r="J894" s="360">
        <v>0.0</v>
      </c>
      <c r="K894" s="18" t="s">
        <v>4496</v>
      </c>
      <c r="L894" s="18">
        <v>3.246144917E9</v>
      </c>
      <c r="M894" s="18" t="s">
        <v>156</v>
      </c>
      <c r="N894" s="18" t="s">
        <v>1483</v>
      </c>
      <c r="O894" s="18" t="s">
        <v>4497</v>
      </c>
      <c r="P894" s="18" t="s">
        <v>7041</v>
      </c>
      <c r="Q894" s="20">
        <f>COUNTIF('Hedef Liste'!A:A,A894)</f>
        <v>1</v>
      </c>
    </row>
    <row r="895" ht="15.75" hidden="1" customHeight="1">
      <c r="A895" s="18" t="s">
        <v>4539</v>
      </c>
      <c r="B895" s="18" t="s">
        <v>4540</v>
      </c>
      <c r="C895" s="358" t="s">
        <v>7040</v>
      </c>
      <c r="D895" s="18" t="s">
        <v>80</v>
      </c>
      <c r="E895" s="359">
        <v>44.0</v>
      </c>
      <c r="F895" s="359">
        <v>11.0</v>
      </c>
      <c r="G895" s="359">
        <v>0.0</v>
      </c>
      <c r="H895" s="359">
        <v>14.0</v>
      </c>
      <c r="I895" s="359">
        <v>14.0</v>
      </c>
      <c r="J895" s="360">
        <v>0.0</v>
      </c>
      <c r="K895" s="18" t="s">
        <v>4541</v>
      </c>
      <c r="L895" s="18">
        <v>3.245153912E9</v>
      </c>
      <c r="M895" s="18" t="s">
        <v>47</v>
      </c>
      <c r="N895" s="18" t="s">
        <v>479</v>
      </c>
      <c r="O895" s="18" t="s">
        <v>4542</v>
      </c>
      <c r="P895" s="18" t="s">
        <v>7041</v>
      </c>
      <c r="Q895" s="20">
        <f>COUNTIF('Hedef Liste'!A:A,A895)</f>
        <v>1</v>
      </c>
    </row>
    <row r="896" ht="15.75" hidden="1" customHeight="1">
      <c r="A896" s="18" t="s">
        <v>4687</v>
      </c>
      <c r="B896" s="18" t="s">
        <v>4688</v>
      </c>
      <c r="C896" s="358" t="s">
        <v>7040</v>
      </c>
      <c r="D896" s="18" t="s">
        <v>363</v>
      </c>
      <c r="E896" s="359">
        <v>149.0</v>
      </c>
      <c r="F896" s="359">
        <v>60.0</v>
      </c>
      <c r="G896" s="359">
        <v>14.0</v>
      </c>
      <c r="H896" s="359">
        <v>24.0</v>
      </c>
      <c r="I896" s="359">
        <v>38.0</v>
      </c>
      <c r="J896" s="360">
        <v>0.37</v>
      </c>
      <c r="K896" s="18" t="s">
        <v>4689</v>
      </c>
      <c r="L896" s="18">
        <v>5.431933327E9</v>
      </c>
      <c r="M896" s="18" t="s">
        <v>63</v>
      </c>
      <c r="N896" s="18" t="s">
        <v>318</v>
      </c>
      <c r="O896" s="18" t="s">
        <v>4690</v>
      </c>
      <c r="P896" s="18" t="s">
        <v>7041</v>
      </c>
      <c r="Q896" s="20">
        <f>COUNTIF('Hedef Liste'!A:A,A896)</f>
        <v>1</v>
      </c>
    </row>
    <row r="897" ht="15.75" hidden="1" customHeight="1">
      <c r="A897" s="18" t="s">
        <v>7508</v>
      </c>
      <c r="B897" s="18" t="s">
        <v>7509</v>
      </c>
      <c r="C897" s="358" t="s">
        <v>7040</v>
      </c>
      <c r="D897" s="18" t="s">
        <v>167</v>
      </c>
      <c r="E897" s="359">
        <v>19.0</v>
      </c>
      <c r="F897" s="359">
        <v>8.0</v>
      </c>
      <c r="G897" s="359">
        <v>41.0</v>
      </c>
      <c r="H897" s="359">
        <v>0.0</v>
      </c>
      <c r="I897" s="359">
        <v>41.0</v>
      </c>
      <c r="J897" s="360">
        <v>1.0</v>
      </c>
      <c r="K897" s="18" t="s">
        <v>7510</v>
      </c>
      <c r="L897" s="18">
        <v>5.53077222E9</v>
      </c>
      <c r="M897" s="18" t="s">
        <v>137</v>
      </c>
      <c r="N897" s="18" t="s">
        <v>7511</v>
      </c>
      <c r="O897" s="18" t="s">
        <v>7512</v>
      </c>
      <c r="P897" s="18" t="s">
        <v>7047</v>
      </c>
      <c r="Q897" s="20">
        <f>COUNTIF('Hedef Liste'!A:A,A897)</f>
        <v>0</v>
      </c>
    </row>
    <row r="898" ht="15.75" hidden="1" customHeight="1">
      <c r="A898" s="18" t="s">
        <v>7513</v>
      </c>
      <c r="B898" s="18" t="s">
        <v>7514</v>
      </c>
      <c r="C898" s="358" t="s">
        <v>7040</v>
      </c>
      <c r="D898" s="18" t="s">
        <v>372</v>
      </c>
      <c r="E898" s="359">
        <v>3162.0</v>
      </c>
      <c r="F898" s="359">
        <v>172.0</v>
      </c>
      <c r="G898" s="359">
        <v>77.0</v>
      </c>
      <c r="H898" s="359">
        <v>27.0</v>
      </c>
      <c r="I898" s="359">
        <v>104.0</v>
      </c>
      <c r="J898" s="360">
        <v>0.74</v>
      </c>
      <c r="K898" s="18" t="s">
        <v>7179</v>
      </c>
      <c r="L898" s="18">
        <v>3.245153335E9</v>
      </c>
      <c r="M898" s="18" t="s">
        <v>47</v>
      </c>
      <c r="N898" s="18" t="s">
        <v>365</v>
      </c>
      <c r="O898" s="18" t="s">
        <v>7515</v>
      </c>
      <c r="P898" s="18" t="s">
        <v>7047</v>
      </c>
      <c r="Q898" s="20">
        <f>COUNTIF('Hedef Liste'!A:A,A898)</f>
        <v>0</v>
      </c>
    </row>
    <row r="899" ht="15.75" hidden="1" customHeight="1">
      <c r="A899" s="18" t="s">
        <v>1014</v>
      </c>
      <c r="B899" s="18" t="s">
        <v>1015</v>
      </c>
      <c r="C899" s="358" t="s">
        <v>7040</v>
      </c>
      <c r="D899" s="18" t="s">
        <v>363</v>
      </c>
      <c r="E899" s="359">
        <v>43.0</v>
      </c>
      <c r="F899" s="359">
        <v>24.0</v>
      </c>
      <c r="G899" s="359">
        <v>0.0</v>
      </c>
      <c r="H899" s="359">
        <v>33.0</v>
      </c>
      <c r="I899" s="359">
        <v>33.0</v>
      </c>
      <c r="J899" s="361">
        <v>0.0</v>
      </c>
      <c r="K899" s="18" t="s">
        <v>1016</v>
      </c>
      <c r="L899" s="18">
        <v>5.057103078E9</v>
      </c>
      <c r="M899" s="18" t="s">
        <v>72</v>
      </c>
      <c r="N899" s="18" t="s">
        <v>82</v>
      </c>
      <c r="O899" s="18" t="s">
        <v>1017</v>
      </c>
      <c r="P899" s="18" t="s">
        <v>7041</v>
      </c>
      <c r="Q899" s="20">
        <f>COUNTIF('Hedef Liste'!A:A,A899)</f>
        <v>1</v>
      </c>
    </row>
    <row r="900" ht="15.75" hidden="1" customHeight="1">
      <c r="A900" s="18" t="s">
        <v>4177</v>
      </c>
      <c r="B900" s="18" t="s">
        <v>4178</v>
      </c>
      <c r="C900" s="358" t="s">
        <v>7040</v>
      </c>
      <c r="D900" s="18" t="s">
        <v>80</v>
      </c>
      <c r="E900" s="359">
        <v>206.0</v>
      </c>
      <c r="F900" s="359">
        <v>16.0</v>
      </c>
      <c r="G900" s="359">
        <v>0.0</v>
      </c>
      <c r="H900" s="359">
        <v>10.0</v>
      </c>
      <c r="I900" s="359">
        <v>10.0</v>
      </c>
      <c r="J900" s="360">
        <v>0.0</v>
      </c>
      <c r="K900" s="18" t="s">
        <v>4179</v>
      </c>
      <c r="L900" s="18">
        <v>3.245033363E9</v>
      </c>
      <c r="M900" s="18" t="s">
        <v>47</v>
      </c>
      <c r="N900" s="18" t="s">
        <v>48</v>
      </c>
      <c r="O900" s="18" t="s">
        <v>4180</v>
      </c>
      <c r="P900" s="18" t="s">
        <v>7041</v>
      </c>
      <c r="Q900" s="20">
        <f>COUNTIF('Hedef Liste'!A:A,A900)</f>
        <v>1</v>
      </c>
    </row>
    <row r="901" ht="15.75" hidden="1" customHeight="1">
      <c r="A901" s="18" t="s">
        <v>2153</v>
      </c>
      <c r="B901" s="18" t="s">
        <v>2154</v>
      </c>
      <c r="C901" s="358" t="s">
        <v>7040</v>
      </c>
      <c r="D901" s="18" t="s">
        <v>70</v>
      </c>
      <c r="E901" s="359">
        <v>1649.0</v>
      </c>
      <c r="F901" s="359">
        <v>95.0</v>
      </c>
      <c r="G901" s="359">
        <v>7.0</v>
      </c>
      <c r="H901" s="359">
        <v>1.0</v>
      </c>
      <c r="I901" s="359">
        <v>8.0</v>
      </c>
      <c r="J901" s="360">
        <v>0.88</v>
      </c>
      <c r="K901" s="18" t="s">
        <v>2150</v>
      </c>
      <c r="L901" s="18">
        <v>3.245022107E9</v>
      </c>
      <c r="M901" s="18" t="s">
        <v>47</v>
      </c>
      <c r="N901" s="18" t="s">
        <v>489</v>
      </c>
      <c r="O901" s="18" t="s">
        <v>2155</v>
      </c>
      <c r="P901" s="18" t="s">
        <v>7041</v>
      </c>
      <c r="Q901" s="20">
        <f>COUNTIF('Hedef Liste'!A:A,A901)</f>
        <v>1</v>
      </c>
    </row>
    <row r="902" ht="15.75" hidden="1" customHeight="1">
      <c r="A902" s="18" t="s">
        <v>1198</v>
      </c>
      <c r="B902" s="18" t="s">
        <v>7516</v>
      </c>
      <c r="C902" s="358" t="s">
        <v>7040</v>
      </c>
      <c r="D902" s="18" t="s">
        <v>80</v>
      </c>
      <c r="E902" s="359">
        <v>198.0</v>
      </c>
      <c r="F902" s="359">
        <v>35.0</v>
      </c>
      <c r="G902" s="359">
        <v>0.0</v>
      </c>
      <c r="H902" s="359">
        <v>36.0</v>
      </c>
      <c r="I902" s="359">
        <v>36.0</v>
      </c>
      <c r="J902" s="360">
        <v>0.0</v>
      </c>
      <c r="K902" s="18" t="s">
        <v>1200</v>
      </c>
      <c r="L902" s="18">
        <v>5.433944342E9</v>
      </c>
      <c r="M902" s="18" t="s">
        <v>63</v>
      </c>
      <c r="N902" s="18" t="s">
        <v>318</v>
      </c>
      <c r="O902" s="18" t="s">
        <v>7517</v>
      </c>
      <c r="P902" s="18" t="s">
        <v>7041</v>
      </c>
      <c r="Q902" s="20">
        <f>COUNTIF('Hedef Liste'!A:A,A902)</f>
        <v>1</v>
      </c>
    </row>
    <row r="903" ht="15.75" hidden="1" customHeight="1">
      <c r="A903" s="18" t="s">
        <v>4150</v>
      </c>
      <c r="B903" s="18" t="s">
        <v>4151</v>
      </c>
      <c r="C903" s="358" t="s">
        <v>7040</v>
      </c>
      <c r="D903" s="18" t="s">
        <v>80</v>
      </c>
      <c r="E903" s="359">
        <v>217.0</v>
      </c>
      <c r="F903" s="359">
        <v>128.0</v>
      </c>
      <c r="G903" s="359">
        <v>0.0</v>
      </c>
      <c r="H903" s="359">
        <v>30.0</v>
      </c>
      <c r="I903" s="359">
        <v>30.0</v>
      </c>
      <c r="J903" s="360">
        <v>0.0</v>
      </c>
      <c r="K903" s="18" t="s">
        <v>4152</v>
      </c>
      <c r="L903" s="18">
        <v>5.362313218E9</v>
      </c>
      <c r="M903" s="18" t="s">
        <v>63</v>
      </c>
      <c r="N903" s="18" t="s">
        <v>93</v>
      </c>
      <c r="O903" s="18" t="s">
        <v>4153</v>
      </c>
      <c r="P903" s="18" t="s">
        <v>7041</v>
      </c>
      <c r="Q903" s="20">
        <f>COUNTIF('Hedef Liste'!A:A,A903)</f>
        <v>1</v>
      </c>
    </row>
    <row r="904" ht="15.75" hidden="1" customHeight="1">
      <c r="A904" s="18" t="s">
        <v>2267</v>
      </c>
      <c r="B904" s="18" t="s">
        <v>7518</v>
      </c>
      <c r="C904" s="358" t="s">
        <v>7040</v>
      </c>
      <c r="D904" s="18" t="s">
        <v>45</v>
      </c>
      <c r="E904" s="359">
        <v>3597.0</v>
      </c>
      <c r="F904" s="359">
        <v>424.0</v>
      </c>
      <c r="G904" s="359">
        <v>0.0</v>
      </c>
      <c r="H904" s="359">
        <v>64.0</v>
      </c>
      <c r="I904" s="359">
        <v>64.0</v>
      </c>
      <c r="J904" s="360">
        <v>0.0</v>
      </c>
      <c r="K904" s="18" t="s">
        <v>2269</v>
      </c>
      <c r="L904" s="18">
        <v>3.243282999E9</v>
      </c>
      <c r="M904" s="18" t="s">
        <v>72</v>
      </c>
      <c r="N904" s="18" t="s">
        <v>73</v>
      </c>
      <c r="O904" s="18" t="s">
        <v>2270</v>
      </c>
      <c r="P904" s="18" t="s">
        <v>7041</v>
      </c>
      <c r="Q904" s="20">
        <f>COUNTIF('Hedef Liste'!A:A,A904)</f>
        <v>1</v>
      </c>
    </row>
    <row r="905" ht="15.75" customHeight="1">
      <c r="A905" s="18" t="s">
        <v>4735</v>
      </c>
      <c r="B905" s="18" t="s">
        <v>4736</v>
      </c>
      <c r="C905" s="358" t="s">
        <v>7040</v>
      </c>
      <c r="D905" s="18" t="s">
        <v>363</v>
      </c>
      <c r="F905" s="18"/>
      <c r="G905" s="359">
        <v>0.0</v>
      </c>
      <c r="H905" s="359">
        <v>18.0</v>
      </c>
      <c r="I905" s="359">
        <v>18.0</v>
      </c>
      <c r="J905" s="360">
        <v>0.0</v>
      </c>
      <c r="K905" s="18" t="s">
        <v>4737</v>
      </c>
      <c r="L905" s="18">
        <v>3.242380391E9</v>
      </c>
      <c r="M905" s="18" t="s">
        <v>137</v>
      </c>
      <c r="N905" s="18" t="s">
        <v>138</v>
      </c>
      <c r="O905" s="18" t="s">
        <v>4738</v>
      </c>
      <c r="P905" s="18" t="s">
        <v>7041</v>
      </c>
      <c r="Q905" s="20">
        <f>COUNTIF('Hedef Liste'!A:A,A905)</f>
        <v>1</v>
      </c>
    </row>
    <row r="906" ht="15.75" hidden="1" customHeight="1">
      <c r="A906" s="18" t="s">
        <v>3781</v>
      </c>
      <c r="B906" s="18" t="s">
        <v>3782</v>
      </c>
      <c r="C906" s="358" t="s">
        <v>7040</v>
      </c>
      <c r="D906" s="18" t="s">
        <v>372</v>
      </c>
      <c r="E906" s="359">
        <v>80.0</v>
      </c>
      <c r="F906" s="359">
        <v>54.0</v>
      </c>
      <c r="G906" s="359">
        <v>0.0</v>
      </c>
      <c r="H906" s="359">
        <v>114.0</v>
      </c>
      <c r="I906" s="359">
        <v>114.0</v>
      </c>
      <c r="J906" s="360">
        <v>0.0</v>
      </c>
      <c r="K906" s="18" t="s">
        <v>3783</v>
      </c>
      <c r="L906" s="18">
        <v>5.385210232E9</v>
      </c>
      <c r="M906" s="18" t="s">
        <v>156</v>
      </c>
      <c r="N906" s="18" t="s">
        <v>204</v>
      </c>
      <c r="O906" s="18" t="s">
        <v>3784</v>
      </c>
      <c r="P906" s="18" t="s">
        <v>7041</v>
      </c>
      <c r="Q906" s="20">
        <f>COUNTIF('Hedef Liste'!A:A,A906)</f>
        <v>1</v>
      </c>
    </row>
    <row r="907" ht="15.75" hidden="1" customHeight="1">
      <c r="A907" s="18" t="s">
        <v>3112</v>
      </c>
      <c r="B907" s="18" t="s">
        <v>3113</v>
      </c>
      <c r="C907" s="358" t="s">
        <v>7040</v>
      </c>
      <c r="D907" s="18" t="s">
        <v>167</v>
      </c>
      <c r="E907" s="18"/>
      <c r="F907" s="18"/>
      <c r="G907" s="359">
        <v>0.0</v>
      </c>
      <c r="H907" s="359">
        <v>19.0</v>
      </c>
      <c r="I907" s="359">
        <v>19.0</v>
      </c>
      <c r="J907" s="360">
        <v>0.0</v>
      </c>
      <c r="K907" s="18" t="s">
        <v>3114</v>
      </c>
      <c r="L907" s="18">
        <v>3.245150005E9</v>
      </c>
      <c r="M907" s="18" t="s">
        <v>47</v>
      </c>
      <c r="N907" s="18" t="s">
        <v>489</v>
      </c>
      <c r="O907" s="18" t="s">
        <v>3115</v>
      </c>
      <c r="P907" s="18" t="s">
        <v>7041</v>
      </c>
      <c r="Q907" s="20">
        <f>COUNTIF('Hedef Liste'!A:A,A907)</f>
        <v>1</v>
      </c>
    </row>
    <row r="908" ht="15.75" hidden="1" customHeight="1">
      <c r="A908" s="18" t="s">
        <v>4742</v>
      </c>
      <c r="B908" s="18" t="s">
        <v>4743</v>
      </c>
      <c r="C908" s="358" t="s">
        <v>7040</v>
      </c>
      <c r="D908" s="18" t="s">
        <v>106</v>
      </c>
      <c r="E908" s="359">
        <v>21.0</v>
      </c>
      <c r="F908" s="359">
        <v>16.0</v>
      </c>
      <c r="G908" s="359">
        <v>0.0</v>
      </c>
      <c r="H908" s="359">
        <v>9.0</v>
      </c>
      <c r="I908" s="359">
        <v>9.0</v>
      </c>
      <c r="J908" s="360">
        <v>0.0</v>
      </c>
      <c r="K908" s="18" t="s">
        <v>4744</v>
      </c>
      <c r="L908" s="18">
        <v>5.317858325E9</v>
      </c>
      <c r="M908" s="18" t="s">
        <v>215</v>
      </c>
      <c r="N908" s="18" t="s">
        <v>442</v>
      </c>
      <c r="O908" s="18" t="s">
        <v>4745</v>
      </c>
      <c r="P908" s="18" t="s">
        <v>7041</v>
      </c>
      <c r="Q908" s="20">
        <f>COUNTIF('Hedef Liste'!A:A,A908)</f>
        <v>1</v>
      </c>
    </row>
    <row r="909" ht="15.75" hidden="1" customHeight="1">
      <c r="A909" s="18" t="s">
        <v>1699</v>
      </c>
      <c r="B909" s="18" t="s">
        <v>1695</v>
      </c>
      <c r="C909" s="358" t="s">
        <v>7040</v>
      </c>
      <c r="D909" s="18" t="s">
        <v>70</v>
      </c>
      <c r="E909" s="359">
        <v>123.0</v>
      </c>
      <c r="F909" s="359">
        <v>123.0</v>
      </c>
      <c r="G909" s="359">
        <v>0.0</v>
      </c>
      <c r="H909" s="359">
        <v>28.0</v>
      </c>
      <c r="I909" s="359">
        <v>28.0</v>
      </c>
      <c r="J909" s="360">
        <v>0.0</v>
      </c>
      <c r="K909" s="18" t="s">
        <v>1700</v>
      </c>
      <c r="L909" s="18">
        <v>3.243610121E9</v>
      </c>
      <c r="M909" s="18" t="s">
        <v>72</v>
      </c>
      <c r="N909" s="18" t="s">
        <v>82</v>
      </c>
      <c r="O909" s="18" t="s">
        <v>1701</v>
      </c>
      <c r="P909" s="18" t="s">
        <v>7041</v>
      </c>
      <c r="Q909" s="20">
        <f>COUNTIF('Hedef Liste'!A:A,A909)</f>
        <v>1</v>
      </c>
    </row>
    <row r="910" ht="15.75" hidden="1" customHeight="1">
      <c r="A910" s="18" t="s">
        <v>1026</v>
      </c>
      <c r="B910" s="18" t="s">
        <v>1027</v>
      </c>
      <c r="C910" s="358" t="s">
        <v>7040</v>
      </c>
      <c r="D910" s="18" t="s">
        <v>70</v>
      </c>
      <c r="E910" s="359">
        <v>1.0</v>
      </c>
      <c r="F910" s="359">
        <v>1.0</v>
      </c>
      <c r="G910" s="359">
        <v>0.0</v>
      </c>
      <c r="H910" s="359">
        <v>17.0</v>
      </c>
      <c r="I910" s="359">
        <v>17.0</v>
      </c>
      <c r="J910" s="361">
        <v>0.0</v>
      </c>
      <c r="K910" s="18" t="s">
        <v>1028</v>
      </c>
      <c r="L910" s="18">
        <v>3.245153262E9</v>
      </c>
      <c r="M910" s="18" t="s">
        <v>47</v>
      </c>
      <c r="N910" s="18" t="s">
        <v>48</v>
      </c>
      <c r="O910" s="18" t="s">
        <v>1029</v>
      </c>
      <c r="P910" s="18" t="s">
        <v>7041</v>
      </c>
      <c r="Q910" s="20">
        <f>COUNTIF('Hedef Liste'!A:A,A910)</f>
        <v>1</v>
      </c>
    </row>
    <row r="911" ht="15.75" customHeight="1">
      <c r="A911" s="18" t="s">
        <v>1844</v>
      </c>
      <c r="B911" s="18" t="s">
        <v>1845</v>
      </c>
      <c r="C911" s="358" t="s">
        <v>7040</v>
      </c>
      <c r="D911" s="18" t="s">
        <v>372</v>
      </c>
      <c r="E911" s="359">
        <v>15.0</v>
      </c>
      <c r="F911" s="359">
        <v>15.0</v>
      </c>
      <c r="G911" s="359">
        <v>0.0</v>
      </c>
      <c r="H911" s="359">
        <v>30.0</v>
      </c>
      <c r="I911" s="359">
        <v>30.0</v>
      </c>
      <c r="J911" s="361">
        <v>0.0</v>
      </c>
      <c r="K911" s="18" t="s">
        <v>1846</v>
      </c>
      <c r="L911" s="18">
        <v>3.248142494E9</v>
      </c>
      <c r="M911" s="18" t="s">
        <v>902</v>
      </c>
      <c r="N911" s="18" t="s">
        <v>903</v>
      </c>
      <c r="O911" s="18" t="s">
        <v>1847</v>
      </c>
      <c r="P911" s="18" t="s">
        <v>7041</v>
      </c>
      <c r="Q911" s="20">
        <f>COUNTIF('Hedef Liste'!A:A,A911)</f>
        <v>1</v>
      </c>
    </row>
    <row r="912" ht="15.75" hidden="1" customHeight="1">
      <c r="A912" s="18" t="s">
        <v>4382</v>
      </c>
      <c r="B912" s="18" t="s">
        <v>4383</v>
      </c>
      <c r="C912" s="358" t="s">
        <v>7040</v>
      </c>
      <c r="D912" s="18" t="s">
        <v>363</v>
      </c>
      <c r="E912" s="359">
        <v>73.0</v>
      </c>
      <c r="F912" s="359">
        <v>34.0</v>
      </c>
      <c r="G912" s="359">
        <v>32.0</v>
      </c>
      <c r="H912" s="359">
        <v>27.0</v>
      </c>
      <c r="I912" s="359">
        <v>59.0</v>
      </c>
      <c r="J912" s="360">
        <v>0.54</v>
      </c>
      <c r="K912" s="18" t="s">
        <v>4384</v>
      </c>
      <c r="L912" s="18">
        <v>5.070255432E9</v>
      </c>
      <c r="M912" s="18" t="s">
        <v>72</v>
      </c>
      <c r="N912" s="18" t="s">
        <v>150</v>
      </c>
      <c r="O912" s="18" t="s">
        <v>4385</v>
      </c>
      <c r="P912" s="18" t="s">
        <v>7041</v>
      </c>
      <c r="Q912" s="20">
        <f>COUNTIF('Hedef Liste'!A:A,A912)</f>
        <v>1</v>
      </c>
    </row>
    <row r="913" ht="15.75" customHeight="1">
      <c r="A913" s="18" t="s">
        <v>4374</v>
      </c>
      <c r="B913" s="18" t="s">
        <v>4375</v>
      </c>
      <c r="C913" s="358" t="s">
        <v>7040</v>
      </c>
      <c r="D913" s="18" t="s">
        <v>363</v>
      </c>
      <c r="E913" s="359">
        <v>51.0</v>
      </c>
      <c r="F913" s="359">
        <v>51.0</v>
      </c>
      <c r="G913" s="359">
        <v>0.0</v>
      </c>
      <c r="H913" s="359">
        <v>19.0</v>
      </c>
      <c r="I913" s="359">
        <v>19.0</v>
      </c>
      <c r="J913" s="360">
        <v>0.0</v>
      </c>
      <c r="K913" s="18" t="s">
        <v>4376</v>
      </c>
      <c r="L913" s="18">
        <v>5.074536299E9</v>
      </c>
      <c r="M913" s="18" t="s">
        <v>72</v>
      </c>
      <c r="N913" s="18" t="s">
        <v>716</v>
      </c>
      <c r="O913" s="18" t="s">
        <v>4377</v>
      </c>
      <c r="P913" s="18" t="s">
        <v>7041</v>
      </c>
      <c r="Q913" s="20">
        <f>COUNTIF('Hedef Liste'!A:A,A913)</f>
        <v>1</v>
      </c>
    </row>
    <row r="914" ht="15.75" customHeight="1">
      <c r="A914" s="18" t="s">
        <v>1635</v>
      </c>
      <c r="B914" s="18" t="s">
        <v>1636</v>
      </c>
      <c r="C914" s="358" t="s">
        <v>7040</v>
      </c>
      <c r="D914" s="18" t="s">
        <v>167</v>
      </c>
      <c r="E914" s="359">
        <v>2.0</v>
      </c>
      <c r="F914" s="359">
        <v>2.0</v>
      </c>
      <c r="G914" s="359">
        <v>0.0</v>
      </c>
      <c r="H914" s="359">
        <v>11.0</v>
      </c>
      <c r="I914" s="359">
        <v>11.0</v>
      </c>
      <c r="J914" s="360">
        <v>0.0</v>
      </c>
      <c r="K914" s="18" t="s">
        <v>1637</v>
      </c>
      <c r="L914" s="18">
        <v>5.386498267E9</v>
      </c>
      <c r="M914" s="18" t="s">
        <v>137</v>
      </c>
      <c r="N914" s="18" t="s">
        <v>311</v>
      </c>
      <c r="O914" s="18" t="s">
        <v>1638</v>
      </c>
      <c r="P914" s="18" t="s">
        <v>7041</v>
      </c>
      <c r="Q914" s="20">
        <f>COUNTIF('Hedef Liste'!A:A,A914)</f>
        <v>1</v>
      </c>
    </row>
    <row r="915" ht="15.75" hidden="1" customHeight="1">
      <c r="A915" s="18" t="s">
        <v>7519</v>
      </c>
      <c r="B915" s="18" t="s">
        <v>7520</v>
      </c>
      <c r="C915" s="358" t="s">
        <v>7040</v>
      </c>
      <c r="D915" s="18" t="s">
        <v>61</v>
      </c>
      <c r="E915" s="359">
        <v>9.0</v>
      </c>
      <c r="F915" s="359">
        <v>9.0</v>
      </c>
      <c r="G915" s="359">
        <v>17.0</v>
      </c>
      <c r="H915" s="359">
        <v>0.0</v>
      </c>
      <c r="I915" s="359">
        <v>17.0</v>
      </c>
      <c r="J915" s="360">
        <v>1.0</v>
      </c>
      <c r="K915" s="18" t="s">
        <v>7521</v>
      </c>
      <c r="L915" s="18">
        <v>5.321338056E9</v>
      </c>
      <c r="M915" s="18" t="s">
        <v>156</v>
      </c>
      <c r="N915" s="18" t="s">
        <v>1483</v>
      </c>
      <c r="O915" s="18" t="s">
        <v>7522</v>
      </c>
      <c r="P915" s="18" t="s">
        <v>7047</v>
      </c>
      <c r="Q915" s="20">
        <f>COUNTIF('Hedef Liste'!A:A,A915)</f>
        <v>0</v>
      </c>
    </row>
    <row r="916" ht="15.75" customHeight="1">
      <c r="A916" s="18" t="s">
        <v>2567</v>
      </c>
      <c r="B916" s="18" t="s">
        <v>2563</v>
      </c>
      <c r="C916" s="358" t="s">
        <v>7040</v>
      </c>
      <c r="D916" s="18" t="s">
        <v>451</v>
      </c>
      <c r="E916" s="18"/>
      <c r="F916" s="18"/>
      <c r="G916" s="359">
        <v>0.0</v>
      </c>
      <c r="H916" s="359">
        <v>31.0</v>
      </c>
      <c r="I916" s="359">
        <v>31.0</v>
      </c>
      <c r="J916" s="360">
        <v>0.0</v>
      </c>
      <c r="K916" s="18" t="s">
        <v>2568</v>
      </c>
      <c r="L916" s="18">
        <v>3.245020666E9</v>
      </c>
      <c r="M916" s="18" t="s">
        <v>72</v>
      </c>
      <c r="N916" s="18" t="s">
        <v>82</v>
      </c>
      <c r="O916" s="18" t="s">
        <v>2565</v>
      </c>
      <c r="P916" s="18" t="s">
        <v>7041</v>
      </c>
      <c r="Q916" s="20">
        <f>COUNTIF('Hedef Liste'!A:A,A916)</f>
        <v>1</v>
      </c>
    </row>
    <row r="917" ht="15.75" hidden="1" customHeight="1">
      <c r="A917" s="18" t="s">
        <v>2432</v>
      </c>
      <c r="B917" s="18" t="s">
        <v>2433</v>
      </c>
      <c r="C917" s="358" t="s">
        <v>7040</v>
      </c>
      <c r="D917" s="18" t="s">
        <v>564</v>
      </c>
      <c r="E917" s="359">
        <v>5.0</v>
      </c>
      <c r="F917" s="359">
        <v>5.0</v>
      </c>
      <c r="G917" s="359">
        <v>0.0</v>
      </c>
      <c r="H917" s="359">
        <v>13.0</v>
      </c>
      <c r="I917" s="359">
        <v>13.0</v>
      </c>
      <c r="J917" s="360">
        <v>0.0</v>
      </c>
      <c r="K917" s="18" t="s">
        <v>2434</v>
      </c>
      <c r="L917" s="18">
        <v>5.465776644E9</v>
      </c>
      <c r="M917" s="18" t="s">
        <v>187</v>
      </c>
      <c r="N917" s="18" t="s">
        <v>2435</v>
      </c>
      <c r="O917" s="18" t="s">
        <v>2436</v>
      </c>
      <c r="P917" s="18" t="s">
        <v>7041</v>
      </c>
      <c r="Q917" s="20">
        <f>COUNTIF('Hedef Liste'!A:A,A917)</f>
        <v>1</v>
      </c>
    </row>
    <row r="918" ht="15.75" hidden="1" customHeight="1">
      <c r="A918" s="18" t="s">
        <v>4616</v>
      </c>
      <c r="B918" s="18" t="s">
        <v>4617</v>
      </c>
      <c r="C918" s="358" t="s">
        <v>7040</v>
      </c>
      <c r="D918" s="18" t="s">
        <v>558</v>
      </c>
      <c r="E918" s="359">
        <v>4.0</v>
      </c>
      <c r="F918" s="359">
        <v>4.0</v>
      </c>
      <c r="G918" s="359">
        <v>0.0</v>
      </c>
      <c r="H918" s="359">
        <v>39.0</v>
      </c>
      <c r="I918" s="359">
        <v>39.0</v>
      </c>
      <c r="J918" s="360">
        <v>0.0</v>
      </c>
      <c r="K918" s="18" t="s">
        <v>4618</v>
      </c>
      <c r="L918" s="18">
        <v>5.524253585E9</v>
      </c>
      <c r="M918" s="18" t="s">
        <v>156</v>
      </c>
      <c r="N918" s="18" t="s">
        <v>338</v>
      </c>
      <c r="O918" s="18" t="s">
        <v>4619</v>
      </c>
      <c r="P918" s="18" t="s">
        <v>7041</v>
      </c>
      <c r="Q918" s="20">
        <f>COUNTIF('Hedef Liste'!A:A,A918)</f>
        <v>1</v>
      </c>
    </row>
    <row r="919" ht="15.75" hidden="1" customHeight="1">
      <c r="A919" s="18" t="s">
        <v>1867</v>
      </c>
      <c r="B919" s="18" t="s">
        <v>1868</v>
      </c>
      <c r="C919" s="358" t="s">
        <v>7040</v>
      </c>
      <c r="D919" s="18" t="s">
        <v>564</v>
      </c>
      <c r="E919" s="359">
        <v>83.0</v>
      </c>
      <c r="F919" s="359">
        <v>83.0</v>
      </c>
      <c r="G919" s="359">
        <v>0.0</v>
      </c>
      <c r="H919" s="359">
        <v>65.0</v>
      </c>
      <c r="I919" s="359">
        <v>65.0</v>
      </c>
      <c r="J919" s="360">
        <v>0.0</v>
      </c>
      <c r="K919" s="18" t="s">
        <v>1869</v>
      </c>
      <c r="L919" s="18">
        <v>5.364862333E9</v>
      </c>
      <c r="M919" s="18" t="s">
        <v>187</v>
      </c>
      <c r="N919" s="18" t="s">
        <v>1667</v>
      </c>
      <c r="O919" s="18" t="s">
        <v>1870</v>
      </c>
      <c r="P919" s="18" t="s">
        <v>7041</v>
      </c>
      <c r="Q919" s="20">
        <f>COUNTIF('Hedef Liste'!A:A,A919)</f>
        <v>1</v>
      </c>
    </row>
    <row r="920" ht="15.75" hidden="1" customHeight="1">
      <c r="A920" s="18" t="s">
        <v>3427</v>
      </c>
      <c r="B920" s="18" t="s">
        <v>3428</v>
      </c>
      <c r="C920" s="358" t="s">
        <v>7040</v>
      </c>
      <c r="D920" s="18" t="s">
        <v>80</v>
      </c>
      <c r="E920" s="359">
        <v>89.0</v>
      </c>
      <c r="F920" s="359">
        <v>89.0</v>
      </c>
      <c r="G920" s="359">
        <v>0.0</v>
      </c>
      <c r="H920" s="359">
        <v>12.0</v>
      </c>
      <c r="I920" s="359">
        <v>12.0</v>
      </c>
      <c r="J920" s="360">
        <v>0.0</v>
      </c>
      <c r="K920" s="18" t="s">
        <v>3429</v>
      </c>
      <c r="L920" s="18">
        <v>5.332768433E9</v>
      </c>
      <c r="M920" s="18" t="s">
        <v>215</v>
      </c>
      <c r="N920" s="18" t="s">
        <v>671</v>
      </c>
      <c r="O920" s="18" t="s">
        <v>3430</v>
      </c>
      <c r="P920" s="18" t="s">
        <v>7041</v>
      </c>
      <c r="Q920" s="20">
        <f>COUNTIF('Hedef Liste'!A:A,A920)</f>
        <v>1</v>
      </c>
    </row>
    <row r="921" ht="15.75" hidden="1" customHeight="1">
      <c r="A921" s="18" t="s">
        <v>4185</v>
      </c>
      <c r="B921" s="18" t="s">
        <v>4186</v>
      </c>
      <c r="C921" s="358" t="s">
        <v>7040</v>
      </c>
      <c r="D921" s="18" t="s">
        <v>118</v>
      </c>
      <c r="E921" s="359">
        <v>86.0</v>
      </c>
      <c r="F921" s="359">
        <v>86.0</v>
      </c>
      <c r="G921" s="359">
        <v>0.0</v>
      </c>
      <c r="H921" s="359">
        <v>12.0</v>
      </c>
      <c r="I921" s="359">
        <v>12.0</v>
      </c>
      <c r="J921" s="360">
        <v>0.0</v>
      </c>
      <c r="K921" s="18" t="s">
        <v>3683</v>
      </c>
      <c r="L921" s="18">
        <v>5.357188147E9</v>
      </c>
      <c r="M921" s="18" t="s">
        <v>187</v>
      </c>
      <c r="N921" s="18" t="s">
        <v>150</v>
      </c>
      <c r="O921" s="18" t="s">
        <v>4187</v>
      </c>
      <c r="P921" s="18" t="s">
        <v>7041</v>
      </c>
      <c r="Q921" s="20">
        <f>COUNTIF('Hedef Liste'!A:A,A921)</f>
        <v>1</v>
      </c>
    </row>
    <row r="922" ht="15.75" customHeight="1">
      <c r="A922" s="18" t="s">
        <v>3706</v>
      </c>
      <c r="B922" s="18" t="s">
        <v>3707</v>
      </c>
      <c r="C922" s="358" t="s">
        <v>7040</v>
      </c>
      <c r="D922" s="18" t="s">
        <v>118</v>
      </c>
      <c r="E922" s="359">
        <v>7.0</v>
      </c>
      <c r="F922" s="359">
        <v>7.0</v>
      </c>
      <c r="G922" s="359">
        <v>0.0</v>
      </c>
      <c r="H922" s="359">
        <v>11.0</v>
      </c>
      <c r="I922" s="359">
        <v>11.0</v>
      </c>
      <c r="J922" s="360">
        <v>0.0</v>
      </c>
      <c r="K922" s="18" t="s">
        <v>3708</v>
      </c>
      <c r="L922" s="18">
        <v>5.436483535E9</v>
      </c>
      <c r="M922" s="18" t="s">
        <v>187</v>
      </c>
      <c r="N922" s="18" t="s">
        <v>3709</v>
      </c>
      <c r="O922" s="18" t="s">
        <v>3710</v>
      </c>
      <c r="P922" s="18" t="s">
        <v>7041</v>
      </c>
      <c r="Q922" s="20">
        <f>COUNTIF('Hedef Liste'!A:A,A922)</f>
        <v>1</v>
      </c>
    </row>
    <row r="923" ht="15.75" hidden="1" customHeight="1">
      <c r="A923" s="18" t="s">
        <v>1535</v>
      </c>
      <c r="B923" s="18" t="s">
        <v>1536</v>
      </c>
      <c r="C923" s="358" t="s">
        <v>7040</v>
      </c>
      <c r="D923" s="18" t="s">
        <v>70</v>
      </c>
      <c r="E923" s="359">
        <v>27.0</v>
      </c>
      <c r="F923" s="359">
        <v>27.0</v>
      </c>
      <c r="G923" s="359">
        <v>0.0</v>
      </c>
      <c r="H923" s="359">
        <v>35.0</v>
      </c>
      <c r="I923" s="359">
        <v>35.0</v>
      </c>
      <c r="J923" s="360">
        <v>0.0</v>
      </c>
      <c r="K923" s="18" t="s">
        <v>1537</v>
      </c>
      <c r="L923" s="18">
        <v>5.528814933E9</v>
      </c>
      <c r="M923" s="18" t="s">
        <v>137</v>
      </c>
      <c r="N923" s="18" t="s">
        <v>175</v>
      </c>
      <c r="O923" s="18" t="s">
        <v>1538</v>
      </c>
      <c r="P923" s="18" t="s">
        <v>7041</v>
      </c>
      <c r="Q923" s="20">
        <f>COUNTIF('Hedef Liste'!A:A,A923)</f>
        <v>1</v>
      </c>
    </row>
    <row r="924" ht="15.75" hidden="1" customHeight="1">
      <c r="A924" s="18" t="s">
        <v>2022</v>
      </c>
      <c r="B924" s="18" t="s">
        <v>2023</v>
      </c>
      <c r="C924" s="358" t="s">
        <v>7040</v>
      </c>
      <c r="D924" s="18" t="s">
        <v>106</v>
      </c>
      <c r="E924" s="359">
        <v>9.0</v>
      </c>
      <c r="F924" s="359">
        <v>9.0</v>
      </c>
      <c r="G924" s="359">
        <v>0.0</v>
      </c>
      <c r="H924" s="359">
        <v>31.0</v>
      </c>
      <c r="I924" s="359">
        <v>31.0</v>
      </c>
      <c r="J924" s="360">
        <v>0.0</v>
      </c>
      <c r="K924" s="18" t="s">
        <v>2024</v>
      </c>
      <c r="L924" s="18">
        <v>5.444430414E9</v>
      </c>
      <c r="M924" s="18" t="s">
        <v>63</v>
      </c>
      <c r="N924" s="18" t="s">
        <v>1148</v>
      </c>
      <c r="O924" s="18" t="s">
        <v>2025</v>
      </c>
      <c r="P924" s="18" t="s">
        <v>7041</v>
      </c>
      <c r="Q924" s="20">
        <f>COUNTIF('Hedef Liste'!A:A,A924)</f>
        <v>1</v>
      </c>
    </row>
    <row r="925" ht="15.75" hidden="1" customHeight="1">
      <c r="A925" s="18" t="s">
        <v>2382</v>
      </c>
      <c r="B925" s="18" t="s">
        <v>2383</v>
      </c>
      <c r="C925" s="358" t="s">
        <v>7040</v>
      </c>
      <c r="D925" s="18" t="s">
        <v>45</v>
      </c>
      <c r="E925" s="359">
        <v>796.0</v>
      </c>
      <c r="F925" s="359">
        <v>13.0</v>
      </c>
      <c r="G925" s="359">
        <v>0.0</v>
      </c>
      <c r="H925" s="359">
        <v>28.0</v>
      </c>
      <c r="I925" s="359">
        <v>28.0</v>
      </c>
      <c r="J925" s="360">
        <v>0.0</v>
      </c>
      <c r="K925" s="18" t="s">
        <v>7523</v>
      </c>
      <c r="L925" s="18">
        <v>5.462880502E9</v>
      </c>
      <c r="M925" s="18" t="s">
        <v>72</v>
      </c>
      <c r="N925" s="18" t="s">
        <v>73</v>
      </c>
      <c r="O925" s="18" t="s">
        <v>2164</v>
      </c>
      <c r="P925" s="18" t="s">
        <v>7041</v>
      </c>
      <c r="Q925" s="20">
        <f>COUNTIF('Hedef Liste'!A:A,A925)</f>
        <v>1</v>
      </c>
    </row>
    <row r="926" ht="15.75" customHeight="1">
      <c r="A926" s="18" t="s">
        <v>4444</v>
      </c>
      <c r="B926" s="18" t="s">
        <v>4445</v>
      </c>
      <c r="C926" s="358" t="s">
        <v>7040</v>
      </c>
      <c r="D926" s="18" t="s">
        <v>363</v>
      </c>
      <c r="E926" s="359">
        <v>4.0</v>
      </c>
      <c r="F926" s="359">
        <v>4.0</v>
      </c>
      <c r="G926" s="359">
        <v>0.0</v>
      </c>
      <c r="H926" s="359">
        <v>69.0</v>
      </c>
      <c r="I926" s="359">
        <v>69.0</v>
      </c>
      <c r="J926" s="360">
        <v>0.0</v>
      </c>
      <c r="K926" s="18" t="s">
        <v>4446</v>
      </c>
      <c r="L926" s="18">
        <v>5.336825983E9</v>
      </c>
      <c r="M926" s="18" t="s">
        <v>63</v>
      </c>
      <c r="N926" s="18" t="s">
        <v>137</v>
      </c>
      <c r="O926" s="18" t="s">
        <v>4447</v>
      </c>
      <c r="P926" s="18" t="s">
        <v>7041</v>
      </c>
      <c r="Q926" s="20">
        <f>COUNTIF('Hedef Liste'!A:A,A926)</f>
        <v>1</v>
      </c>
    </row>
    <row r="927" ht="15.75" hidden="1" customHeight="1">
      <c r="A927" s="18" t="s">
        <v>4298</v>
      </c>
      <c r="B927" s="18" t="s">
        <v>4299</v>
      </c>
      <c r="C927" s="358" t="s">
        <v>7040</v>
      </c>
      <c r="D927" s="18" t="s">
        <v>80</v>
      </c>
      <c r="E927" s="359">
        <v>863.0</v>
      </c>
      <c r="F927" s="359">
        <v>25.0</v>
      </c>
      <c r="G927" s="359">
        <v>4.0</v>
      </c>
      <c r="H927" s="359">
        <v>7.0</v>
      </c>
      <c r="I927" s="359">
        <v>11.0</v>
      </c>
      <c r="J927" s="360">
        <v>0.36</v>
      </c>
      <c r="K927" s="18" t="s">
        <v>4300</v>
      </c>
      <c r="L927" s="18">
        <v>5.054733349E9</v>
      </c>
      <c r="M927" s="18" t="s">
        <v>215</v>
      </c>
      <c r="N927" s="18" t="s">
        <v>1613</v>
      </c>
      <c r="O927" s="18" t="s">
        <v>4301</v>
      </c>
      <c r="P927" s="18" t="s">
        <v>7041</v>
      </c>
      <c r="Q927" s="20">
        <f>COUNTIF('Hedef Liste'!A:A,A927)</f>
        <v>1</v>
      </c>
    </row>
    <row r="928" ht="15.75" hidden="1" customHeight="1">
      <c r="A928" s="18" t="s">
        <v>1183</v>
      </c>
      <c r="B928" s="18" t="s">
        <v>1184</v>
      </c>
      <c r="C928" s="358" t="s">
        <v>7040</v>
      </c>
      <c r="D928" s="18" t="s">
        <v>80</v>
      </c>
      <c r="E928" s="359">
        <v>174.0</v>
      </c>
      <c r="F928" s="359">
        <v>24.0</v>
      </c>
      <c r="G928" s="359">
        <v>9.0</v>
      </c>
      <c r="H928" s="359">
        <v>0.0</v>
      </c>
      <c r="I928" s="359">
        <v>9.0</v>
      </c>
      <c r="J928" s="360">
        <v>1.0</v>
      </c>
      <c r="K928" s="18" t="s">
        <v>1185</v>
      </c>
      <c r="L928" s="18">
        <v>5.36683864E9</v>
      </c>
      <c r="M928" s="18" t="s">
        <v>215</v>
      </c>
      <c r="N928" s="18" t="s">
        <v>745</v>
      </c>
      <c r="O928" s="18" t="s">
        <v>1186</v>
      </c>
      <c r="P928" s="18" t="s">
        <v>7041</v>
      </c>
      <c r="Q928" s="20">
        <f>COUNTIF('Hedef Liste'!A:A,A928)</f>
        <v>1</v>
      </c>
    </row>
    <row r="929" ht="15.75" hidden="1" customHeight="1">
      <c r="A929" s="18" t="s">
        <v>7524</v>
      </c>
      <c r="B929" s="18" t="s">
        <v>7525</v>
      </c>
      <c r="C929" s="358" t="s">
        <v>7040</v>
      </c>
      <c r="D929" s="18" t="s">
        <v>884</v>
      </c>
      <c r="E929" s="359">
        <v>3265.0</v>
      </c>
      <c r="F929" s="359">
        <v>147.0</v>
      </c>
      <c r="G929" s="359">
        <v>74.0</v>
      </c>
      <c r="H929" s="359">
        <v>0.0</v>
      </c>
      <c r="I929" s="359">
        <v>74.0</v>
      </c>
      <c r="J929" s="360">
        <v>1.0</v>
      </c>
      <c r="K929" s="18" t="s">
        <v>7148</v>
      </c>
      <c r="L929" s="18">
        <v>3.24614479E9</v>
      </c>
      <c r="M929" s="18" t="s">
        <v>156</v>
      </c>
      <c r="N929" s="18" t="s">
        <v>7135</v>
      </c>
      <c r="O929" s="18" t="s">
        <v>7526</v>
      </c>
      <c r="P929" s="18" t="s">
        <v>7047</v>
      </c>
      <c r="Q929" s="20">
        <f>COUNTIF('Hedef Liste'!A:A,A929)</f>
        <v>0</v>
      </c>
    </row>
    <row r="930" ht="15.75" hidden="1" customHeight="1">
      <c r="A930" s="18" t="s">
        <v>7527</v>
      </c>
      <c r="B930" s="18" t="s">
        <v>7528</v>
      </c>
      <c r="C930" s="358" t="s">
        <v>7040</v>
      </c>
      <c r="D930" s="18" t="s">
        <v>167</v>
      </c>
      <c r="E930" s="359">
        <v>4.0</v>
      </c>
      <c r="F930" s="359">
        <v>2.0</v>
      </c>
      <c r="G930" s="359">
        <v>8.0</v>
      </c>
      <c r="H930" s="359">
        <v>27.0</v>
      </c>
      <c r="I930" s="359">
        <v>35.0</v>
      </c>
      <c r="J930" s="360">
        <v>0.23</v>
      </c>
      <c r="K930" s="18" t="s">
        <v>4323</v>
      </c>
      <c r="L930" s="18">
        <v>5.413803911E9</v>
      </c>
      <c r="M930" s="18" t="s">
        <v>47</v>
      </c>
      <c r="N930" s="18" t="s">
        <v>7529</v>
      </c>
      <c r="O930" s="18" t="s">
        <v>7530</v>
      </c>
      <c r="P930" s="18" t="s">
        <v>7041</v>
      </c>
      <c r="Q930" s="20">
        <f>COUNTIF('Hedef Liste'!A:A,A930)</f>
        <v>0</v>
      </c>
    </row>
    <row r="931" ht="15.75" hidden="1" customHeight="1">
      <c r="A931" s="18" t="s">
        <v>4035</v>
      </c>
      <c r="B931" s="18" t="s">
        <v>4036</v>
      </c>
      <c r="C931" s="358" t="s">
        <v>7040</v>
      </c>
      <c r="D931" s="18" t="s">
        <v>564</v>
      </c>
      <c r="E931" s="359">
        <v>19.0</v>
      </c>
      <c r="F931" s="359">
        <v>10.0</v>
      </c>
      <c r="G931" s="359">
        <v>18.0</v>
      </c>
      <c r="H931" s="359">
        <v>4.0</v>
      </c>
      <c r="I931" s="359">
        <v>22.0</v>
      </c>
      <c r="J931" s="360">
        <v>0.82</v>
      </c>
      <c r="K931" s="18" t="s">
        <v>4037</v>
      </c>
      <c r="L931" s="18">
        <v>5.355044949E9</v>
      </c>
      <c r="M931" s="18" t="s">
        <v>72</v>
      </c>
      <c r="N931" s="18" t="s">
        <v>181</v>
      </c>
      <c r="O931" s="18" t="s">
        <v>4038</v>
      </c>
      <c r="P931" s="18" t="s">
        <v>7041</v>
      </c>
      <c r="Q931" s="20">
        <f>COUNTIF('Hedef Liste'!A:A,A931)</f>
        <v>1</v>
      </c>
    </row>
    <row r="932" ht="15.75" hidden="1" customHeight="1">
      <c r="A932" s="18" t="s">
        <v>3180</v>
      </c>
      <c r="B932" s="18" t="s">
        <v>3181</v>
      </c>
      <c r="C932" s="358" t="s">
        <v>7040</v>
      </c>
      <c r="D932" s="18" t="s">
        <v>167</v>
      </c>
      <c r="E932" s="359">
        <v>7.0</v>
      </c>
      <c r="F932" s="359">
        <v>5.0</v>
      </c>
      <c r="G932" s="359">
        <v>8.0</v>
      </c>
      <c r="H932" s="359">
        <v>137.0</v>
      </c>
      <c r="I932" s="359">
        <v>145.0</v>
      </c>
      <c r="J932" s="360">
        <v>0.06</v>
      </c>
      <c r="K932" s="18" t="s">
        <v>3182</v>
      </c>
      <c r="L932" s="18">
        <v>5.364150233E9</v>
      </c>
      <c r="M932" s="18" t="s">
        <v>137</v>
      </c>
      <c r="N932" s="18" t="s">
        <v>209</v>
      </c>
      <c r="O932" s="18" t="s">
        <v>3183</v>
      </c>
      <c r="P932" s="18" t="s">
        <v>7041</v>
      </c>
      <c r="Q932" s="20">
        <f>COUNTIF('Hedef Liste'!A:A,A932)</f>
        <v>1</v>
      </c>
    </row>
    <row r="933" ht="15.75" hidden="1" customHeight="1">
      <c r="A933" s="18" t="s">
        <v>7531</v>
      </c>
      <c r="B933" s="18" t="s">
        <v>7532</v>
      </c>
      <c r="C933" s="358" t="s">
        <v>7040</v>
      </c>
      <c r="D933" s="18" t="s">
        <v>167</v>
      </c>
      <c r="E933" s="359">
        <v>48.0</v>
      </c>
      <c r="F933" s="359">
        <v>44.0</v>
      </c>
      <c r="G933" s="359">
        <v>5.0</v>
      </c>
      <c r="H933" s="359">
        <v>8.0</v>
      </c>
      <c r="I933" s="359">
        <v>13.0</v>
      </c>
      <c r="J933" s="360">
        <v>0.38</v>
      </c>
      <c r="K933" s="18" t="s">
        <v>7533</v>
      </c>
      <c r="L933" s="18">
        <v>3.245150602E9</v>
      </c>
      <c r="M933" s="18" t="s">
        <v>137</v>
      </c>
      <c r="N933" s="18" t="s">
        <v>7534</v>
      </c>
      <c r="O933" s="18" t="s">
        <v>7535</v>
      </c>
      <c r="P933" s="18" t="s">
        <v>7041</v>
      </c>
      <c r="Q933" s="20">
        <f>COUNTIF('Hedef Liste'!A:A,A933)</f>
        <v>0</v>
      </c>
    </row>
    <row r="934" ht="15.75" hidden="1" customHeight="1">
      <c r="A934" s="18" t="s">
        <v>1610</v>
      </c>
      <c r="B934" s="18" t="s">
        <v>1611</v>
      </c>
      <c r="C934" s="358" t="s">
        <v>7040</v>
      </c>
      <c r="D934" s="18" t="s">
        <v>356</v>
      </c>
      <c r="E934" s="359">
        <v>77.0</v>
      </c>
      <c r="F934" s="359">
        <v>63.0</v>
      </c>
      <c r="G934" s="359">
        <v>0.0</v>
      </c>
      <c r="H934" s="359">
        <v>54.0</v>
      </c>
      <c r="I934" s="359">
        <v>54.0</v>
      </c>
      <c r="J934" s="360">
        <v>0.0</v>
      </c>
      <c r="K934" s="18" t="s">
        <v>1612</v>
      </c>
      <c r="L934" s="18">
        <v>5.366141033E9</v>
      </c>
      <c r="M934" s="18" t="s">
        <v>215</v>
      </c>
      <c r="N934" s="18" t="s">
        <v>1613</v>
      </c>
      <c r="O934" s="18" t="s">
        <v>1614</v>
      </c>
      <c r="P934" s="18" t="s">
        <v>7041</v>
      </c>
      <c r="Q934" s="20">
        <f>COUNTIF('Hedef Liste'!A:A,A934)</f>
        <v>1</v>
      </c>
    </row>
    <row r="935" ht="15.75" hidden="1" customHeight="1">
      <c r="A935" s="18" t="s">
        <v>7536</v>
      </c>
      <c r="B935" s="18" t="s">
        <v>7537</v>
      </c>
      <c r="C935" s="358" t="s">
        <v>7062</v>
      </c>
      <c r="D935" s="18" t="s">
        <v>167</v>
      </c>
      <c r="E935" s="18"/>
      <c r="F935" s="18"/>
      <c r="G935" s="359">
        <v>66.0</v>
      </c>
      <c r="H935" s="359">
        <v>26.0</v>
      </c>
      <c r="I935" s="359">
        <v>92.0</v>
      </c>
      <c r="J935" s="360">
        <v>0.72</v>
      </c>
      <c r="K935" s="18" t="s">
        <v>7538</v>
      </c>
      <c r="L935" s="18">
        <v>5.327123862E9</v>
      </c>
      <c r="M935" s="18" t="s">
        <v>72</v>
      </c>
      <c r="N935" s="18" t="s">
        <v>73</v>
      </c>
      <c r="O935" s="18" t="s">
        <v>7539</v>
      </c>
      <c r="P935" s="18" t="s">
        <v>7047</v>
      </c>
      <c r="Q935" s="20">
        <f>COUNTIF('Hedef Liste'!A:A,A935)</f>
        <v>0</v>
      </c>
    </row>
    <row r="936" ht="15.75" hidden="1" customHeight="1">
      <c r="A936" s="18" t="s">
        <v>7540</v>
      </c>
      <c r="B936" s="18" t="s">
        <v>7541</v>
      </c>
      <c r="C936" s="358" t="s">
        <v>7040</v>
      </c>
      <c r="D936" s="18" t="s">
        <v>106</v>
      </c>
      <c r="E936" s="359">
        <v>1324.0</v>
      </c>
      <c r="F936" s="359">
        <v>69.0</v>
      </c>
      <c r="G936" s="359">
        <v>38.0</v>
      </c>
      <c r="H936" s="359">
        <v>0.0</v>
      </c>
      <c r="I936" s="359">
        <v>38.0</v>
      </c>
      <c r="J936" s="360">
        <v>1.0</v>
      </c>
      <c r="K936" s="18" t="s">
        <v>7542</v>
      </c>
      <c r="L936" s="18">
        <v>5.302648257E9</v>
      </c>
      <c r="M936" s="18" t="s">
        <v>72</v>
      </c>
      <c r="N936" s="18" t="s">
        <v>73</v>
      </c>
      <c r="O936" s="18" t="s">
        <v>7543</v>
      </c>
      <c r="P936" s="18" t="s">
        <v>7047</v>
      </c>
      <c r="Q936" s="20">
        <f>COUNTIF('Hedef Liste'!A:A,A936)</f>
        <v>0</v>
      </c>
    </row>
    <row r="937" ht="15.75" hidden="1" customHeight="1">
      <c r="A937" s="18" t="s">
        <v>4551</v>
      </c>
      <c r="B937" s="18" t="s">
        <v>4552</v>
      </c>
      <c r="C937" s="358" t="s">
        <v>7040</v>
      </c>
      <c r="D937" s="18" t="s">
        <v>356</v>
      </c>
      <c r="E937" s="359">
        <v>1694.0</v>
      </c>
      <c r="F937" s="359">
        <v>47.0</v>
      </c>
      <c r="G937" s="359">
        <v>0.0</v>
      </c>
      <c r="H937" s="359">
        <v>64.0</v>
      </c>
      <c r="I937" s="359">
        <v>64.0</v>
      </c>
      <c r="J937" s="361">
        <v>0.0</v>
      </c>
      <c r="K937" s="18" t="s">
        <v>468</v>
      </c>
      <c r="L937" s="18">
        <v>5.525296565E9</v>
      </c>
      <c r="M937" s="18" t="s">
        <v>72</v>
      </c>
      <c r="N937" s="18" t="s">
        <v>73</v>
      </c>
      <c r="O937" s="18" t="s">
        <v>469</v>
      </c>
      <c r="P937" s="18" t="s">
        <v>7041</v>
      </c>
      <c r="Q937" s="20">
        <f>COUNTIF('Hedef Liste'!A:A,A937)</f>
        <v>1</v>
      </c>
    </row>
    <row r="938" ht="15.75" customHeight="1">
      <c r="A938" s="18" t="s">
        <v>2094</v>
      </c>
      <c r="B938" s="18" t="s">
        <v>2095</v>
      </c>
      <c r="C938" s="358" t="s">
        <v>7040</v>
      </c>
      <c r="D938" s="18" t="s">
        <v>61</v>
      </c>
      <c r="E938" s="359">
        <v>4.0</v>
      </c>
      <c r="F938" s="359">
        <v>4.0</v>
      </c>
      <c r="G938" s="359">
        <v>0.0</v>
      </c>
      <c r="H938" s="359">
        <v>64.0</v>
      </c>
      <c r="I938" s="359">
        <v>64.0</v>
      </c>
      <c r="J938" s="360">
        <v>0.0</v>
      </c>
      <c r="K938" s="18" t="s">
        <v>2096</v>
      </c>
      <c r="L938" s="18">
        <v>3.243590575E9</v>
      </c>
      <c r="M938" s="18" t="s">
        <v>63</v>
      </c>
      <c r="N938" s="18" t="s">
        <v>137</v>
      </c>
      <c r="O938" s="18" t="s">
        <v>2097</v>
      </c>
      <c r="P938" s="18" t="s">
        <v>7041</v>
      </c>
      <c r="Q938" s="20">
        <f>COUNTIF('Hedef Liste'!A:A,A938)</f>
        <v>1</v>
      </c>
    </row>
    <row r="939" ht="15.75" customHeight="1">
      <c r="A939" s="18" t="s">
        <v>501</v>
      </c>
      <c r="B939" s="18" t="s">
        <v>502</v>
      </c>
      <c r="C939" s="358" t="s">
        <v>7040</v>
      </c>
      <c r="D939" s="18" t="s">
        <v>80</v>
      </c>
      <c r="E939" s="359">
        <v>4.0</v>
      </c>
      <c r="F939" s="359">
        <v>4.0</v>
      </c>
      <c r="G939" s="359">
        <v>0.0</v>
      </c>
      <c r="H939" s="359">
        <v>18.0</v>
      </c>
      <c r="I939" s="359">
        <v>18.0</v>
      </c>
      <c r="J939" s="360">
        <v>0.0</v>
      </c>
      <c r="K939" s="18" t="s">
        <v>503</v>
      </c>
      <c r="L939" s="18">
        <v>5.074307786E9</v>
      </c>
      <c r="M939" s="18" t="s">
        <v>215</v>
      </c>
      <c r="N939" s="18" t="s">
        <v>504</v>
      </c>
      <c r="O939" s="18" t="s">
        <v>505</v>
      </c>
      <c r="P939" s="18" t="s">
        <v>7041</v>
      </c>
      <c r="Q939" s="20">
        <f>COUNTIF('Hedef Liste'!A:A,A939)</f>
        <v>1</v>
      </c>
    </row>
    <row r="940" ht="15.75" hidden="1" customHeight="1">
      <c r="A940" s="18" t="s">
        <v>354</v>
      </c>
      <c r="B940" s="18" t="s">
        <v>355</v>
      </c>
      <c r="C940" s="358" t="s">
        <v>7040</v>
      </c>
      <c r="D940" s="18" t="s">
        <v>356</v>
      </c>
      <c r="E940" s="359">
        <v>1805.0</v>
      </c>
      <c r="F940" s="359">
        <v>114.0</v>
      </c>
      <c r="G940" s="359">
        <v>7.0</v>
      </c>
      <c r="H940" s="359">
        <v>23.0</v>
      </c>
      <c r="I940" s="359">
        <v>30.0</v>
      </c>
      <c r="J940" s="360">
        <v>0.23</v>
      </c>
      <c r="K940" s="18" t="s">
        <v>357</v>
      </c>
      <c r="L940" s="18">
        <v>5.323018257E9</v>
      </c>
      <c r="M940" s="18" t="s">
        <v>72</v>
      </c>
      <c r="N940" s="18" t="s">
        <v>82</v>
      </c>
      <c r="O940" s="18" t="s">
        <v>358</v>
      </c>
      <c r="P940" s="18" t="s">
        <v>7041</v>
      </c>
      <c r="Q940" s="20">
        <f>COUNTIF('Hedef Liste'!A:A,A940)</f>
        <v>1</v>
      </c>
    </row>
    <row r="941" ht="15.75" hidden="1" customHeight="1">
      <c r="A941" s="18" t="s">
        <v>249</v>
      </c>
      <c r="B941" s="18" t="s">
        <v>250</v>
      </c>
      <c r="C941" s="358" t="s">
        <v>7040</v>
      </c>
      <c r="D941" s="18" t="s">
        <v>167</v>
      </c>
      <c r="E941" s="359">
        <v>858.0</v>
      </c>
      <c r="F941" s="359">
        <v>58.0</v>
      </c>
      <c r="G941" s="359">
        <v>9.0</v>
      </c>
      <c r="H941" s="359">
        <v>4.0</v>
      </c>
      <c r="I941" s="359">
        <v>13.0</v>
      </c>
      <c r="J941" s="360">
        <v>0.69</v>
      </c>
      <c r="K941" s="18" t="s">
        <v>7544</v>
      </c>
      <c r="L941" s="18">
        <v>5.302733002E9</v>
      </c>
      <c r="M941" s="18" t="s">
        <v>156</v>
      </c>
      <c r="N941" s="18" t="s">
        <v>252</v>
      </c>
      <c r="O941" s="18" t="s">
        <v>253</v>
      </c>
      <c r="P941" s="18" t="s">
        <v>7041</v>
      </c>
      <c r="Q941" s="20">
        <f>COUNTIF('Hedef Liste'!A:A,A941)</f>
        <v>1</v>
      </c>
    </row>
    <row r="942" ht="15.75" hidden="1" customHeight="1">
      <c r="A942" s="18" t="s">
        <v>1241</v>
      </c>
      <c r="B942" s="18" t="s">
        <v>1242</v>
      </c>
      <c r="C942" s="358" t="s">
        <v>7040</v>
      </c>
      <c r="D942" s="18" t="s">
        <v>80</v>
      </c>
      <c r="E942" s="359">
        <v>686.0</v>
      </c>
      <c r="F942" s="359">
        <v>26.0</v>
      </c>
      <c r="G942" s="359">
        <v>10.0</v>
      </c>
      <c r="H942" s="359">
        <v>4.0</v>
      </c>
      <c r="I942" s="359">
        <v>14.0</v>
      </c>
      <c r="J942" s="360">
        <v>0.71</v>
      </c>
      <c r="K942" s="18" t="s">
        <v>1243</v>
      </c>
      <c r="L942" s="18">
        <v>5.079928631E9</v>
      </c>
      <c r="M942" s="18" t="s">
        <v>137</v>
      </c>
      <c r="N942" s="18" t="s">
        <v>318</v>
      </c>
      <c r="O942" s="18" t="s">
        <v>1244</v>
      </c>
      <c r="P942" s="18" t="s">
        <v>7041</v>
      </c>
      <c r="Q942" s="20">
        <f>COUNTIF('Hedef Liste'!A:A,A942)</f>
        <v>1</v>
      </c>
    </row>
    <row r="943" ht="15.75" hidden="1" customHeight="1">
      <c r="A943" s="18" t="s">
        <v>2136</v>
      </c>
      <c r="B943" s="18" t="s">
        <v>2137</v>
      </c>
      <c r="C943" s="358" t="s">
        <v>7040</v>
      </c>
      <c r="D943" s="18" t="s">
        <v>80</v>
      </c>
      <c r="E943" s="359">
        <v>1777.0</v>
      </c>
      <c r="F943" s="359">
        <v>63.0</v>
      </c>
      <c r="G943" s="359">
        <v>8.0</v>
      </c>
      <c r="H943" s="359">
        <v>1.0</v>
      </c>
      <c r="I943" s="359">
        <v>9.0</v>
      </c>
      <c r="J943" s="360">
        <v>0.89</v>
      </c>
      <c r="K943" s="18" t="s">
        <v>2138</v>
      </c>
      <c r="L943" s="18">
        <v>3.243225004E9</v>
      </c>
      <c r="M943" s="18" t="s">
        <v>215</v>
      </c>
      <c r="N943" s="18" t="s">
        <v>671</v>
      </c>
      <c r="O943" s="18" t="s">
        <v>2139</v>
      </c>
      <c r="P943" s="18" t="s">
        <v>7041</v>
      </c>
      <c r="Q943" s="20">
        <f>COUNTIF('Hedef Liste'!A:A,A943)</f>
        <v>1</v>
      </c>
    </row>
    <row r="944" ht="15.75" hidden="1" customHeight="1">
      <c r="A944" s="18" t="s">
        <v>444</v>
      </c>
      <c r="B944" s="18" t="s">
        <v>445</v>
      </c>
      <c r="C944" s="358" t="s">
        <v>7040</v>
      </c>
      <c r="D944" s="18" t="s">
        <v>70</v>
      </c>
      <c r="E944" s="359">
        <v>1690.0</v>
      </c>
      <c r="F944" s="359">
        <v>125.0</v>
      </c>
      <c r="G944" s="359">
        <v>0.0</v>
      </c>
      <c r="H944" s="359">
        <v>11.0</v>
      </c>
      <c r="I944" s="359">
        <v>11.0</v>
      </c>
      <c r="J944" s="361">
        <v>0.0</v>
      </c>
      <c r="K944" s="18" t="s">
        <v>446</v>
      </c>
      <c r="L944" s="18">
        <v>3.246132121E9</v>
      </c>
      <c r="M944" s="18" t="s">
        <v>156</v>
      </c>
      <c r="N944" s="18" t="s">
        <v>447</v>
      </c>
      <c r="O944" s="18" t="s">
        <v>448</v>
      </c>
      <c r="P944" s="18" t="s">
        <v>7041</v>
      </c>
      <c r="Q944" s="20">
        <f>COUNTIF('Hedef Liste'!A:A,A944)</f>
        <v>1</v>
      </c>
    </row>
    <row r="945" ht="15.75" hidden="1" customHeight="1">
      <c r="A945" s="18" t="s">
        <v>3748</v>
      </c>
      <c r="B945" s="18" t="s">
        <v>3749</v>
      </c>
      <c r="C945" s="358" t="s">
        <v>7062</v>
      </c>
      <c r="D945" s="18" t="s">
        <v>61</v>
      </c>
      <c r="E945" s="359">
        <v>138.0</v>
      </c>
      <c r="F945" s="18"/>
      <c r="G945" s="359">
        <v>0.0</v>
      </c>
      <c r="H945" s="359">
        <v>5.0</v>
      </c>
      <c r="I945" s="359">
        <v>5.0</v>
      </c>
      <c r="J945" s="360">
        <v>0.0</v>
      </c>
      <c r="K945" s="18" t="s">
        <v>3750</v>
      </c>
      <c r="L945" s="18">
        <v>5.469650101E9</v>
      </c>
      <c r="M945" s="18" t="s">
        <v>156</v>
      </c>
      <c r="N945" s="18" t="s">
        <v>596</v>
      </c>
      <c r="O945" s="18" t="s">
        <v>3751</v>
      </c>
      <c r="P945" s="18" t="s">
        <v>7041</v>
      </c>
      <c r="Q945" s="20">
        <f>COUNTIF('Hedef Liste'!A:A,A945)</f>
        <v>1</v>
      </c>
    </row>
    <row r="946" ht="15.75" hidden="1" customHeight="1">
      <c r="A946" s="18" t="s">
        <v>1876</v>
      </c>
      <c r="B946" s="18" t="s">
        <v>1877</v>
      </c>
      <c r="C946" s="358" t="s">
        <v>7040</v>
      </c>
      <c r="D946" s="18" t="s">
        <v>80</v>
      </c>
      <c r="E946" s="359">
        <v>1089.0</v>
      </c>
      <c r="F946" s="359">
        <v>73.0</v>
      </c>
      <c r="G946" s="359">
        <v>0.0</v>
      </c>
      <c r="H946" s="359">
        <v>16.0</v>
      </c>
      <c r="I946" s="359">
        <v>16.0</v>
      </c>
      <c r="J946" s="360">
        <v>0.0</v>
      </c>
      <c r="K946" s="18" t="s">
        <v>1878</v>
      </c>
      <c r="L946" s="18">
        <v>5.308280833E9</v>
      </c>
      <c r="M946" s="18" t="s">
        <v>72</v>
      </c>
      <c r="N946" s="18" t="s">
        <v>82</v>
      </c>
      <c r="O946" s="18" t="s">
        <v>1879</v>
      </c>
      <c r="P946" s="18" t="s">
        <v>7041</v>
      </c>
      <c r="Q946" s="20">
        <f>COUNTIF('Hedef Liste'!A:A,A946)</f>
        <v>1</v>
      </c>
    </row>
    <row r="947" ht="15.75" hidden="1" customHeight="1">
      <c r="A947" s="18" t="s">
        <v>1527</v>
      </c>
      <c r="B947" s="18" t="s">
        <v>1528</v>
      </c>
      <c r="C947" s="358" t="s">
        <v>7040</v>
      </c>
      <c r="D947" s="18" t="s">
        <v>70</v>
      </c>
      <c r="E947" s="359">
        <v>4451.0</v>
      </c>
      <c r="F947" s="359">
        <v>434.0</v>
      </c>
      <c r="G947" s="359">
        <v>0.0</v>
      </c>
      <c r="H947" s="359">
        <v>5.0</v>
      </c>
      <c r="I947" s="359">
        <v>5.0</v>
      </c>
      <c r="J947" s="361">
        <v>0.0</v>
      </c>
      <c r="K947" s="18" t="s">
        <v>1529</v>
      </c>
      <c r="L947" s="18">
        <v>3.247143044E9</v>
      </c>
      <c r="M947" s="18" t="s">
        <v>187</v>
      </c>
      <c r="N947" s="18" t="s">
        <v>188</v>
      </c>
      <c r="O947" s="18" t="s">
        <v>1530</v>
      </c>
      <c r="P947" s="18" t="s">
        <v>7041</v>
      </c>
      <c r="Q947" s="20">
        <f>COUNTIF('Hedef Liste'!A:A,A947)</f>
        <v>1</v>
      </c>
    </row>
    <row r="948" ht="15.75" customHeight="1">
      <c r="A948" s="18" t="s">
        <v>4466</v>
      </c>
      <c r="B948" s="18" t="s">
        <v>4467</v>
      </c>
      <c r="C948" s="358" t="s">
        <v>7040</v>
      </c>
      <c r="D948" s="18" t="s">
        <v>1992</v>
      </c>
      <c r="E948" s="18"/>
      <c r="F948" s="18"/>
      <c r="G948" s="359">
        <v>0.0</v>
      </c>
      <c r="H948" s="359">
        <v>9.0</v>
      </c>
      <c r="I948" s="359">
        <v>9.0</v>
      </c>
      <c r="J948" s="360">
        <v>0.0</v>
      </c>
      <c r="K948" s="18" t="s">
        <v>4468</v>
      </c>
      <c r="L948" s="18">
        <v>5.383797536E9</v>
      </c>
      <c r="M948" s="18" t="s">
        <v>72</v>
      </c>
      <c r="N948" s="18" t="s">
        <v>915</v>
      </c>
      <c r="O948" s="18" t="s">
        <v>4469</v>
      </c>
      <c r="P948" s="18" t="s">
        <v>7041</v>
      </c>
      <c r="Q948" s="20">
        <f>COUNTIF('Hedef Liste'!A:A,A948)</f>
        <v>1</v>
      </c>
    </row>
    <row r="949" ht="15.75" hidden="1" customHeight="1">
      <c r="A949" s="18" t="s">
        <v>1035</v>
      </c>
      <c r="B949" s="18" t="s">
        <v>1036</v>
      </c>
      <c r="C949" s="358" t="s">
        <v>7040</v>
      </c>
      <c r="D949" s="18" t="s">
        <v>45</v>
      </c>
      <c r="E949" s="359">
        <v>10044.0</v>
      </c>
      <c r="F949" s="359">
        <v>745.0</v>
      </c>
      <c r="G949" s="359">
        <v>27.0</v>
      </c>
      <c r="H949" s="359">
        <v>23.0</v>
      </c>
      <c r="I949" s="359">
        <v>50.0</v>
      </c>
      <c r="J949" s="360">
        <v>0.54</v>
      </c>
      <c r="K949" s="18" t="s">
        <v>1037</v>
      </c>
      <c r="L949" s="18">
        <v>5.368304467E9</v>
      </c>
      <c r="M949" s="18" t="s">
        <v>72</v>
      </c>
      <c r="N949" s="18" t="s">
        <v>73</v>
      </c>
      <c r="O949" s="18" t="s">
        <v>1038</v>
      </c>
      <c r="P949" s="18" t="s">
        <v>7041</v>
      </c>
      <c r="Q949" s="20">
        <f>COUNTIF('Hedef Liste'!A:A,A949)</f>
        <v>1</v>
      </c>
    </row>
    <row r="950" ht="15.75" hidden="1" customHeight="1">
      <c r="A950" s="18" t="s">
        <v>7545</v>
      </c>
      <c r="B950" s="18" t="s">
        <v>7546</v>
      </c>
      <c r="C950" s="358" t="s">
        <v>7040</v>
      </c>
      <c r="D950" s="18" t="s">
        <v>45</v>
      </c>
      <c r="E950" s="359">
        <v>35397.0</v>
      </c>
      <c r="F950" s="359">
        <v>1303.0</v>
      </c>
      <c r="G950" s="359">
        <v>166.0</v>
      </c>
      <c r="H950" s="359">
        <v>0.0</v>
      </c>
      <c r="I950" s="359">
        <v>166.0</v>
      </c>
      <c r="J950" s="360">
        <v>1.0</v>
      </c>
      <c r="K950" s="18" t="s">
        <v>7192</v>
      </c>
      <c r="L950" s="18">
        <v>9.999999999E9</v>
      </c>
      <c r="M950" s="18" t="s">
        <v>63</v>
      </c>
      <c r="N950" s="18" t="s">
        <v>93</v>
      </c>
      <c r="O950" s="18" t="s">
        <v>7547</v>
      </c>
      <c r="P950" s="18" t="s">
        <v>7047</v>
      </c>
      <c r="Q950" s="20">
        <f>COUNTIF('Hedef Liste'!A:A,A950)</f>
        <v>0</v>
      </c>
    </row>
    <row r="951" ht="15.75" hidden="1" customHeight="1">
      <c r="A951" s="18" t="s">
        <v>408</v>
      </c>
      <c r="B951" s="18" t="s">
        <v>409</v>
      </c>
      <c r="C951" s="358" t="s">
        <v>7040</v>
      </c>
      <c r="D951" s="18" t="s">
        <v>363</v>
      </c>
      <c r="E951" s="359">
        <v>406.0</v>
      </c>
      <c r="F951" s="359">
        <v>31.0</v>
      </c>
      <c r="G951" s="359">
        <v>24.0</v>
      </c>
      <c r="H951" s="359">
        <v>8.0</v>
      </c>
      <c r="I951" s="359">
        <v>32.0</v>
      </c>
      <c r="J951" s="360">
        <v>0.75</v>
      </c>
      <c r="K951" s="18" t="s">
        <v>405</v>
      </c>
      <c r="L951" s="18">
        <v>3.243580583E9</v>
      </c>
      <c r="M951" s="18" t="s">
        <v>63</v>
      </c>
      <c r="N951" s="18" t="s">
        <v>100</v>
      </c>
      <c r="O951" s="18" t="s">
        <v>410</v>
      </c>
      <c r="P951" s="18" t="s">
        <v>7041</v>
      </c>
      <c r="Q951" s="20">
        <f>COUNTIF('Hedef Liste'!A:A,A951)</f>
        <v>1</v>
      </c>
    </row>
    <row r="952" ht="15.75" hidden="1" customHeight="1">
      <c r="A952" s="18" t="s">
        <v>2169</v>
      </c>
      <c r="B952" s="18" t="s">
        <v>2170</v>
      </c>
      <c r="C952" s="358" t="s">
        <v>7040</v>
      </c>
      <c r="D952" s="18" t="s">
        <v>61</v>
      </c>
      <c r="E952" s="359">
        <v>974.0</v>
      </c>
      <c r="F952" s="359">
        <v>65.0</v>
      </c>
      <c r="G952" s="359">
        <v>13.0</v>
      </c>
      <c r="H952" s="359">
        <v>14.0</v>
      </c>
      <c r="I952" s="359">
        <v>27.0</v>
      </c>
      <c r="J952" s="360">
        <v>0.48</v>
      </c>
      <c r="K952" s="18" t="s">
        <v>2171</v>
      </c>
      <c r="L952" s="18">
        <v>5.33351659E9</v>
      </c>
      <c r="M952" s="18" t="s">
        <v>72</v>
      </c>
      <c r="N952" s="18" t="s">
        <v>113</v>
      </c>
      <c r="O952" s="18" t="s">
        <v>2172</v>
      </c>
      <c r="P952" s="18" t="s">
        <v>7041</v>
      </c>
      <c r="Q952" s="20">
        <f>COUNTIF('Hedef Liste'!A:A,A952)</f>
        <v>1</v>
      </c>
    </row>
    <row r="953" ht="15.75" hidden="1" customHeight="1">
      <c r="A953" s="18" t="s">
        <v>2355</v>
      </c>
      <c r="B953" s="18" t="s">
        <v>2356</v>
      </c>
      <c r="C953" s="358" t="s">
        <v>7040</v>
      </c>
      <c r="D953" s="18" t="s">
        <v>61</v>
      </c>
      <c r="E953" s="359">
        <v>386.0</v>
      </c>
      <c r="F953" s="359">
        <v>95.0</v>
      </c>
      <c r="G953" s="359">
        <v>30.0</v>
      </c>
      <c r="H953" s="359">
        <v>7.0</v>
      </c>
      <c r="I953" s="359">
        <v>37.0</v>
      </c>
      <c r="J953" s="360">
        <v>0.81</v>
      </c>
      <c r="K953" s="18" t="s">
        <v>2357</v>
      </c>
      <c r="L953" s="18">
        <v>5.308179541E9</v>
      </c>
      <c r="M953" s="18" t="s">
        <v>72</v>
      </c>
      <c r="N953" s="18" t="s">
        <v>82</v>
      </c>
      <c r="O953" s="18" t="s">
        <v>7548</v>
      </c>
      <c r="P953" s="18" t="s">
        <v>7041</v>
      </c>
      <c r="Q953" s="20">
        <f>COUNTIF('Hedef Liste'!A:A,A953)</f>
        <v>1</v>
      </c>
    </row>
    <row r="954" ht="15.75" hidden="1" customHeight="1">
      <c r="A954" s="18" t="s">
        <v>4553</v>
      </c>
      <c r="B954" s="18" t="s">
        <v>4554</v>
      </c>
      <c r="C954" s="358" t="s">
        <v>7040</v>
      </c>
      <c r="D954" s="18" t="s">
        <v>356</v>
      </c>
      <c r="E954" s="359">
        <v>14.0</v>
      </c>
      <c r="F954" s="359">
        <v>14.0</v>
      </c>
      <c r="G954" s="359">
        <v>0.0</v>
      </c>
      <c r="H954" s="359">
        <v>53.0</v>
      </c>
      <c r="I954" s="359">
        <v>53.0</v>
      </c>
      <c r="J954" s="360">
        <v>0.0</v>
      </c>
      <c r="K954" s="18" t="s">
        <v>4555</v>
      </c>
      <c r="L954" s="18">
        <v>5.333131856E9</v>
      </c>
      <c r="M954" s="18" t="s">
        <v>72</v>
      </c>
      <c r="N954" s="18" t="s">
        <v>983</v>
      </c>
      <c r="O954" s="18" t="s">
        <v>4556</v>
      </c>
      <c r="P954" s="18" t="s">
        <v>7041</v>
      </c>
      <c r="Q954" s="20">
        <f>COUNTIF('Hedef Liste'!A:A,A954)</f>
        <v>1</v>
      </c>
    </row>
    <row r="955" ht="15.75" hidden="1" customHeight="1">
      <c r="A955" s="18" t="s">
        <v>1108</v>
      </c>
      <c r="B955" s="18" t="s">
        <v>1109</v>
      </c>
      <c r="C955" s="358" t="s">
        <v>7040</v>
      </c>
      <c r="D955" s="18" t="s">
        <v>61</v>
      </c>
      <c r="E955" s="359">
        <v>470.0</v>
      </c>
      <c r="F955" s="359">
        <v>19.0</v>
      </c>
      <c r="G955" s="359">
        <v>5.0</v>
      </c>
      <c r="H955" s="359">
        <v>3.0</v>
      </c>
      <c r="I955" s="359">
        <v>8.0</v>
      </c>
      <c r="J955" s="360">
        <v>0.63</v>
      </c>
      <c r="K955" s="18" t="s">
        <v>1110</v>
      </c>
      <c r="L955" s="18">
        <v>3.2451552E9</v>
      </c>
      <c r="M955" s="18" t="s">
        <v>47</v>
      </c>
      <c r="N955" s="18" t="s">
        <v>515</v>
      </c>
      <c r="O955" s="18" t="s">
        <v>1111</v>
      </c>
      <c r="P955" s="18" t="s">
        <v>7041</v>
      </c>
      <c r="Q955" s="20">
        <f>COUNTIF('Hedef Liste'!A:A,A955)</f>
        <v>1</v>
      </c>
    </row>
    <row r="956" ht="15.75" hidden="1" customHeight="1">
      <c r="A956" s="18" t="s">
        <v>4721</v>
      </c>
      <c r="B956" s="18" t="s">
        <v>4722</v>
      </c>
      <c r="C956" s="358" t="s">
        <v>7040</v>
      </c>
      <c r="D956" s="18" t="s">
        <v>118</v>
      </c>
      <c r="E956" s="359">
        <v>1222.0</v>
      </c>
      <c r="F956" s="359">
        <v>112.0</v>
      </c>
      <c r="G956" s="359">
        <v>0.0</v>
      </c>
      <c r="H956" s="359">
        <v>17.0</v>
      </c>
      <c r="I956" s="359">
        <v>17.0</v>
      </c>
      <c r="J956" s="360">
        <v>0.0</v>
      </c>
      <c r="K956" s="18" t="s">
        <v>4723</v>
      </c>
      <c r="L956" s="18">
        <v>3.243610825E9</v>
      </c>
      <c r="M956" s="18" t="s">
        <v>72</v>
      </c>
      <c r="N956" s="18" t="s">
        <v>82</v>
      </c>
      <c r="O956" s="18" t="s">
        <v>4724</v>
      </c>
      <c r="P956" s="18" t="s">
        <v>7041</v>
      </c>
      <c r="Q956" s="20">
        <f>COUNTIF('Hedef Liste'!A:A,A956)</f>
        <v>1</v>
      </c>
    </row>
    <row r="957" ht="15.75" hidden="1" customHeight="1">
      <c r="A957" s="18" t="s">
        <v>2785</v>
      </c>
      <c r="B957" s="18" t="s">
        <v>2786</v>
      </c>
      <c r="C957" s="358" t="s">
        <v>7040</v>
      </c>
      <c r="D957" s="18" t="s">
        <v>948</v>
      </c>
      <c r="E957" s="359">
        <v>734.0</v>
      </c>
      <c r="F957" s="359">
        <v>23.0</v>
      </c>
      <c r="G957" s="359">
        <v>25.0</v>
      </c>
      <c r="H957" s="359">
        <v>4.0</v>
      </c>
      <c r="I957" s="359">
        <v>29.0</v>
      </c>
      <c r="J957" s="360">
        <v>0.86</v>
      </c>
      <c r="K957" s="18" t="s">
        <v>2787</v>
      </c>
      <c r="L957" s="18">
        <v>5.465457373E9</v>
      </c>
      <c r="M957" s="18" t="s">
        <v>47</v>
      </c>
      <c r="N957" s="18" t="s">
        <v>7400</v>
      </c>
      <c r="O957" s="18" t="s">
        <v>2789</v>
      </c>
      <c r="P957" s="18" t="s">
        <v>7041</v>
      </c>
      <c r="Q957" s="20">
        <f>COUNTIF('Hedef Liste'!A:A,A957)</f>
        <v>1</v>
      </c>
    </row>
    <row r="958" ht="15.75" hidden="1" customHeight="1">
      <c r="A958" s="18" t="s">
        <v>7549</v>
      </c>
      <c r="B958" s="18" t="s">
        <v>7550</v>
      </c>
      <c r="C958" s="358" t="s">
        <v>7040</v>
      </c>
      <c r="D958" s="18" t="s">
        <v>451</v>
      </c>
      <c r="E958" s="359">
        <v>512.0</v>
      </c>
      <c r="F958" s="359">
        <v>209.0</v>
      </c>
      <c r="G958" s="359">
        <v>23.0</v>
      </c>
      <c r="H958" s="359">
        <v>0.0</v>
      </c>
      <c r="I958" s="359">
        <v>23.0</v>
      </c>
      <c r="J958" s="360">
        <v>1.0</v>
      </c>
      <c r="K958" s="18" t="s">
        <v>7551</v>
      </c>
      <c r="L958" s="18">
        <v>3.243282623E9</v>
      </c>
      <c r="M958" s="18" t="s">
        <v>72</v>
      </c>
      <c r="N958" s="18" t="s">
        <v>538</v>
      </c>
      <c r="O958" s="18" t="s">
        <v>7552</v>
      </c>
      <c r="P958" s="18" t="s">
        <v>7047</v>
      </c>
      <c r="Q958" s="20">
        <f>COUNTIF('Hedef Liste'!A:A,A958)</f>
        <v>0</v>
      </c>
    </row>
    <row r="959" ht="15.75" hidden="1" customHeight="1">
      <c r="A959" s="18" t="s">
        <v>1731</v>
      </c>
      <c r="B959" s="18" t="s">
        <v>1732</v>
      </c>
      <c r="C959" s="358" t="s">
        <v>7040</v>
      </c>
      <c r="D959" s="18" t="s">
        <v>948</v>
      </c>
      <c r="E959" s="359">
        <v>9.0</v>
      </c>
      <c r="F959" s="359">
        <v>1.0</v>
      </c>
      <c r="G959" s="359">
        <v>0.0</v>
      </c>
      <c r="H959" s="359">
        <v>10.0</v>
      </c>
      <c r="I959" s="359">
        <v>10.0</v>
      </c>
      <c r="J959" s="360">
        <v>0.0</v>
      </c>
      <c r="K959" s="18" t="s">
        <v>1733</v>
      </c>
      <c r="L959" s="18">
        <v>5.307111499E9</v>
      </c>
      <c r="M959" s="18" t="s">
        <v>156</v>
      </c>
      <c r="N959" s="18" t="s">
        <v>306</v>
      </c>
      <c r="O959" s="18" t="s">
        <v>1734</v>
      </c>
      <c r="P959" s="18" t="s">
        <v>7041</v>
      </c>
      <c r="Q959" s="20">
        <f>COUNTIF('Hedef Liste'!A:A,A959)</f>
        <v>1</v>
      </c>
    </row>
    <row r="960" ht="15.75" hidden="1" customHeight="1">
      <c r="A960" s="18" t="s">
        <v>3216</v>
      </c>
      <c r="B960" s="18" t="s">
        <v>3217</v>
      </c>
      <c r="C960" s="358" t="s">
        <v>7040</v>
      </c>
      <c r="D960" s="18" t="s">
        <v>80</v>
      </c>
      <c r="E960" s="359">
        <v>350.0</v>
      </c>
      <c r="F960" s="359">
        <v>82.0</v>
      </c>
      <c r="G960" s="359">
        <v>21.0</v>
      </c>
      <c r="H960" s="359">
        <v>17.0</v>
      </c>
      <c r="I960" s="359">
        <v>38.0</v>
      </c>
      <c r="J960" s="360">
        <v>0.55</v>
      </c>
      <c r="K960" s="18" t="s">
        <v>3218</v>
      </c>
      <c r="L960" s="18">
        <v>3.245036363E9</v>
      </c>
      <c r="M960" s="18" t="s">
        <v>63</v>
      </c>
      <c r="N960" s="18" t="s">
        <v>566</v>
      </c>
      <c r="O960" s="18" t="s">
        <v>3219</v>
      </c>
      <c r="P960" s="18" t="s">
        <v>7041</v>
      </c>
      <c r="Q960" s="20">
        <f>COUNTIF('Hedef Liste'!A:A,A960)</f>
        <v>1</v>
      </c>
    </row>
    <row r="961" ht="15.75" hidden="1" customHeight="1">
      <c r="A961" s="18" t="s">
        <v>3631</v>
      </c>
      <c r="B961" s="18" t="s">
        <v>3632</v>
      </c>
      <c r="C961" s="358" t="s">
        <v>7040</v>
      </c>
      <c r="D961" s="18" t="s">
        <v>363</v>
      </c>
      <c r="E961" s="359">
        <v>583.0</v>
      </c>
      <c r="F961" s="359">
        <v>107.0</v>
      </c>
      <c r="G961" s="359">
        <v>10.0</v>
      </c>
      <c r="H961" s="359">
        <v>8.0</v>
      </c>
      <c r="I961" s="359">
        <v>18.0</v>
      </c>
      <c r="J961" s="360">
        <v>0.56</v>
      </c>
      <c r="K961" s="18" t="s">
        <v>3633</v>
      </c>
      <c r="L961" s="18">
        <v>5.303683845E9</v>
      </c>
      <c r="M961" s="18" t="s">
        <v>63</v>
      </c>
      <c r="N961" s="18" t="s">
        <v>137</v>
      </c>
      <c r="O961" s="18" t="s">
        <v>3634</v>
      </c>
      <c r="P961" s="18" t="s">
        <v>7041</v>
      </c>
      <c r="Q961" s="20">
        <f>COUNTIF('Hedef Liste'!A:A,A961)</f>
        <v>1</v>
      </c>
    </row>
    <row r="962" ht="15.75" hidden="1" customHeight="1">
      <c r="A962" s="18" t="s">
        <v>7553</v>
      </c>
      <c r="B962" s="18" t="s">
        <v>7554</v>
      </c>
      <c r="C962" s="358" t="s">
        <v>7040</v>
      </c>
      <c r="D962" s="18" t="s">
        <v>45</v>
      </c>
      <c r="E962" s="359">
        <v>17994.0</v>
      </c>
      <c r="F962" s="359">
        <v>803.0</v>
      </c>
      <c r="G962" s="359">
        <v>167.0</v>
      </c>
      <c r="H962" s="359">
        <v>0.0</v>
      </c>
      <c r="I962" s="359">
        <v>167.0</v>
      </c>
      <c r="J962" s="360">
        <v>1.0</v>
      </c>
      <c r="K962" s="18" t="s">
        <v>7192</v>
      </c>
      <c r="L962" s="18">
        <v>9.999999999E9</v>
      </c>
      <c r="M962" s="18" t="s">
        <v>137</v>
      </c>
      <c r="N962" s="18" t="s">
        <v>845</v>
      </c>
      <c r="O962" s="18" t="s">
        <v>7555</v>
      </c>
      <c r="P962" s="18" t="s">
        <v>7047</v>
      </c>
      <c r="Q962" s="20">
        <f>COUNTIF('Hedef Liste'!A:A,A962)</f>
        <v>0</v>
      </c>
    </row>
    <row r="963" ht="15.75" hidden="1" customHeight="1">
      <c r="A963" s="18" t="s">
        <v>7556</v>
      </c>
      <c r="B963" s="18" t="s">
        <v>7557</v>
      </c>
      <c r="C963" s="358" t="s">
        <v>7040</v>
      </c>
      <c r="D963" s="18" t="s">
        <v>45</v>
      </c>
      <c r="E963" s="359">
        <v>10249.0</v>
      </c>
      <c r="F963" s="359">
        <v>566.0</v>
      </c>
      <c r="G963" s="359">
        <v>168.0</v>
      </c>
      <c r="H963" s="359">
        <v>0.0</v>
      </c>
      <c r="I963" s="359">
        <v>168.0</v>
      </c>
      <c r="J963" s="360">
        <v>1.0</v>
      </c>
      <c r="K963" s="18" t="s">
        <v>7192</v>
      </c>
      <c r="L963" s="18">
        <v>9.999999999E9</v>
      </c>
      <c r="M963" s="18" t="s">
        <v>156</v>
      </c>
      <c r="N963" s="18" t="s">
        <v>2057</v>
      </c>
      <c r="O963" s="18" t="s">
        <v>7558</v>
      </c>
      <c r="P963" s="18" t="s">
        <v>7047</v>
      </c>
      <c r="Q963" s="20">
        <f>COUNTIF('Hedef Liste'!A:A,A963)</f>
        <v>0</v>
      </c>
    </row>
    <row r="964" ht="15.75" hidden="1" customHeight="1">
      <c r="A964" s="18" t="s">
        <v>7559</v>
      </c>
      <c r="B964" s="18" t="s">
        <v>7560</v>
      </c>
      <c r="C964" s="358" t="s">
        <v>7040</v>
      </c>
      <c r="D964" s="18" t="s">
        <v>45</v>
      </c>
      <c r="E964" s="359">
        <v>31663.0</v>
      </c>
      <c r="F964" s="359">
        <v>1248.0</v>
      </c>
      <c r="G964" s="359">
        <v>166.0</v>
      </c>
      <c r="H964" s="359">
        <v>0.0</v>
      </c>
      <c r="I964" s="359">
        <v>166.0</v>
      </c>
      <c r="J964" s="360">
        <v>1.0</v>
      </c>
      <c r="K964" s="18" t="s">
        <v>7192</v>
      </c>
      <c r="L964" s="18">
        <v>9.999999999E9</v>
      </c>
      <c r="M964" s="18" t="s">
        <v>72</v>
      </c>
      <c r="N964" s="18" t="s">
        <v>548</v>
      </c>
      <c r="O964" s="18" t="s">
        <v>7561</v>
      </c>
      <c r="P964" s="18" t="s">
        <v>7047</v>
      </c>
      <c r="Q964" s="20">
        <f>COUNTIF('Hedef Liste'!A:A,A964)</f>
        <v>0</v>
      </c>
    </row>
    <row r="965" ht="15.75" hidden="1" customHeight="1">
      <c r="A965" s="18" t="s">
        <v>7562</v>
      </c>
      <c r="B965" s="18" t="s">
        <v>7563</v>
      </c>
      <c r="C965" s="358" t="s">
        <v>7040</v>
      </c>
      <c r="D965" s="18" t="s">
        <v>118</v>
      </c>
      <c r="E965" s="359">
        <v>592.0</v>
      </c>
      <c r="F965" s="359">
        <v>50.0</v>
      </c>
      <c r="G965" s="359">
        <v>12.0</v>
      </c>
      <c r="H965" s="359">
        <v>0.0</v>
      </c>
      <c r="I965" s="359">
        <v>12.0</v>
      </c>
      <c r="J965" s="360">
        <v>1.0</v>
      </c>
      <c r="K965" s="18" t="s">
        <v>7564</v>
      </c>
      <c r="L965" s="18">
        <v>3.243414044E9</v>
      </c>
      <c r="M965" s="18" t="s">
        <v>72</v>
      </c>
      <c r="N965" s="18" t="s">
        <v>548</v>
      </c>
      <c r="O965" s="18" t="s">
        <v>7565</v>
      </c>
      <c r="P965" s="18" t="s">
        <v>7047</v>
      </c>
      <c r="Q965" s="20">
        <f>COUNTIF('Hedef Liste'!A:A,A965)</f>
        <v>0</v>
      </c>
    </row>
    <row r="966" ht="15.75" hidden="1" customHeight="1">
      <c r="A966" s="18" t="s">
        <v>4387</v>
      </c>
      <c r="B966" s="18" t="s">
        <v>4388</v>
      </c>
      <c r="C966" s="358" t="s">
        <v>7040</v>
      </c>
      <c r="D966" s="18" t="s">
        <v>363</v>
      </c>
      <c r="E966" s="359">
        <v>264.0</v>
      </c>
      <c r="F966" s="359">
        <v>32.0</v>
      </c>
      <c r="G966" s="359">
        <v>11.0</v>
      </c>
      <c r="H966" s="359">
        <v>7.0</v>
      </c>
      <c r="I966" s="359">
        <v>18.0</v>
      </c>
      <c r="J966" s="360">
        <v>0.61</v>
      </c>
      <c r="K966" s="18" t="s">
        <v>4389</v>
      </c>
      <c r="L966" s="18">
        <v>5.062758166E9</v>
      </c>
      <c r="M966" s="18" t="s">
        <v>156</v>
      </c>
      <c r="N966" s="18" t="s">
        <v>1000</v>
      </c>
      <c r="O966" s="18" t="s">
        <v>4390</v>
      </c>
      <c r="P966" s="18" t="s">
        <v>7041</v>
      </c>
      <c r="Q966" s="20">
        <f>COUNTIF('Hedef Liste'!A:A,A966)</f>
        <v>1</v>
      </c>
    </row>
    <row r="967" ht="15.75" hidden="1" customHeight="1">
      <c r="A967" s="18" t="s">
        <v>7566</v>
      </c>
      <c r="B967" s="18" t="s">
        <v>7567</v>
      </c>
      <c r="C967" s="358" t="s">
        <v>7040</v>
      </c>
      <c r="D967" s="18" t="s">
        <v>884</v>
      </c>
      <c r="E967" s="359">
        <v>3092.0</v>
      </c>
      <c r="F967" s="359">
        <v>214.0</v>
      </c>
      <c r="G967" s="359">
        <v>90.0</v>
      </c>
      <c r="H967" s="359">
        <v>0.0</v>
      </c>
      <c r="I967" s="359">
        <v>90.0</v>
      </c>
      <c r="J967" s="360">
        <v>1.0</v>
      </c>
      <c r="K967" s="18" t="s">
        <v>7148</v>
      </c>
      <c r="L967" s="18">
        <v>3.243300072E9</v>
      </c>
      <c r="M967" s="18" t="s">
        <v>72</v>
      </c>
      <c r="N967" s="18" t="s">
        <v>915</v>
      </c>
      <c r="O967" s="18" t="s">
        <v>7568</v>
      </c>
      <c r="P967" s="18" t="s">
        <v>7047</v>
      </c>
      <c r="Q967" s="20">
        <f>COUNTIF('Hedef Liste'!A:A,A967)</f>
        <v>0</v>
      </c>
    </row>
    <row r="968" ht="15.75" hidden="1" customHeight="1">
      <c r="A968" s="18" t="s">
        <v>7569</v>
      </c>
      <c r="B968" s="18" t="s">
        <v>7570</v>
      </c>
      <c r="C968" s="358" t="s">
        <v>7040</v>
      </c>
      <c r="D968" s="18" t="s">
        <v>106</v>
      </c>
      <c r="E968" s="359">
        <v>562.0</v>
      </c>
      <c r="F968" s="359">
        <v>47.0</v>
      </c>
      <c r="G968" s="359">
        <v>38.0</v>
      </c>
      <c r="H968" s="359">
        <v>0.0</v>
      </c>
      <c r="I968" s="359">
        <v>38.0</v>
      </c>
      <c r="J968" s="360">
        <v>1.0</v>
      </c>
      <c r="K968" s="18" t="s">
        <v>7571</v>
      </c>
      <c r="L968" s="18">
        <v>5.056808917E9</v>
      </c>
      <c r="M968" s="18" t="s">
        <v>72</v>
      </c>
      <c r="N968" s="18" t="s">
        <v>915</v>
      </c>
      <c r="O968" s="18" t="s">
        <v>7572</v>
      </c>
      <c r="P968" s="18" t="s">
        <v>7047</v>
      </c>
      <c r="Q968" s="20">
        <f>COUNTIF('Hedef Liste'!A:A,A968)</f>
        <v>0</v>
      </c>
    </row>
    <row r="969" ht="15.75" hidden="1" customHeight="1">
      <c r="A969" s="18" t="s">
        <v>4048</v>
      </c>
      <c r="B969" s="18" t="s">
        <v>4049</v>
      </c>
      <c r="C969" s="358" t="s">
        <v>7040</v>
      </c>
      <c r="D969" s="18" t="s">
        <v>363</v>
      </c>
      <c r="E969" s="359">
        <v>800.0</v>
      </c>
      <c r="F969" s="359">
        <v>127.0</v>
      </c>
      <c r="G969" s="359">
        <v>0.0</v>
      </c>
      <c r="H969" s="359">
        <v>50.0</v>
      </c>
      <c r="I969" s="359">
        <v>50.0</v>
      </c>
      <c r="J969" s="360">
        <v>0.0</v>
      </c>
      <c r="K969" s="18" t="s">
        <v>4050</v>
      </c>
      <c r="L969" s="18">
        <v>3.243573E9</v>
      </c>
      <c r="M969" s="18" t="s">
        <v>63</v>
      </c>
      <c r="N969" s="18" t="s">
        <v>100</v>
      </c>
      <c r="O969" s="18" t="s">
        <v>4051</v>
      </c>
      <c r="P969" s="18" t="s">
        <v>7041</v>
      </c>
      <c r="Q969" s="20">
        <f>COUNTIF('Hedef Liste'!A:A,A969)</f>
        <v>1</v>
      </c>
    </row>
    <row r="970" ht="15.75" hidden="1" customHeight="1">
      <c r="A970" s="18" t="s">
        <v>3281</v>
      </c>
      <c r="B970" s="18" t="s">
        <v>3278</v>
      </c>
      <c r="C970" s="358" t="s">
        <v>7040</v>
      </c>
      <c r="D970" s="18" t="s">
        <v>564</v>
      </c>
      <c r="E970" s="359">
        <v>441.0</v>
      </c>
      <c r="F970" s="359">
        <v>39.0</v>
      </c>
      <c r="G970" s="359">
        <v>0.0</v>
      </c>
      <c r="H970" s="359">
        <v>82.0</v>
      </c>
      <c r="I970" s="359">
        <v>82.0</v>
      </c>
      <c r="J970" s="361">
        <v>0.0</v>
      </c>
      <c r="K970" s="18" t="s">
        <v>3279</v>
      </c>
      <c r="L970" s="18">
        <v>3.245154455E9</v>
      </c>
      <c r="M970" s="18" t="s">
        <v>47</v>
      </c>
      <c r="N970" s="18" t="s">
        <v>489</v>
      </c>
      <c r="O970" s="18" t="s">
        <v>3280</v>
      </c>
      <c r="P970" s="18" t="s">
        <v>7041</v>
      </c>
      <c r="Q970" s="20">
        <f>COUNTIF('Hedef Liste'!A:A,A970)</f>
        <v>1</v>
      </c>
    </row>
    <row r="971" ht="15.75" hidden="1" customHeight="1">
      <c r="A971" s="18" t="s">
        <v>3272</v>
      </c>
      <c r="B971" s="18" t="s">
        <v>3273</v>
      </c>
      <c r="C971" s="358" t="s">
        <v>7040</v>
      </c>
      <c r="D971" s="18" t="s">
        <v>1992</v>
      </c>
      <c r="E971" s="359">
        <v>4.0</v>
      </c>
      <c r="F971" s="359">
        <v>1.0</v>
      </c>
      <c r="G971" s="359">
        <v>0.0</v>
      </c>
      <c r="H971" s="359">
        <v>54.0</v>
      </c>
      <c r="I971" s="359">
        <v>54.0</v>
      </c>
      <c r="J971" s="360">
        <v>0.0</v>
      </c>
      <c r="K971" s="18" t="s">
        <v>3274</v>
      </c>
      <c r="L971" s="18">
        <v>5.306422133E9</v>
      </c>
      <c r="M971" s="18" t="s">
        <v>72</v>
      </c>
      <c r="N971" s="18" t="s">
        <v>1148</v>
      </c>
      <c r="O971" s="18" t="s">
        <v>3275</v>
      </c>
      <c r="P971" s="18" t="s">
        <v>7041</v>
      </c>
      <c r="Q971" s="20">
        <f>COUNTIF('Hedef Liste'!A:A,A971)</f>
        <v>1</v>
      </c>
    </row>
    <row r="972" ht="15.75" hidden="1" customHeight="1">
      <c r="A972" s="18" t="s">
        <v>3946</v>
      </c>
      <c r="B972" s="18" t="s">
        <v>3947</v>
      </c>
      <c r="C972" s="358" t="s">
        <v>7040</v>
      </c>
      <c r="D972" s="18" t="s">
        <v>70</v>
      </c>
      <c r="E972" s="359">
        <v>62490.0</v>
      </c>
      <c r="F972" s="359">
        <v>1770.0</v>
      </c>
      <c r="G972" s="359">
        <v>41.0</v>
      </c>
      <c r="H972" s="359">
        <v>42.0</v>
      </c>
      <c r="I972" s="359">
        <v>83.0</v>
      </c>
      <c r="J972" s="360">
        <v>0.49</v>
      </c>
      <c r="K972" s="18" t="s">
        <v>3935</v>
      </c>
      <c r="L972" s="18">
        <v>5.41654545E9</v>
      </c>
      <c r="M972" s="18" t="s">
        <v>63</v>
      </c>
      <c r="N972" s="18" t="s">
        <v>93</v>
      </c>
      <c r="O972" s="18" t="s">
        <v>3948</v>
      </c>
      <c r="P972" s="18" t="s">
        <v>7041</v>
      </c>
      <c r="Q972" s="20">
        <f>COUNTIF('Hedef Liste'!A:A,A972)</f>
        <v>1</v>
      </c>
    </row>
    <row r="973" ht="15.75" hidden="1" customHeight="1">
      <c r="A973" s="18" t="s">
        <v>7573</v>
      </c>
      <c r="B973" s="18" t="s">
        <v>7574</v>
      </c>
      <c r="C973" s="358" t="s">
        <v>7040</v>
      </c>
      <c r="D973" s="18" t="s">
        <v>451</v>
      </c>
      <c r="E973" s="359">
        <v>727.0</v>
      </c>
      <c r="F973" s="359">
        <v>294.0</v>
      </c>
      <c r="G973" s="359">
        <v>23.0</v>
      </c>
      <c r="H973" s="359">
        <v>0.0</v>
      </c>
      <c r="I973" s="359">
        <v>23.0</v>
      </c>
      <c r="J973" s="360">
        <v>1.0</v>
      </c>
      <c r="K973" s="18" t="s">
        <v>7551</v>
      </c>
      <c r="L973" s="18">
        <v>3.243415801E9</v>
      </c>
      <c r="M973" s="18" t="s">
        <v>72</v>
      </c>
      <c r="N973" s="18" t="s">
        <v>548</v>
      </c>
      <c r="O973" s="18" t="s">
        <v>7575</v>
      </c>
      <c r="P973" s="18" t="s">
        <v>7047</v>
      </c>
      <c r="Q973" s="20">
        <f>COUNTIF('Hedef Liste'!A:A,A973)</f>
        <v>0</v>
      </c>
    </row>
    <row r="974" ht="15.75" hidden="1" customHeight="1">
      <c r="A974" s="18" t="s">
        <v>961</v>
      </c>
      <c r="B974" s="18" t="s">
        <v>962</v>
      </c>
      <c r="C974" s="358" t="s">
        <v>7040</v>
      </c>
      <c r="D974" s="18" t="s">
        <v>167</v>
      </c>
      <c r="E974" s="359">
        <v>104.0</v>
      </c>
      <c r="F974" s="359">
        <v>104.0</v>
      </c>
      <c r="G974" s="359">
        <v>0.0</v>
      </c>
      <c r="H974" s="359">
        <v>16.0</v>
      </c>
      <c r="I974" s="359">
        <v>16.0</v>
      </c>
      <c r="J974" s="360">
        <v>0.0</v>
      </c>
      <c r="K974" s="18" t="s">
        <v>963</v>
      </c>
      <c r="L974" s="18">
        <v>5.522292549E9</v>
      </c>
      <c r="M974" s="18" t="s">
        <v>63</v>
      </c>
      <c r="N974" s="18" t="s">
        <v>93</v>
      </c>
      <c r="O974" s="18" t="s">
        <v>964</v>
      </c>
      <c r="P974" s="18" t="s">
        <v>7041</v>
      </c>
      <c r="Q974" s="20">
        <f>COUNTIF('Hedef Liste'!A:A,A974)</f>
        <v>1</v>
      </c>
    </row>
    <row r="975" ht="15.75" hidden="1" customHeight="1">
      <c r="A975" s="18" t="s">
        <v>2835</v>
      </c>
      <c r="B975" s="18" t="s">
        <v>2836</v>
      </c>
      <c r="C975" s="358" t="s">
        <v>7040</v>
      </c>
      <c r="D975" s="18" t="s">
        <v>80</v>
      </c>
      <c r="E975" s="359">
        <v>14.0</v>
      </c>
      <c r="F975" s="359">
        <v>14.0</v>
      </c>
      <c r="G975" s="359">
        <v>0.0</v>
      </c>
      <c r="H975" s="359">
        <v>13.0</v>
      </c>
      <c r="I975" s="359">
        <v>13.0</v>
      </c>
      <c r="J975" s="360">
        <v>0.0</v>
      </c>
      <c r="K975" s="18" t="s">
        <v>2837</v>
      </c>
      <c r="L975" s="18">
        <v>3.24888001E9</v>
      </c>
      <c r="M975" s="18" t="s">
        <v>902</v>
      </c>
      <c r="N975" s="18" t="s">
        <v>1667</v>
      </c>
      <c r="O975" s="18" t="s">
        <v>2838</v>
      </c>
      <c r="P975" s="18" t="s">
        <v>7041</v>
      </c>
      <c r="Q975" s="20">
        <f>COUNTIF('Hedef Liste'!A:A,A975)</f>
        <v>1</v>
      </c>
    </row>
    <row r="976" ht="15.75" hidden="1" customHeight="1">
      <c r="A976" s="18" t="s">
        <v>2409</v>
      </c>
      <c r="B976" s="18" t="s">
        <v>2410</v>
      </c>
      <c r="C976" s="358" t="s">
        <v>7040</v>
      </c>
      <c r="D976" s="18" t="s">
        <v>356</v>
      </c>
      <c r="E976" s="359">
        <v>119.0</v>
      </c>
      <c r="F976" s="359">
        <v>29.0</v>
      </c>
      <c r="G976" s="359">
        <v>8.0</v>
      </c>
      <c r="H976" s="359">
        <v>8.0</v>
      </c>
      <c r="I976" s="359">
        <v>16.0</v>
      </c>
      <c r="J976" s="360">
        <v>0.5</v>
      </c>
      <c r="K976" s="18" t="s">
        <v>2411</v>
      </c>
      <c r="L976" s="18">
        <v>5.423883533E9</v>
      </c>
      <c r="M976" s="18" t="s">
        <v>72</v>
      </c>
      <c r="N976" s="18" t="s">
        <v>509</v>
      </c>
      <c r="O976" s="18" t="s">
        <v>2412</v>
      </c>
      <c r="P976" s="18" t="s">
        <v>7041</v>
      </c>
      <c r="Q976" s="20">
        <f>COUNTIF('Hedef Liste'!A:A,A976)</f>
        <v>1</v>
      </c>
    </row>
    <row r="977" ht="15.75" customHeight="1">
      <c r="A977" s="18" t="s">
        <v>2071</v>
      </c>
      <c r="B977" s="18" t="s">
        <v>2072</v>
      </c>
      <c r="C977" s="358" t="s">
        <v>7040</v>
      </c>
      <c r="D977" s="18" t="s">
        <v>451</v>
      </c>
      <c r="E977" s="18"/>
      <c r="F977" s="18"/>
      <c r="G977" s="359">
        <v>0.0</v>
      </c>
      <c r="H977" s="359">
        <v>14.0</v>
      </c>
      <c r="I977" s="359">
        <v>14.0</v>
      </c>
      <c r="J977" s="360">
        <v>0.0</v>
      </c>
      <c r="K977" s="18" t="s">
        <v>2073</v>
      </c>
      <c r="L977" s="18">
        <v>5.30366235E9</v>
      </c>
      <c r="M977" s="18" t="s">
        <v>215</v>
      </c>
      <c r="N977" s="18" t="s">
        <v>1190</v>
      </c>
      <c r="O977" s="18" t="s">
        <v>2074</v>
      </c>
      <c r="P977" s="18" t="s">
        <v>7041</v>
      </c>
      <c r="Q977" s="20">
        <f>COUNTIF('Hedef Liste'!A:A,A977)</f>
        <v>1</v>
      </c>
    </row>
    <row r="978" ht="15.75" hidden="1" customHeight="1">
      <c r="A978" s="18" t="s">
        <v>1717</v>
      </c>
      <c r="B978" s="18" t="s">
        <v>7576</v>
      </c>
      <c r="C978" s="358" t="s">
        <v>7040</v>
      </c>
      <c r="D978" s="18" t="s">
        <v>70</v>
      </c>
      <c r="E978" s="359">
        <v>4002.0</v>
      </c>
      <c r="F978" s="359">
        <v>32.0</v>
      </c>
      <c r="G978" s="359">
        <v>5.0</v>
      </c>
      <c r="H978" s="359">
        <v>4.0</v>
      </c>
      <c r="I978" s="359">
        <v>9.0</v>
      </c>
      <c r="J978" s="360">
        <v>0.56</v>
      </c>
      <c r="K978" s="18" t="s">
        <v>1719</v>
      </c>
      <c r="L978" s="18">
        <v>5.53909293E9</v>
      </c>
      <c r="M978" s="18" t="s">
        <v>72</v>
      </c>
      <c r="N978" s="18" t="s">
        <v>150</v>
      </c>
      <c r="O978" s="18" t="s">
        <v>1720</v>
      </c>
      <c r="P978" s="18" t="s">
        <v>7041</v>
      </c>
      <c r="Q978" s="20">
        <f>COUNTIF('Hedef Liste'!A:A,A978)</f>
        <v>1</v>
      </c>
    </row>
    <row r="979" ht="15.75" hidden="1" customHeight="1">
      <c r="A979" s="18" t="s">
        <v>1639</v>
      </c>
      <c r="B979" s="18" t="s">
        <v>1640</v>
      </c>
      <c r="C979" s="358" t="s">
        <v>7040</v>
      </c>
      <c r="D979" s="18" t="s">
        <v>70</v>
      </c>
      <c r="E979" s="359">
        <v>4457.0</v>
      </c>
      <c r="F979" s="359">
        <v>1292.0</v>
      </c>
      <c r="G979" s="359">
        <v>14.0</v>
      </c>
      <c r="H979" s="359">
        <v>5.0</v>
      </c>
      <c r="I979" s="359">
        <v>19.0</v>
      </c>
      <c r="J979" s="360">
        <v>0.74</v>
      </c>
      <c r="K979" s="18" t="s">
        <v>1641</v>
      </c>
      <c r="L979" s="18">
        <v>3.24325501E9</v>
      </c>
      <c r="M979" s="18" t="s">
        <v>72</v>
      </c>
      <c r="N979" s="18" t="s">
        <v>128</v>
      </c>
      <c r="O979" s="18" t="s">
        <v>1642</v>
      </c>
      <c r="P979" s="18" t="s">
        <v>7041</v>
      </c>
      <c r="Q979" s="20">
        <f>COUNTIF('Hedef Liste'!A:A,A979)</f>
        <v>1</v>
      </c>
    </row>
    <row r="980" ht="15.75" hidden="1" customHeight="1">
      <c r="A980" s="18" t="s">
        <v>2067</v>
      </c>
      <c r="B980" s="18" t="s">
        <v>2068</v>
      </c>
      <c r="C980" s="358" t="s">
        <v>7040</v>
      </c>
      <c r="D980" s="18" t="s">
        <v>80</v>
      </c>
      <c r="E980" s="359">
        <v>1339.0</v>
      </c>
      <c r="F980" s="359">
        <v>56.0</v>
      </c>
      <c r="G980" s="359">
        <v>5.0</v>
      </c>
      <c r="H980" s="359">
        <v>1.0</v>
      </c>
      <c r="I980" s="359">
        <v>6.0</v>
      </c>
      <c r="J980" s="360">
        <v>0.83</v>
      </c>
      <c r="K980" s="18" t="s">
        <v>2069</v>
      </c>
      <c r="L980" s="18">
        <v>3.243263233E9</v>
      </c>
      <c r="M980" s="18" t="s">
        <v>72</v>
      </c>
      <c r="N980" s="18" t="s">
        <v>73</v>
      </c>
      <c r="O980" s="18" t="s">
        <v>2070</v>
      </c>
      <c r="P980" s="18" t="s">
        <v>7041</v>
      </c>
      <c r="Q980" s="20">
        <f>COUNTIF('Hedef Liste'!A:A,A980)</f>
        <v>1</v>
      </c>
    </row>
    <row r="981" ht="15.75" hidden="1" customHeight="1">
      <c r="A981" s="18" t="s">
        <v>4431</v>
      </c>
      <c r="B981" s="18" t="s">
        <v>4432</v>
      </c>
      <c r="C981" s="358" t="s">
        <v>7040</v>
      </c>
      <c r="D981" s="18" t="s">
        <v>363</v>
      </c>
      <c r="E981" s="359">
        <v>3627.0</v>
      </c>
      <c r="F981" s="359">
        <v>112.0</v>
      </c>
      <c r="G981" s="359">
        <v>0.0</v>
      </c>
      <c r="H981" s="359">
        <v>13.0</v>
      </c>
      <c r="I981" s="359">
        <v>13.0</v>
      </c>
      <c r="J981" s="360">
        <v>0.0</v>
      </c>
      <c r="K981" s="18" t="s">
        <v>4433</v>
      </c>
      <c r="L981" s="18">
        <v>5.380941922E9</v>
      </c>
      <c r="M981" s="18" t="s">
        <v>72</v>
      </c>
      <c r="N981" s="18" t="s">
        <v>415</v>
      </c>
      <c r="O981" s="18" t="s">
        <v>7577</v>
      </c>
      <c r="P981" s="18" t="s">
        <v>7041</v>
      </c>
      <c r="Q981" s="20">
        <f>COUNTIF('Hedef Liste'!A:A,A981)</f>
        <v>1</v>
      </c>
    </row>
    <row r="982" ht="15.75" hidden="1" customHeight="1">
      <c r="A982" s="18" t="s">
        <v>7578</v>
      </c>
      <c r="B982" s="18" t="s">
        <v>7579</v>
      </c>
      <c r="C982" s="358" t="s">
        <v>7040</v>
      </c>
      <c r="D982" s="18" t="s">
        <v>45</v>
      </c>
      <c r="E982" s="359">
        <v>14754.0</v>
      </c>
      <c r="F982" s="359">
        <v>469.0</v>
      </c>
      <c r="G982" s="359">
        <v>169.0</v>
      </c>
      <c r="H982" s="359">
        <v>0.0</v>
      </c>
      <c r="I982" s="359">
        <v>169.0</v>
      </c>
      <c r="J982" s="360">
        <v>1.0</v>
      </c>
      <c r="K982" s="18" t="s">
        <v>7192</v>
      </c>
      <c r="L982" s="18">
        <v>9.999999999E9</v>
      </c>
      <c r="M982" s="18" t="s">
        <v>72</v>
      </c>
      <c r="N982" s="18" t="s">
        <v>810</v>
      </c>
      <c r="O982" s="18" t="s">
        <v>7580</v>
      </c>
      <c r="P982" s="18" t="s">
        <v>7047</v>
      </c>
      <c r="Q982" s="20">
        <f>COUNTIF('Hedef Liste'!A:A,A982)</f>
        <v>0</v>
      </c>
    </row>
    <row r="983" ht="15.75" hidden="1" customHeight="1">
      <c r="A983" s="18" t="s">
        <v>7581</v>
      </c>
      <c r="B983" s="18" t="s">
        <v>7582</v>
      </c>
      <c r="C983" s="358" t="s">
        <v>7040</v>
      </c>
      <c r="D983" s="18" t="s">
        <v>45</v>
      </c>
      <c r="E983" s="359">
        <v>13045.0</v>
      </c>
      <c r="F983" s="359">
        <v>549.0</v>
      </c>
      <c r="G983" s="359">
        <v>168.0</v>
      </c>
      <c r="H983" s="359">
        <v>0.0</v>
      </c>
      <c r="I983" s="359">
        <v>168.0</v>
      </c>
      <c r="J983" s="360">
        <v>1.0</v>
      </c>
      <c r="K983" s="18" t="s">
        <v>7192</v>
      </c>
      <c r="L983" s="18">
        <v>9.999999999E9</v>
      </c>
      <c r="M983" s="18" t="s">
        <v>72</v>
      </c>
      <c r="N983" s="18" t="s">
        <v>538</v>
      </c>
      <c r="O983" s="18" t="s">
        <v>7583</v>
      </c>
      <c r="P983" s="18" t="s">
        <v>7047</v>
      </c>
      <c r="Q983" s="20">
        <f>COUNTIF('Hedef Liste'!A:A,A983)</f>
        <v>0</v>
      </c>
    </row>
    <row r="984" ht="15.75" hidden="1" customHeight="1">
      <c r="A984" s="18" t="s">
        <v>7584</v>
      </c>
      <c r="B984" s="18" t="s">
        <v>7585</v>
      </c>
      <c r="C984" s="358" t="s">
        <v>7040</v>
      </c>
      <c r="D984" s="18" t="s">
        <v>70</v>
      </c>
      <c r="E984" s="359">
        <v>2229.0</v>
      </c>
      <c r="F984" s="359">
        <v>127.0</v>
      </c>
      <c r="G984" s="359">
        <v>82.0</v>
      </c>
      <c r="H984" s="359">
        <v>0.0</v>
      </c>
      <c r="I984" s="359">
        <v>82.0</v>
      </c>
      <c r="J984" s="360">
        <v>1.0</v>
      </c>
      <c r="K984" s="18" t="s">
        <v>7192</v>
      </c>
      <c r="L984" s="18">
        <v>9.999999999E9</v>
      </c>
      <c r="M984" s="18" t="s">
        <v>156</v>
      </c>
      <c r="N984" s="18" t="s">
        <v>2057</v>
      </c>
      <c r="O984" s="18" t="s">
        <v>7586</v>
      </c>
      <c r="P984" s="18" t="s">
        <v>7047</v>
      </c>
      <c r="Q984" s="20">
        <f>COUNTIF('Hedef Liste'!A:A,A984)</f>
        <v>0</v>
      </c>
    </row>
    <row r="985" ht="15.75" hidden="1" customHeight="1">
      <c r="A985" s="18" t="s">
        <v>1646</v>
      </c>
      <c r="B985" s="18" t="s">
        <v>1647</v>
      </c>
      <c r="C985" s="358" t="s">
        <v>7040</v>
      </c>
      <c r="D985" s="18" t="s">
        <v>363</v>
      </c>
      <c r="E985" s="359">
        <v>1666.0</v>
      </c>
      <c r="F985" s="359">
        <v>149.0</v>
      </c>
      <c r="G985" s="359">
        <v>30.0</v>
      </c>
      <c r="H985" s="359">
        <v>4.0</v>
      </c>
      <c r="I985" s="359">
        <v>34.0</v>
      </c>
      <c r="J985" s="360">
        <v>0.88</v>
      </c>
      <c r="K985" s="18" t="s">
        <v>1648</v>
      </c>
      <c r="L985" s="18">
        <v>3.243282747E9</v>
      </c>
      <c r="M985" s="18" t="s">
        <v>72</v>
      </c>
      <c r="N985" s="18" t="s">
        <v>716</v>
      </c>
      <c r="O985" s="18" t="s">
        <v>1649</v>
      </c>
      <c r="P985" s="18" t="s">
        <v>7041</v>
      </c>
      <c r="Q985" s="20">
        <f>COUNTIF('Hedef Liste'!A:A,A985)</f>
        <v>1</v>
      </c>
    </row>
    <row r="986" ht="15.75" hidden="1" customHeight="1">
      <c r="A986" s="18" t="s">
        <v>7587</v>
      </c>
      <c r="B986" s="18" t="s">
        <v>7588</v>
      </c>
      <c r="C986" s="358" t="s">
        <v>7040</v>
      </c>
      <c r="D986" s="18" t="s">
        <v>884</v>
      </c>
      <c r="E986" s="359">
        <v>5238.0</v>
      </c>
      <c r="F986" s="359">
        <v>316.0</v>
      </c>
      <c r="G986" s="359">
        <v>85.0</v>
      </c>
      <c r="H986" s="359">
        <v>2.0</v>
      </c>
      <c r="I986" s="359">
        <v>87.0</v>
      </c>
      <c r="J986" s="360">
        <v>0.98</v>
      </c>
      <c r="K986" s="18" t="s">
        <v>7148</v>
      </c>
      <c r="L986" s="18">
        <v>3.243262083E9</v>
      </c>
      <c r="M986" s="18" t="s">
        <v>72</v>
      </c>
      <c r="N986" s="18" t="s">
        <v>538</v>
      </c>
      <c r="O986" s="18" t="s">
        <v>7589</v>
      </c>
      <c r="P986" s="18" t="s">
        <v>7047</v>
      </c>
      <c r="Q986" s="20">
        <f>COUNTIF('Hedef Liste'!A:A,A986)</f>
        <v>0</v>
      </c>
    </row>
    <row r="987" ht="15.75" hidden="1" customHeight="1">
      <c r="A987" s="18" t="s">
        <v>1740</v>
      </c>
      <c r="B987" s="18" t="s">
        <v>1741</v>
      </c>
      <c r="C987" s="358" t="s">
        <v>7040</v>
      </c>
      <c r="D987" s="18" t="s">
        <v>363</v>
      </c>
      <c r="E987" s="359">
        <v>105.0</v>
      </c>
      <c r="F987" s="359">
        <v>37.0</v>
      </c>
      <c r="G987" s="359">
        <v>0.0</v>
      </c>
      <c r="H987" s="359">
        <v>31.0</v>
      </c>
      <c r="I987" s="359">
        <v>31.0</v>
      </c>
      <c r="J987" s="360">
        <v>0.0</v>
      </c>
      <c r="K987" s="18" t="s">
        <v>1742</v>
      </c>
      <c r="L987" s="18">
        <v>3.242373332E9</v>
      </c>
      <c r="M987" s="18" t="s">
        <v>137</v>
      </c>
      <c r="N987" s="18" t="s">
        <v>1743</v>
      </c>
      <c r="O987" s="18" t="s">
        <v>1744</v>
      </c>
      <c r="P987" s="18" t="s">
        <v>7041</v>
      </c>
      <c r="Q987" s="20">
        <f>COUNTIF('Hedef Liste'!A:A,A987)</f>
        <v>1</v>
      </c>
    </row>
    <row r="988" ht="15.75" hidden="1" customHeight="1">
      <c r="A988" s="18" t="s">
        <v>330</v>
      </c>
      <c r="B988" s="18" t="s">
        <v>7590</v>
      </c>
      <c r="C988" s="358" t="s">
        <v>7040</v>
      </c>
      <c r="D988" s="18" t="s">
        <v>167</v>
      </c>
      <c r="E988" s="359">
        <v>27.0</v>
      </c>
      <c r="F988" s="359">
        <v>18.0</v>
      </c>
      <c r="G988" s="359">
        <v>0.0</v>
      </c>
      <c r="H988" s="359">
        <v>13.0</v>
      </c>
      <c r="I988" s="359">
        <v>13.0</v>
      </c>
      <c r="J988" s="360">
        <v>0.0</v>
      </c>
      <c r="K988" s="18" t="s">
        <v>332</v>
      </c>
      <c r="L988" s="18">
        <v>5.332258709E9</v>
      </c>
      <c r="M988" s="18" t="s">
        <v>72</v>
      </c>
      <c r="N988" s="18" t="s">
        <v>333</v>
      </c>
      <c r="O988" s="18" t="s">
        <v>334</v>
      </c>
      <c r="P988" s="18" t="s">
        <v>7041</v>
      </c>
      <c r="Q988" s="20">
        <f>COUNTIF('Hedef Liste'!A:A,A988)</f>
        <v>1</v>
      </c>
    </row>
    <row r="989" ht="15.75" hidden="1" customHeight="1">
      <c r="A989" s="18" t="s">
        <v>4020</v>
      </c>
      <c r="B989" s="18" t="s">
        <v>4021</v>
      </c>
      <c r="C989" s="358" t="s">
        <v>7040</v>
      </c>
      <c r="D989" s="18" t="s">
        <v>80</v>
      </c>
      <c r="E989" s="359">
        <v>590.0</v>
      </c>
      <c r="F989" s="359">
        <v>26.0</v>
      </c>
      <c r="G989" s="359">
        <v>0.0</v>
      </c>
      <c r="H989" s="359">
        <v>14.0</v>
      </c>
      <c r="I989" s="359">
        <v>14.0</v>
      </c>
      <c r="J989" s="360">
        <v>0.0</v>
      </c>
      <c r="K989" s="18" t="s">
        <v>4022</v>
      </c>
      <c r="L989" s="18">
        <v>5.059983356E9</v>
      </c>
      <c r="M989" s="18" t="s">
        <v>137</v>
      </c>
      <c r="N989" s="18" t="s">
        <v>4023</v>
      </c>
      <c r="O989" s="18" t="s">
        <v>4024</v>
      </c>
      <c r="P989" s="18" t="s">
        <v>7041</v>
      </c>
      <c r="Q989" s="20">
        <f>COUNTIF('Hedef Liste'!A:A,A989)</f>
        <v>1</v>
      </c>
    </row>
    <row r="990" ht="15.75" hidden="1" customHeight="1">
      <c r="A990" s="18" t="s">
        <v>574</v>
      </c>
      <c r="B990" s="18" t="s">
        <v>575</v>
      </c>
      <c r="C990" s="358" t="s">
        <v>7040</v>
      </c>
      <c r="D990" s="18" t="s">
        <v>564</v>
      </c>
      <c r="E990" s="359">
        <v>448.0</v>
      </c>
      <c r="F990" s="359">
        <v>216.0</v>
      </c>
      <c r="G990" s="359">
        <v>25.0</v>
      </c>
      <c r="H990" s="359">
        <v>8.0</v>
      </c>
      <c r="I990" s="359">
        <v>33.0</v>
      </c>
      <c r="J990" s="360">
        <v>0.76</v>
      </c>
      <c r="K990" s="18" t="s">
        <v>576</v>
      </c>
      <c r="L990" s="18">
        <v>5.346801734E9</v>
      </c>
      <c r="M990" s="18" t="s">
        <v>63</v>
      </c>
      <c r="N990" s="18" t="s">
        <v>318</v>
      </c>
      <c r="O990" s="18" t="s">
        <v>577</v>
      </c>
      <c r="P990" s="18" t="s">
        <v>7041</v>
      </c>
      <c r="Q990" s="20">
        <f>COUNTIF('Hedef Liste'!A:A,A990)</f>
        <v>1</v>
      </c>
    </row>
    <row r="991" ht="15.75" hidden="1" customHeight="1">
      <c r="A991" s="18" t="s">
        <v>2925</v>
      </c>
      <c r="B991" s="18" t="s">
        <v>2926</v>
      </c>
      <c r="C991" s="358" t="s">
        <v>7040</v>
      </c>
      <c r="D991" s="18" t="s">
        <v>45</v>
      </c>
      <c r="E991" s="359">
        <v>307.0</v>
      </c>
      <c r="F991" s="359">
        <v>60.0</v>
      </c>
      <c r="G991" s="359">
        <v>12.0</v>
      </c>
      <c r="H991" s="359">
        <v>6.0</v>
      </c>
      <c r="I991" s="359">
        <v>18.0</v>
      </c>
      <c r="J991" s="360">
        <v>0.67</v>
      </c>
      <c r="K991" s="18" t="s">
        <v>2927</v>
      </c>
      <c r="L991" s="18">
        <v>5.418350545E9</v>
      </c>
      <c r="M991" s="18" t="s">
        <v>215</v>
      </c>
      <c r="N991" s="18" t="s">
        <v>239</v>
      </c>
      <c r="O991" s="18" t="s">
        <v>2928</v>
      </c>
      <c r="P991" s="18" t="s">
        <v>7041</v>
      </c>
      <c r="Q991" s="20">
        <f>COUNTIF('Hedef Liste'!A:A,A991)</f>
        <v>1</v>
      </c>
    </row>
    <row r="992" ht="15.75" hidden="1" customHeight="1">
      <c r="A992" s="18" t="s">
        <v>4236</v>
      </c>
      <c r="B992" s="18" t="s">
        <v>4237</v>
      </c>
      <c r="C992" s="358" t="s">
        <v>7040</v>
      </c>
      <c r="D992" s="18" t="s">
        <v>363</v>
      </c>
      <c r="E992" s="359">
        <v>1381.0</v>
      </c>
      <c r="F992" s="359">
        <v>104.0</v>
      </c>
      <c r="G992" s="359">
        <v>10.0</v>
      </c>
      <c r="H992" s="359">
        <v>19.0</v>
      </c>
      <c r="I992" s="359">
        <v>29.0</v>
      </c>
      <c r="J992" s="360">
        <v>0.34</v>
      </c>
      <c r="K992" s="18" t="s">
        <v>4238</v>
      </c>
      <c r="L992" s="18">
        <v>3.245039851E9</v>
      </c>
      <c r="M992" s="18" t="s">
        <v>72</v>
      </c>
      <c r="N992" s="18" t="s">
        <v>548</v>
      </c>
      <c r="O992" s="18" t="s">
        <v>4239</v>
      </c>
      <c r="P992" s="18" t="s">
        <v>7041</v>
      </c>
      <c r="Q992" s="20">
        <f>COUNTIF('Hedef Liste'!A:A,A992)</f>
        <v>1</v>
      </c>
    </row>
    <row r="993" ht="15.75" hidden="1" customHeight="1">
      <c r="A993" s="18" t="s">
        <v>2843</v>
      </c>
      <c r="B993" s="18" t="s">
        <v>2844</v>
      </c>
      <c r="C993" s="358" t="s">
        <v>7040</v>
      </c>
      <c r="D993" s="18" t="s">
        <v>118</v>
      </c>
      <c r="E993" s="359">
        <v>167.0</v>
      </c>
      <c r="F993" s="359">
        <v>14.0</v>
      </c>
      <c r="G993" s="359">
        <v>0.0</v>
      </c>
      <c r="H993" s="359">
        <v>22.0</v>
      </c>
      <c r="I993" s="359">
        <v>22.0</v>
      </c>
      <c r="J993" s="360">
        <v>0.0</v>
      </c>
      <c r="K993" s="18" t="s">
        <v>2105</v>
      </c>
      <c r="L993" s="18">
        <v>3.243412525E9</v>
      </c>
      <c r="M993" s="18" t="s">
        <v>72</v>
      </c>
      <c r="N993" s="18" t="s">
        <v>548</v>
      </c>
      <c r="O993" s="18" t="s">
        <v>2845</v>
      </c>
      <c r="P993" s="18" t="s">
        <v>7041</v>
      </c>
      <c r="Q993" s="20">
        <f>COUNTIF('Hedef Liste'!A:A,A993)</f>
        <v>1</v>
      </c>
    </row>
    <row r="994" ht="15.75" hidden="1" customHeight="1">
      <c r="A994" s="18" t="s">
        <v>4716</v>
      </c>
      <c r="B994" s="18" t="s">
        <v>4717</v>
      </c>
      <c r="C994" s="358" t="s">
        <v>7040</v>
      </c>
      <c r="D994" s="18" t="s">
        <v>80</v>
      </c>
      <c r="E994" s="359">
        <v>111.0</v>
      </c>
      <c r="F994" s="359">
        <v>4.0</v>
      </c>
      <c r="G994" s="359">
        <v>9.0</v>
      </c>
      <c r="H994" s="359">
        <v>0.0</v>
      </c>
      <c r="I994" s="359">
        <v>9.0</v>
      </c>
      <c r="J994" s="360">
        <v>1.0</v>
      </c>
      <c r="K994" s="18" t="s">
        <v>4718</v>
      </c>
      <c r="L994" s="18">
        <v>5.531636347E9</v>
      </c>
      <c r="M994" s="18" t="s">
        <v>215</v>
      </c>
      <c r="N994" s="18" t="s">
        <v>215</v>
      </c>
      <c r="O994" s="18" t="s">
        <v>4719</v>
      </c>
      <c r="P994" s="18" t="s">
        <v>7041</v>
      </c>
      <c r="Q994" s="20">
        <f>COUNTIF('Hedef Liste'!A:A,A994)</f>
        <v>1</v>
      </c>
    </row>
    <row r="995" ht="15.75" hidden="1" customHeight="1">
      <c r="A995" s="18" t="s">
        <v>476</v>
      </c>
      <c r="B995" s="18" t="s">
        <v>477</v>
      </c>
      <c r="C995" s="358" t="s">
        <v>7040</v>
      </c>
      <c r="D995" s="18" t="s">
        <v>70</v>
      </c>
      <c r="E995" s="359">
        <v>712.0</v>
      </c>
      <c r="F995" s="359">
        <v>30.0</v>
      </c>
      <c r="G995" s="359">
        <v>9.0</v>
      </c>
      <c r="H995" s="359">
        <v>26.0</v>
      </c>
      <c r="I995" s="359">
        <v>35.0</v>
      </c>
      <c r="J995" s="360">
        <v>0.26</v>
      </c>
      <c r="K995" s="18" t="s">
        <v>478</v>
      </c>
      <c r="L995" s="18">
        <v>5.394236637E9</v>
      </c>
      <c r="M995" s="18" t="s">
        <v>47</v>
      </c>
      <c r="N995" s="18" t="s">
        <v>365</v>
      </c>
      <c r="O995" s="18" t="s">
        <v>480</v>
      </c>
      <c r="P995" s="18" t="s">
        <v>7041</v>
      </c>
      <c r="Q995" s="20">
        <f>COUNTIF('Hedef Liste'!A:A,A995)</f>
        <v>1</v>
      </c>
    </row>
    <row r="996" ht="15.75" hidden="1" customHeight="1">
      <c r="A996" s="18" t="s">
        <v>1397</v>
      </c>
      <c r="B996" s="18" t="s">
        <v>7591</v>
      </c>
      <c r="C996" s="358" t="s">
        <v>7040</v>
      </c>
      <c r="D996" s="18" t="s">
        <v>167</v>
      </c>
      <c r="E996" s="359">
        <v>516.0</v>
      </c>
      <c r="F996" s="359">
        <v>8.0</v>
      </c>
      <c r="G996" s="359">
        <v>8.0</v>
      </c>
      <c r="H996" s="359">
        <v>19.0</v>
      </c>
      <c r="I996" s="359">
        <v>27.0</v>
      </c>
      <c r="J996" s="360">
        <v>0.3</v>
      </c>
      <c r="K996" s="18" t="s">
        <v>1399</v>
      </c>
      <c r="L996" s="18">
        <v>5.354850533E9</v>
      </c>
      <c r="M996" s="18" t="s">
        <v>47</v>
      </c>
      <c r="N996" s="18" t="s">
        <v>48</v>
      </c>
      <c r="O996" s="18" t="s">
        <v>1400</v>
      </c>
      <c r="P996" s="18" t="s">
        <v>7041</v>
      </c>
      <c r="Q996" s="20">
        <f>COUNTIF('Hedef Liste'!A:A,A996)</f>
        <v>1</v>
      </c>
    </row>
    <row r="997" ht="15.75" hidden="1" customHeight="1">
      <c r="A997" s="18" t="s">
        <v>4772</v>
      </c>
      <c r="B997" s="18" t="s">
        <v>4773</v>
      </c>
      <c r="C997" s="358" t="s">
        <v>7040</v>
      </c>
      <c r="D997" s="18" t="s">
        <v>948</v>
      </c>
      <c r="E997" s="359">
        <v>793.0</v>
      </c>
      <c r="F997" s="359">
        <v>87.0</v>
      </c>
      <c r="G997" s="359">
        <v>7.0</v>
      </c>
      <c r="H997" s="359">
        <v>5.0</v>
      </c>
      <c r="I997" s="359">
        <v>12.0</v>
      </c>
      <c r="J997" s="360">
        <v>0.58</v>
      </c>
      <c r="K997" s="18" t="s">
        <v>4774</v>
      </c>
      <c r="L997" s="18">
        <v>5.385746386E9</v>
      </c>
      <c r="M997" s="18" t="s">
        <v>72</v>
      </c>
      <c r="N997" s="18" t="s">
        <v>352</v>
      </c>
      <c r="O997" s="18" t="s">
        <v>4775</v>
      </c>
      <c r="P997" s="18" t="s">
        <v>7041</v>
      </c>
      <c r="Q997" s="20">
        <f>COUNTIF('Hedef Liste'!A:A,A997)</f>
        <v>1</v>
      </c>
    </row>
    <row r="998" ht="15.75" hidden="1" customHeight="1">
      <c r="A998" s="18" t="s">
        <v>236</v>
      </c>
      <c r="B998" s="18" t="s">
        <v>237</v>
      </c>
      <c r="C998" s="358" t="s">
        <v>7040</v>
      </c>
      <c r="D998" s="18" t="s">
        <v>167</v>
      </c>
      <c r="E998" s="359">
        <v>44.0</v>
      </c>
      <c r="F998" s="359">
        <v>12.0</v>
      </c>
      <c r="G998" s="359">
        <v>0.0</v>
      </c>
      <c r="H998" s="359">
        <v>12.0</v>
      </c>
      <c r="I998" s="359">
        <v>12.0</v>
      </c>
      <c r="J998" s="360">
        <v>0.0</v>
      </c>
      <c r="K998" s="18" t="s">
        <v>238</v>
      </c>
      <c r="L998" s="18">
        <v>5.372770233E9</v>
      </c>
      <c r="M998" s="18" t="s">
        <v>215</v>
      </c>
      <c r="N998" s="18" t="s">
        <v>239</v>
      </c>
      <c r="O998" s="18" t="s">
        <v>240</v>
      </c>
      <c r="P998" s="18" t="s">
        <v>7041</v>
      </c>
      <c r="Q998" s="20">
        <f>COUNTIF('Hedef Liste'!A:A,A998)</f>
        <v>1</v>
      </c>
    </row>
    <row r="999" ht="15.75" hidden="1" customHeight="1">
      <c r="A999" s="18" t="s">
        <v>1353</v>
      </c>
      <c r="B999" s="18" t="s">
        <v>1354</v>
      </c>
      <c r="C999" s="358" t="s">
        <v>7040</v>
      </c>
      <c r="D999" s="18" t="s">
        <v>363</v>
      </c>
      <c r="E999" s="359">
        <v>92.0</v>
      </c>
      <c r="F999" s="18"/>
      <c r="G999" s="359">
        <v>0.0</v>
      </c>
      <c r="H999" s="359">
        <v>26.0</v>
      </c>
      <c r="I999" s="359">
        <v>26.0</v>
      </c>
      <c r="J999" s="360">
        <v>0.0</v>
      </c>
      <c r="K999" s="18" t="s">
        <v>1355</v>
      </c>
      <c r="L999" s="18">
        <v>5.364004596E9</v>
      </c>
      <c r="M999" s="18" t="s">
        <v>187</v>
      </c>
      <c r="N999" s="18" t="s">
        <v>188</v>
      </c>
      <c r="O999" s="18" t="s">
        <v>1356</v>
      </c>
      <c r="P999" s="18" t="s">
        <v>7041</v>
      </c>
      <c r="Q999" s="20">
        <f>COUNTIF('Hedef Liste'!A:A,A999)</f>
        <v>1</v>
      </c>
    </row>
    <row r="1000" ht="15.75" hidden="1" customHeight="1">
      <c r="A1000" s="18" t="s">
        <v>7592</v>
      </c>
      <c r="B1000" s="18" t="s">
        <v>5420</v>
      </c>
      <c r="C1000" s="358" t="s">
        <v>7040</v>
      </c>
      <c r="D1000" s="18" t="s">
        <v>80</v>
      </c>
      <c r="E1000" s="359">
        <v>203.0</v>
      </c>
      <c r="F1000" s="359">
        <v>25.0</v>
      </c>
      <c r="G1000" s="359">
        <v>10.0</v>
      </c>
      <c r="H1000" s="359">
        <v>1.0</v>
      </c>
      <c r="I1000" s="359">
        <v>11.0</v>
      </c>
      <c r="J1000" s="360">
        <v>0.91</v>
      </c>
      <c r="K1000" s="18" t="s">
        <v>7593</v>
      </c>
      <c r="L1000" s="18">
        <v>3.245022122E9</v>
      </c>
      <c r="M1000" s="18" t="s">
        <v>72</v>
      </c>
      <c r="N1000" s="18" t="s">
        <v>983</v>
      </c>
      <c r="O1000" s="18" t="s">
        <v>5422</v>
      </c>
      <c r="P1000" s="18" t="s">
        <v>7041</v>
      </c>
      <c r="Q1000" s="20">
        <f>COUNTIF('Hedef Liste'!A:A,A1000)</f>
        <v>0</v>
      </c>
    </row>
    <row r="1001" ht="15.75" hidden="1" customHeight="1">
      <c r="A1001" s="18" t="s">
        <v>3655</v>
      </c>
      <c r="B1001" s="18" t="s">
        <v>3656</v>
      </c>
      <c r="C1001" s="358" t="s">
        <v>7040</v>
      </c>
      <c r="D1001" s="18" t="s">
        <v>363</v>
      </c>
      <c r="E1001" s="359">
        <v>177.0</v>
      </c>
      <c r="F1001" s="359">
        <v>40.0</v>
      </c>
      <c r="G1001" s="359">
        <v>0.0</v>
      </c>
      <c r="H1001" s="359">
        <v>29.0</v>
      </c>
      <c r="I1001" s="359">
        <v>29.0</v>
      </c>
      <c r="J1001" s="360">
        <v>0.0</v>
      </c>
      <c r="K1001" s="18" t="s">
        <v>3657</v>
      </c>
      <c r="L1001" s="18">
        <v>5.415931958E9</v>
      </c>
      <c r="M1001" s="18" t="s">
        <v>72</v>
      </c>
      <c r="N1001" s="18" t="s">
        <v>1298</v>
      </c>
      <c r="O1001" s="18" t="s">
        <v>3653</v>
      </c>
      <c r="P1001" s="18" t="s">
        <v>7041</v>
      </c>
      <c r="Q1001" s="20">
        <f>COUNTIF('Hedef Liste'!A:A,A1001)</f>
        <v>1</v>
      </c>
    </row>
    <row r="1002" ht="15.75" hidden="1" customHeight="1">
      <c r="A1002" s="18" t="s">
        <v>2831</v>
      </c>
      <c r="B1002" s="18" t="s">
        <v>2832</v>
      </c>
      <c r="C1002" s="358" t="s">
        <v>7040</v>
      </c>
      <c r="D1002" s="18" t="s">
        <v>106</v>
      </c>
      <c r="E1002" s="359">
        <v>373.0</v>
      </c>
      <c r="F1002" s="359">
        <v>67.0</v>
      </c>
      <c r="G1002" s="359">
        <v>0.0</v>
      </c>
      <c r="H1002" s="359">
        <v>8.0</v>
      </c>
      <c r="I1002" s="359">
        <v>8.0</v>
      </c>
      <c r="J1002" s="360">
        <v>0.0</v>
      </c>
      <c r="K1002" s="18" t="s">
        <v>2833</v>
      </c>
      <c r="L1002" s="18">
        <v>3.246245E9</v>
      </c>
      <c r="M1002" s="18" t="s">
        <v>156</v>
      </c>
      <c r="N1002" s="18" t="s">
        <v>596</v>
      </c>
      <c r="O1002" s="18" t="s">
        <v>2834</v>
      </c>
      <c r="P1002" s="18" t="s">
        <v>7041</v>
      </c>
      <c r="Q1002" s="20">
        <f>COUNTIF('Hedef Liste'!A:A,A1002)</f>
        <v>1</v>
      </c>
    </row>
    <row r="1003" ht="15.75" hidden="1" customHeight="1">
      <c r="A1003" s="18" t="s">
        <v>3641</v>
      </c>
      <c r="B1003" s="18" t="s">
        <v>3642</v>
      </c>
      <c r="C1003" s="358" t="s">
        <v>7040</v>
      </c>
      <c r="D1003" s="18" t="s">
        <v>118</v>
      </c>
      <c r="E1003" s="359">
        <v>58.0</v>
      </c>
      <c r="F1003" s="359">
        <v>21.0</v>
      </c>
      <c r="G1003" s="359">
        <v>0.0</v>
      </c>
      <c r="H1003" s="359">
        <v>12.0</v>
      </c>
      <c r="I1003" s="359">
        <v>12.0</v>
      </c>
      <c r="J1003" s="360">
        <v>0.0</v>
      </c>
      <c r="K1003" s="18" t="s">
        <v>3643</v>
      </c>
      <c r="L1003" s="18">
        <v>5.388243783E9</v>
      </c>
      <c r="M1003" s="18" t="s">
        <v>215</v>
      </c>
      <c r="N1003" s="18" t="s">
        <v>789</v>
      </c>
      <c r="O1003" s="18" t="s">
        <v>3644</v>
      </c>
      <c r="P1003" s="18" t="s">
        <v>7041</v>
      </c>
      <c r="Q1003" s="20">
        <f>COUNTIF('Hedef Liste'!A:A,A1003)</f>
        <v>1</v>
      </c>
    </row>
    <row r="1004" ht="15.75" hidden="1" customHeight="1">
      <c r="A1004" s="18" t="s">
        <v>1362</v>
      </c>
      <c r="B1004" s="18" t="s">
        <v>1363</v>
      </c>
      <c r="C1004" s="358" t="s">
        <v>7040</v>
      </c>
      <c r="D1004" s="18" t="s">
        <v>45</v>
      </c>
      <c r="E1004" s="359">
        <v>129.0</v>
      </c>
      <c r="F1004" s="359">
        <v>37.0</v>
      </c>
      <c r="G1004" s="359">
        <v>0.0</v>
      </c>
      <c r="H1004" s="359">
        <v>8.0</v>
      </c>
      <c r="I1004" s="359">
        <v>8.0</v>
      </c>
      <c r="J1004" s="360">
        <v>0.0</v>
      </c>
      <c r="K1004" s="18" t="s">
        <v>1364</v>
      </c>
      <c r="L1004" s="18">
        <v>5.386754217E9</v>
      </c>
      <c r="M1004" s="18" t="s">
        <v>156</v>
      </c>
      <c r="N1004" s="18" t="s">
        <v>1365</v>
      </c>
      <c r="O1004" s="18" t="s">
        <v>1366</v>
      </c>
      <c r="P1004" s="18" t="s">
        <v>7041</v>
      </c>
      <c r="Q1004" s="20">
        <f>COUNTIF('Hedef Liste'!A:A,A1004)</f>
        <v>1</v>
      </c>
    </row>
    <row r="1005" ht="15.75" hidden="1" customHeight="1">
      <c r="A1005" s="18" t="s">
        <v>4427</v>
      </c>
      <c r="B1005" s="18" t="s">
        <v>4428</v>
      </c>
      <c r="C1005" s="358" t="s">
        <v>7040</v>
      </c>
      <c r="D1005" s="18" t="s">
        <v>80</v>
      </c>
      <c r="E1005" s="359">
        <v>305.0</v>
      </c>
      <c r="F1005" s="359">
        <v>20.0</v>
      </c>
      <c r="G1005" s="359">
        <v>4.0</v>
      </c>
      <c r="H1005" s="359">
        <v>3.0</v>
      </c>
      <c r="I1005" s="359">
        <v>7.0</v>
      </c>
      <c r="J1005" s="360">
        <v>0.57</v>
      </c>
      <c r="K1005" s="18" t="s">
        <v>4429</v>
      </c>
      <c r="L1005" s="18">
        <v>3.243274142E9</v>
      </c>
      <c r="M1005" s="18" t="s">
        <v>72</v>
      </c>
      <c r="N1005" s="18" t="s">
        <v>113</v>
      </c>
      <c r="O1005" s="18" t="s">
        <v>4430</v>
      </c>
      <c r="P1005" s="18" t="s">
        <v>7041</v>
      </c>
      <c r="Q1005" s="20">
        <f>COUNTIF('Hedef Liste'!A:A,A1005)</f>
        <v>1</v>
      </c>
    </row>
    <row r="1006" ht="15.75" customHeight="1">
      <c r="A1006" s="18" t="s">
        <v>4739</v>
      </c>
      <c r="B1006" s="18" t="s">
        <v>4740</v>
      </c>
      <c r="C1006" s="358" t="s">
        <v>7040</v>
      </c>
      <c r="D1006" s="18" t="s">
        <v>363</v>
      </c>
      <c r="F1006" s="18"/>
      <c r="G1006" s="359">
        <v>0.0</v>
      </c>
      <c r="H1006" s="359">
        <v>32.0</v>
      </c>
      <c r="I1006" s="359">
        <v>32.0</v>
      </c>
      <c r="J1006" s="360">
        <v>0.0</v>
      </c>
      <c r="K1006" s="18" t="s">
        <v>4737</v>
      </c>
      <c r="L1006" s="18">
        <v>3.243264691E9</v>
      </c>
      <c r="M1006" s="18" t="s">
        <v>72</v>
      </c>
      <c r="N1006" s="18" t="s">
        <v>1277</v>
      </c>
      <c r="O1006" s="18" t="s">
        <v>4741</v>
      </c>
      <c r="P1006" s="18" t="s">
        <v>7041</v>
      </c>
      <c r="Q1006" s="20">
        <f>COUNTIF('Hedef Liste'!A:A,A1006)</f>
        <v>1</v>
      </c>
    </row>
    <row r="1007" ht="15.75" hidden="1" customHeight="1">
      <c r="A1007" s="18" t="s">
        <v>7594</v>
      </c>
      <c r="B1007" s="18" t="s">
        <v>7595</v>
      </c>
      <c r="C1007" s="358" t="s">
        <v>7062</v>
      </c>
      <c r="D1007" s="18" t="s">
        <v>356</v>
      </c>
      <c r="F1007" s="18"/>
      <c r="G1007" s="359">
        <v>0.0</v>
      </c>
      <c r="H1007" s="359">
        <v>73.0</v>
      </c>
      <c r="I1007" s="359">
        <v>73.0</v>
      </c>
      <c r="J1007" s="360">
        <v>0.0</v>
      </c>
      <c r="K1007" s="18" t="s">
        <v>7596</v>
      </c>
      <c r="L1007" s="18">
        <v>3.243365575E9</v>
      </c>
      <c r="M1007" s="18" t="s">
        <v>137</v>
      </c>
      <c r="N1007" s="18" t="s">
        <v>374</v>
      </c>
      <c r="O1007" s="18" t="s">
        <v>7597</v>
      </c>
      <c r="P1007" s="18" t="s">
        <v>7041</v>
      </c>
      <c r="Q1007" s="20">
        <f>COUNTIF('Hedef Liste'!A:A,A1007)</f>
        <v>0</v>
      </c>
    </row>
    <row r="1008" ht="15.75" hidden="1" customHeight="1">
      <c r="A1008" s="18" t="s">
        <v>2812</v>
      </c>
      <c r="B1008" s="18" t="s">
        <v>2813</v>
      </c>
      <c r="C1008" s="358" t="s">
        <v>7040</v>
      </c>
      <c r="D1008" s="18" t="s">
        <v>118</v>
      </c>
      <c r="E1008" s="359">
        <v>9.0</v>
      </c>
      <c r="F1008" s="18"/>
      <c r="G1008" s="359">
        <v>5.0</v>
      </c>
      <c r="H1008" s="359">
        <v>1.0</v>
      </c>
      <c r="I1008" s="359">
        <v>6.0</v>
      </c>
      <c r="J1008" s="361">
        <v>0.83</v>
      </c>
      <c r="K1008" s="18" t="s">
        <v>2814</v>
      </c>
      <c r="L1008" s="18">
        <v>3.243285935E9</v>
      </c>
      <c r="M1008" s="18" t="s">
        <v>72</v>
      </c>
      <c r="N1008" s="18" t="s">
        <v>120</v>
      </c>
      <c r="O1008" s="18" t="s">
        <v>2815</v>
      </c>
      <c r="P1008" s="18" t="s">
        <v>7041</v>
      </c>
      <c r="Q1008" s="20">
        <f>COUNTIF('Hedef Liste'!A:A,A1008)</f>
        <v>1</v>
      </c>
    </row>
    <row r="1009" ht="15.75" hidden="1" customHeight="1">
      <c r="A1009" s="18" t="s">
        <v>2279</v>
      </c>
      <c r="B1009" s="18" t="s">
        <v>2280</v>
      </c>
      <c r="C1009" s="358" t="s">
        <v>7040</v>
      </c>
      <c r="D1009" s="18" t="s">
        <v>167</v>
      </c>
      <c r="E1009" s="359">
        <v>4011.0</v>
      </c>
      <c r="F1009" s="359">
        <v>202.0</v>
      </c>
      <c r="G1009" s="359">
        <v>12.0</v>
      </c>
      <c r="H1009" s="359">
        <v>7.0</v>
      </c>
      <c r="I1009" s="359">
        <v>19.0</v>
      </c>
      <c r="J1009" s="360">
        <v>0.63</v>
      </c>
      <c r="K1009" s="18" t="s">
        <v>1084</v>
      </c>
      <c r="L1009" s="18">
        <v>5.527784702E9</v>
      </c>
      <c r="M1009" s="18" t="s">
        <v>137</v>
      </c>
      <c r="N1009" s="18" t="s">
        <v>138</v>
      </c>
      <c r="O1009" s="18" t="s">
        <v>1085</v>
      </c>
      <c r="P1009" s="18" t="s">
        <v>7041</v>
      </c>
      <c r="Q1009" s="20">
        <f>COUNTIF('Hedef Liste'!A:A,A1009)</f>
        <v>1</v>
      </c>
    </row>
    <row r="1010" ht="15.75" hidden="1" customHeight="1">
      <c r="A1010" s="18" t="s">
        <v>3590</v>
      </c>
      <c r="B1010" s="18" t="s">
        <v>3591</v>
      </c>
      <c r="C1010" s="358" t="s">
        <v>7040</v>
      </c>
      <c r="D1010" s="18" t="s">
        <v>70</v>
      </c>
      <c r="E1010" s="359">
        <v>1998.0</v>
      </c>
      <c r="F1010" s="359">
        <v>58.0</v>
      </c>
      <c r="G1010" s="359">
        <v>6.0</v>
      </c>
      <c r="H1010" s="359">
        <v>1.0</v>
      </c>
      <c r="I1010" s="359">
        <v>7.0</v>
      </c>
      <c r="J1010" s="360">
        <v>0.86</v>
      </c>
      <c r="K1010" s="18" t="s">
        <v>3592</v>
      </c>
      <c r="L1010" s="18">
        <v>3.243594033E9</v>
      </c>
      <c r="M1010" s="18" t="s">
        <v>63</v>
      </c>
      <c r="N1010" s="18" t="s">
        <v>318</v>
      </c>
      <c r="O1010" s="18" t="s">
        <v>3593</v>
      </c>
      <c r="P1010" s="18" t="s">
        <v>7041</v>
      </c>
      <c r="Q1010" s="20">
        <f>COUNTIF('Hedef Liste'!A:A,A1010)</f>
        <v>1</v>
      </c>
    </row>
    <row r="1011" ht="15.75" hidden="1" customHeight="1">
      <c r="A1011" s="18" t="s">
        <v>535</v>
      </c>
      <c r="B1011" s="18" t="s">
        <v>536</v>
      </c>
      <c r="C1011" s="358" t="s">
        <v>7040</v>
      </c>
      <c r="D1011" s="18" t="s">
        <v>372</v>
      </c>
      <c r="E1011" s="359">
        <v>2009.0</v>
      </c>
      <c r="F1011" s="359">
        <v>193.0</v>
      </c>
      <c r="G1011" s="359">
        <v>7.0</v>
      </c>
      <c r="H1011" s="359">
        <v>16.0</v>
      </c>
      <c r="I1011" s="359">
        <v>23.0</v>
      </c>
      <c r="J1011" s="360">
        <v>0.3</v>
      </c>
      <c r="K1011" s="18" t="s">
        <v>537</v>
      </c>
      <c r="L1011" s="18">
        <v>3.243252502E9</v>
      </c>
      <c r="M1011" s="18" t="s">
        <v>72</v>
      </c>
      <c r="N1011" s="18" t="s">
        <v>538</v>
      </c>
      <c r="O1011" s="18" t="s">
        <v>539</v>
      </c>
      <c r="P1011" s="18" t="s">
        <v>7041</v>
      </c>
      <c r="Q1011" s="20">
        <f>COUNTIF('Hedef Liste'!A:A,A1011)</f>
        <v>1</v>
      </c>
    </row>
    <row r="1012" ht="15.75" hidden="1" customHeight="1">
      <c r="A1012" s="18" t="s">
        <v>3626</v>
      </c>
      <c r="B1012" s="18" t="s">
        <v>3627</v>
      </c>
      <c r="C1012" s="358" t="s">
        <v>7040</v>
      </c>
      <c r="D1012" s="18" t="s">
        <v>363</v>
      </c>
      <c r="E1012" s="359">
        <v>948.0</v>
      </c>
      <c r="F1012" s="359">
        <v>1.0</v>
      </c>
      <c r="G1012" s="359">
        <v>0.0</v>
      </c>
      <c r="H1012" s="359">
        <v>13.0</v>
      </c>
      <c r="I1012" s="359">
        <v>13.0</v>
      </c>
      <c r="J1012" s="360">
        <v>0.0</v>
      </c>
      <c r="K1012" s="18" t="s">
        <v>3628</v>
      </c>
      <c r="L1012" s="18">
        <v>3.243300044E9</v>
      </c>
      <c r="M1012" s="18" t="s">
        <v>72</v>
      </c>
      <c r="N1012" s="18" t="s">
        <v>150</v>
      </c>
      <c r="O1012" s="18" t="s">
        <v>3629</v>
      </c>
      <c r="P1012" s="18" t="s">
        <v>7041</v>
      </c>
      <c r="Q1012" s="20">
        <f>COUNTIF('Hedef Liste'!A:A,A1012)</f>
        <v>1</v>
      </c>
    </row>
    <row r="1013" ht="15.75" hidden="1" customHeight="1">
      <c r="A1013" s="18" t="s">
        <v>3548</v>
      </c>
      <c r="B1013" s="18" t="s">
        <v>3549</v>
      </c>
      <c r="C1013" s="358" t="s">
        <v>7040</v>
      </c>
      <c r="D1013" s="18" t="s">
        <v>80</v>
      </c>
      <c r="E1013" s="359">
        <v>1285.0</v>
      </c>
      <c r="F1013" s="359">
        <v>104.0</v>
      </c>
      <c r="G1013" s="359">
        <v>6.0</v>
      </c>
      <c r="H1013" s="359">
        <v>4.0</v>
      </c>
      <c r="I1013" s="359">
        <v>10.0</v>
      </c>
      <c r="J1013" s="360">
        <v>0.6</v>
      </c>
      <c r="K1013" s="18" t="s">
        <v>3550</v>
      </c>
      <c r="L1013" s="18">
        <v>3.243250233E9</v>
      </c>
      <c r="M1013" s="18" t="s">
        <v>72</v>
      </c>
      <c r="N1013" s="18" t="s">
        <v>716</v>
      </c>
      <c r="O1013" s="18" t="s">
        <v>7598</v>
      </c>
      <c r="P1013" s="18" t="s">
        <v>7041</v>
      </c>
      <c r="Q1013" s="20">
        <f>COUNTIF('Hedef Liste'!A:A,A1013)</f>
        <v>1</v>
      </c>
    </row>
    <row r="1014" ht="15.75" hidden="1" customHeight="1">
      <c r="A1014" s="18" t="s">
        <v>975</v>
      </c>
      <c r="B1014" s="18" t="s">
        <v>976</v>
      </c>
      <c r="C1014" s="358" t="s">
        <v>7040</v>
      </c>
      <c r="D1014" s="18" t="s">
        <v>70</v>
      </c>
      <c r="E1014" s="359">
        <v>4453.0</v>
      </c>
      <c r="F1014" s="359">
        <v>33.0</v>
      </c>
      <c r="G1014" s="359">
        <v>3.0</v>
      </c>
      <c r="H1014" s="359">
        <v>16.0</v>
      </c>
      <c r="I1014" s="359">
        <v>19.0</v>
      </c>
      <c r="J1014" s="360">
        <v>0.16</v>
      </c>
      <c r="K1014" s="18" t="s">
        <v>977</v>
      </c>
      <c r="L1014" s="18">
        <v>3.243596161E9</v>
      </c>
      <c r="M1014" s="18" t="s">
        <v>63</v>
      </c>
      <c r="N1014" s="18" t="s">
        <v>137</v>
      </c>
      <c r="O1014" s="18" t="s">
        <v>978</v>
      </c>
      <c r="P1014" s="18" t="s">
        <v>7041</v>
      </c>
      <c r="Q1014" s="20">
        <f>COUNTIF('Hedef Liste'!A:A,A1014)</f>
        <v>1</v>
      </c>
    </row>
    <row r="1015" ht="15.75" hidden="1" customHeight="1">
      <c r="A1015" s="18" t="s">
        <v>3829</v>
      </c>
      <c r="B1015" s="18" t="s">
        <v>3830</v>
      </c>
      <c r="C1015" s="358" t="s">
        <v>7040</v>
      </c>
      <c r="D1015" s="18" t="s">
        <v>70</v>
      </c>
      <c r="E1015" s="359">
        <v>6585.0</v>
      </c>
      <c r="F1015" s="359">
        <v>563.0</v>
      </c>
      <c r="G1015" s="359">
        <v>12.0</v>
      </c>
      <c r="H1015" s="359">
        <v>4.0</v>
      </c>
      <c r="I1015" s="359">
        <v>16.0</v>
      </c>
      <c r="J1015" s="360">
        <v>0.75</v>
      </c>
      <c r="K1015" s="18" t="s">
        <v>3831</v>
      </c>
      <c r="L1015" s="18">
        <v>3.243365002E9</v>
      </c>
      <c r="M1015" s="18" t="s">
        <v>137</v>
      </c>
      <c r="N1015" s="18" t="s">
        <v>138</v>
      </c>
      <c r="O1015" s="18" t="s">
        <v>3832</v>
      </c>
      <c r="P1015" s="18" t="s">
        <v>7041</v>
      </c>
      <c r="Q1015" s="20">
        <f>COUNTIF('Hedef Liste'!A:A,A1015)</f>
        <v>1</v>
      </c>
    </row>
    <row r="1016" ht="15.75" hidden="1" customHeight="1">
      <c r="A1016" s="18" t="s">
        <v>2991</v>
      </c>
      <c r="B1016" s="18" t="s">
        <v>2992</v>
      </c>
      <c r="C1016" s="358" t="s">
        <v>7040</v>
      </c>
      <c r="D1016" s="18" t="s">
        <v>363</v>
      </c>
      <c r="E1016" s="359">
        <v>529.0</v>
      </c>
      <c r="F1016" s="359">
        <v>46.0</v>
      </c>
      <c r="G1016" s="359">
        <v>0.0</v>
      </c>
      <c r="H1016" s="359">
        <v>10.0</v>
      </c>
      <c r="I1016" s="359">
        <v>10.0</v>
      </c>
      <c r="J1016" s="360">
        <v>0.0</v>
      </c>
      <c r="K1016" s="18" t="s">
        <v>2993</v>
      </c>
      <c r="L1016" s="18">
        <v>5.392028534E9</v>
      </c>
      <c r="M1016" s="18" t="s">
        <v>72</v>
      </c>
      <c r="N1016" s="18" t="s">
        <v>716</v>
      </c>
      <c r="O1016" s="18" t="s">
        <v>7599</v>
      </c>
      <c r="P1016" s="18" t="s">
        <v>7041</v>
      </c>
      <c r="Q1016" s="20">
        <f>COUNTIF('Hedef Liste'!A:A,A1016)</f>
        <v>1</v>
      </c>
    </row>
    <row r="1017" ht="15.75" hidden="1" customHeight="1">
      <c r="A1017" s="18" t="s">
        <v>3188</v>
      </c>
      <c r="B1017" s="18" t="s">
        <v>3189</v>
      </c>
      <c r="C1017" s="358" t="s">
        <v>7040</v>
      </c>
      <c r="D1017" s="18" t="s">
        <v>80</v>
      </c>
      <c r="E1017" s="359">
        <v>727.0</v>
      </c>
      <c r="F1017" s="359">
        <v>46.0</v>
      </c>
      <c r="G1017" s="359">
        <v>2.0</v>
      </c>
      <c r="H1017" s="359">
        <v>5.0</v>
      </c>
      <c r="I1017" s="359">
        <v>7.0</v>
      </c>
      <c r="J1017" s="360">
        <v>0.29</v>
      </c>
      <c r="K1017" s="18" t="s">
        <v>3190</v>
      </c>
      <c r="L1017" s="18">
        <v>5.304268988E9</v>
      </c>
      <c r="M1017" s="18" t="s">
        <v>72</v>
      </c>
      <c r="N1017" s="18" t="s">
        <v>113</v>
      </c>
      <c r="O1017" s="18" t="s">
        <v>3191</v>
      </c>
      <c r="P1017" s="18" t="s">
        <v>7041</v>
      </c>
      <c r="Q1017" s="20">
        <f>COUNTIF('Hedef Liste'!A:A,A1017)</f>
        <v>1</v>
      </c>
    </row>
    <row r="1018" ht="15.75" hidden="1" customHeight="1">
      <c r="A1018" s="18" t="s">
        <v>2504</v>
      </c>
      <c r="B1018" s="18" t="s">
        <v>2505</v>
      </c>
      <c r="C1018" s="358" t="s">
        <v>7040</v>
      </c>
      <c r="D1018" s="18" t="s">
        <v>356</v>
      </c>
      <c r="E1018" s="359">
        <v>11.0</v>
      </c>
      <c r="F1018" s="359">
        <v>3.0</v>
      </c>
      <c r="G1018" s="359">
        <v>12.0</v>
      </c>
      <c r="H1018" s="359">
        <v>4.0</v>
      </c>
      <c r="I1018" s="359">
        <v>16.0</v>
      </c>
      <c r="J1018" s="361">
        <v>0.75</v>
      </c>
      <c r="K1018" s="18" t="s">
        <v>2506</v>
      </c>
      <c r="L1018" s="18">
        <v>5.302633378E9</v>
      </c>
      <c r="M1018" s="18" t="s">
        <v>72</v>
      </c>
      <c r="N1018" s="18" t="s">
        <v>538</v>
      </c>
      <c r="O1018" s="18" t="s">
        <v>2507</v>
      </c>
      <c r="P1018" s="18" t="s">
        <v>7041</v>
      </c>
      <c r="Q1018" s="20">
        <f>COUNTIF('Hedef Liste'!A:A,A1018)</f>
        <v>1</v>
      </c>
    </row>
    <row r="1019" ht="15.75" hidden="1" customHeight="1">
      <c r="A1019" s="18" t="s">
        <v>4562</v>
      </c>
      <c r="B1019" s="18" t="s">
        <v>4563</v>
      </c>
      <c r="C1019" s="358" t="s">
        <v>7040</v>
      </c>
      <c r="D1019" s="18" t="s">
        <v>451</v>
      </c>
      <c r="E1019" s="359">
        <v>69.0</v>
      </c>
      <c r="F1019" s="359">
        <v>16.0</v>
      </c>
      <c r="G1019" s="359">
        <v>0.0</v>
      </c>
      <c r="H1019" s="359">
        <v>20.0</v>
      </c>
      <c r="I1019" s="359">
        <v>20.0</v>
      </c>
      <c r="J1019" s="360">
        <v>0.0</v>
      </c>
      <c r="K1019" s="18" t="s">
        <v>4564</v>
      </c>
      <c r="L1019" s="18">
        <v>5.301643778E9</v>
      </c>
      <c r="M1019" s="18" t="s">
        <v>63</v>
      </c>
      <c r="N1019" s="18" t="s">
        <v>137</v>
      </c>
      <c r="O1019" s="18" t="s">
        <v>4565</v>
      </c>
      <c r="P1019" s="18" t="s">
        <v>7041</v>
      </c>
      <c r="Q1019" s="20">
        <f>COUNTIF('Hedef Liste'!A:A,A1019)</f>
        <v>1</v>
      </c>
    </row>
    <row r="1020" ht="15.75" hidden="1" customHeight="1">
      <c r="A1020" s="18" t="s">
        <v>3696</v>
      </c>
      <c r="B1020" s="18" t="s">
        <v>3697</v>
      </c>
      <c r="C1020" s="358" t="s">
        <v>7040</v>
      </c>
      <c r="D1020" s="18" t="s">
        <v>106</v>
      </c>
      <c r="E1020" s="359">
        <v>138.0</v>
      </c>
      <c r="F1020" s="359">
        <v>43.0</v>
      </c>
      <c r="G1020" s="359">
        <v>0.0</v>
      </c>
      <c r="H1020" s="359">
        <v>14.0</v>
      </c>
      <c r="I1020" s="359">
        <v>14.0</v>
      </c>
      <c r="J1020" s="360">
        <v>0.0</v>
      </c>
      <c r="K1020" s="18" t="s">
        <v>3698</v>
      </c>
      <c r="L1020" s="18">
        <v>5.061507072E9</v>
      </c>
      <c r="M1020" s="18" t="s">
        <v>215</v>
      </c>
      <c r="N1020" s="18" t="s">
        <v>634</v>
      </c>
      <c r="O1020" s="18" t="s">
        <v>3699</v>
      </c>
      <c r="P1020" s="18" t="s">
        <v>7041</v>
      </c>
      <c r="Q1020" s="20">
        <f>COUNTIF('Hedef Liste'!A:A,A1020)</f>
        <v>1</v>
      </c>
    </row>
    <row r="1021" ht="15.75" hidden="1" customHeight="1">
      <c r="A1021" s="18" t="s">
        <v>3083</v>
      </c>
      <c r="B1021" s="18" t="s">
        <v>3084</v>
      </c>
      <c r="C1021" s="358" t="s">
        <v>7040</v>
      </c>
      <c r="D1021" s="18" t="s">
        <v>80</v>
      </c>
      <c r="E1021" s="359">
        <v>59.0</v>
      </c>
      <c r="F1021" s="359">
        <v>33.0</v>
      </c>
      <c r="G1021" s="359">
        <v>6.0</v>
      </c>
      <c r="H1021" s="359">
        <v>0.0</v>
      </c>
      <c r="I1021" s="359">
        <v>6.0</v>
      </c>
      <c r="J1021" s="360">
        <v>1.0</v>
      </c>
      <c r="K1021" s="18" t="s">
        <v>3085</v>
      </c>
      <c r="L1021" s="18">
        <v>3.243255505E9</v>
      </c>
      <c r="M1021" s="18" t="s">
        <v>72</v>
      </c>
      <c r="N1021" s="18" t="s">
        <v>120</v>
      </c>
      <c r="O1021" s="18" t="s">
        <v>3086</v>
      </c>
      <c r="P1021" s="18" t="s">
        <v>7041</v>
      </c>
      <c r="Q1021" s="20">
        <f>COUNTIF('Hedef Liste'!A:A,A1021)</f>
        <v>1</v>
      </c>
    </row>
    <row r="1022" ht="15.75" hidden="1" customHeight="1">
      <c r="A1022" s="18" t="s">
        <v>3297</v>
      </c>
      <c r="B1022" s="18" t="s">
        <v>3298</v>
      </c>
      <c r="C1022" s="358" t="s">
        <v>7040</v>
      </c>
      <c r="D1022" s="18" t="s">
        <v>363</v>
      </c>
      <c r="E1022" s="359">
        <v>125.0</v>
      </c>
      <c r="F1022" s="359">
        <v>48.0</v>
      </c>
      <c r="G1022" s="359">
        <v>0.0</v>
      </c>
      <c r="H1022" s="359">
        <v>14.0</v>
      </c>
      <c r="I1022" s="359">
        <v>14.0</v>
      </c>
      <c r="J1022" s="360">
        <v>0.0</v>
      </c>
      <c r="K1022" s="18" t="s">
        <v>3299</v>
      </c>
      <c r="L1022" s="18">
        <v>5.350505333E9</v>
      </c>
      <c r="M1022" s="18" t="s">
        <v>47</v>
      </c>
      <c r="N1022" s="18" t="s">
        <v>756</v>
      </c>
      <c r="O1022" s="18" t="s">
        <v>3300</v>
      </c>
      <c r="P1022" s="18" t="s">
        <v>7041</v>
      </c>
      <c r="Q1022" s="20">
        <f>COUNTIF('Hedef Liste'!A:A,A1022)</f>
        <v>1</v>
      </c>
    </row>
    <row r="1023" ht="15.75" hidden="1" customHeight="1">
      <c r="A1023" s="18" t="s">
        <v>7600</v>
      </c>
      <c r="B1023" s="18" t="s">
        <v>3738</v>
      </c>
      <c r="C1023" s="358" t="s">
        <v>7040</v>
      </c>
      <c r="D1023" s="18" t="s">
        <v>106</v>
      </c>
      <c r="E1023" s="359">
        <v>20.0</v>
      </c>
      <c r="F1023" s="359">
        <v>13.0</v>
      </c>
      <c r="G1023" s="359">
        <v>8.0</v>
      </c>
      <c r="H1023" s="359">
        <v>9.0</v>
      </c>
      <c r="I1023" s="359">
        <v>17.0</v>
      </c>
      <c r="J1023" s="360">
        <v>0.47</v>
      </c>
      <c r="K1023" s="18" t="s">
        <v>7601</v>
      </c>
      <c r="L1023" s="18">
        <v>5.44854335E9</v>
      </c>
      <c r="M1023" s="18" t="s">
        <v>72</v>
      </c>
      <c r="N1023" s="18" t="s">
        <v>352</v>
      </c>
      <c r="O1023" s="18" t="s">
        <v>7602</v>
      </c>
      <c r="P1023" s="18" t="s">
        <v>7041</v>
      </c>
      <c r="Q1023" s="20">
        <f>COUNTIF('Hedef Liste'!A:A,A1023)</f>
        <v>0</v>
      </c>
    </row>
    <row r="1024" ht="15.75" hidden="1" customHeight="1">
      <c r="A1024" s="18" t="s">
        <v>4222</v>
      </c>
      <c r="B1024" s="18" t="s">
        <v>4223</v>
      </c>
      <c r="C1024" s="358" t="s">
        <v>7040</v>
      </c>
      <c r="D1024" s="18" t="s">
        <v>356</v>
      </c>
      <c r="E1024" s="359">
        <v>7.0</v>
      </c>
      <c r="F1024" s="359">
        <v>7.0</v>
      </c>
      <c r="G1024" s="359">
        <v>0.0</v>
      </c>
      <c r="H1024" s="359">
        <v>9.0</v>
      </c>
      <c r="I1024" s="359">
        <v>9.0</v>
      </c>
      <c r="J1024" s="360">
        <v>0.0</v>
      </c>
      <c r="K1024" s="18" t="s">
        <v>4224</v>
      </c>
      <c r="L1024" s="18">
        <v>5.394666421E9</v>
      </c>
      <c r="M1024" s="18" t="s">
        <v>63</v>
      </c>
      <c r="N1024" s="18" t="s">
        <v>100</v>
      </c>
      <c r="O1024" s="18" t="s">
        <v>4225</v>
      </c>
      <c r="P1024" s="18" t="s">
        <v>7041</v>
      </c>
      <c r="Q1024" s="20">
        <f>COUNTIF('Hedef Liste'!A:A,A1024)</f>
        <v>1</v>
      </c>
    </row>
    <row r="1025" ht="15.75" hidden="1" customHeight="1">
      <c r="A1025" s="18" t="s">
        <v>3038</v>
      </c>
      <c r="B1025" s="18" t="s">
        <v>3039</v>
      </c>
      <c r="C1025" s="358" t="s">
        <v>7040</v>
      </c>
      <c r="D1025" s="18" t="s">
        <v>70</v>
      </c>
      <c r="E1025" s="359">
        <v>43.0</v>
      </c>
      <c r="F1025" s="359">
        <v>43.0</v>
      </c>
      <c r="G1025" s="359">
        <v>0.0</v>
      </c>
      <c r="H1025" s="359">
        <v>26.0</v>
      </c>
      <c r="I1025" s="359">
        <v>26.0</v>
      </c>
      <c r="J1025" s="360">
        <v>0.0</v>
      </c>
      <c r="K1025" s="18" t="s">
        <v>3040</v>
      </c>
      <c r="L1025" s="18">
        <v>3.248145003E9</v>
      </c>
      <c r="M1025" s="18" t="s">
        <v>902</v>
      </c>
      <c r="N1025" s="18" t="s">
        <v>1483</v>
      </c>
      <c r="O1025" s="18" t="s">
        <v>3041</v>
      </c>
      <c r="P1025" s="18" t="s">
        <v>7041</v>
      </c>
      <c r="Q1025" s="20">
        <f>COUNTIF('Hedef Liste'!A:A,A1025)</f>
        <v>1</v>
      </c>
    </row>
    <row r="1026" ht="15.75" hidden="1" customHeight="1">
      <c r="A1026" s="18" t="s">
        <v>2666</v>
      </c>
      <c r="B1026" s="18" t="s">
        <v>2667</v>
      </c>
      <c r="C1026" s="358" t="s">
        <v>7040</v>
      </c>
      <c r="D1026" s="18" t="s">
        <v>363</v>
      </c>
      <c r="E1026" s="359">
        <v>108.0</v>
      </c>
      <c r="F1026" s="359">
        <v>40.0</v>
      </c>
      <c r="G1026" s="359">
        <v>7.0</v>
      </c>
      <c r="H1026" s="359">
        <v>4.0</v>
      </c>
      <c r="I1026" s="359">
        <v>11.0</v>
      </c>
      <c r="J1026" s="360">
        <v>0.64</v>
      </c>
      <c r="K1026" s="18" t="s">
        <v>2668</v>
      </c>
      <c r="L1026" s="18">
        <v>3.24232133E9</v>
      </c>
      <c r="M1026" s="18" t="s">
        <v>137</v>
      </c>
      <c r="N1026" s="18" t="s">
        <v>138</v>
      </c>
      <c r="O1026" s="18" t="s">
        <v>7603</v>
      </c>
      <c r="P1026" s="18" t="s">
        <v>7041</v>
      </c>
      <c r="Q1026" s="20">
        <f>COUNTIF('Hedef Liste'!A:A,A1026)</f>
        <v>1</v>
      </c>
    </row>
    <row r="1027" ht="15.75" hidden="1" customHeight="1">
      <c r="A1027" s="18" t="s">
        <v>59</v>
      </c>
      <c r="B1027" s="18" t="s">
        <v>60</v>
      </c>
      <c r="C1027" s="358" t="s">
        <v>7040</v>
      </c>
      <c r="D1027" s="18" t="s">
        <v>61</v>
      </c>
      <c r="E1027" s="359">
        <v>2570.0</v>
      </c>
      <c r="F1027" s="359">
        <v>112.0</v>
      </c>
      <c r="G1027" s="359">
        <v>3.0</v>
      </c>
      <c r="H1027" s="359">
        <v>5.0</v>
      </c>
      <c r="I1027" s="359">
        <v>8.0</v>
      </c>
      <c r="J1027" s="360">
        <v>0.38</v>
      </c>
      <c r="K1027" s="18" t="s">
        <v>7604</v>
      </c>
      <c r="L1027" s="18">
        <v>5.377803696E9</v>
      </c>
      <c r="M1027" s="18" t="s">
        <v>63</v>
      </c>
      <c r="N1027" s="18" t="s">
        <v>700</v>
      </c>
      <c r="O1027" s="18" t="s">
        <v>65</v>
      </c>
      <c r="P1027" s="18" t="s">
        <v>7041</v>
      </c>
      <c r="Q1027" s="20">
        <f>COUNTIF('Hedef Liste'!A:A,A1027)</f>
        <v>1</v>
      </c>
    </row>
    <row r="1028" ht="15.75" hidden="1" customHeight="1">
      <c r="A1028" s="18" t="s">
        <v>3733</v>
      </c>
      <c r="B1028" s="18" t="s">
        <v>3734</v>
      </c>
      <c r="C1028" s="358" t="s">
        <v>7040</v>
      </c>
      <c r="D1028" s="18" t="s">
        <v>106</v>
      </c>
      <c r="E1028" s="359">
        <v>65.0</v>
      </c>
      <c r="F1028" s="359">
        <v>18.0</v>
      </c>
      <c r="G1028" s="359">
        <v>0.0</v>
      </c>
      <c r="H1028" s="359">
        <v>20.0</v>
      </c>
      <c r="I1028" s="359">
        <v>20.0</v>
      </c>
      <c r="J1028" s="360">
        <v>0.0</v>
      </c>
      <c r="K1028" s="18" t="s">
        <v>3735</v>
      </c>
      <c r="L1028" s="18">
        <v>3.243257579E9</v>
      </c>
      <c r="M1028" s="18" t="s">
        <v>72</v>
      </c>
      <c r="N1028" s="18" t="s">
        <v>1298</v>
      </c>
      <c r="O1028" s="18" t="s">
        <v>3736</v>
      </c>
      <c r="P1028" s="18" t="s">
        <v>7041</v>
      </c>
      <c r="Q1028" s="20">
        <f>COUNTIF('Hedef Liste'!A:A,A1028)</f>
        <v>1</v>
      </c>
    </row>
    <row r="1029" ht="15.75" hidden="1" customHeight="1">
      <c r="A1029" s="18" t="s">
        <v>3987</v>
      </c>
      <c r="B1029" s="18" t="s">
        <v>3988</v>
      </c>
      <c r="C1029" s="358" t="s">
        <v>7040</v>
      </c>
      <c r="D1029" s="18" t="s">
        <v>80</v>
      </c>
      <c r="E1029" s="359">
        <v>305.0</v>
      </c>
      <c r="F1029" s="18"/>
      <c r="G1029" s="359">
        <v>4.0</v>
      </c>
      <c r="H1029" s="359">
        <v>3.0</v>
      </c>
      <c r="I1029" s="359">
        <v>7.0</v>
      </c>
      <c r="J1029" s="360">
        <v>0.57</v>
      </c>
      <c r="K1029" s="18" t="s">
        <v>3989</v>
      </c>
      <c r="L1029" s="18">
        <v>3.245150715E9</v>
      </c>
      <c r="M1029" s="18" t="s">
        <v>47</v>
      </c>
      <c r="N1029" s="18" t="s">
        <v>489</v>
      </c>
      <c r="O1029" s="18" t="s">
        <v>3990</v>
      </c>
      <c r="P1029" s="18" t="s">
        <v>7041</v>
      </c>
      <c r="Q1029" s="20">
        <f>COUNTIF('Hedef Liste'!A:A,A1029)</f>
        <v>1</v>
      </c>
    </row>
    <row r="1030" ht="15.75" hidden="1" customHeight="1">
      <c r="A1030" s="18" t="s">
        <v>2419</v>
      </c>
      <c r="B1030" s="18" t="s">
        <v>2420</v>
      </c>
      <c r="C1030" s="358" t="s">
        <v>7040</v>
      </c>
      <c r="D1030" s="18" t="s">
        <v>80</v>
      </c>
      <c r="E1030" s="359">
        <v>2062.0</v>
      </c>
      <c r="F1030" s="359">
        <v>75.0</v>
      </c>
      <c r="G1030" s="359">
        <v>3.0</v>
      </c>
      <c r="H1030" s="359">
        <v>3.0</v>
      </c>
      <c r="I1030" s="359">
        <v>6.0</v>
      </c>
      <c r="J1030" s="360">
        <v>0.5</v>
      </c>
      <c r="K1030" s="18" t="s">
        <v>2421</v>
      </c>
      <c r="L1030" s="18">
        <v>5.424706843E9</v>
      </c>
      <c r="M1030" s="18" t="s">
        <v>137</v>
      </c>
      <c r="N1030" s="18" t="s">
        <v>1524</v>
      </c>
      <c r="O1030" s="18" t="s">
        <v>2422</v>
      </c>
      <c r="P1030" s="18" t="s">
        <v>7041</v>
      </c>
      <c r="Q1030" s="20">
        <f>COUNTIF('Hedef Liste'!A:A,A1030)</f>
        <v>1</v>
      </c>
    </row>
    <row r="1031" ht="15.75" hidden="1" customHeight="1">
      <c r="A1031" s="18" t="s">
        <v>2103</v>
      </c>
      <c r="B1031" s="18" t="s">
        <v>2104</v>
      </c>
      <c r="C1031" s="358" t="s">
        <v>7040</v>
      </c>
      <c r="D1031" s="18" t="s">
        <v>70</v>
      </c>
      <c r="E1031" s="359">
        <v>409.0</v>
      </c>
      <c r="F1031" s="18"/>
      <c r="G1031" s="359">
        <v>5.0</v>
      </c>
      <c r="H1031" s="359">
        <v>5.0</v>
      </c>
      <c r="I1031" s="359">
        <v>10.0</v>
      </c>
      <c r="J1031" s="360">
        <v>0.5</v>
      </c>
      <c r="K1031" s="18" t="s">
        <v>2105</v>
      </c>
      <c r="L1031" s="18">
        <v>3.244000001E9</v>
      </c>
      <c r="M1031" s="18" t="s">
        <v>63</v>
      </c>
      <c r="N1031" s="18" t="s">
        <v>318</v>
      </c>
      <c r="O1031" s="18" t="s">
        <v>2106</v>
      </c>
      <c r="P1031" s="18" t="s">
        <v>7041</v>
      </c>
      <c r="Q1031" s="20">
        <f>COUNTIF('Hedef Liste'!A:A,A1031)</f>
        <v>1</v>
      </c>
    </row>
    <row r="1032" ht="15.75" hidden="1" customHeight="1">
      <c r="A1032" s="18" t="s">
        <v>1569</v>
      </c>
      <c r="B1032" s="18" t="s">
        <v>1570</v>
      </c>
      <c r="C1032" s="358" t="s">
        <v>7062</v>
      </c>
      <c r="D1032" s="18" t="s">
        <v>61</v>
      </c>
      <c r="E1032" s="359">
        <v>540.0</v>
      </c>
      <c r="F1032" s="18"/>
      <c r="G1032" s="359">
        <v>8.0</v>
      </c>
      <c r="H1032" s="359">
        <v>1.0</v>
      </c>
      <c r="I1032" s="359">
        <v>9.0</v>
      </c>
      <c r="J1032" s="360">
        <v>0.89</v>
      </c>
      <c r="K1032" s="18" t="s">
        <v>1571</v>
      </c>
      <c r="L1032" s="18">
        <v>5.451230002E9</v>
      </c>
      <c r="M1032" s="18" t="s">
        <v>63</v>
      </c>
      <c r="N1032" s="18" t="s">
        <v>100</v>
      </c>
      <c r="O1032" s="18" t="s">
        <v>1572</v>
      </c>
      <c r="P1032" s="18" t="s">
        <v>7041</v>
      </c>
      <c r="Q1032" s="20">
        <f>COUNTIF('Hedef Liste'!A:A,A1032)</f>
        <v>1</v>
      </c>
    </row>
    <row r="1033" ht="15.75" hidden="1" customHeight="1">
      <c r="A1033" s="18" t="s">
        <v>4708</v>
      </c>
      <c r="B1033" s="18" t="s">
        <v>4709</v>
      </c>
      <c r="C1033" s="358" t="s">
        <v>7040</v>
      </c>
      <c r="D1033" s="18" t="s">
        <v>80</v>
      </c>
      <c r="E1033" s="359">
        <v>299.0</v>
      </c>
      <c r="F1033" s="359">
        <v>17.0</v>
      </c>
      <c r="G1033" s="359">
        <v>0.0</v>
      </c>
      <c r="H1033" s="359">
        <v>9.0</v>
      </c>
      <c r="I1033" s="359">
        <v>9.0</v>
      </c>
      <c r="J1033" s="360">
        <v>0.0</v>
      </c>
      <c r="K1033" s="18" t="s">
        <v>4710</v>
      </c>
      <c r="L1033" s="18">
        <v>5.355517707E9</v>
      </c>
      <c r="M1033" s="18" t="s">
        <v>47</v>
      </c>
      <c r="N1033" s="18" t="s">
        <v>365</v>
      </c>
      <c r="O1033" s="18" t="s">
        <v>4711</v>
      </c>
      <c r="P1033" s="18" t="s">
        <v>7041</v>
      </c>
      <c r="Q1033" s="20">
        <f>COUNTIF('Hedef Liste'!A:A,A1033)</f>
        <v>1</v>
      </c>
    </row>
    <row r="1034" ht="15.75" hidden="1" customHeight="1">
      <c r="A1034" s="18" t="s">
        <v>224</v>
      </c>
      <c r="B1034" s="18" t="s">
        <v>225</v>
      </c>
      <c r="C1034" s="358" t="s">
        <v>7062</v>
      </c>
      <c r="D1034" s="18" t="s">
        <v>167</v>
      </c>
      <c r="E1034" s="359">
        <v>73.0</v>
      </c>
      <c r="F1034" s="18"/>
      <c r="G1034" s="359">
        <v>7.0</v>
      </c>
      <c r="H1034" s="359">
        <v>0.0</v>
      </c>
      <c r="I1034" s="359">
        <v>7.0</v>
      </c>
      <c r="J1034" s="360">
        <v>1.0</v>
      </c>
      <c r="K1034" s="18" t="s">
        <v>226</v>
      </c>
      <c r="L1034" s="18">
        <v>5.526039802E9</v>
      </c>
      <c r="M1034" s="18" t="s">
        <v>215</v>
      </c>
      <c r="N1034" s="18" t="s">
        <v>227</v>
      </c>
      <c r="O1034" s="18" t="s">
        <v>228</v>
      </c>
      <c r="P1034" s="18" t="s">
        <v>7041</v>
      </c>
      <c r="Q1034" s="20">
        <f>COUNTIF('Hedef Liste'!A:A,A1034)</f>
        <v>1</v>
      </c>
    </row>
    <row r="1035" ht="15.75" hidden="1" customHeight="1">
      <c r="A1035" s="18" t="s">
        <v>786</v>
      </c>
      <c r="B1035" s="18" t="s">
        <v>787</v>
      </c>
      <c r="C1035" s="358" t="s">
        <v>7040</v>
      </c>
      <c r="D1035" s="18" t="s">
        <v>80</v>
      </c>
      <c r="E1035" s="359">
        <v>7.0</v>
      </c>
      <c r="F1035" s="18"/>
      <c r="G1035" s="359">
        <v>4.0</v>
      </c>
      <c r="H1035" s="359">
        <v>8.0</v>
      </c>
      <c r="I1035" s="359">
        <v>12.0</v>
      </c>
      <c r="J1035" s="360">
        <v>0.33</v>
      </c>
      <c r="K1035" s="18" t="s">
        <v>788</v>
      </c>
      <c r="L1035" s="18">
        <v>5.416488863E9</v>
      </c>
      <c r="M1035" s="18" t="s">
        <v>215</v>
      </c>
      <c r="N1035" s="18" t="s">
        <v>789</v>
      </c>
      <c r="O1035" s="18" t="s">
        <v>790</v>
      </c>
      <c r="P1035" s="18" t="s">
        <v>7041</v>
      </c>
      <c r="Q1035" s="20">
        <f>COUNTIF('Hedef Liste'!A:A,A1035)</f>
        <v>1</v>
      </c>
    </row>
    <row r="1036" ht="15.75" hidden="1" customHeight="1">
      <c r="A1036" s="18" t="s">
        <v>1531</v>
      </c>
      <c r="B1036" s="18" t="s">
        <v>1532</v>
      </c>
      <c r="C1036" s="358" t="s">
        <v>7040</v>
      </c>
      <c r="D1036" s="18" t="s">
        <v>70</v>
      </c>
      <c r="E1036" s="359">
        <v>706.0</v>
      </c>
      <c r="F1036" s="359">
        <v>51.0</v>
      </c>
      <c r="G1036" s="359">
        <v>1.0</v>
      </c>
      <c r="H1036" s="359">
        <v>11.0</v>
      </c>
      <c r="I1036" s="359">
        <v>12.0</v>
      </c>
      <c r="J1036" s="360">
        <v>0.08</v>
      </c>
      <c r="K1036" s="18" t="s">
        <v>1529</v>
      </c>
      <c r="L1036" s="18">
        <v>5.337140544E9</v>
      </c>
      <c r="M1036" s="18" t="s">
        <v>187</v>
      </c>
      <c r="N1036" s="18" t="s">
        <v>1533</v>
      </c>
      <c r="O1036" s="18" t="s">
        <v>1534</v>
      </c>
      <c r="P1036" s="18" t="s">
        <v>7041</v>
      </c>
      <c r="Q1036" s="20">
        <f>COUNTIF('Hedef Liste'!A:A,A1036)</f>
        <v>1</v>
      </c>
    </row>
    <row r="1037" ht="15.75" hidden="1" customHeight="1">
      <c r="A1037" s="18" t="s">
        <v>1427</v>
      </c>
      <c r="B1037" s="18" t="s">
        <v>1428</v>
      </c>
      <c r="C1037" s="358" t="s">
        <v>7040</v>
      </c>
      <c r="D1037" s="18" t="s">
        <v>167</v>
      </c>
      <c r="E1037" s="359">
        <v>296.0</v>
      </c>
      <c r="F1037" s="359">
        <v>50.0</v>
      </c>
      <c r="G1037" s="359">
        <v>0.0</v>
      </c>
      <c r="H1037" s="359">
        <v>16.0</v>
      </c>
      <c r="I1037" s="359">
        <v>16.0</v>
      </c>
      <c r="J1037" s="360">
        <v>0.0</v>
      </c>
      <c r="K1037" s="18" t="s">
        <v>1429</v>
      </c>
      <c r="L1037" s="18">
        <v>5.411474944E9</v>
      </c>
      <c r="M1037" s="18" t="s">
        <v>63</v>
      </c>
      <c r="N1037" s="18" t="s">
        <v>1148</v>
      </c>
      <c r="O1037" s="18" t="s">
        <v>1430</v>
      </c>
      <c r="P1037" s="18" t="s">
        <v>7041</v>
      </c>
      <c r="Q1037" s="20">
        <f>COUNTIF('Hedef Liste'!A:A,A1037)</f>
        <v>1</v>
      </c>
    </row>
    <row r="1038" ht="15.75" hidden="1" customHeight="1">
      <c r="A1038" s="18" t="s">
        <v>2009</v>
      </c>
      <c r="B1038" s="18" t="s">
        <v>2010</v>
      </c>
      <c r="C1038" s="358" t="s">
        <v>7040</v>
      </c>
      <c r="D1038" s="18" t="s">
        <v>118</v>
      </c>
      <c r="E1038" s="359">
        <v>155.0</v>
      </c>
      <c r="F1038" s="359">
        <v>26.0</v>
      </c>
      <c r="G1038" s="359">
        <v>6.0</v>
      </c>
      <c r="H1038" s="359">
        <v>9.0</v>
      </c>
      <c r="I1038" s="359">
        <v>15.0</v>
      </c>
      <c r="J1038" s="360">
        <v>0.4</v>
      </c>
      <c r="K1038" s="18" t="s">
        <v>2011</v>
      </c>
      <c r="L1038" s="18">
        <v>5.448742727E9</v>
      </c>
      <c r="M1038" s="18" t="s">
        <v>137</v>
      </c>
      <c r="N1038" s="18" t="s">
        <v>209</v>
      </c>
      <c r="O1038" s="18" t="s">
        <v>2012</v>
      </c>
      <c r="P1038" s="18" t="s">
        <v>7041</v>
      </c>
      <c r="Q1038" s="20">
        <f>COUNTIF('Hedef Liste'!A:A,A1038)</f>
        <v>1</v>
      </c>
    </row>
    <row r="1039" ht="15.75" hidden="1" customHeight="1">
      <c r="A1039" s="18" t="s">
        <v>1394</v>
      </c>
      <c r="B1039" s="18" t="s">
        <v>1391</v>
      </c>
      <c r="C1039" s="358" t="s">
        <v>7040</v>
      </c>
      <c r="D1039" s="18" t="s">
        <v>167</v>
      </c>
      <c r="E1039" s="359">
        <v>49.0</v>
      </c>
      <c r="F1039" s="359">
        <v>9.0</v>
      </c>
      <c r="G1039" s="359">
        <v>4.0</v>
      </c>
      <c r="H1039" s="359">
        <v>3.0</v>
      </c>
      <c r="I1039" s="359">
        <v>7.0</v>
      </c>
      <c r="J1039" s="360">
        <v>0.57</v>
      </c>
      <c r="K1039" s="18" t="s">
        <v>1395</v>
      </c>
      <c r="L1039" s="18">
        <v>5.386183302E9</v>
      </c>
      <c r="M1039" s="18" t="s">
        <v>215</v>
      </c>
      <c r="N1039" s="18" t="s">
        <v>263</v>
      </c>
      <c r="O1039" s="18" t="s">
        <v>1396</v>
      </c>
      <c r="P1039" s="18" t="s">
        <v>7041</v>
      </c>
      <c r="Q1039" s="20">
        <f>COUNTIF('Hedef Liste'!A:A,A1039)</f>
        <v>1</v>
      </c>
    </row>
    <row r="1040" ht="15.75" hidden="1" customHeight="1">
      <c r="A1040" s="18" t="s">
        <v>7605</v>
      </c>
      <c r="B1040" s="18" t="s">
        <v>6468</v>
      </c>
      <c r="C1040" s="358" t="s">
        <v>7040</v>
      </c>
      <c r="D1040" s="18" t="s">
        <v>70</v>
      </c>
      <c r="E1040" s="359">
        <v>504.0</v>
      </c>
      <c r="F1040" s="18"/>
      <c r="G1040" s="359">
        <v>11.0</v>
      </c>
      <c r="H1040" s="359">
        <v>7.0</v>
      </c>
      <c r="I1040" s="359">
        <v>18.0</v>
      </c>
      <c r="J1040" s="360">
        <v>0.61</v>
      </c>
      <c r="K1040" s="18" t="s">
        <v>4346</v>
      </c>
      <c r="L1040" s="18">
        <v>5.452100033E9</v>
      </c>
      <c r="M1040" s="18" t="s">
        <v>72</v>
      </c>
      <c r="N1040" s="18" t="s">
        <v>128</v>
      </c>
      <c r="O1040" s="18" t="s">
        <v>6471</v>
      </c>
      <c r="P1040" s="18" t="s">
        <v>7041</v>
      </c>
      <c r="Q1040" s="20">
        <f>COUNTIF('Hedef Liste'!A:A,A1040)</f>
        <v>0</v>
      </c>
    </row>
    <row r="1041" ht="15.75" hidden="1" customHeight="1">
      <c r="A1041" s="18" t="s">
        <v>556</v>
      </c>
      <c r="B1041" s="18" t="s">
        <v>557</v>
      </c>
      <c r="C1041" s="358" t="s">
        <v>7040</v>
      </c>
      <c r="D1041" s="18" t="s">
        <v>558</v>
      </c>
      <c r="E1041" s="359">
        <v>5.0</v>
      </c>
      <c r="F1041" s="359">
        <v>1.0</v>
      </c>
      <c r="G1041" s="359">
        <v>33.0</v>
      </c>
      <c r="H1041" s="359">
        <v>12.0</v>
      </c>
      <c r="I1041" s="359">
        <v>45.0</v>
      </c>
      <c r="J1041" s="360">
        <v>0.73</v>
      </c>
      <c r="K1041" s="18" t="s">
        <v>559</v>
      </c>
      <c r="L1041" s="18">
        <v>5.053366098E9</v>
      </c>
      <c r="M1041" s="18" t="s">
        <v>215</v>
      </c>
      <c r="N1041" s="18" t="s">
        <v>560</v>
      </c>
      <c r="O1041" s="18" t="s">
        <v>561</v>
      </c>
      <c r="P1041" s="18" t="s">
        <v>7041</v>
      </c>
      <c r="Q1041" s="20">
        <f>COUNTIF('Hedef Liste'!A:A,A1041)</f>
        <v>1</v>
      </c>
    </row>
    <row r="1042" ht="15.75" hidden="1" customHeight="1">
      <c r="A1042" s="18" t="s">
        <v>4476</v>
      </c>
      <c r="B1042" s="18" t="s">
        <v>4477</v>
      </c>
      <c r="C1042" s="358" t="s">
        <v>7040</v>
      </c>
      <c r="D1042" s="18" t="s">
        <v>45</v>
      </c>
      <c r="E1042" s="359">
        <v>454.0</v>
      </c>
      <c r="F1042" s="359">
        <v>35.0</v>
      </c>
      <c r="G1042" s="359">
        <v>26.0</v>
      </c>
      <c r="H1042" s="359">
        <v>1.0</v>
      </c>
      <c r="I1042" s="359">
        <v>27.0</v>
      </c>
      <c r="J1042" s="360">
        <v>0.96</v>
      </c>
      <c r="K1042" s="18" t="s">
        <v>4478</v>
      </c>
      <c r="L1042" s="18">
        <v>5.36765856E9</v>
      </c>
      <c r="M1042" s="18" t="s">
        <v>72</v>
      </c>
      <c r="N1042" s="18" t="s">
        <v>128</v>
      </c>
      <c r="O1042" s="18" t="s">
        <v>4479</v>
      </c>
      <c r="P1042" s="18" t="s">
        <v>7041</v>
      </c>
      <c r="Q1042" s="20">
        <f>COUNTIF('Hedef Liste'!A:A,A1042)</f>
        <v>1</v>
      </c>
    </row>
    <row r="1043" ht="15.75" hidden="1" customHeight="1">
      <c r="A1043" s="18" t="s">
        <v>4010</v>
      </c>
      <c r="B1043" s="18" t="s">
        <v>4011</v>
      </c>
      <c r="C1043" s="358" t="s">
        <v>7040</v>
      </c>
      <c r="D1043" s="18" t="s">
        <v>80</v>
      </c>
      <c r="E1043" s="359">
        <v>607.0</v>
      </c>
      <c r="F1043" s="359">
        <v>28.0</v>
      </c>
      <c r="G1043" s="359">
        <v>6.0</v>
      </c>
      <c r="H1043" s="359">
        <v>9.0</v>
      </c>
      <c r="I1043" s="359">
        <v>15.0</v>
      </c>
      <c r="J1043" s="360">
        <v>0.4</v>
      </c>
      <c r="K1043" s="18" t="s">
        <v>4012</v>
      </c>
      <c r="L1043" s="18">
        <v>3.243277677E9</v>
      </c>
      <c r="M1043" s="18" t="s">
        <v>72</v>
      </c>
      <c r="N1043" s="18" t="s">
        <v>73</v>
      </c>
      <c r="O1043" s="18" t="s">
        <v>4013</v>
      </c>
      <c r="P1043" s="18" t="s">
        <v>7041</v>
      </c>
      <c r="Q1043" s="20">
        <f>COUNTIF('Hedef Liste'!A:A,A1043)</f>
        <v>1</v>
      </c>
    </row>
    <row r="1044" ht="15.75" hidden="1" customHeight="1">
      <c r="A1044" s="18" t="s">
        <v>260</v>
      </c>
      <c r="B1044" s="18" t="s">
        <v>261</v>
      </c>
      <c r="C1044" s="358" t="s">
        <v>7062</v>
      </c>
      <c r="D1044" s="18" t="s">
        <v>167</v>
      </c>
      <c r="E1044" s="18"/>
      <c r="F1044" s="18"/>
      <c r="G1044" s="359">
        <v>0.0</v>
      </c>
      <c r="H1044" s="359">
        <v>8.0</v>
      </c>
      <c r="I1044" s="359">
        <v>8.0</v>
      </c>
      <c r="J1044" s="360">
        <v>0.0</v>
      </c>
      <c r="K1044" s="18" t="s">
        <v>262</v>
      </c>
      <c r="L1044" s="18">
        <v>3.243207037E9</v>
      </c>
      <c r="M1044" s="18" t="s">
        <v>215</v>
      </c>
      <c r="N1044" s="18" t="s">
        <v>263</v>
      </c>
      <c r="O1044" s="18" t="s">
        <v>264</v>
      </c>
      <c r="P1044" s="18" t="s">
        <v>7041</v>
      </c>
      <c r="Q1044" s="20">
        <f>COUNTIF('Hedef Liste'!A:A,A1044)</f>
        <v>1</v>
      </c>
    </row>
    <row r="1045" ht="15.75" hidden="1" customHeight="1">
      <c r="A1045" s="18" t="s">
        <v>172</v>
      </c>
      <c r="B1045" s="18" t="s">
        <v>173</v>
      </c>
      <c r="C1045" s="358" t="s">
        <v>7040</v>
      </c>
      <c r="D1045" s="18" t="s">
        <v>70</v>
      </c>
      <c r="E1045" s="359">
        <v>87.0</v>
      </c>
      <c r="F1045" s="18"/>
      <c r="G1045" s="359">
        <v>7.0</v>
      </c>
      <c r="H1045" s="359">
        <v>14.0</v>
      </c>
      <c r="I1045" s="359">
        <v>21.0</v>
      </c>
      <c r="J1045" s="360">
        <v>0.33</v>
      </c>
      <c r="K1045" s="18" t="s">
        <v>174</v>
      </c>
      <c r="L1045" s="18">
        <v>5.528689353E9</v>
      </c>
      <c r="M1045" s="18" t="s">
        <v>137</v>
      </c>
      <c r="N1045" s="18" t="s">
        <v>175</v>
      </c>
      <c r="O1045" s="18" t="s">
        <v>176</v>
      </c>
      <c r="P1045" s="18" t="s">
        <v>7041</v>
      </c>
      <c r="Q1045" s="20">
        <f>COUNTIF('Hedef Liste'!A:A,A1045)</f>
        <v>1</v>
      </c>
    </row>
    <row r="1046" ht="15.75" hidden="1" customHeight="1">
      <c r="A1046" s="18" t="s">
        <v>2470</v>
      </c>
      <c r="B1046" s="18" t="s">
        <v>2471</v>
      </c>
      <c r="C1046" s="358" t="s">
        <v>7040</v>
      </c>
      <c r="D1046" s="18" t="s">
        <v>167</v>
      </c>
      <c r="E1046" s="359">
        <v>4.0</v>
      </c>
      <c r="F1046" s="18"/>
      <c r="G1046" s="359">
        <v>0.0</v>
      </c>
      <c r="H1046" s="359">
        <v>14.0</v>
      </c>
      <c r="I1046" s="359">
        <v>14.0</v>
      </c>
      <c r="J1046" s="360">
        <v>0.0</v>
      </c>
      <c r="K1046" s="18" t="s">
        <v>2472</v>
      </c>
      <c r="L1046" s="18">
        <v>5.374924233E9</v>
      </c>
      <c r="M1046" s="18" t="s">
        <v>137</v>
      </c>
      <c r="N1046" s="18" t="s">
        <v>845</v>
      </c>
      <c r="O1046" s="18" t="s">
        <v>2473</v>
      </c>
      <c r="P1046" s="18" t="s">
        <v>7041</v>
      </c>
      <c r="Q1046" s="20">
        <f>COUNTIF('Hedef Liste'!A:A,A1046)</f>
        <v>1</v>
      </c>
    </row>
    <row r="1047" ht="15.75" hidden="1" customHeight="1">
      <c r="A1047" s="18" t="s">
        <v>2215</v>
      </c>
      <c r="B1047" s="18" t="s">
        <v>2216</v>
      </c>
      <c r="C1047" s="358" t="s">
        <v>7040</v>
      </c>
      <c r="D1047" s="18" t="s">
        <v>80</v>
      </c>
      <c r="E1047" s="359">
        <v>103.0</v>
      </c>
      <c r="F1047" s="359">
        <v>7.0</v>
      </c>
      <c r="G1047" s="359">
        <v>0.0</v>
      </c>
      <c r="H1047" s="359">
        <v>12.0</v>
      </c>
      <c r="I1047" s="359">
        <v>12.0</v>
      </c>
      <c r="J1047" s="360">
        <v>0.0</v>
      </c>
      <c r="K1047" s="18" t="s">
        <v>2217</v>
      </c>
      <c r="L1047" s="18">
        <v>3.243225655E9</v>
      </c>
      <c r="M1047" s="18" t="s">
        <v>215</v>
      </c>
      <c r="N1047" s="18" t="s">
        <v>263</v>
      </c>
      <c r="O1047" s="18" t="s">
        <v>2218</v>
      </c>
      <c r="P1047" s="18" t="s">
        <v>7041</v>
      </c>
      <c r="Q1047" s="20">
        <f>COUNTIF('Hedef Liste'!A:A,A1047)</f>
        <v>1</v>
      </c>
    </row>
    <row r="1048" ht="15.75" hidden="1" customHeight="1">
      <c r="A1048" s="18" t="s">
        <v>2334</v>
      </c>
      <c r="B1048" s="18" t="s">
        <v>2330</v>
      </c>
      <c r="C1048" s="358" t="s">
        <v>7040</v>
      </c>
      <c r="D1048" s="18" t="s">
        <v>80</v>
      </c>
      <c r="E1048" s="359">
        <v>692.0</v>
      </c>
      <c r="F1048" s="359">
        <v>87.0</v>
      </c>
      <c r="G1048" s="359">
        <v>9.0</v>
      </c>
      <c r="H1048" s="359">
        <v>6.0</v>
      </c>
      <c r="I1048" s="359">
        <v>15.0</v>
      </c>
      <c r="J1048" s="361">
        <v>0.6</v>
      </c>
      <c r="K1048" s="18" t="s">
        <v>2335</v>
      </c>
      <c r="L1048" s="18">
        <v>3.243262379E9</v>
      </c>
      <c r="M1048" s="18" t="s">
        <v>72</v>
      </c>
      <c r="N1048" s="18" t="s">
        <v>73</v>
      </c>
      <c r="O1048" s="18" t="s">
        <v>2336</v>
      </c>
      <c r="P1048" s="18" t="s">
        <v>7041</v>
      </c>
      <c r="Q1048" s="20">
        <f>COUNTIF('Hedef Liste'!A:A,A1048)</f>
        <v>1</v>
      </c>
    </row>
    <row r="1049" ht="15.75" hidden="1" customHeight="1">
      <c r="A1049" s="18" t="s">
        <v>807</v>
      </c>
      <c r="B1049" s="18" t="s">
        <v>808</v>
      </c>
      <c r="C1049" s="358" t="s">
        <v>7040</v>
      </c>
      <c r="D1049" s="18" t="s">
        <v>80</v>
      </c>
      <c r="E1049" s="359">
        <v>32.0</v>
      </c>
      <c r="F1049" s="359">
        <v>16.0</v>
      </c>
      <c r="G1049" s="359">
        <v>12.0</v>
      </c>
      <c r="H1049" s="359">
        <v>3.0</v>
      </c>
      <c r="I1049" s="359">
        <v>15.0</v>
      </c>
      <c r="J1049" s="360">
        <v>0.8</v>
      </c>
      <c r="K1049" s="18" t="s">
        <v>809</v>
      </c>
      <c r="L1049" s="18">
        <v>5.525996933E9</v>
      </c>
      <c r="M1049" s="18" t="s">
        <v>72</v>
      </c>
      <c r="N1049" s="18" t="s">
        <v>810</v>
      </c>
      <c r="O1049" s="18" t="s">
        <v>811</v>
      </c>
      <c r="P1049" s="18" t="s">
        <v>7041</v>
      </c>
      <c r="Q1049" s="20">
        <f>COUNTIF('Hedef Liste'!A:A,A1049)</f>
        <v>1</v>
      </c>
    </row>
    <row r="1050" ht="15.75" hidden="1" customHeight="1">
      <c r="A1050" s="18" t="s">
        <v>1650</v>
      </c>
      <c r="B1050" s="18" t="s">
        <v>1651</v>
      </c>
      <c r="C1050" s="358" t="s">
        <v>7040</v>
      </c>
      <c r="D1050" s="18" t="s">
        <v>70</v>
      </c>
      <c r="E1050" s="359">
        <v>104.0</v>
      </c>
      <c r="F1050" s="359">
        <v>70.0</v>
      </c>
      <c r="G1050" s="359">
        <v>0.0</v>
      </c>
      <c r="H1050" s="359">
        <v>9.0</v>
      </c>
      <c r="I1050" s="359">
        <v>9.0</v>
      </c>
      <c r="J1050" s="360">
        <v>0.0</v>
      </c>
      <c r="K1050" s="18" t="s">
        <v>1652</v>
      </c>
      <c r="L1050" s="18">
        <v>5.36231516E9</v>
      </c>
      <c r="M1050" s="18" t="s">
        <v>47</v>
      </c>
      <c r="N1050" s="18" t="s">
        <v>48</v>
      </c>
      <c r="O1050" s="18" t="s">
        <v>1653</v>
      </c>
      <c r="P1050" s="18" t="s">
        <v>7041</v>
      </c>
      <c r="Q1050" s="20">
        <f>COUNTIF('Hedef Liste'!A:A,A1050)</f>
        <v>1</v>
      </c>
    </row>
    <row r="1051" ht="15.75" hidden="1" customHeight="1">
      <c r="A1051" s="18" t="s">
        <v>7606</v>
      </c>
      <c r="B1051" s="18" t="s">
        <v>7607</v>
      </c>
      <c r="C1051" s="358" t="s">
        <v>7040</v>
      </c>
      <c r="D1051" s="18" t="s">
        <v>70</v>
      </c>
      <c r="E1051" s="359">
        <v>101.0</v>
      </c>
      <c r="F1051" s="18"/>
      <c r="G1051" s="359">
        <v>9.0</v>
      </c>
      <c r="H1051" s="359">
        <v>3.0</v>
      </c>
      <c r="I1051" s="359">
        <v>12.0</v>
      </c>
      <c r="J1051" s="360">
        <v>0.75</v>
      </c>
      <c r="K1051" s="18" t="s">
        <v>7608</v>
      </c>
      <c r="L1051" s="18">
        <v>3.242904445E9</v>
      </c>
      <c r="M1051" s="18" t="s">
        <v>63</v>
      </c>
      <c r="N1051" s="18" t="s">
        <v>93</v>
      </c>
      <c r="O1051" s="18" t="s">
        <v>7609</v>
      </c>
      <c r="P1051" s="18" t="s">
        <v>7041</v>
      </c>
      <c r="Q1051" s="20">
        <f>COUNTIF('Hedef Liste'!A:A,A1051)</f>
        <v>0</v>
      </c>
    </row>
    <row r="1052" ht="15.75" hidden="1" customHeight="1">
      <c r="A1052" s="18" t="s">
        <v>1415</v>
      </c>
      <c r="B1052" s="18" t="s">
        <v>1416</v>
      </c>
      <c r="C1052" s="358" t="s">
        <v>7040</v>
      </c>
      <c r="D1052" s="18" t="s">
        <v>167</v>
      </c>
      <c r="E1052" s="359">
        <v>436.0</v>
      </c>
      <c r="F1052" s="359">
        <v>14.0</v>
      </c>
      <c r="G1052" s="359">
        <v>8.0</v>
      </c>
      <c r="H1052" s="359">
        <v>12.0</v>
      </c>
      <c r="I1052" s="359">
        <v>20.0</v>
      </c>
      <c r="J1052" s="360">
        <v>0.4</v>
      </c>
      <c r="K1052" s="18" t="s">
        <v>1417</v>
      </c>
      <c r="L1052" s="18">
        <v>5.558950496E9</v>
      </c>
      <c r="M1052" s="18" t="s">
        <v>47</v>
      </c>
      <c r="N1052" s="18" t="s">
        <v>489</v>
      </c>
      <c r="O1052" s="18" t="s">
        <v>1418</v>
      </c>
      <c r="P1052" s="18" t="s">
        <v>7041</v>
      </c>
      <c r="Q1052" s="20">
        <f>COUNTIF('Hedef Liste'!A:A,A1052)</f>
        <v>1</v>
      </c>
    </row>
    <row r="1053" ht="15.75" hidden="1" customHeight="1">
      <c r="A1053" s="18" t="s">
        <v>1517</v>
      </c>
      <c r="B1053" s="18" t="s">
        <v>1518</v>
      </c>
      <c r="C1053" s="358" t="s">
        <v>7062</v>
      </c>
      <c r="D1053" s="18" t="s">
        <v>80</v>
      </c>
      <c r="E1053" s="359">
        <v>1063.0</v>
      </c>
      <c r="F1053" s="18"/>
      <c r="G1053" s="359">
        <v>7.0</v>
      </c>
      <c r="H1053" s="359">
        <v>0.0</v>
      </c>
      <c r="I1053" s="359">
        <v>7.0</v>
      </c>
      <c r="J1053" s="360">
        <v>1.0</v>
      </c>
      <c r="K1053" s="18" t="s">
        <v>1519</v>
      </c>
      <c r="L1053" s="18">
        <v>3.245041127E9</v>
      </c>
      <c r="M1053" s="18" t="s">
        <v>72</v>
      </c>
      <c r="N1053" s="18" t="s">
        <v>82</v>
      </c>
      <c r="O1053" s="18" t="s">
        <v>1520</v>
      </c>
      <c r="P1053" s="18" t="s">
        <v>7041</v>
      </c>
      <c r="Q1053" s="20">
        <f>COUNTIF('Hedef Liste'!A:A,A1053)</f>
        <v>1</v>
      </c>
    </row>
    <row r="1054" ht="15.75" hidden="1" customHeight="1">
      <c r="A1054" s="18" t="s">
        <v>4808</v>
      </c>
      <c r="B1054" s="18" t="s">
        <v>4809</v>
      </c>
      <c r="C1054" s="358" t="s">
        <v>7040</v>
      </c>
      <c r="D1054" s="18" t="s">
        <v>356</v>
      </c>
      <c r="F1054" s="18"/>
      <c r="G1054" s="359">
        <v>16.0</v>
      </c>
      <c r="H1054" s="359">
        <v>0.0</v>
      </c>
      <c r="I1054" s="359">
        <v>16.0</v>
      </c>
      <c r="J1054" s="360">
        <v>1.0</v>
      </c>
      <c r="K1054" s="18" t="s">
        <v>4810</v>
      </c>
      <c r="L1054" s="18">
        <v>5.36423643E9</v>
      </c>
      <c r="M1054" s="18" t="s">
        <v>63</v>
      </c>
      <c r="N1054" s="18" t="s">
        <v>678</v>
      </c>
      <c r="O1054" s="18" t="s">
        <v>4811</v>
      </c>
      <c r="P1054" s="18" t="s">
        <v>7041</v>
      </c>
      <c r="Q1054" s="20">
        <f>COUNTIF('Hedef Liste'!A:A,A1054)</f>
        <v>1</v>
      </c>
    </row>
    <row r="1055" ht="15.75" hidden="1" customHeight="1">
      <c r="A1055" s="18" t="s">
        <v>1504</v>
      </c>
      <c r="B1055" s="18" t="s">
        <v>1505</v>
      </c>
      <c r="C1055" s="358" t="s">
        <v>7040</v>
      </c>
      <c r="D1055" s="18" t="s">
        <v>913</v>
      </c>
      <c r="E1055" s="359">
        <v>176.0</v>
      </c>
      <c r="F1055" s="18"/>
      <c r="G1055" s="359">
        <v>0.0</v>
      </c>
      <c r="H1055" s="359">
        <v>9.0</v>
      </c>
      <c r="I1055" s="359">
        <v>9.0</v>
      </c>
      <c r="J1055" s="360">
        <v>0.0</v>
      </c>
      <c r="K1055" s="18" t="s">
        <v>1506</v>
      </c>
      <c r="L1055" s="18">
        <v>5.453922199E9</v>
      </c>
      <c r="M1055" s="18" t="s">
        <v>47</v>
      </c>
      <c r="N1055" s="18" t="s">
        <v>489</v>
      </c>
      <c r="O1055" s="18" t="s">
        <v>1507</v>
      </c>
      <c r="P1055" s="18" t="s">
        <v>7041</v>
      </c>
      <c r="Q1055" s="20">
        <f>COUNTIF('Hedef Liste'!A:A,A1055)</f>
        <v>1</v>
      </c>
    </row>
    <row r="1056" ht="15.75" hidden="1" customHeight="1">
      <c r="A1056" s="18" t="s">
        <v>1093</v>
      </c>
      <c r="B1056" s="18" t="s">
        <v>1094</v>
      </c>
      <c r="C1056" s="358" t="s">
        <v>7040</v>
      </c>
      <c r="D1056" s="18" t="s">
        <v>61</v>
      </c>
      <c r="E1056" s="359">
        <v>1742.0</v>
      </c>
      <c r="F1056" s="359">
        <v>80.0</v>
      </c>
      <c r="G1056" s="359">
        <v>5.0</v>
      </c>
      <c r="H1056" s="359">
        <v>6.0</v>
      </c>
      <c r="I1056" s="359">
        <v>11.0</v>
      </c>
      <c r="J1056" s="360">
        <v>0.45</v>
      </c>
      <c r="K1056" s="18" t="s">
        <v>1095</v>
      </c>
      <c r="L1056" s="18">
        <v>5.301207959E9</v>
      </c>
      <c r="M1056" s="18" t="s">
        <v>137</v>
      </c>
      <c r="N1056" s="18" t="s">
        <v>138</v>
      </c>
      <c r="O1056" s="18" t="s">
        <v>7610</v>
      </c>
      <c r="P1056" s="18" t="s">
        <v>7041</v>
      </c>
      <c r="Q1056" s="20">
        <f>COUNTIF('Hedef Liste'!A:A,A1056)</f>
        <v>1</v>
      </c>
    </row>
    <row r="1057" ht="15.75" hidden="1" customHeight="1">
      <c r="A1057" s="18" t="s">
        <v>7611</v>
      </c>
      <c r="B1057" s="18" t="s">
        <v>7612</v>
      </c>
      <c r="C1057" s="358" t="s">
        <v>7040</v>
      </c>
      <c r="D1057" s="18" t="s">
        <v>167</v>
      </c>
      <c r="E1057" s="359">
        <v>13.0</v>
      </c>
      <c r="F1057" s="359">
        <v>7.0</v>
      </c>
      <c r="G1057" s="359">
        <v>12.0</v>
      </c>
      <c r="H1057" s="359">
        <v>3.0</v>
      </c>
      <c r="I1057" s="359">
        <v>15.0</v>
      </c>
      <c r="J1057" s="361">
        <v>0.8</v>
      </c>
      <c r="K1057" s="18" t="s">
        <v>7613</v>
      </c>
      <c r="L1057" s="18">
        <v>5.073463696E9</v>
      </c>
      <c r="M1057" s="18" t="s">
        <v>72</v>
      </c>
      <c r="N1057" s="18" t="s">
        <v>352</v>
      </c>
      <c r="O1057" s="18" t="s">
        <v>7614</v>
      </c>
      <c r="P1057" s="18" t="s">
        <v>7041</v>
      </c>
      <c r="Q1057" s="20">
        <f>COUNTIF('Hedef Liste'!A:A,A1057)</f>
        <v>0</v>
      </c>
    </row>
    <row r="1058" ht="15.75" customHeight="1">
      <c r="A1058" s="18" t="s">
        <v>2589</v>
      </c>
      <c r="B1058" s="18" t="s">
        <v>2590</v>
      </c>
      <c r="C1058" s="358" t="s">
        <v>7040</v>
      </c>
      <c r="D1058" s="18" t="s">
        <v>70</v>
      </c>
      <c r="E1058" s="18"/>
      <c r="F1058" s="18"/>
      <c r="G1058" s="359">
        <v>0.0</v>
      </c>
      <c r="H1058" s="359">
        <v>27.0</v>
      </c>
      <c r="I1058" s="359">
        <v>27.0</v>
      </c>
      <c r="J1058" s="360">
        <v>0.0</v>
      </c>
      <c r="K1058" s="18" t="s">
        <v>2591</v>
      </c>
      <c r="L1058" s="18">
        <v>3.245020231E9</v>
      </c>
      <c r="M1058" s="18" t="s">
        <v>72</v>
      </c>
      <c r="N1058" s="18" t="s">
        <v>983</v>
      </c>
      <c r="O1058" s="18" t="s">
        <v>2592</v>
      </c>
      <c r="P1058" s="18" t="s">
        <v>7041</v>
      </c>
      <c r="Q1058" s="20">
        <f>COUNTIF('Hedef Liste'!A:A,A1058)</f>
        <v>1</v>
      </c>
    </row>
    <row r="1059" ht="15.75" customHeight="1">
      <c r="A1059" s="18" t="s">
        <v>985</v>
      </c>
      <c r="B1059" s="18" t="s">
        <v>986</v>
      </c>
      <c r="C1059" s="358" t="s">
        <v>7040</v>
      </c>
      <c r="D1059" s="18" t="s">
        <v>372</v>
      </c>
      <c r="E1059" s="359">
        <v>1.0</v>
      </c>
      <c r="F1059" s="359">
        <v>1.0</v>
      </c>
      <c r="G1059" s="359">
        <v>0.0</v>
      </c>
      <c r="H1059" s="359">
        <v>6.0</v>
      </c>
      <c r="I1059" s="359">
        <v>6.0</v>
      </c>
      <c r="J1059" s="360">
        <v>0.0</v>
      </c>
      <c r="K1059" s="18" t="s">
        <v>982</v>
      </c>
      <c r="L1059" s="18">
        <v>5.432145766E9</v>
      </c>
      <c r="M1059" s="18" t="s">
        <v>72</v>
      </c>
      <c r="N1059" s="18" t="s">
        <v>82</v>
      </c>
      <c r="O1059" s="18" t="s">
        <v>984</v>
      </c>
      <c r="P1059" s="18" t="s">
        <v>7041</v>
      </c>
      <c r="Q1059" s="20">
        <f>COUNTIF('Hedef Liste'!A:A,A1059)</f>
        <v>1</v>
      </c>
    </row>
    <row r="1060" ht="15.75" hidden="1" customHeight="1">
      <c r="A1060" s="18" t="s">
        <v>3078</v>
      </c>
      <c r="B1060" s="18" t="s">
        <v>3079</v>
      </c>
      <c r="C1060" s="358" t="s">
        <v>7040</v>
      </c>
      <c r="D1060" s="18" t="s">
        <v>80</v>
      </c>
      <c r="E1060" s="359">
        <v>4336.0</v>
      </c>
      <c r="F1060" s="359">
        <v>142.0</v>
      </c>
      <c r="G1060" s="359">
        <v>9.0</v>
      </c>
      <c r="H1060" s="359">
        <v>6.0</v>
      </c>
      <c r="I1060" s="359">
        <v>15.0</v>
      </c>
      <c r="J1060" s="360">
        <v>0.6</v>
      </c>
      <c r="K1060" s="18" t="s">
        <v>3080</v>
      </c>
      <c r="L1060" s="18">
        <v>3.243571114E9</v>
      </c>
      <c r="M1060" s="18" t="s">
        <v>63</v>
      </c>
      <c r="N1060" s="18" t="s">
        <v>566</v>
      </c>
      <c r="O1060" s="18" t="s">
        <v>3081</v>
      </c>
      <c r="P1060" s="18" t="s">
        <v>7041</v>
      </c>
      <c r="Q1060" s="20">
        <f>COUNTIF('Hedef Liste'!A:A,A1060)</f>
        <v>1</v>
      </c>
    </row>
    <row r="1061" ht="15.75" hidden="1" customHeight="1">
      <c r="A1061" s="18" t="s">
        <v>2323</v>
      </c>
      <c r="B1061" s="18" t="s">
        <v>2324</v>
      </c>
      <c r="C1061" s="358" t="s">
        <v>7040</v>
      </c>
      <c r="D1061" s="18" t="s">
        <v>80</v>
      </c>
      <c r="E1061" s="359">
        <v>1894.0</v>
      </c>
      <c r="F1061" s="359">
        <v>39.0</v>
      </c>
      <c r="G1061" s="359">
        <v>0.0</v>
      </c>
      <c r="H1061" s="359">
        <v>37.0</v>
      </c>
      <c r="I1061" s="359">
        <v>37.0</v>
      </c>
      <c r="J1061" s="360">
        <v>0.0</v>
      </c>
      <c r="K1061" s="18" t="s">
        <v>2325</v>
      </c>
      <c r="L1061" s="18">
        <v>5.438683302E9</v>
      </c>
      <c r="M1061" s="18" t="s">
        <v>63</v>
      </c>
      <c r="N1061" s="18" t="s">
        <v>100</v>
      </c>
      <c r="O1061" s="18" t="s">
        <v>2326</v>
      </c>
      <c r="P1061" s="18" t="s">
        <v>7041</v>
      </c>
      <c r="Q1061" s="20">
        <f>COUNTIF('Hedef Liste'!A:A,A1061)</f>
        <v>1</v>
      </c>
    </row>
    <row r="1062" ht="15.75" hidden="1" customHeight="1">
      <c r="A1062" s="18" t="s">
        <v>294</v>
      </c>
      <c r="B1062" s="18" t="s">
        <v>295</v>
      </c>
      <c r="C1062" s="358" t="s">
        <v>7040</v>
      </c>
      <c r="D1062" s="18" t="s">
        <v>167</v>
      </c>
      <c r="E1062" s="359">
        <v>79.0</v>
      </c>
      <c r="F1062" s="359">
        <v>76.0</v>
      </c>
      <c r="G1062" s="359">
        <v>0.0</v>
      </c>
      <c r="H1062" s="359">
        <v>10.0</v>
      </c>
      <c r="I1062" s="359">
        <v>10.0</v>
      </c>
      <c r="J1062" s="360">
        <v>0.0</v>
      </c>
      <c r="K1062" s="18" t="s">
        <v>296</v>
      </c>
      <c r="L1062" s="18">
        <v>3.246134373E9</v>
      </c>
      <c r="M1062" s="18" t="s">
        <v>156</v>
      </c>
      <c r="N1062" s="18" t="s">
        <v>252</v>
      </c>
      <c r="O1062" s="18" t="s">
        <v>297</v>
      </c>
      <c r="P1062" s="18" t="s">
        <v>7041</v>
      </c>
      <c r="Q1062" s="20">
        <f>COUNTIF('Hedef Liste'!A:A,A1062)</f>
        <v>1</v>
      </c>
    </row>
    <row r="1063" ht="15.75" hidden="1" customHeight="1">
      <c r="A1063" s="18" t="s">
        <v>4240</v>
      </c>
      <c r="B1063" s="18" t="s">
        <v>4241</v>
      </c>
      <c r="C1063" s="358" t="s">
        <v>7040</v>
      </c>
      <c r="D1063" s="18" t="s">
        <v>80</v>
      </c>
      <c r="E1063" s="359">
        <v>61.0</v>
      </c>
      <c r="F1063" s="359">
        <v>12.0</v>
      </c>
      <c r="G1063" s="359">
        <v>11.0</v>
      </c>
      <c r="H1063" s="359">
        <v>1.0</v>
      </c>
      <c r="I1063" s="359">
        <v>12.0</v>
      </c>
      <c r="J1063" s="360">
        <v>0.92</v>
      </c>
      <c r="K1063" s="18" t="s">
        <v>4242</v>
      </c>
      <c r="L1063" s="18">
        <v>3.243225133E9</v>
      </c>
      <c r="M1063" s="18" t="s">
        <v>215</v>
      </c>
      <c r="N1063" s="18" t="s">
        <v>789</v>
      </c>
      <c r="O1063" s="18" t="s">
        <v>4243</v>
      </c>
      <c r="P1063" s="18" t="s">
        <v>7041</v>
      </c>
      <c r="Q1063" s="20">
        <f>COUNTIF('Hedef Liste'!A:A,A1063)</f>
        <v>1</v>
      </c>
    </row>
    <row r="1064" ht="15.75" hidden="1" customHeight="1">
      <c r="A1064" s="18" t="s">
        <v>2790</v>
      </c>
      <c r="B1064" s="18" t="s">
        <v>2791</v>
      </c>
      <c r="C1064" s="358" t="s">
        <v>7040</v>
      </c>
      <c r="D1064" s="18" t="s">
        <v>948</v>
      </c>
      <c r="E1064" s="359">
        <v>49.0</v>
      </c>
      <c r="F1064" s="359">
        <v>8.0</v>
      </c>
      <c r="G1064" s="359">
        <v>0.0</v>
      </c>
      <c r="H1064" s="359">
        <v>20.0</v>
      </c>
      <c r="I1064" s="359">
        <v>20.0</v>
      </c>
      <c r="J1064" s="360">
        <v>0.0</v>
      </c>
      <c r="K1064" s="18" t="s">
        <v>2792</v>
      </c>
      <c r="L1064" s="18">
        <v>5.386817578E9</v>
      </c>
      <c r="M1064" s="18" t="s">
        <v>156</v>
      </c>
      <c r="N1064" s="18" t="s">
        <v>252</v>
      </c>
      <c r="O1064" s="18" t="s">
        <v>2793</v>
      </c>
      <c r="P1064" s="18" t="s">
        <v>7041</v>
      </c>
      <c r="Q1064" s="20">
        <f>COUNTIF('Hedef Liste'!A:A,A1064)</f>
        <v>1</v>
      </c>
    </row>
    <row r="1065" ht="15.75" hidden="1" customHeight="1">
      <c r="A1065" s="18" t="s">
        <v>3729</v>
      </c>
      <c r="B1065" s="18" t="s">
        <v>7615</v>
      </c>
      <c r="C1065" s="358" t="s">
        <v>7040</v>
      </c>
      <c r="D1065" s="18" t="s">
        <v>118</v>
      </c>
      <c r="E1065" s="359">
        <v>1318.0</v>
      </c>
      <c r="F1065" s="359">
        <v>147.0</v>
      </c>
      <c r="G1065" s="359">
        <v>14.0</v>
      </c>
      <c r="H1065" s="359">
        <v>15.0</v>
      </c>
      <c r="I1065" s="359">
        <v>29.0</v>
      </c>
      <c r="J1065" s="360">
        <v>0.48</v>
      </c>
      <c r="K1065" s="18" t="s">
        <v>3731</v>
      </c>
      <c r="L1065" s="18">
        <v>5.351052533E9</v>
      </c>
      <c r="M1065" s="18" t="s">
        <v>137</v>
      </c>
      <c r="N1065" s="18" t="s">
        <v>209</v>
      </c>
      <c r="O1065" s="18" t="s">
        <v>3732</v>
      </c>
      <c r="P1065" s="18" t="s">
        <v>7041</v>
      </c>
      <c r="Q1065" s="20">
        <f>COUNTIF('Hedef Liste'!A:A,A1065)</f>
        <v>1</v>
      </c>
    </row>
    <row r="1066" ht="15.75" hidden="1" customHeight="1">
      <c r="A1066" s="18" t="s">
        <v>4410</v>
      </c>
      <c r="B1066" s="18" t="s">
        <v>4411</v>
      </c>
      <c r="C1066" s="358" t="s">
        <v>7040</v>
      </c>
      <c r="D1066" s="18" t="s">
        <v>118</v>
      </c>
      <c r="E1066" s="359">
        <v>3.0</v>
      </c>
      <c r="F1066" s="359">
        <v>2.0</v>
      </c>
      <c r="G1066" s="359">
        <v>0.0</v>
      </c>
      <c r="H1066" s="359">
        <v>15.0</v>
      </c>
      <c r="I1066" s="359">
        <v>15.0</v>
      </c>
      <c r="J1066" s="360">
        <v>0.0</v>
      </c>
      <c r="K1066" s="18" t="s">
        <v>4412</v>
      </c>
      <c r="L1066" s="18">
        <v>3.243363342E9</v>
      </c>
      <c r="M1066" s="18" t="s">
        <v>137</v>
      </c>
      <c r="N1066" s="18" t="s">
        <v>426</v>
      </c>
      <c r="O1066" s="18" t="s">
        <v>4413</v>
      </c>
      <c r="P1066" s="18" t="s">
        <v>7041</v>
      </c>
      <c r="Q1066" s="20">
        <f>COUNTIF('Hedef Liste'!A:A,A1066)</f>
        <v>1</v>
      </c>
    </row>
    <row r="1067" ht="15.75" customHeight="1">
      <c r="A1067" s="18" t="s">
        <v>2539</v>
      </c>
      <c r="B1067" s="18" t="s">
        <v>2540</v>
      </c>
      <c r="C1067" s="358" t="s">
        <v>7040</v>
      </c>
      <c r="D1067" s="18" t="s">
        <v>80</v>
      </c>
      <c r="E1067" s="359">
        <v>39.0</v>
      </c>
      <c r="F1067" s="359">
        <v>39.0</v>
      </c>
      <c r="G1067" s="359">
        <v>0.0</v>
      </c>
      <c r="H1067" s="359">
        <v>11.0</v>
      </c>
      <c r="I1067" s="359">
        <v>11.0</v>
      </c>
      <c r="J1067" s="360">
        <v>0.0</v>
      </c>
      <c r="K1067" s="18" t="s">
        <v>2541</v>
      </c>
      <c r="L1067" s="18">
        <v>3.249994818E9</v>
      </c>
      <c r="M1067" s="18" t="s">
        <v>72</v>
      </c>
      <c r="N1067" s="18" t="s">
        <v>113</v>
      </c>
      <c r="O1067" s="18" t="s">
        <v>840</v>
      </c>
      <c r="P1067" s="18" t="s">
        <v>7041</v>
      </c>
      <c r="Q1067" s="20">
        <f>COUNTIF('Hedef Liste'!A:A,A1067)</f>
        <v>1</v>
      </c>
    </row>
    <row r="1068" ht="15.75" hidden="1" customHeight="1">
      <c r="A1068" s="18" t="s">
        <v>2490</v>
      </c>
      <c r="B1068" s="18" t="s">
        <v>2491</v>
      </c>
      <c r="C1068" s="358" t="s">
        <v>7040</v>
      </c>
      <c r="D1068" s="18" t="s">
        <v>363</v>
      </c>
      <c r="E1068" s="359">
        <v>460.0</v>
      </c>
      <c r="F1068" s="359">
        <v>49.0</v>
      </c>
      <c r="G1068" s="359">
        <v>4.0</v>
      </c>
      <c r="H1068" s="359">
        <v>14.0</v>
      </c>
      <c r="I1068" s="359">
        <v>18.0</v>
      </c>
      <c r="J1068" s="360">
        <v>0.22</v>
      </c>
      <c r="K1068" s="18" t="s">
        <v>2492</v>
      </c>
      <c r="L1068" s="18">
        <v>5.342123693E9</v>
      </c>
      <c r="M1068" s="18" t="s">
        <v>156</v>
      </c>
      <c r="N1068" s="18" t="s">
        <v>447</v>
      </c>
      <c r="O1068" s="18" t="s">
        <v>2493</v>
      </c>
      <c r="P1068" s="18" t="s">
        <v>7041</v>
      </c>
      <c r="Q1068" s="20">
        <f>COUNTIF('Hedef Liste'!A:A,A1068)</f>
        <v>1</v>
      </c>
    </row>
    <row r="1069" ht="15.75" hidden="1" customHeight="1">
      <c r="A1069" s="18" t="s">
        <v>1087</v>
      </c>
      <c r="B1069" s="18" t="s">
        <v>1088</v>
      </c>
      <c r="C1069" s="358" t="s">
        <v>7040</v>
      </c>
      <c r="D1069" s="18" t="s">
        <v>61</v>
      </c>
      <c r="E1069" s="359">
        <v>2150.0</v>
      </c>
      <c r="F1069" s="359">
        <v>160.0</v>
      </c>
      <c r="G1069" s="359">
        <v>4.0</v>
      </c>
      <c r="H1069" s="359">
        <v>8.0</v>
      </c>
      <c r="I1069" s="359">
        <v>12.0</v>
      </c>
      <c r="J1069" s="360">
        <v>0.33</v>
      </c>
      <c r="K1069" s="18" t="s">
        <v>1089</v>
      </c>
      <c r="L1069" s="18">
        <v>5.368464576E9</v>
      </c>
      <c r="M1069" s="18" t="s">
        <v>72</v>
      </c>
      <c r="N1069" s="18" t="s">
        <v>1090</v>
      </c>
      <c r="O1069" s="18" t="s">
        <v>1091</v>
      </c>
      <c r="P1069" s="18" t="s">
        <v>7041</v>
      </c>
      <c r="Q1069" s="20">
        <f>COUNTIF('Hedef Liste'!A:A,A1069)</f>
        <v>1</v>
      </c>
    </row>
    <row r="1070" ht="15.75" hidden="1" customHeight="1">
      <c r="A1070" s="18" t="s">
        <v>3074</v>
      </c>
      <c r="B1070" s="18" t="s">
        <v>3075</v>
      </c>
      <c r="C1070" s="358" t="s">
        <v>7040</v>
      </c>
      <c r="D1070" s="18" t="s">
        <v>80</v>
      </c>
      <c r="E1070" s="359">
        <v>333.0</v>
      </c>
      <c r="F1070" s="359">
        <v>19.0</v>
      </c>
      <c r="G1070" s="359">
        <v>6.0</v>
      </c>
      <c r="H1070" s="359">
        <v>5.0</v>
      </c>
      <c r="I1070" s="359">
        <v>11.0</v>
      </c>
      <c r="J1070" s="360">
        <v>0.55</v>
      </c>
      <c r="K1070" s="18" t="s">
        <v>3076</v>
      </c>
      <c r="L1070" s="18">
        <v>3.243262658E9</v>
      </c>
      <c r="M1070" s="18" t="s">
        <v>72</v>
      </c>
      <c r="N1070" s="18" t="s">
        <v>120</v>
      </c>
      <c r="O1070" s="18" t="s">
        <v>3077</v>
      </c>
      <c r="P1070" s="18" t="s">
        <v>7041</v>
      </c>
      <c r="Q1070" s="20">
        <f>COUNTIF('Hedef Liste'!A:A,A1070)</f>
        <v>1</v>
      </c>
    </row>
    <row r="1071" ht="15.75" hidden="1" customHeight="1">
      <c r="A1071" s="18" t="s">
        <v>3724</v>
      </c>
      <c r="B1071" s="18" t="s">
        <v>3725</v>
      </c>
      <c r="C1071" s="358" t="s">
        <v>7040</v>
      </c>
      <c r="D1071" s="18" t="s">
        <v>106</v>
      </c>
      <c r="E1071" s="359">
        <v>67.0</v>
      </c>
      <c r="F1071" s="359">
        <v>21.0</v>
      </c>
      <c r="G1071" s="359">
        <v>0.0</v>
      </c>
      <c r="H1071" s="359">
        <v>23.0</v>
      </c>
      <c r="I1071" s="359">
        <v>23.0</v>
      </c>
      <c r="J1071" s="360">
        <v>0.0</v>
      </c>
      <c r="K1071" s="18" t="s">
        <v>3726</v>
      </c>
      <c r="L1071" s="18">
        <v>5.333326881E9</v>
      </c>
      <c r="M1071" s="18" t="s">
        <v>215</v>
      </c>
      <c r="N1071" s="18" t="s">
        <v>227</v>
      </c>
      <c r="O1071" s="18" t="s">
        <v>3727</v>
      </c>
      <c r="P1071" s="18" t="s">
        <v>7041</v>
      </c>
      <c r="Q1071" s="20">
        <f>COUNTIF('Hedef Liste'!A:A,A1071)</f>
        <v>1</v>
      </c>
    </row>
    <row r="1072" ht="15.75" hidden="1" customHeight="1">
      <c r="A1072" s="18" t="s">
        <v>946</v>
      </c>
      <c r="B1072" s="18" t="s">
        <v>947</v>
      </c>
      <c r="C1072" s="358" t="s">
        <v>7040</v>
      </c>
      <c r="D1072" s="18" t="s">
        <v>948</v>
      </c>
      <c r="E1072" s="359">
        <v>1205.0</v>
      </c>
      <c r="F1072" s="359">
        <v>47.0</v>
      </c>
      <c r="G1072" s="359">
        <v>8.0</v>
      </c>
      <c r="H1072" s="359">
        <v>12.0</v>
      </c>
      <c r="I1072" s="359">
        <v>20.0</v>
      </c>
      <c r="J1072" s="360">
        <v>0.4</v>
      </c>
      <c r="K1072" s="18" t="s">
        <v>949</v>
      </c>
      <c r="L1072" s="18">
        <v>5.494999904E9</v>
      </c>
      <c r="M1072" s="18" t="s">
        <v>137</v>
      </c>
      <c r="N1072" s="18" t="s">
        <v>426</v>
      </c>
      <c r="O1072" s="18" t="s">
        <v>950</v>
      </c>
      <c r="P1072" s="18" t="s">
        <v>7041</v>
      </c>
      <c r="Q1072" s="20">
        <f>COUNTIF('Hedef Liste'!A:A,A1072)</f>
        <v>1</v>
      </c>
    </row>
    <row r="1073" ht="15.75" hidden="1" customHeight="1">
      <c r="A1073" s="18" t="s">
        <v>4649</v>
      </c>
      <c r="B1073" s="18" t="s">
        <v>4650</v>
      </c>
      <c r="C1073" s="358" t="s">
        <v>7040</v>
      </c>
      <c r="D1073" s="18" t="s">
        <v>80</v>
      </c>
      <c r="E1073" s="359">
        <v>308.0</v>
      </c>
      <c r="F1073" s="359">
        <v>127.0</v>
      </c>
      <c r="G1073" s="359">
        <v>17.0</v>
      </c>
      <c r="H1073" s="359">
        <v>2.0</v>
      </c>
      <c r="I1073" s="359">
        <v>19.0</v>
      </c>
      <c r="J1073" s="360">
        <v>0.89</v>
      </c>
      <c r="K1073" s="18" t="s">
        <v>4651</v>
      </c>
      <c r="L1073" s="18">
        <v>5.523520933E9</v>
      </c>
      <c r="M1073" s="18" t="s">
        <v>72</v>
      </c>
      <c r="N1073" s="18" t="s">
        <v>73</v>
      </c>
      <c r="O1073" s="18" t="s">
        <v>2313</v>
      </c>
      <c r="P1073" s="18" t="s">
        <v>7041</v>
      </c>
      <c r="Q1073" s="20">
        <f>COUNTIF('Hedef Liste'!A:A,A1073)</f>
        <v>1</v>
      </c>
    </row>
    <row r="1074" ht="15.75" hidden="1" customHeight="1">
      <c r="A1074" s="18" t="s">
        <v>1246</v>
      </c>
      <c r="B1074" s="18" t="s">
        <v>1247</v>
      </c>
      <c r="C1074" s="358" t="s">
        <v>7040</v>
      </c>
      <c r="D1074" s="18" t="s">
        <v>80</v>
      </c>
      <c r="E1074" s="359">
        <v>7645.0</v>
      </c>
      <c r="F1074" s="359">
        <v>181.0</v>
      </c>
      <c r="G1074" s="359">
        <v>0.0</v>
      </c>
      <c r="H1074" s="359">
        <v>13.0</v>
      </c>
      <c r="I1074" s="359">
        <v>13.0</v>
      </c>
      <c r="J1074" s="360">
        <v>0.0</v>
      </c>
      <c r="K1074" s="18" t="s">
        <v>1248</v>
      </c>
      <c r="L1074" s="18">
        <v>3.243583892E9</v>
      </c>
      <c r="M1074" s="18" t="s">
        <v>72</v>
      </c>
      <c r="N1074" s="18" t="s">
        <v>82</v>
      </c>
      <c r="O1074" s="18" t="s">
        <v>1249</v>
      </c>
      <c r="P1074" s="18" t="s">
        <v>7041</v>
      </c>
      <c r="Q1074" s="20">
        <f>COUNTIF('Hedef Liste'!A:A,A1074)</f>
        <v>1</v>
      </c>
    </row>
    <row r="1075" ht="15.75" hidden="1" customHeight="1">
      <c r="A1075" s="18" t="s">
        <v>3635</v>
      </c>
      <c r="B1075" s="18" t="s">
        <v>3636</v>
      </c>
      <c r="C1075" s="358" t="s">
        <v>7040</v>
      </c>
      <c r="D1075" s="18" t="s">
        <v>356</v>
      </c>
      <c r="E1075" s="359">
        <v>1578.0</v>
      </c>
      <c r="F1075" s="359">
        <v>171.0</v>
      </c>
      <c r="G1075" s="359">
        <v>0.0</v>
      </c>
      <c r="H1075" s="359">
        <v>9.0</v>
      </c>
      <c r="I1075" s="359">
        <v>9.0</v>
      </c>
      <c r="J1075" s="360">
        <v>0.0</v>
      </c>
      <c r="K1075" s="18" t="s">
        <v>3637</v>
      </c>
      <c r="L1075" s="18">
        <v>3.246252248E9</v>
      </c>
      <c r="M1075" s="18" t="s">
        <v>156</v>
      </c>
      <c r="N1075" s="18" t="s">
        <v>3638</v>
      </c>
      <c r="O1075" s="18" t="s">
        <v>3639</v>
      </c>
      <c r="P1075" s="18" t="s">
        <v>7041</v>
      </c>
      <c r="Q1075" s="20">
        <f>COUNTIF('Hedef Liste'!A:A,A1075)</f>
        <v>1</v>
      </c>
    </row>
    <row r="1076" ht="15.75" hidden="1" customHeight="1">
      <c r="A1076" s="18" t="s">
        <v>752</v>
      </c>
      <c r="B1076" s="18" t="s">
        <v>753</v>
      </c>
      <c r="C1076" s="358" t="s">
        <v>7040</v>
      </c>
      <c r="D1076" s="18" t="s">
        <v>754</v>
      </c>
      <c r="E1076" s="359">
        <v>2586.0</v>
      </c>
      <c r="F1076" s="359">
        <v>162.0</v>
      </c>
      <c r="G1076" s="359">
        <v>9.0</v>
      </c>
      <c r="H1076" s="359">
        <v>4.0</v>
      </c>
      <c r="I1076" s="359">
        <v>13.0</v>
      </c>
      <c r="J1076" s="360">
        <v>0.69</v>
      </c>
      <c r="K1076" s="18" t="s">
        <v>755</v>
      </c>
      <c r="L1076" s="18">
        <v>5.372805738E9</v>
      </c>
      <c r="M1076" s="18" t="s">
        <v>47</v>
      </c>
      <c r="N1076" s="18" t="s">
        <v>7263</v>
      </c>
      <c r="O1076" s="18" t="s">
        <v>757</v>
      </c>
      <c r="P1076" s="18" t="s">
        <v>7041</v>
      </c>
      <c r="Q1076" s="20">
        <f>COUNTIF('Hedef Liste'!A:A,A1076)</f>
        <v>1</v>
      </c>
    </row>
    <row r="1077" ht="15.75" customHeight="1">
      <c r="A1077" s="18" t="s">
        <v>605</v>
      </c>
      <c r="B1077" s="18" t="s">
        <v>606</v>
      </c>
      <c r="C1077" s="358" t="s">
        <v>7040</v>
      </c>
      <c r="D1077" s="18" t="s">
        <v>61</v>
      </c>
      <c r="E1077" s="359">
        <v>2.0</v>
      </c>
      <c r="F1077" s="359">
        <v>2.0</v>
      </c>
      <c r="G1077" s="359">
        <v>0.0</v>
      </c>
      <c r="H1077" s="359">
        <v>11.0</v>
      </c>
      <c r="I1077" s="359">
        <v>11.0</v>
      </c>
      <c r="J1077" s="360">
        <v>0.0</v>
      </c>
      <c r="K1077" s="18" t="s">
        <v>607</v>
      </c>
      <c r="L1077" s="18">
        <v>5.434081128E9</v>
      </c>
      <c r="M1077" s="18" t="s">
        <v>47</v>
      </c>
      <c r="N1077" s="18" t="s">
        <v>608</v>
      </c>
      <c r="O1077" s="18" t="s">
        <v>609</v>
      </c>
      <c r="P1077" s="18" t="s">
        <v>7041</v>
      </c>
      <c r="Q1077" s="20">
        <f>COUNTIF('Hedef Liste'!A:A,A1077)</f>
        <v>1</v>
      </c>
    </row>
    <row r="1078" ht="15.75" hidden="1" customHeight="1">
      <c r="A1078" s="18" t="s">
        <v>2518</v>
      </c>
      <c r="B1078" s="18" t="s">
        <v>2519</v>
      </c>
      <c r="C1078" s="358" t="s">
        <v>7040</v>
      </c>
      <c r="D1078" s="18" t="s">
        <v>118</v>
      </c>
      <c r="E1078" s="359">
        <v>360.0</v>
      </c>
      <c r="F1078" s="359">
        <v>150.0</v>
      </c>
      <c r="G1078" s="359">
        <v>5.0</v>
      </c>
      <c r="H1078" s="359">
        <v>11.0</v>
      </c>
      <c r="I1078" s="359">
        <v>16.0</v>
      </c>
      <c r="J1078" s="360">
        <v>0.31</v>
      </c>
      <c r="K1078" s="18" t="s">
        <v>2520</v>
      </c>
      <c r="L1078" s="18">
        <v>5.306125344E9</v>
      </c>
      <c r="M1078" s="18" t="s">
        <v>72</v>
      </c>
      <c r="N1078" s="18" t="s">
        <v>82</v>
      </c>
      <c r="O1078" s="18" t="s">
        <v>2521</v>
      </c>
      <c r="P1078" s="18" t="s">
        <v>7041</v>
      </c>
      <c r="Q1078" s="20">
        <f>COUNTIF('Hedef Liste'!A:A,A1078)</f>
        <v>1</v>
      </c>
    </row>
    <row r="1079" ht="15.75" hidden="1" customHeight="1">
      <c r="A1079" s="18" t="s">
        <v>4704</v>
      </c>
      <c r="B1079" s="18" t="s">
        <v>4705</v>
      </c>
      <c r="C1079" s="358" t="s">
        <v>7040</v>
      </c>
      <c r="D1079" s="18" t="s">
        <v>70</v>
      </c>
      <c r="E1079" s="359">
        <v>1.0</v>
      </c>
      <c r="F1079" s="359">
        <v>1.0</v>
      </c>
      <c r="G1079" s="359">
        <v>8.0</v>
      </c>
      <c r="H1079" s="359">
        <v>0.0</v>
      </c>
      <c r="I1079" s="359">
        <v>8.0</v>
      </c>
      <c r="J1079" s="360">
        <v>1.0</v>
      </c>
      <c r="K1079" s="18" t="s">
        <v>4706</v>
      </c>
      <c r="L1079" s="18">
        <v>3.243248233E9</v>
      </c>
      <c r="M1079" s="18" t="s">
        <v>72</v>
      </c>
      <c r="N1079" s="18" t="s">
        <v>120</v>
      </c>
      <c r="O1079" s="18" t="s">
        <v>4707</v>
      </c>
      <c r="P1079" s="18" t="s">
        <v>7041</v>
      </c>
      <c r="Q1079" s="20">
        <f>COUNTIF('Hedef Liste'!A:A,A1079)</f>
        <v>1</v>
      </c>
    </row>
    <row r="1080" ht="15.75" hidden="1" customHeight="1">
      <c r="A1080" s="18" t="s">
        <v>1098</v>
      </c>
      <c r="B1080" s="18" t="s">
        <v>1099</v>
      </c>
      <c r="C1080" s="358" t="s">
        <v>7040</v>
      </c>
      <c r="D1080" s="18" t="s">
        <v>61</v>
      </c>
      <c r="E1080" s="359">
        <v>125.0</v>
      </c>
      <c r="F1080" s="359">
        <v>125.0</v>
      </c>
      <c r="G1080" s="359">
        <v>0.0</v>
      </c>
      <c r="H1080" s="359">
        <v>15.0</v>
      </c>
      <c r="I1080" s="359">
        <v>15.0</v>
      </c>
      <c r="J1080" s="360">
        <v>0.0</v>
      </c>
      <c r="K1080" s="18" t="s">
        <v>1100</v>
      </c>
      <c r="L1080" s="18">
        <v>5.326845633E9</v>
      </c>
      <c r="M1080" s="18" t="s">
        <v>215</v>
      </c>
      <c r="N1080" s="18" t="s">
        <v>658</v>
      </c>
      <c r="O1080" s="18" t="s">
        <v>1101</v>
      </c>
      <c r="P1080" s="18" t="s">
        <v>7041</v>
      </c>
      <c r="Q1080" s="20">
        <f>COUNTIF('Hedef Liste'!A:A,A1080)</f>
        <v>1</v>
      </c>
    </row>
    <row r="1081" ht="15.75" customHeight="1">
      <c r="A1081" s="18" t="s">
        <v>2291</v>
      </c>
      <c r="B1081" s="18" t="s">
        <v>2292</v>
      </c>
      <c r="C1081" s="358" t="s">
        <v>7040</v>
      </c>
      <c r="D1081" s="18" t="s">
        <v>167</v>
      </c>
      <c r="E1081" s="359">
        <v>11.0</v>
      </c>
      <c r="F1081" s="359">
        <v>11.0</v>
      </c>
      <c r="G1081" s="359">
        <v>0.0</v>
      </c>
      <c r="H1081" s="359">
        <v>6.0</v>
      </c>
      <c r="I1081" s="359">
        <v>6.0</v>
      </c>
      <c r="J1081" s="360">
        <v>0.0</v>
      </c>
      <c r="K1081" s="18" t="s">
        <v>2293</v>
      </c>
      <c r="L1081" s="18">
        <v>5.454351801E9</v>
      </c>
      <c r="M1081" s="18" t="s">
        <v>156</v>
      </c>
      <c r="N1081" s="18" t="s">
        <v>301</v>
      </c>
      <c r="O1081" s="18" t="s">
        <v>2294</v>
      </c>
      <c r="P1081" s="18" t="s">
        <v>7041</v>
      </c>
      <c r="Q1081" s="20">
        <f>COUNTIF('Hedef Liste'!A:A,A1081)</f>
        <v>1</v>
      </c>
    </row>
    <row r="1082" ht="15.75" customHeight="1">
      <c r="A1082" s="18" t="s">
        <v>4755</v>
      </c>
      <c r="B1082" s="18" t="s">
        <v>4756</v>
      </c>
      <c r="C1082" s="358" t="s">
        <v>7040</v>
      </c>
      <c r="D1082" s="18" t="s">
        <v>70</v>
      </c>
      <c r="E1082" s="359">
        <v>5.0</v>
      </c>
      <c r="F1082" s="359">
        <v>5.0</v>
      </c>
      <c r="G1082" s="359">
        <v>0.0</v>
      </c>
      <c r="H1082" s="359">
        <v>18.0</v>
      </c>
      <c r="I1082" s="359">
        <v>18.0</v>
      </c>
      <c r="J1082" s="360">
        <v>0.0</v>
      </c>
      <c r="K1082" s="18" t="s">
        <v>4757</v>
      </c>
      <c r="L1082" s="18">
        <v>5.352808772E9</v>
      </c>
      <c r="M1082" s="18" t="s">
        <v>72</v>
      </c>
      <c r="N1082" s="18" t="s">
        <v>128</v>
      </c>
      <c r="O1082" s="18" t="s">
        <v>4758</v>
      </c>
      <c r="P1082" s="18" t="s">
        <v>7041</v>
      </c>
      <c r="Q1082" s="20">
        <f>COUNTIF('Hedef Liste'!A:A,A1082)</f>
        <v>1</v>
      </c>
    </row>
    <row r="1083" ht="15.75" customHeight="1">
      <c r="A1083" s="18" t="s">
        <v>3392</v>
      </c>
      <c r="B1083" s="18" t="s">
        <v>3393</v>
      </c>
      <c r="C1083" s="358" t="s">
        <v>7040</v>
      </c>
      <c r="D1083" s="18" t="s">
        <v>167</v>
      </c>
      <c r="E1083" s="18"/>
      <c r="F1083" s="18"/>
      <c r="G1083" s="359">
        <v>0.0</v>
      </c>
      <c r="H1083" s="359">
        <v>7.0</v>
      </c>
      <c r="I1083" s="359">
        <v>7.0</v>
      </c>
      <c r="J1083" s="360">
        <v>0.0</v>
      </c>
      <c r="K1083" s="18" t="s">
        <v>3394</v>
      </c>
      <c r="L1083" s="18">
        <v>5.5588333E9</v>
      </c>
      <c r="M1083" s="18" t="s">
        <v>156</v>
      </c>
      <c r="N1083" s="18" t="s">
        <v>3395</v>
      </c>
      <c r="O1083" s="18" t="s">
        <v>3396</v>
      </c>
      <c r="P1083" s="18" t="s">
        <v>7041</v>
      </c>
      <c r="Q1083" s="20">
        <f>COUNTIF('Hedef Liste'!A:A,A1083)</f>
        <v>1</v>
      </c>
    </row>
    <row r="1084" ht="15.75" hidden="1" customHeight="1">
      <c r="A1084" s="18" t="s">
        <v>4620</v>
      </c>
      <c r="B1084" s="18" t="s">
        <v>4621</v>
      </c>
      <c r="C1084" s="358" t="s">
        <v>7040</v>
      </c>
      <c r="D1084" s="18" t="s">
        <v>564</v>
      </c>
      <c r="E1084" s="359">
        <v>56.0</v>
      </c>
      <c r="F1084" s="359">
        <v>19.0</v>
      </c>
      <c r="G1084" s="359">
        <v>19.0</v>
      </c>
      <c r="H1084" s="359">
        <v>0.0</v>
      </c>
      <c r="I1084" s="359">
        <v>19.0</v>
      </c>
      <c r="J1084" s="360">
        <v>1.0</v>
      </c>
      <c r="K1084" s="18" t="s">
        <v>4622</v>
      </c>
      <c r="L1084" s="18">
        <v>5.337017327E9</v>
      </c>
      <c r="M1084" s="18" t="s">
        <v>72</v>
      </c>
      <c r="N1084" s="18" t="s">
        <v>73</v>
      </c>
      <c r="O1084" s="18" t="s">
        <v>4623</v>
      </c>
      <c r="P1084" s="18" t="s">
        <v>7041</v>
      </c>
      <c r="Q1084" s="20">
        <f>COUNTIF('Hedef Liste'!A:A,A1084)</f>
        <v>1</v>
      </c>
    </row>
    <row r="1085" ht="15.75" hidden="1" customHeight="1">
      <c r="A1085" s="18" t="s">
        <v>315</v>
      </c>
      <c r="B1085" s="18" t="s">
        <v>316</v>
      </c>
      <c r="C1085" s="358" t="s">
        <v>7062</v>
      </c>
      <c r="D1085" s="18" t="s">
        <v>167</v>
      </c>
      <c r="E1085" s="359">
        <v>7.0</v>
      </c>
      <c r="F1085" s="18"/>
      <c r="G1085" s="359">
        <v>0.0</v>
      </c>
      <c r="H1085" s="359">
        <v>8.0</v>
      </c>
      <c r="I1085" s="359">
        <v>8.0</v>
      </c>
      <c r="J1085" s="360">
        <v>0.0</v>
      </c>
      <c r="K1085" s="18" t="s">
        <v>317</v>
      </c>
      <c r="L1085" s="18">
        <v>5.43883336E9</v>
      </c>
      <c r="M1085" s="18" t="s">
        <v>137</v>
      </c>
      <c r="N1085" s="18" t="s">
        <v>318</v>
      </c>
      <c r="O1085" s="18" t="s">
        <v>319</v>
      </c>
      <c r="P1085" s="18" t="s">
        <v>7041</v>
      </c>
      <c r="Q1085" s="20">
        <f>COUNTIF('Hedef Liste'!A:A,A1085)</f>
        <v>1</v>
      </c>
    </row>
    <row r="1086" ht="15.75" hidden="1" customHeight="1">
      <c r="A1086" s="18" t="s">
        <v>3720</v>
      </c>
      <c r="B1086" s="18" t="s">
        <v>3721</v>
      </c>
      <c r="C1086" s="358" t="s">
        <v>7040</v>
      </c>
      <c r="D1086" s="18" t="s">
        <v>106</v>
      </c>
      <c r="E1086" s="359">
        <v>36.0</v>
      </c>
      <c r="F1086" s="18"/>
      <c r="G1086" s="359">
        <v>0.0</v>
      </c>
      <c r="H1086" s="359">
        <v>5.0</v>
      </c>
      <c r="I1086" s="359">
        <v>5.0</v>
      </c>
      <c r="J1086" s="360">
        <v>0.0</v>
      </c>
      <c r="K1086" s="18" t="s">
        <v>3722</v>
      </c>
      <c r="L1086" s="18">
        <v>5.346288533E9</v>
      </c>
      <c r="M1086" s="18" t="s">
        <v>47</v>
      </c>
      <c r="N1086" s="18" t="s">
        <v>489</v>
      </c>
      <c r="O1086" s="18" t="s">
        <v>3723</v>
      </c>
      <c r="P1086" s="18" t="s">
        <v>7041</v>
      </c>
      <c r="Q1086" s="20">
        <f>COUNTIF('Hedef Liste'!A:A,A1086)</f>
        <v>1</v>
      </c>
    </row>
    <row r="1087" ht="15.75" hidden="1" customHeight="1">
      <c r="A1087" s="18" t="s">
        <v>2522</v>
      </c>
      <c r="B1087" s="18" t="s">
        <v>2523</v>
      </c>
      <c r="C1087" s="358" t="s">
        <v>7040</v>
      </c>
      <c r="D1087" s="18" t="s">
        <v>80</v>
      </c>
      <c r="E1087" s="359">
        <v>73.0</v>
      </c>
      <c r="F1087" s="359">
        <v>32.0</v>
      </c>
      <c r="G1087" s="359">
        <v>9.0</v>
      </c>
      <c r="H1087" s="359">
        <v>0.0</v>
      </c>
      <c r="I1087" s="359">
        <v>9.0</v>
      </c>
      <c r="J1087" s="360">
        <v>1.0</v>
      </c>
      <c r="K1087" s="18" t="s">
        <v>2524</v>
      </c>
      <c r="L1087" s="18">
        <v>5.350566033E9</v>
      </c>
      <c r="M1087" s="18" t="s">
        <v>63</v>
      </c>
      <c r="N1087" s="18" t="s">
        <v>137</v>
      </c>
      <c r="O1087" s="18" t="s">
        <v>2525</v>
      </c>
      <c r="P1087" s="18" t="s">
        <v>7041</v>
      </c>
      <c r="Q1087" s="20">
        <f>COUNTIF('Hedef Liste'!A:A,A1087)</f>
        <v>1</v>
      </c>
    </row>
    <row r="1088" ht="15.75" hidden="1" customHeight="1">
      <c r="A1088" s="18" t="s">
        <v>2907</v>
      </c>
      <c r="B1088" s="18" t="s">
        <v>2908</v>
      </c>
      <c r="C1088" s="358" t="s">
        <v>7040</v>
      </c>
      <c r="D1088" s="18" t="s">
        <v>167</v>
      </c>
      <c r="E1088" s="359">
        <v>5.0</v>
      </c>
      <c r="F1088" s="359">
        <v>5.0</v>
      </c>
      <c r="G1088" s="359">
        <v>0.0</v>
      </c>
      <c r="H1088" s="359">
        <v>9.0</v>
      </c>
      <c r="I1088" s="359">
        <v>9.0</v>
      </c>
      <c r="J1088" s="360">
        <v>0.0</v>
      </c>
      <c r="K1088" s="18" t="s">
        <v>2909</v>
      </c>
      <c r="L1088" s="18">
        <v>5.431636533E9</v>
      </c>
      <c r="M1088" s="18" t="s">
        <v>72</v>
      </c>
      <c r="N1088" s="18" t="s">
        <v>352</v>
      </c>
      <c r="O1088" s="18" t="s">
        <v>7616</v>
      </c>
      <c r="P1088" s="18" t="s">
        <v>7041</v>
      </c>
      <c r="Q1088" s="20">
        <f>COUNTIF('Hedef Liste'!A:A,A1088)</f>
        <v>1</v>
      </c>
    </row>
    <row r="1089" ht="15.75" customHeight="1">
      <c r="A1089" s="18" t="s">
        <v>602</v>
      </c>
      <c r="B1089" s="18" t="s">
        <v>599</v>
      </c>
      <c r="C1089" s="358" t="s">
        <v>7040</v>
      </c>
      <c r="D1089" s="18" t="s">
        <v>45</v>
      </c>
      <c r="E1089" s="359">
        <v>11.0</v>
      </c>
      <c r="F1089" s="359">
        <v>11.0</v>
      </c>
      <c r="G1089" s="359">
        <v>0.0</v>
      </c>
      <c r="H1089" s="359">
        <v>19.0</v>
      </c>
      <c r="I1089" s="359">
        <v>19.0</v>
      </c>
      <c r="J1089" s="360">
        <v>0.0</v>
      </c>
      <c r="K1089" s="18" t="s">
        <v>603</v>
      </c>
      <c r="L1089" s="18">
        <v>5.313470333E9</v>
      </c>
      <c r="M1089" s="18" t="s">
        <v>72</v>
      </c>
      <c r="N1089" s="18" t="s">
        <v>113</v>
      </c>
      <c r="O1089" s="18" t="s">
        <v>604</v>
      </c>
      <c r="P1089" s="18" t="s">
        <v>7041</v>
      </c>
      <c r="Q1089" s="20">
        <f>COUNTIF('Hedef Liste'!A:A,A1089)</f>
        <v>1</v>
      </c>
    </row>
    <row r="1090" ht="15.75" hidden="1" customHeight="1">
      <c r="A1090" s="18" t="s">
        <v>1885</v>
      </c>
      <c r="B1090" s="18" t="s">
        <v>1886</v>
      </c>
      <c r="C1090" s="358" t="s">
        <v>7040</v>
      </c>
      <c r="D1090" s="18" t="s">
        <v>80</v>
      </c>
      <c r="E1090" s="359">
        <v>1747.0</v>
      </c>
      <c r="F1090" s="359">
        <v>19.0</v>
      </c>
      <c r="G1090" s="359">
        <v>4.0</v>
      </c>
      <c r="H1090" s="359">
        <v>16.0</v>
      </c>
      <c r="I1090" s="359">
        <v>20.0</v>
      </c>
      <c r="J1090" s="360">
        <v>0.2</v>
      </c>
      <c r="K1090" s="18" t="s">
        <v>1883</v>
      </c>
      <c r="L1090" s="18">
        <v>5.323507968E9</v>
      </c>
      <c r="M1090" s="18" t="s">
        <v>47</v>
      </c>
      <c r="N1090" s="18" t="s">
        <v>489</v>
      </c>
      <c r="O1090" s="18" t="s">
        <v>1884</v>
      </c>
      <c r="P1090" s="18" t="s">
        <v>7041</v>
      </c>
      <c r="Q1090" s="20">
        <f>COUNTIF('Hedef Liste'!A:A,A1090)</f>
        <v>1</v>
      </c>
    </row>
    <row r="1091" ht="15.75" hidden="1" customHeight="1">
      <c r="A1091" s="18" t="s">
        <v>3804</v>
      </c>
      <c r="B1091" s="18" t="s">
        <v>3805</v>
      </c>
      <c r="C1091" s="358" t="s">
        <v>7040</v>
      </c>
      <c r="D1091" s="18" t="s">
        <v>451</v>
      </c>
      <c r="E1091" s="359">
        <v>68.0</v>
      </c>
      <c r="F1091" s="359">
        <v>13.0</v>
      </c>
      <c r="G1091" s="359">
        <v>0.0</v>
      </c>
      <c r="H1091" s="359">
        <v>13.0</v>
      </c>
      <c r="I1091" s="359">
        <v>13.0</v>
      </c>
      <c r="J1091" s="360">
        <v>0.0</v>
      </c>
      <c r="K1091" s="18" t="s">
        <v>3806</v>
      </c>
      <c r="L1091" s="18">
        <v>3.243273444E9</v>
      </c>
      <c r="M1091" s="18" t="s">
        <v>72</v>
      </c>
      <c r="N1091" s="18" t="s">
        <v>181</v>
      </c>
      <c r="O1091" s="18" t="s">
        <v>3807</v>
      </c>
      <c r="P1091" s="18" t="s">
        <v>7041</v>
      </c>
      <c r="Q1091" s="20">
        <f>COUNTIF('Hedef Liste'!A:A,A1091)</f>
        <v>1</v>
      </c>
    </row>
    <row r="1092" ht="15.75" hidden="1" customHeight="1">
      <c r="A1092" s="18" t="s">
        <v>4567</v>
      </c>
      <c r="B1092" s="18" t="s">
        <v>4568</v>
      </c>
      <c r="C1092" s="358" t="s">
        <v>7040</v>
      </c>
      <c r="D1092" s="18" t="s">
        <v>80</v>
      </c>
      <c r="E1092" s="359">
        <v>1422.0</v>
      </c>
      <c r="F1092" s="359">
        <v>83.0</v>
      </c>
      <c r="G1092" s="359">
        <v>6.0</v>
      </c>
      <c r="H1092" s="359">
        <v>9.0</v>
      </c>
      <c r="I1092" s="359">
        <v>15.0</v>
      </c>
      <c r="J1092" s="360">
        <v>0.4</v>
      </c>
      <c r="K1092" s="18" t="s">
        <v>4569</v>
      </c>
      <c r="L1092" s="18">
        <v>5.38393318E9</v>
      </c>
      <c r="M1092" s="18" t="s">
        <v>137</v>
      </c>
      <c r="N1092" s="18" t="s">
        <v>209</v>
      </c>
      <c r="O1092" s="18" t="s">
        <v>4570</v>
      </c>
      <c r="P1092" s="18" t="s">
        <v>7041</v>
      </c>
      <c r="Q1092" s="20">
        <f>COUNTIF('Hedef Liste'!A:A,A1092)</f>
        <v>1</v>
      </c>
    </row>
    <row r="1093" ht="15.75" hidden="1" customHeight="1">
      <c r="A1093" s="18" t="s">
        <v>2798</v>
      </c>
      <c r="B1093" s="18" t="s">
        <v>2799</v>
      </c>
      <c r="C1093" s="358" t="s">
        <v>7040</v>
      </c>
      <c r="D1093" s="18" t="s">
        <v>363</v>
      </c>
      <c r="E1093" s="359">
        <v>211.0</v>
      </c>
      <c r="F1093" s="359">
        <v>17.0</v>
      </c>
      <c r="G1093" s="359">
        <v>4.0</v>
      </c>
      <c r="H1093" s="359">
        <v>1.0</v>
      </c>
      <c r="I1093" s="359">
        <v>5.0</v>
      </c>
      <c r="J1093" s="360">
        <v>0.8</v>
      </c>
      <c r="K1093" s="18" t="s">
        <v>2800</v>
      </c>
      <c r="L1093" s="18">
        <v>3.242385673E9</v>
      </c>
      <c r="M1093" s="18" t="s">
        <v>137</v>
      </c>
      <c r="N1093" s="18" t="s">
        <v>209</v>
      </c>
      <c r="O1093" s="18" t="s">
        <v>2801</v>
      </c>
      <c r="P1093" s="18" t="s">
        <v>7041</v>
      </c>
      <c r="Q1093" s="20">
        <f>COUNTIF('Hedef Liste'!A:A,A1093)</f>
        <v>1</v>
      </c>
    </row>
    <row r="1094" ht="15.75" hidden="1" customHeight="1">
      <c r="A1094" s="18" t="s">
        <v>4287</v>
      </c>
      <c r="B1094" s="18" t="s">
        <v>4288</v>
      </c>
      <c r="C1094" s="358" t="s">
        <v>7040</v>
      </c>
      <c r="D1094" s="18" t="s">
        <v>80</v>
      </c>
      <c r="E1094" s="359">
        <v>4.0</v>
      </c>
      <c r="F1094" s="18"/>
      <c r="G1094" s="359">
        <v>0.0</v>
      </c>
      <c r="H1094" s="359">
        <v>10.0</v>
      </c>
      <c r="I1094" s="359">
        <v>10.0</v>
      </c>
      <c r="J1094" s="360">
        <v>0.0</v>
      </c>
      <c r="K1094" s="18" t="s">
        <v>4289</v>
      </c>
      <c r="L1094" s="18">
        <v>5.433818363E9</v>
      </c>
      <c r="M1094" s="18" t="s">
        <v>156</v>
      </c>
      <c r="N1094" s="18" t="s">
        <v>252</v>
      </c>
      <c r="O1094" s="18" t="s">
        <v>4290</v>
      </c>
      <c r="P1094" s="18" t="s">
        <v>7041</v>
      </c>
      <c r="Q1094" s="20">
        <f>COUNTIF('Hedef Liste'!A:A,A1094)</f>
        <v>1</v>
      </c>
    </row>
    <row r="1095" ht="15.75" hidden="1" customHeight="1">
      <c r="A1095" s="18" t="s">
        <v>1386</v>
      </c>
      <c r="B1095" s="18" t="s">
        <v>1387</v>
      </c>
      <c r="C1095" s="358" t="s">
        <v>7040</v>
      </c>
      <c r="D1095" s="18" t="s">
        <v>80</v>
      </c>
      <c r="E1095" s="359">
        <v>107.0</v>
      </c>
      <c r="F1095" s="359">
        <v>20.0</v>
      </c>
      <c r="G1095" s="359">
        <v>4.0</v>
      </c>
      <c r="H1095" s="359">
        <v>0.0</v>
      </c>
      <c r="I1095" s="359">
        <v>4.0</v>
      </c>
      <c r="J1095" s="360">
        <v>1.0</v>
      </c>
      <c r="K1095" s="18" t="s">
        <v>1388</v>
      </c>
      <c r="L1095" s="18">
        <v>3.243260493E9</v>
      </c>
      <c r="M1095" s="18" t="s">
        <v>72</v>
      </c>
      <c r="N1095" s="18" t="s">
        <v>915</v>
      </c>
      <c r="O1095" s="18" t="s">
        <v>1389</v>
      </c>
      <c r="P1095" s="18" t="s">
        <v>7041</v>
      </c>
      <c r="Q1095" s="20">
        <f>COUNTIF('Hedef Liste'!A:A,A1095)</f>
        <v>1</v>
      </c>
    </row>
    <row r="1096" ht="15.75" hidden="1" customHeight="1">
      <c r="A1096" s="18" t="s">
        <v>2621</v>
      </c>
      <c r="B1096" s="18" t="s">
        <v>2622</v>
      </c>
      <c r="C1096" s="358" t="s">
        <v>7040</v>
      </c>
      <c r="D1096" s="18" t="s">
        <v>70</v>
      </c>
      <c r="E1096" s="359">
        <v>201.0</v>
      </c>
      <c r="F1096" s="359">
        <v>19.0</v>
      </c>
      <c r="G1096" s="359">
        <v>0.0</v>
      </c>
      <c r="H1096" s="359">
        <v>5.0</v>
      </c>
      <c r="I1096" s="359">
        <v>5.0</v>
      </c>
      <c r="J1096" s="360">
        <v>0.0</v>
      </c>
      <c r="K1096" s="18" t="s">
        <v>2623</v>
      </c>
      <c r="L1096" s="18">
        <v>5.06806388E9</v>
      </c>
      <c r="M1096" s="18" t="s">
        <v>47</v>
      </c>
      <c r="N1096" s="18" t="s">
        <v>48</v>
      </c>
      <c r="O1096" s="18" t="s">
        <v>2624</v>
      </c>
      <c r="P1096" s="18" t="s">
        <v>7041</v>
      </c>
      <c r="Q1096" s="20">
        <f>COUNTIF('Hedef Liste'!A:A,A1096)</f>
        <v>1</v>
      </c>
    </row>
    <row r="1097" ht="15.75" hidden="1" customHeight="1">
      <c r="A1097" s="18" t="s">
        <v>4163</v>
      </c>
      <c r="B1097" s="18" t="s">
        <v>4164</v>
      </c>
      <c r="C1097" s="358" t="s">
        <v>7040</v>
      </c>
      <c r="D1097" s="18" t="s">
        <v>498</v>
      </c>
      <c r="E1097" s="359">
        <v>227.0</v>
      </c>
      <c r="F1097" s="359">
        <v>29.0</v>
      </c>
      <c r="G1097" s="359">
        <v>0.0</v>
      </c>
      <c r="H1097" s="359">
        <v>12.0</v>
      </c>
      <c r="I1097" s="359">
        <v>12.0</v>
      </c>
      <c r="J1097" s="360">
        <v>0.0</v>
      </c>
      <c r="K1097" s="18" t="s">
        <v>4165</v>
      </c>
      <c r="L1097" s="18">
        <v>5.308276203E9</v>
      </c>
      <c r="M1097" s="18" t="s">
        <v>47</v>
      </c>
      <c r="N1097" s="18" t="s">
        <v>479</v>
      </c>
      <c r="O1097" s="18" t="s">
        <v>4166</v>
      </c>
      <c r="P1097" s="18" t="s">
        <v>7041</v>
      </c>
      <c r="Q1097" s="20">
        <f>COUNTIF('Hedef Liste'!A:A,A1097)</f>
        <v>1</v>
      </c>
    </row>
    <row r="1098" ht="15.75" hidden="1" customHeight="1">
      <c r="A1098" s="18" t="s">
        <v>7617</v>
      </c>
      <c r="B1098" s="18" t="s">
        <v>7618</v>
      </c>
      <c r="C1098" s="358" t="s">
        <v>7040</v>
      </c>
      <c r="D1098" s="18" t="s">
        <v>167</v>
      </c>
      <c r="E1098" s="359">
        <v>312.0</v>
      </c>
      <c r="F1098" s="359">
        <v>102.0</v>
      </c>
      <c r="G1098" s="359">
        <v>9.0</v>
      </c>
      <c r="H1098" s="359">
        <v>4.0</v>
      </c>
      <c r="I1098" s="359">
        <v>13.0</v>
      </c>
      <c r="J1098" s="360">
        <v>0.69</v>
      </c>
      <c r="K1098" s="18" t="s">
        <v>7619</v>
      </c>
      <c r="L1098" s="18">
        <v>3.247151E9</v>
      </c>
      <c r="M1098" s="18" t="s">
        <v>187</v>
      </c>
      <c r="N1098" s="18" t="s">
        <v>188</v>
      </c>
      <c r="O1098" s="18" t="s">
        <v>7620</v>
      </c>
      <c r="P1098" s="18" t="s">
        <v>7041</v>
      </c>
      <c r="Q1098" s="20">
        <f>COUNTIF('Hedef Liste'!A:A,A1098)</f>
        <v>0</v>
      </c>
    </row>
    <row r="1099" ht="15.75" hidden="1" customHeight="1">
      <c r="A1099" s="18" t="s">
        <v>4154</v>
      </c>
      <c r="B1099" s="18" t="s">
        <v>4155</v>
      </c>
      <c r="C1099" s="358" t="s">
        <v>7040</v>
      </c>
      <c r="D1099" s="18" t="s">
        <v>61</v>
      </c>
      <c r="E1099" s="359">
        <v>59.0</v>
      </c>
      <c r="F1099" s="359">
        <v>6.0</v>
      </c>
      <c r="G1099" s="359">
        <v>0.0</v>
      </c>
      <c r="H1099" s="359">
        <v>6.0</v>
      </c>
      <c r="I1099" s="359">
        <v>6.0</v>
      </c>
      <c r="J1099" s="360">
        <v>0.0</v>
      </c>
      <c r="K1099" s="18" t="s">
        <v>4156</v>
      </c>
      <c r="L1099" s="18">
        <v>5.374413981E9</v>
      </c>
      <c r="M1099" s="18" t="s">
        <v>72</v>
      </c>
      <c r="N1099" s="18" t="s">
        <v>915</v>
      </c>
      <c r="O1099" s="18" t="s">
        <v>7621</v>
      </c>
      <c r="P1099" s="18" t="s">
        <v>7041</v>
      </c>
      <c r="Q1099" s="20">
        <f>COUNTIF('Hedef Liste'!A:A,A1099)</f>
        <v>1</v>
      </c>
    </row>
    <row r="1100" ht="15.75" customHeight="1">
      <c r="A1100" s="18" t="s">
        <v>3557</v>
      </c>
      <c r="B1100" s="18" t="s">
        <v>3558</v>
      </c>
      <c r="C1100" s="358" t="s">
        <v>7040</v>
      </c>
      <c r="D1100" s="18" t="s">
        <v>45</v>
      </c>
      <c r="E1100" s="359">
        <v>85.0</v>
      </c>
      <c r="F1100" s="359">
        <v>85.0</v>
      </c>
      <c r="G1100" s="359">
        <v>0.0</v>
      </c>
      <c r="H1100" s="359">
        <v>35.0</v>
      </c>
      <c r="I1100" s="359">
        <v>35.0</v>
      </c>
      <c r="J1100" s="360">
        <v>0.0</v>
      </c>
      <c r="K1100" s="18" t="s">
        <v>3559</v>
      </c>
      <c r="L1100" s="18">
        <v>3.245030015E9</v>
      </c>
      <c r="M1100" s="18" t="s">
        <v>72</v>
      </c>
      <c r="N1100" s="18" t="s">
        <v>82</v>
      </c>
      <c r="O1100" s="18" t="s">
        <v>3560</v>
      </c>
      <c r="P1100" s="18" t="s">
        <v>7041</v>
      </c>
      <c r="Q1100" s="20">
        <f>COUNTIF('Hedef Liste'!A:A,A1100)</f>
        <v>1</v>
      </c>
    </row>
    <row r="1101" ht="15.75" hidden="1" customHeight="1">
      <c r="A1101" s="18" t="s">
        <v>2385</v>
      </c>
      <c r="B1101" s="18" t="s">
        <v>2386</v>
      </c>
      <c r="C1101" s="358" t="s">
        <v>7040</v>
      </c>
      <c r="D1101" s="18" t="s">
        <v>45</v>
      </c>
      <c r="E1101" s="359">
        <v>2931.0</v>
      </c>
      <c r="F1101" s="359">
        <v>115.0</v>
      </c>
      <c r="G1101" s="359">
        <v>0.0</v>
      </c>
      <c r="H1101" s="359">
        <v>12.0</v>
      </c>
      <c r="I1101" s="359">
        <v>12.0</v>
      </c>
      <c r="J1101" s="360">
        <v>0.0</v>
      </c>
      <c r="K1101" s="18" t="s">
        <v>2387</v>
      </c>
      <c r="L1101" s="18">
        <v>5.436595393E9</v>
      </c>
      <c r="M1101" s="18" t="s">
        <v>187</v>
      </c>
      <c r="N1101" s="18" t="s">
        <v>188</v>
      </c>
      <c r="O1101" s="18" t="s">
        <v>2388</v>
      </c>
      <c r="P1101" s="18" t="s">
        <v>7041</v>
      </c>
      <c r="Q1101" s="20">
        <f>COUNTIF('Hedef Liste'!A:A,A1101)</f>
        <v>1</v>
      </c>
    </row>
    <row r="1102" ht="15.75" customHeight="1">
      <c r="A1102" s="18" t="s">
        <v>1674</v>
      </c>
      <c r="B1102" s="18" t="s">
        <v>1675</v>
      </c>
      <c r="C1102" s="358" t="s">
        <v>7040</v>
      </c>
      <c r="D1102" s="18" t="s">
        <v>167</v>
      </c>
      <c r="E1102" s="18"/>
      <c r="F1102" s="18"/>
      <c r="G1102" s="359">
        <v>0.0</v>
      </c>
      <c r="H1102" s="359">
        <v>4.0</v>
      </c>
      <c r="I1102" s="359">
        <v>4.0</v>
      </c>
      <c r="J1102" s="360">
        <v>0.0</v>
      </c>
      <c r="K1102" s="18" t="s">
        <v>1676</v>
      </c>
      <c r="L1102" s="18">
        <v>5.385202373E9</v>
      </c>
      <c r="M1102" s="18" t="s">
        <v>215</v>
      </c>
      <c r="N1102" s="18" t="s">
        <v>263</v>
      </c>
      <c r="O1102" s="18" t="s">
        <v>1677</v>
      </c>
      <c r="P1102" s="18" t="s">
        <v>7041</v>
      </c>
      <c r="Q1102" s="20">
        <f>COUNTIF('Hedef Liste'!A:A,A1102)</f>
        <v>1</v>
      </c>
    </row>
    <row r="1103" ht="15.75" hidden="1" customHeight="1">
      <c r="A1103" s="18" t="s">
        <v>378</v>
      </c>
      <c r="B1103" s="18" t="s">
        <v>379</v>
      </c>
      <c r="C1103" s="358" t="s">
        <v>7040</v>
      </c>
      <c r="D1103" s="18" t="s">
        <v>363</v>
      </c>
      <c r="E1103" s="359">
        <v>436.0</v>
      </c>
      <c r="F1103" s="359">
        <v>67.0</v>
      </c>
      <c r="G1103" s="359">
        <v>0.0</v>
      </c>
      <c r="H1103" s="359">
        <v>19.0</v>
      </c>
      <c r="I1103" s="359">
        <v>19.0</v>
      </c>
      <c r="J1103" s="360">
        <v>0.0</v>
      </c>
      <c r="K1103" s="18" t="s">
        <v>380</v>
      </c>
      <c r="L1103" s="18">
        <v>3.245026666E9</v>
      </c>
      <c r="M1103" s="18" t="s">
        <v>156</v>
      </c>
      <c r="N1103" s="18" t="s">
        <v>381</v>
      </c>
      <c r="O1103" s="18" t="s">
        <v>382</v>
      </c>
      <c r="P1103" s="18" t="s">
        <v>7041</v>
      </c>
      <c r="Q1103" s="20">
        <f>COUNTIF('Hedef Liste'!A:A,A1103)</f>
        <v>1</v>
      </c>
    </row>
    <row r="1104" ht="15.75" hidden="1" customHeight="1">
      <c r="A1104" s="18" t="s">
        <v>1573</v>
      </c>
      <c r="B1104" s="18" t="s">
        <v>1574</v>
      </c>
      <c r="C1104" s="358" t="s">
        <v>7040</v>
      </c>
      <c r="D1104" s="18" t="s">
        <v>80</v>
      </c>
      <c r="E1104" s="359">
        <v>2997.0</v>
      </c>
      <c r="F1104" s="359">
        <v>229.0</v>
      </c>
      <c r="G1104" s="359">
        <v>4.0</v>
      </c>
      <c r="H1104" s="359">
        <v>14.0</v>
      </c>
      <c r="I1104" s="359">
        <v>18.0</v>
      </c>
      <c r="J1104" s="360">
        <v>0.22</v>
      </c>
      <c r="K1104" s="18" t="s">
        <v>1575</v>
      </c>
      <c r="L1104" s="18">
        <v>3.242371413E9</v>
      </c>
      <c r="M1104" s="18" t="s">
        <v>137</v>
      </c>
      <c r="N1104" s="18" t="s">
        <v>845</v>
      </c>
      <c r="O1104" s="18" t="s">
        <v>1576</v>
      </c>
      <c r="P1104" s="18" t="s">
        <v>7041</v>
      </c>
      <c r="Q1104" s="20">
        <f>COUNTIF('Hedef Liste'!A:A,A1104)</f>
        <v>1</v>
      </c>
    </row>
    <row r="1105" ht="15.75" hidden="1" customHeight="1">
      <c r="A1105" s="18" t="s">
        <v>4595</v>
      </c>
      <c r="B1105" s="18" t="s">
        <v>4596</v>
      </c>
      <c r="C1105" s="358" t="s">
        <v>7040</v>
      </c>
      <c r="D1105" s="18" t="s">
        <v>45</v>
      </c>
      <c r="E1105" s="359">
        <v>134.0</v>
      </c>
      <c r="F1105" s="359">
        <v>32.0</v>
      </c>
      <c r="G1105" s="359">
        <v>0.0</v>
      </c>
      <c r="H1105" s="359">
        <v>15.0</v>
      </c>
      <c r="I1105" s="359">
        <v>15.0</v>
      </c>
      <c r="J1105" s="360">
        <v>0.0</v>
      </c>
      <c r="K1105" s="18" t="s">
        <v>4597</v>
      </c>
      <c r="L1105" s="18">
        <v>5.303929621E9</v>
      </c>
      <c r="M1105" s="18" t="s">
        <v>47</v>
      </c>
      <c r="N1105" s="18" t="s">
        <v>489</v>
      </c>
      <c r="O1105" s="18" t="s">
        <v>4598</v>
      </c>
      <c r="P1105" s="18" t="s">
        <v>7041</v>
      </c>
      <c r="Q1105" s="20">
        <f>COUNTIF('Hedef Liste'!A:A,A1105)</f>
        <v>1</v>
      </c>
    </row>
    <row r="1106" ht="15.75" hidden="1" customHeight="1">
      <c r="A1106" s="18" t="s">
        <v>909</v>
      </c>
      <c r="B1106" s="18" t="s">
        <v>906</v>
      </c>
      <c r="C1106" s="358" t="s">
        <v>7040</v>
      </c>
      <c r="D1106" s="18" t="s">
        <v>80</v>
      </c>
      <c r="E1106" s="359">
        <v>47.0</v>
      </c>
      <c r="F1106" s="18"/>
      <c r="G1106" s="359">
        <v>4.0</v>
      </c>
      <c r="H1106" s="359">
        <v>2.0</v>
      </c>
      <c r="I1106" s="359">
        <v>6.0</v>
      </c>
      <c r="J1106" s="360">
        <v>0.67</v>
      </c>
      <c r="K1106" s="18" t="s">
        <v>910</v>
      </c>
      <c r="L1106" s="18">
        <v>5.42291506E9</v>
      </c>
      <c r="M1106" s="18" t="s">
        <v>72</v>
      </c>
      <c r="N1106" s="18" t="s">
        <v>128</v>
      </c>
      <c r="O1106" s="18" t="s">
        <v>908</v>
      </c>
      <c r="P1106" s="18" t="s">
        <v>7041</v>
      </c>
      <c r="Q1106" s="20">
        <f>COUNTIF('Hedef Liste'!A:A,A1106)</f>
        <v>1</v>
      </c>
    </row>
    <row r="1107" ht="15.75" hidden="1" customHeight="1">
      <c r="A1107" s="18" t="s">
        <v>2041</v>
      </c>
      <c r="B1107" s="18" t="s">
        <v>2042</v>
      </c>
      <c r="C1107" s="358" t="s">
        <v>7040</v>
      </c>
      <c r="D1107" s="18" t="s">
        <v>80</v>
      </c>
      <c r="E1107" s="359">
        <v>14.0</v>
      </c>
      <c r="F1107" s="18"/>
      <c r="G1107" s="359">
        <v>0.0</v>
      </c>
      <c r="H1107" s="359">
        <v>9.0</v>
      </c>
      <c r="I1107" s="359">
        <v>9.0</v>
      </c>
      <c r="J1107" s="360">
        <v>0.0</v>
      </c>
      <c r="K1107" s="18" t="s">
        <v>2043</v>
      </c>
      <c r="L1107" s="18">
        <v>3.243365248E9</v>
      </c>
      <c r="M1107" s="18" t="s">
        <v>137</v>
      </c>
      <c r="N1107" s="18" t="s">
        <v>526</v>
      </c>
      <c r="O1107" s="18" t="s">
        <v>2044</v>
      </c>
      <c r="P1107" s="18" t="s">
        <v>7041</v>
      </c>
      <c r="Q1107" s="20">
        <f>COUNTIF('Hedef Liste'!A:A,A1107)</f>
        <v>1</v>
      </c>
    </row>
    <row r="1108" ht="15.75" hidden="1" customHeight="1">
      <c r="A1108" s="18" t="s">
        <v>763</v>
      </c>
      <c r="B1108" s="18" t="s">
        <v>764</v>
      </c>
      <c r="C1108" s="358" t="s">
        <v>7040</v>
      </c>
      <c r="D1108" s="18" t="s">
        <v>80</v>
      </c>
      <c r="E1108" s="359">
        <v>53.0</v>
      </c>
      <c r="F1108" s="359">
        <v>35.0</v>
      </c>
      <c r="G1108" s="359">
        <v>6.0</v>
      </c>
      <c r="H1108" s="359">
        <v>0.0</v>
      </c>
      <c r="I1108" s="359">
        <v>6.0</v>
      </c>
      <c r="J1108" s="360">
        <v>1.0</v>
      </c>
      <c r="K1108" s="18" t="s">
        <v>765</v>
      </c>
      <c r="L1108" s="18">
        <v>3.245026303E9</v>
      </c>
      <c r="M1108" s="18" t="s">
        <v>137</v>
      </c>
      <c r="N1108" s="18" t="s">
        <v>209</v>
      </c>
      <c r="O1108" s="18" t="s">
        <v>766</v>
      </c>
      <c r="P1108" s="18" t="s">
        <v>7041</v>
      </c>
      <c r="Q1108" s="20">
        <f>COUNTIF('Hedef Liste'!A:A,A1108)</f>
        <v>1</v>
      </c>
    </row>
    <row r="1109" ht="15.75" hidden="1" customHeight="1">
      <c r="A1109" s="18" t="s">
        <v>3745</v>
      </c>
      <c r="B1109" s="18" t="s">
        <v>3743</v>
      </c>
      <c r="C1109" s="358" t="s">
        <v>7040</v>
      </c>
      <c r="D1109" s="18" t="s">
        <v>106</v>
      </c>
      <c r="E1109" s="18"/>
      <c r="F1109" s="18"/>
      <c r="G1109" s="359">
        <v>0.0</v>
      </c>
      <c r="H1109" s="359">
        <v>14.0</v>
      </c>
      <c r="I1109" s="359">
        <v>14.0</v>
      </c>
      <c r="J1109" s="360">
        <v>0.0</v>
      </c>
      <c r="K1109" s="18" t="s">
        <v>3746</v>
      </c>
      <c r="L1109" s="18">
        <v>5.431560016E9</v>
      </c>
      <c r="M1109" s="18" t="s">
        <v>47</v>
      </c>
      <c r="N1109" s="18" t="s">
        <v>3483</v>
      </c>
      <c r="O1109" s="18" t="s">
        <v>3744</v>
      </c>
      <c r="P1109" s="18" t="s">
        <v>7041</v>
      </c>
      <c r="Q1109" s="20">
        <f>COUNTIF('Hedef Liste'!A:A,A1109)</f>
        <v>1</v>
      </c>
    </row>
    <row r="1110" ht="15.75" hidden="1" customHeight="1">
      <c r="A1110" s="18" t="s">
        <v>3397</v>
      </c>
      <c r="B1110" s="18" t="s">
        <v>3398</v>
      </c>
      <c r="C1110" s="358" t="s">
        <v>7040</v>
      </c>
      <c r="D1110" s="18" t="s">
        <v>167</v>
      </c>
      <c r="E1110" s="359">
        <v>2.0</v>
      </c>
      <c r="F1110" s="359">
        <v>2.0</v>
      </c>
      <c r="G1110" s="359">
        <v>0.0</v>
      </c>
      <c r="H1110" s="359">
        <v>6.0</v>
      </c>
      <c r="I1110" s="359">
        <v>6.0</v>
      </c>
      <c r="J1110" s="360">
        <v>0.0</v>
      </c>
      <c r="K1110" s="18" t="s">
        <v>3399</v>
      </c>
      <c r="L1110" s="18">
        <v>5.446332727E9</v>
      </c>
      <c r="M1110" s="18" t="s">
        <v>215</v>
      </c>
      <c r="N1110" s="18" t="s">
        <v>1190</v>
      </c>
      <c r="O1110" s="18" t="s">
        <v>3400</v>
      </c>
      <c r="P1110" s="18" t="s">
        <v>7041</v>
      </c>
      <c r="Q1110" s="20">
        <f>COUNTIF('Hedef Liste'!A:A,A1110)</f>
        <v>1</v>
      </c>
    </row>
    <row r="1111" ht="15.75" hidden="1" customHeight="1">
      <c r="A1111" s="18" t="s">
        <v>4244</v>
      </c>
      <c r="B1111" s="18" t="s">
        <v>4245</v>
      </c>
      <c r="C1111" s="358" t="s">
        <v>7040</v>
      </c>
      <c r="D1111" s="18" t="s">
        <v>80</v>
      </c>
      <c r="E1111" s="359">
        <v>343.0</v>
      </c>
      <c r="F1111" s="359">
        <v>6.0</v>
      </c>
      <c r="G1111" s="359">
        <v>6.0</v>
      </c>
      <c r="H1111" s="359">
        <v>2.0</v>
      </c>
      <c r="I1111" s="359">
        <v>8.0</v>
      </c>
      <c r="J1111" s="360">
        <v>0.75</v>
      </c>
      <c r="K1111" s="18" t="s">
        <v>4246</v>
      </c>
      <c r="L1111" s="18">
        <v>5.399220403E9</v>
      </c>
      <c r="M1111" s="18" t="s">
        <v>63</v>
      </c>
      <c r="N1111" s="18" t="s">
        <v>566</v>
      </c>
      <c r="O1111" s="18" t="s">
        <v>4247</v>
      </c>
      <c r="P1111" s="18" t="s">
        <v>7041</v>
      </c>
      <c r="Q1111" s="20">
        <f>COUNTIF('Hedef Liste'!A:A,A1111)</f>
        <v>1</v>
      </c>
    </row>
    <row r="1112" ht="15.75" hidden="1" customHeight="1">
      <c r="A1112" s="18" t="s">
        <v>864</v>
      </c>
      <c r="B1112" s="18" t="s">
        <v>865</v>
      </c>
      <c r="C1112" s="358" t="s">
        <v>7040</v>
      </c>
      <c r="D1112" s="18" t="s">
        <v>451</v>
      </c>
      <c r="E1112" s="359">
        <v>357.0</v>
      </c>
      <c r="F1112" s="359">
        <v>120.0</v>
      </c>
      <c r="G1112" s="359">
        <v>10.0</v>
      </c>
      <c r="H1112" s="359">
        <v>0.0</v>
      </c>
      <c r="I1112" s="359">
        <v>10.0</v>
      </c>
      <c r="J1112" s="360">
        <v>1.0</v>
      </c>
      <c r="K1112" s="18" t="s">
        <v>866</v>
      </c>
      <c r="L1112" s="18">
        <v>3.24290299E9</v>
      </c>
      <c r="M1112" s="18" t="s">
        <v>63</v>
      </c>
      <c r="N1112" s="18" t="s">
        <v>93</v>
      </c>
      <c r="O1112" s="18" t="s">
        <v>867</v>
      </c>
      <c r="P1112" s="18" t="s">
        <v>7041</v>
      </c>
      <c r="Q1112" s="20">
        <f>COUNTIF('Hedef Liste'!A:A,A1112)</f>
        <v>1</v>
      </c>
    </row>
    <row r="1113" ht="15.75" hidden="1" customHeight="1">
      <c r="A1113" s="18" t="s">
        <v>340</v>
      </c>
      <c r="B1113" s="18" t="s">
        <v>341</v>
      </c>
      <c r="C1113" s="358" t="s">
        <v>7040</v>
      </c>
      <c r="D1113" s="18" t="s">
        <v>45</v>
      </c>
      <c r="E1113" s="359">
        <v>2.0</v>
      </c>
      <c r="F1113" s="359">
        <v>2.0</v>
      </c>
      <c r="G1113" s="359">
        <v>0.0</v>
      </c>
      <c r="H1113" s="359">
        <v>16.0</v>
      </c>
      <c r="I1113" s="359">
        <v>16.0</v>
      </c>
      <c r="J1113" s="360">
        <v>0.0</v>
      </c>
      <c r="K1113" s="18" t="s">
        <v>342</v>
      </c>
      <c r="L1113" s="18">
        <v>3.24328283E9</v>
      </c>
      <c r="M1113" s="18" t="s">
        <v>72</v>
      </c>
      <c r="N1113" s="18" t="s">
        <v>113</v>
      </c>
      <c r="O1113" s="18" t="s">
        <v>343</v>
      </c>
      <c r="P1113" s="18" t="s">
        <v>7041</v>
      </c>
      <c r="Q1113" s="20">
        <f>COUNTIF('Hedef Liste'!A:A,A1113)</f>
        <v>1</v>
      </c>
    </row>
    <row r="1114" ht="15.75" customHeight="1">
      <c r="A1114" s="18" t="s">
        <v>3711</v>
      </c>
      <c r="B1114" s="18" t="s">
        <v>3712</v>
      </c>
      <c r="C1114" s="358" t="s">
        <v>7040</v>
      </c>
      <c r="D1114" s="18" t="s">
        <v>372</v>
      </c>
      <c r="E1114" s="359">
        <v>6.0</v>
      </c>
      <c r="F1114" s="359">
        <v>6.0</v>
      </c>
      <c r="G1114" s="359">
        <v>0.0</v>
      </c>
      <c r="H1114" s="359">
        <v>10.0</v>
      </c>
      <c r="I1114" s="359">
        <v>10.0</v>
      </c>
      <c r="J1114" s="360">
        <v>0.0</v>
      </c>
      <c r="K1114" s="18" t="s">
        <v>3713</v>
      </c>
      <c r="L1114" s="18">
        <v>5.334102323E9</v>
      </c>
      <c r="M1114" s="18" t="s">
        <v>72</v>
      </c>
      <c r="N1114" s="18" t="s">
        <v>983</v>
      </c>
      <c r="O1114" s="18" t="s">
        <v>3714</v>
      </c>
      <c r="P1114" s="18" t="s">
        <v>7041</v>
      </c>
      <c r="Q1114" s="20">
        <f>COUNTIF('Hedef Liste'!A:A,A1114)</f>
        <v>1</v>
      </c>
    </row>
    <row r="1115" ht="15.75" customHeight="1">
      <c r="A1115" s="18" t="s">
        <v>1406</v>
      </c>
      <c r="B1115" s="18" t="s">
        <v>1407</v>
      </c>
      <c r="C1115" s="358" t="s">
        <v>7040</v>
      </c>
      <c r="D1115" s="18" t="s">
        <v>167</v>
      </c>
      <c r="E1115" s="359">
        <v>5.0</v>
      </c>
      <c r="F1115" s="359">
        <v>5.0</v>
      </c>
      <c r="G1115" s="359">
        <v>0.0</v>
      </c>
      <c r="H1115" s="359">
        <v>9.0</v>
      </c>
      <c r="I1115" s="359">
        <v>9.0</v>
      </c>
      <c r="J1115" s="360">
        <v>0.0</v>
      </c>
      <c r="K1115" s="18" t="s">
        <v>1408</v>
      </c>
      <c r="L1115" s="18">
        <v>5.375926631E9</v>
      </c>
      <c r="M1115" s="18" t="s">
        <v>47</v>
      </c>
      <c r="N1115" s="18" t="s">
        <v>365</v>
      </c>
      <c r="O1115" s="18" t="s">
        <v>1409</v>
      </c>
      <c r="P1115" s="18" t="s">
        <v>7041</v>
      </c>
      <c r="Q1115" s="20">
        <f>COUNTIF('Hedef Liste'!A:A,A1115)</f>
        <v>1</v>
      </c>
    </row>
    <row r="1116" ht="15.75" hidden="1" customHeight="1">
      <c r="A1116" s="18" t="s">
        <v>1315</v>
      </c>
      <c r="B1116" s="18" t="s">
        <v>1316</v>
      </c>
      <c r="C1116" s="358" t="s">
        <v>7040</v>
      </c>
      <c r="D1116" s="18" t="s">
        <v>363</v>
      </c>
      <c r="E1116" s="359">
        <v>1619.0</v>
      </c>
      <c r="F1116" s="359">
        <v>70.0</v>
      </c>
      <c r="G1116" s="359">
        <v>7.0</v>
      </c>
      <c r="H1116" s="359">
        <v>3.0</v>
      </c>
      <c r="I1116" s="359">
        <v>10.0</v>
      </c>
      <c r="J1116" s="360">
        <v>0.7</v>
      </c>
      <c r="K1116" s="18" t="s">
        <v>1317</v>
      </c>
      <c r="L1116" s="18">
        <v>5.385069929E9</v>
      </c>
      <c r="M1116" s="18" t="s">
        <v>63</v>
      </c>
      <c r="N1116" s="18" t="s">
        <v>93</v>
      </c>
      <c r="O1116" s="18" t="s">
        <v>1318</v>
      </c>
      <c r="P1116" s="18" t="s">
        <v>7041</v>
      </c>
      <c r="Q1116" s="20">
        <f>COUNTIF('Hedef Liste'!A:A,A1116)</f>
        <v>1</v>
      </c>
    </row>
    <row r="1117" ht="15.75" hidden="1" customHeight="1">
      <c r="A1117" s="18" t="s">
        <v>3172</v>
      </c>
      <c r="B1117" s="18" t="s">
        <v>3173</v>
      </c>
      <c r="C1117" s="358" t="s">
        <v>7040</v>
      </c>
      <c r="D1117" s="18" t="s">
        <v>167</v>
      </c>
      <c r="E1117" s="359">
        <v>148.0</v>
      </c>
      <c r="F1117" s="359">
        <v>12.0</v>
      </c>
      <c r="G1117" s="359">
        <v>9.0</v>
      </c>
      <c r="H1117" s="359">
        <v>4.0</v>
      </c>
      <c r="I1117" s="359">
        <v>13.0</v>
      </c>
      <c r="J1117" s="360">
        <v>0.69</v>
      </c>
      <c r="K1117" s="18" t="s">
        <v>3174</v>
      </c>
      <c r="L1117" s="18">
        <v>5.41908952E9</v>
      </c>
      <c r="M1117" s="18" t="s">
        <v>63</v>
      </c>
      <c r="N1117" s="18" t="s">
        <v>137</v>
      </c>
      <c r="O1117" s="18" t="s">
        <v>3175</v>
      </c>
      <c r="P1117" s="18" t="s">
        <v>7041</v>
      </c>
      <c r="Q1117" s="20">
        <f>COUNTIF('Hedef Liste'!A:A,A1117)</f>
        <v>1</v>
      </c>
    </row>
    <row r="1118" ht="15.75" hidden="1" customHeight="1">
      <c r="A1118" s="18" t="s">
        <v>1419</v>
      </c>
      <c r="B1118" s="18" t="s">
        <v>1420</v>
      </c>
      <c r="C1118" s="358" t="s">
        <v>7040</v>
      </c>
      <c r="D1118" s="18" t="s">
        <v>167</v>
      </c>
      <c r="E1118" s="359">
        <v>908.0</v>
      </c>
      <c r="F1118" s="359">
        <v>58.0</v>
      </c>
      <c r="G1118" s="359">
        <v>12.0</v>
      </c>
      <c r="H1118" s="359">
        <v>0.0</v>
      </c>
      <c r="I1118" s="359">
        <v>12.0</v>
      </c>
      <c r="J1118" s="360">
        <v>1.0</v>
      </c>
      <c r="K1118" s="18" t="s">
        <v>1421</v>
      </c>
      <c r="L1118" s="18">
        <v>5.31625899E9</v>
      </c>
      <c r="M1118" s="18" t="s">
        <v>47</v>
      </c>
      <c r="N1118" s="18" t="s">
        <v>479</v>
      </c>
      <c r="O1118" s="18" t="s">
        <v>1422</v>
      </c>
      <c r="P1118" s="18" t="s">
        <v>7041</v>
      </c>
      <c r="Q1118" s="20">
        <f>COUNTIF('Hedef Liste'!A:A,A1118)</f>
        <v>1</v>
      </c>
    </row>
    <row r="1119" ht="15.75" hidden="1" customHeight="1">
      <c r="A1119" s="18" t="s">
        <v>837</v>
      </c>
      <c r="B1119" s="18" t="s">
        <v>2540</v>
      </c>
      <c r="C1119" s="358" t="s">
        <v>7040</v>
      </c>
      <c r="D1119" s="18" t="s">
        <v>80</v>
      </c>
      <c r="E1119" s="359">
        <v>1166.0</v>
      </c>
      <c r="F1119" s="359">
        <v>154.0</v>
      </c>
      <c r="G1119" s="359">
        <v>1.0</v>
      </c>
      <c r="H1119" s="359">
        <v>9.0</v>
      </c>
      <c r="I1119" s="359">
        <v>10.0</v>
      </c>
      <c r="J1119" s="360">
        <v>0.1</v>
      </c>
      <c r="K1119" s="18" t="s">
        <v>839</v>
      </c>
      <c r="L1119" s="18">
        <v>3.249994818E9</v>
      </c>
      <c r="M1119" s="18" t="s">
        <v>72</v>
      </c>
      <c r="N1119" s="18" t="s">
        <v>113</v>
      </c>
      <c r="O1119" s="18" t="s">
        <v>840</v>
      </c>
      <c r="P1119" s="18" t="s">
        <v>7041</v>
      </c>
      <c r="Q1119" s="20">
        <f>COUNTIF('Hedef Liste'!A:A,A1119)</f>
        <v>1</v>
      </c>
    </row>
    <row r="1120" ht="15.75" hidden="1" customHeight="1">
      <c r="A1120" s="18" t="s">
        <v>3576</v>
      </c>
      <c r="B1120" s="18" t="s">
        <v>3577</v>
      </c>
      <c r="C1120" s="358" t="s">
        <v>7040</v>
      </c>
      <c r="D1120" s="18" t="s">
        <v>363</v>
      </c>
      <c r="E1120" s="359">
        <v>658.0</v>
      </c>
      <c r="F1120" s="359">
        <v>16.0</v>
      </c>
      <c r="G1120" s="359">
        <v>8.0</v>
      </c>
      <c r="H1120" s="359">
        <v>7.0</v>
      </c>
      <c r="I1120" s="359">
        <v>15.0</v>
      </c>
      <c r="J1120" s="360">
        <v>0.53</v>
      </c>
      <c r="K1120" s="18" t="s">
        <v>3578</v>
      </c>
      <c r="L1120" s="18">
        <v>5.079689424E9</v>
      </c>
      <c r="M1120" s="18" t="s">
        <v>72</v>
      </c>
      <c r="N1120" s="18" t="s">
        <v>1298</v>
      </c>
      <c r="O1120" s="18" t="s">
        <v>3579</v>
      </c>
      <c r="P1120" s="18" t="s">
        <v>7041</v>
      </c>
      <c r="Q1120" s="20">
        <f>COUNTIF('Hedef Liste'!A:A,A1120)</f>
        <v>1</v>
      </c>
    </row>
    <row r="1121" ht="15.75" hidden="1" customHeight="1">
      <c r="A1121" s="18" t="s">
        <v>2404</v>
      </c>
      <c r="B1121" s="18" t="s">
        <v>2405</v>
      </c>
      <c r="C1121" s="358" t="s">
        <v>7040</v>
      </c>
      <c r="D1121" s="18" t="s">
        <v>754</v>
      </c>
      <c r="E1121" s="359">
        <v>460.0</v>
      </c>
      <c r="F1121" s="359">
        <v>25.0</v>
      </c>
      <c r="G1121" s="359">
        <v>0.0</v>
      </c>
      <c r="H1121" s="359">
        <v>21.0</v>
      </c>
      <c r="I1121" s="359">
        <v>21.0</v>
      </c>
      <c r="J1121" s="360">
        <v>0.0</v>
      </c>
      <c r="K1121" s="18" t="s">
        <v>2406</v>
      </c>
      <c r="L1121" s="18">
        <v>5.399411536E9</v>
      </c>
      <c r="M1121" s="18" t="s">
        <v>72</v>
      </c>
      <c r="N1121" s="18" t="s">
        <v>415</v>
      </c>
      <c r="O1121" s="18" t="s">
        <v>2407</v>
      </c>
      <c r="P1121" s="18" t="s">
        <v>7041</v>
      </c>
      <c r="Q1121" s="20">
        <f>COUNTIF('Hedef Liste'!A:A,A1121)</f>
        <v>1</v>
      </c>
    </row>
    <row r="1122" ht="15.75" hidden="1" customHeight="1">
      <c r="A1122" s="18" t="s">
        <v>3225</v>
      </c>
      <c r="B1122" s="18" t="s">
        <v>3226</v>
      </c>
      <c r="C1122" s="358" t="s">
        <v>7040</v>
      </c>
      <c r="D1122" s="18" t="s">
        <v>80</v>
      </c>
      <c r="E1122" s="359">
        <v>20.0</v>
      </c>
      <c r="F1122" s="359">
        <v>12.0</v>
      </c>
      <c r="G1122" s="359">
        <v>0.0</v>
      </c>
      <c r="H1122" s="359">
        <v>6.0</v>
      </c>
      <c r="I1122" s="359">
        <v>6.0</v>
      </c>
      <c r="J1122" s="360">
        <v>0.0</v>
      </c>
      <c r="K1122" s="18" t="s">
        <v>3227</v>
      </c>
      <c r="L1122" s="18">
        <v>5.452350959E9</v>
      </c>
      <c r="M1122" s="18" t="s">
        <v>72</v>
      </c>
      <c r="N1122" s="18" t="s">
        <v>82</v>
      </c>
      <c r="O1122" s="18" t="s">
        <v>421</v>
      </c>
      <c r="P1122" s="18" t="s">
        <v>7041</v>
      </c>
      <c r="Q1122" s="20">
        <f>COUNTIF('Hedef Liste'!A:A,A1122)</f>
        <v>1</v>
      </c>
    </row>
    <row r="1123" ht="15.75" hidden="1" customHeight="1">
      <c r="A1123" s="18" t="s">
        <v>2127</v>
      </c>
      <c r="B1123" s="18" t="s">
        <v>2128</v>
      </c>
      <c r="C1123" s="358" t="s">
        <v>7040</v>
      </c>
      <c r="D1123" s="18" t="s">
        <v>45</v>
      </c>
      <c r="E1123" s="359">
        <v>9.0</v>
      </c>
      <c r="F1123" s="359">
        <v>1.0</v>
      </c>
      <c r="G1123" s="359">
        <v>0.0</v>
      </c>
      <c r="H1123" s="359">
        <v>4.0</v>
      </c>
      <c r="I1123" s="359">
        <v>4.0</v>
      </c>
      <c r="J1123" s="360">
        <v>0.0</v>
      </c>
      <c r="K1123" s="18" t="s">
        <v>2129</v>
      </c>
      <c r="L1123" s="18">
        <v>5.441820133E9</v>
      </c>
      <c r="M1123" s="18" t="s">
        <v>156</v>
      </c>
      <c r="N1123" s="18" t="s">
        <v>740</v>
      </c>
      <c r="O1123" s="18" t="s">
        <v>2130</v>
      </c>
      <c r="P1123" s="18" t="s">
        <v>7041</v>
      </c>
      <c r="Q1123" s="20">
        <f>COUNTIF('Hedef Liste'!A:A,A1123)</f>
        <v>1</v>
      </c>
    </row>
    <row r="1124" ht="15.75" hidden="1" customHeight="1">
      <c r="A1124" s="18" t="s">
        <v>2319</v>
      </c>
      <c r="B1124" s="18" t="s">
        <v>2320</v>
      </c>
      <c r="C1124" s="358" t="s">
        <v>7040</v>
      </c>
      <c r="D1124" s="18" t="s">
        <v>167</v>
      </c>
      <c r="E1124" s="359">
        <v>3.0</v>
      </c>
      <c r="F1124" s="359">
        <v>2.0</v>
      </c>
      <c r="G1124" s="359">
        <v>0.0</v>
      </c>
      <c r="H1124" s="359">
        <v>10.0</v>
      </c>
      <c r="I1124" s="359">
        <v>10.0</v>
      </c>
      <c r="J1124" s="360">
        <v>0.0</v>
      </c>
      <c r="K1124" s="18" t="s">
        <v>2321</v>
      </c>
      <c r="L1124" s="18">
        <v>5.331578233E9</v>
      </c>
      <c r="M1124" s="18" t="s">
        <v>72</v>
      </c>
      <c r="N1124" s="18" t="s">
        <v>1298</v>
      </c>
      <c r="O1124" s="18" t="s">
        <v>2322</v>
      </c>
      <c r="P1124" s="18" t="s">
        <v>7041</v>
      </c>
      <c r="Q1124" s="20">
        <f>COUNTIF('Hedef Liste'!A:A,A1124)</f>
        <v>1</v>
      </c>
    </row>
    <row r="1125" ht="15.75" hidden="1" customHeight="1">
      <c r="A1125" s="18" t="s">
        <v>3594</v>
      </c>
      <c r="B1125" s="18" t="s">
        <v>3595</v>
      </c>
      <c r="C1125" s="358" t="s">
        <v>7040</v>
      </c>
      <c r="D1125" s="18" t="s">
        <v>80</v>
      </c>
      <c r="F1125" s="18"/>
      <c r="G1125" s="359">
        <v>0.0</v>
      </c>
      <c r="H1125" s="359">
        <v>8.0</v>
      </c>
      <c r="I1125" s="359">
        <v>8.0</v>
      </c>
      <c r="J1125" s="360">
        <v>0.0</v>
      </c>
      <c r="K1125" s="18" t="s">
        <v>3596</v>
      </c>
      <c r="L1125" s="18">
        <v>5.541651033E9</v>
      </c>
      <c r="M1125" s="18" t="s">
        <v>72</v>
      </c>
      <c r="N1125" s="18" t="s">
        <v>181</v>
      </c>
      <c r="O1125" s="18" t="s">
        <v>3597</v>
      </c>
      <c r="P1125" s="18" t="s">
        <v>7041</v>
      </c>
      <c r="Q1125" s="20">
        <f>COUNTIF('Hedef Liste'!A:A,A1125)</f>
        <v>1</v>
      </c>
    </row>
    <row r="1126" ht="15.75" hidden="1" customHeight="1">
      <c r="A1126" s="18" t="s">
        <v>2389</v>
      </c>
      <c r="B1126" s="18" t="s">
        <v>2390</v>
      </c>
      <c r="C1126" s="358" t="s">
        <v>7040</v>
      </c>
      <c r="D1126" s="18" t="s">
        <v>70</v>
      </c>
      <c r="E1126" s="359">
        <v>51.0</v>
      </c>
      <c r="F1126" s="359">
        <v>51.0</v>
      </c>
      <c r="G1126" s="359">
        <v>0.0</v>
      </c>
      <c r="H1126" s="359">
        <v>11.0</v>
      </c>
      <c r="I1126" s="359">
        <v>11.0</v>
      </c>
      <c r="J1126" s="360">
        <v>0.0</v>
      </c>
      <c r="K1126" s="18" t="s">
        <v>2391</v>
      </c>
      <c r="L1126" s="18">
        <v>5.461233347E9</v>
      </c>
      <c r="M1126" s="18" t="s">
        <v>215</v>
      </c>
      <c r="N1126" s="18" t="s">
        <v>2392</v>
      </c>
      <c r="O1126" s="18" t="s">
        <v>2393</v>
      </c>
      <c r="P1126" s="18" t="s">
        <v>7041</v>
      </c>
      <c r="Q1126" s="20">
        <f>COUNTIF('Hedef Liste'!A:A,A1126)</f>
        <v>1</v>
      </c>
    </row>
    <row r="1127" ht="15.75" customHeight="1">
      <c r="A1127" s="18" t="s">
        <v>298</v>
      </c>
      <c r="B1127" s="18" t="s">
        <v>299</v>
      </c>
      <c r="C1127" s="358" t="s">
        <v>7040</v>
      </c>
      <c r="D1127" s="18" t="s">
        <v>167</v>
      </c>
      <c r="E1127" s="359">
        <v>71.0</v>
      </c>
      <c r="F1127" s="359">
        <v>71.0</v>
      </c>
      <c r="G1127" s="359">
        <v>0.0</v>
      </c>
      <c r="H1127" s="359">
        <v>11.0</v>
      </c>
      <c r="I1127" s="359">
        <v>11.0</v>
      </c>
      <c r="J1127" s="360">
        <v>0.0</v>
      </c>
      <c r="K1127" s="18" t="s">
        <v>300</v>
      </c>
      <c r="L1127" s="18">
        <v>3.246250747E9</v>
      </c>
      <c r="M1127" s="18" t="s">
        <v>156</v>
      </c>
      <c r="N1127" s="18" t="s">
        <v>301</v>
      </c>
      <c r="O1127" s="18" t="s">
        <v>302</v>
      </c>
      <c r="P1127" s="18" t="s">
        <v>7041</v>
      </c>
      <c r="Q1127" s="20">
        <f>COUNTIF('Hedef Liste'!A:A,A1127)</f>
        <v>1</v>
      </c>
    </row>
    <row r="1128" ht="15.75" hidden="1" customHeight="1">
      <c r="A1128" s="18" t="s">
        <v>1320</v>
      </c>
      <c r="B1128" s="18" t="s">
        <v>1321</v>
      </c>
      <c r="C1128" s="358" t="s">
        <v>7040</v>
      </c>
      <c r="D1128" s="18" t="s">
        <v>363</v>
      </c>
      <c r="E1128" s="359">
        <v>2773.0</v>
      </c>
      <c r="F1128" s="359">
        <v>76.0</v>
      </c>
      <c r="G1128" s="359">
        <v>7.0</v>
      </c>
      <c r="H1128" s="359">
        <v>3.0</v>
      </c>
      <c r="I1128" s="359">
        <v>10.0</v>
      </c>
      <c r="J1128" s="360">
        <v>0.7</v>
      </c>
      <c r="K1128" s="18" t="s">
        <v>1317</v>
      </c>
      <c r="L1128" s="18">
        <v>3.243265737E9</v>
      </c>
      <c r="M1128" s="18" t="s">
        <v>72</v>
      </c>
      <c r="N1128" s="18" t="s">
        <v>73</v>
      </c>
      <c r="O1128" s="18" t="s">
        <v>1322</v>
      </c>
      <c r="P1128" s="18" t="s">
        <v>7041</v>
      </c>
      <c r="Q1128" s="20">
        <f>COUNTIF('Hedef Liste'!A:A,A1128)</f>
        <v>1</v>
      </c>
    </row>
    <row r="1129" ht="15.75" hidden="1" customHeight="1">
      <c r="A1129" s="18" t="s">
        <v>2513</v>
      </c>
      <c r="B1129" s="18" t="s">
        <v>7622</v>
      </c>
      <c r="C1129" s="358" t="s">
        <v>7040</v>
      </c>
      <c r="D1129" s="18" t="s">
        <v>118</v>
      </c>
      <c r="E1129" s="359">
        <v>341.0</v>
      </c>
      <c r="F1129" s="359">
        <v>7.0</v>
      </c>
      <c r="G1129" s="359">
        <v>0.0</v>
      </c>
      <c r="H1129" s="359">
        <v>6.0</v>
      </c>
      <c r="I1129" s="359">
        <v>6.0</v>
      </c>
      <c r="J1129" s="360">
        <v>0.0</v>
      </c>
      <c r="K1129" s="18" t="s">
        <v>2515</v>
      </c>
      <c r="L1129" s="18">
        <v>5.306125344E9</v>
      </c>
      <c r="M1129" s="18" t="s">
        <v>72</v>
      </c>
      <c r="N1129" s="18" t="s">
        <v>82</v>
      </c>
      <c r="O1129" s="18" t="s">
        <v>2516</v>
      </c>
      <c r="P1129" s="18" t="s">
        <v>7041</v>
      </c>
      <c r="Q1129" s="20">
        <f>COUNTIF('Hedef Liste'!A:A,A1129)</f>
        <v>1</v>
      </c>
    </row>
    <row r="1130" ht="15.75" hidden="1" customHeight="1">
      <c r="A1130" s="18" t="s">
        <v>7623</v>
      </c>
      <c r="B1130" s="18" t="s">
        <v>7624</v>
      </c>
      <c r="C1130" s="358" t="s">
        <v>7040</v>
      </c>
      <c r="D1130" s="18" t="s">
        <v>61</v>
      </c>
      <c r="E1130" s="359">
        <v>1079.0</v>
      </c>
      <c r="F1130" s="359">
        <v>11.0</v>
      </c>
      <c r="G1130" s="359">
        <v>9.0</v>
      </c>
      <c r="H1130" s="359">
        <v>1.0</v>
      </c>
      <c r="I1130" s="359">
        <v>10.0</v>
      </c>
      <c r="J1130" s="360">
        <v>0.9</v>
      </c>
      <c r="K1130" s="18" t="s">
        <v>2787</v>
      </c>
      <c r="L1130" s="18">
        <v>3.247150505E9</v>
      </c>
      <c r="M1130" s="18" t="s">
        <v>187</v>
      </c>
      <c r="N1130" s="18" t="s">
        <v>7625</v>
      </c>
      <c r="O1130" s="18" t="s">
        <v>7626</v>
      </c>
      <c r="P1130" s="18" t="s">
        <v>7047</v>
      </c>
      <c r="Q1130" s="20">
        <f>COUNTIF('Hedef Liste'!A:A,A1130)</f>
        <v>0</v>
      </c>
    </row>
    <row r="1131" ht="15.75" hidden="1" customHeight="1">
      <c r="A1131" s="18" t="s">
        <v>4291</v>
      </c>
      <c r="B1131" s="18" t="s">
        <v>4292</v>
      </c>
      <c r="C1131" s="358" t="s">
        <v>7040</v>
      </c>
      <c r="D1131" s="18" t="s">
        <v>45</v>
      </c>
      <c r="E1131" s="359">
        <v>17.0</v>
      </c>
      <c r="F1131" s="359">
        <v>1.0</v>
      </c>
      <c r="G1131" s="359">
        <v>3.0</v>
      </c>
      <c r="H1131" s="359">
        <v>0.0</v>
      </c>
      <c r="I1131" s="359">
        <v>3.0</v>
      </c>
      <c r="J1131" s="360">
        <v>1.0</v>
      </c>
      <c r="K1131" s="18" t="s">
        <v>2317</v>
      </c>
      <c r="L1131" s="18">
        <v>5.31578637E9</v>
      </c>
      <c r="M1131" s="18" t="s">
        <v>137</v>
      </c>
      <c r="N1131" s="18" t="s">
        <v>374</v>
      </c>
      <c r="O1131" s="18" t="s">
        <v>2318</v>
      </c>
      <c r="P1131" s="18" t="s">
        <v>7041</v>
      </c>
      <c r="Q1131" s="20">
        <f>COUNTIF('Hedef Liste'!A:A,A1131)</f>
        <v>1</v>
      </c>
    </row>
    <row r="1132" ht="15.75" hidden="1" customHeight="1">
      <c r="A1132" s="18" t="s">
        <v>7627</v>
      </c>
      <c r="B1132" s="18" t="s">
        <v>7628</v>
      </c>
      <c r="C1132" s="358" t="s">
        <v>7062</v>
      </c>
      <c r="D1132" s="18" t="s">
        <v>1063</v>
      </c>
      <c r="F1132" s="18"/>
      <c r="G1132" s="359">
        <v>0.0</v>
      </c>
      <c r="H1132" s="359">
        <v>6.0</v>
      </c>
      <c r="I1132" s="359">
        <v>6.0</v>
      </c>
      <c r="J1132" s="360">
        <v>0.0</v>
      </c>
      <c r="K1132" s="18" t="s">
        <v>7629</v>
      </c>
      <c r="L1132" s="18">
        <v>5.386999841E9</v>
      </c>
      <c r="M1132" s="18" t="s">
        <v>156</v>
      </c>
      <c r="N1132" s="18" t="s">
        <v>2057</v>
      </c>
      <c r="O1132" s="18" t="s">
        <v>7630</v>
      </c>
      <c r="P1132" s="18" t="s">
        <v>7041</v>
      </c>
      <c r="Q1132" s="20">
        <f>COUNTIF('Hedef Liste'!A:A,A1132)</f>
        <v>0</v>
      </c>
    </row>
    <row r="1133" ht="15.75" hidden="1" customHeight="1">
      <c r="A1133" s="18" t="s">
        <v>3287</v>
      </c>
      <c r="B1133" s="18" t="s">
        <v>3288</v>
      </c>
      <c r="C1133" s="358" t="s">
        <v>7040</v>
      </c>
      <c r="D1133" s="18" t="s">
        <v>106</v>
      </c>
      <c r="E1133" s="18"/>
      <c r="F1133" s="18"/>
      <c r="G1133" s="359">
        <v>0.0</v>
      </c>
      <c r="H1133" s="359">
        <v>6.0</v>
      </c>
      <c r="I1133" s="359">
        <v>6.0</v>
      </c>
      <c r="J1133" s="360">
        <v>0.0</v>
      </c>
      <c r="K1133" s="18" t="s">
        <v>3289</v>
      </c>
      <c r="L1133" s="18">
        <v>5.528713433E9</v>
      </c>
      <c r="M1133" s="18" t="s">
        <v>72</v>
      </c>
      <c r="N1133" s="18" t="s">
        <v>181</v>
      </c>
      <c r="O1133" s="18" t="s">
        <v>3290</v>
      </c>
      <c r="P1133" s="18" t="s">
        <v>7041</v>
      </c>
      <c r="Q1133" s="20">
        <f>COUNTIF('Hedef Liste'!A:A,A1133)</f>
        <v>1</v>
      </c>
    </row>
    <row r="1134" ht="15.75" hidden="1" customHeight="1">
      <c r="A1134" s="18" t="s">
        <v>2144</v>
      </c>
      <c r="B1134" s="18" t="s">
        <v>2145</v>
      </c>
      <c r="C1134" s="358" t="s">
        <v>7040</v>
      </c>
      <c r="D1134" s="18" t="s">
        <v>451</v>
      </c>
      <c r="E1134" s="359">
        <v>135.0</v>
      </c>
      <c r="F1134" s="359">
        <v>15.0</v>
      </c>
      <c r="G1134" s="359">
        <v>9.0</v>
      </c>
      <c r="H1134" s="359">
        <v>0.0</v>
      </c>
      <c r="I1134" s="359">
        <v>9.0</v>
      </c>
      <c r="J1134" s="360">
        <v>1.0</v>
      </c>
      <c r="K1134" s="18" t="s">
        <v>2146</v>
      </c>
      <c r="L1134" s="18">
        <v>5.358641838E9</v>
      </c>
      <c r="M1134" s="18" t="s">
        <v>215</v>
      </c>
      <c r="N1134" s="18" t="s">
        <v>325</v>
      </c>
      <c r="O1134" s="18" t="s">
        <v>2147</v>
      </c>
      <c r="P1134" s="18" t="s">
        <v>7041</v>
      </c>
      <c r="Q1134" s="20">
        <f>COUNTIF('Hedef Liste'!A:A,A1134)</f>
        <v>1</v>
      </c>
    </row>
    <row r="1135" ht="15.75" hidden="1" customHeight="1">
      <c r="A1135" s="18" t="s">
        <v>4181</v>
      </c>
      <c r="B1135" s="18" t="s">
        <v>4182</v>
      </c>
      <c r="C1135" s="358" t="s">
        <v>7040</v>
      </c>
      <c r="D1135" s="18" t="s">
        <v>80</v>
      </c>
      <c r="E1135" s="359">
        <v>206.0</v>
      </c>
      <c r="F1135" s="359">
        <v>58.0</v>
      </c>
      <c r="G1135" s="359">
        <v>0.0</v>
      </c>
      <c r="H1135" s="359">
        <v>15.0</v>
      </c>
      <c r="I1135" s="359">
        <v>15.0</v>
      </c>
      <c r="J1135" s="360">
        <v>0.0</v>
      </c>
      <c r="K1135" s="18" t="s">
        <v>4183</v>
      </c>
      <c r="L1135" s="18">
        <v>3.248165599E9</v>
      </c>
      <c r="M1135" s="18" t="s">
        <v>902</v>
      </c>
      <c r="N1135" s="18" t="s">
        <v>1483</v>
      </c>
      <c r="O1135" s="18" t="s">
        <v>4184</v>
      </c>
      <c r="P1135" s="18" t="s">
        <v>7041</v>
      </c>
      <c r="Q1135" s="20">
        <f>COUNTIF('Hedef Liste'!A:A,A1135)</f>
        <v>1</v>
      </c>
    </row>
    <row r="1136" ht="15.75" customHeight="1">
      <c r="A1136" s="18" t="s">
        <v>2729</v>
      </c>
      <c r="B1136" s="18" t="s">
        <v>2730</v>
      </c>
      <c r="C1136" s="358" t="s">
        <v>7040</v>
      </c>
      <c r="D1136" s="18" t="s">
        <v>70</v>
      </c>
      <c r="E1136" s="359">
        <v>5.0</v>
      </c>
      <c r="F1136" s="359">
        <v>5.0</v>
      </c>
      <c r="G1136" s="359">
        <v>0.0</v>
      </c>
      <c r="H1136" s="359">
        <v>3.0</v>
      </c>
      <c r="I1136" s="359">
        <v>3.0</v>
      </c>
      <c r="J1136" s="360">
        <v>0.0</v>
      </c>
      <c r="K1136" s="18" t="s">
        <v>2731</v>
      </c>
      <c r="L1136" s="18">
        <v>5.075357373E9</v>
      </c>
      <c r="M1136" s="18" t="s">
        <v>47</v>
      </c>
      <c r="N1136" s="18" t="s">
        <v>48</v>
      </c>
      <c r="O1136" s="18" t="s">
        <v>2732</v>
      </c>
      <c r="P1136" s="18" t="s">
        <v>7041</v>
      </c>
      <c r="Q1136" s="20">
        <f>COUNTIF('Hedef Liste'!A:A,A1136)</f>
        <v>1</v>
      </c>
    </row>
    <row r="1137" ht="15.75" hidden="1" customHeight="1">
      <c r="A1137" s="18" t="s">
        <v>471</v>
      </c>
      <c r="B1137" s="18" t="s">
        <v>472</v>
      </c>
      <c r="C1137" s="358" t="s">
        <v>7040</v>
      </c>
      <c r="D1137" s="18" t="s">
        <v>106</v>
      </c>
      <c r="E1137" s="359">
        <v>55667.0</v>
      </c>
      <c r="F1137" s="359">
        <v>2031.0</v>
      </c>
      <c r="G1137" s="359">
        <v>2.0</v>
      </c>
      <c r="H1137" s="359">
        <v>5.0</v>
      </c>
      <c r="I1137" s="359">
        <v>7.0</v>
      </c>
      <c r="J1137" s="360">
        <v>0.29</v>
      </c>
      <c r="K1137" s="18" t="s">
        <v>473</v>
      </c>
      <c r="L1137" s="18">
        <v>3.243267318E9</v>
      </c>
      <c r="M1137" s="18" t="s">
        <v>72</v>
      </c>
      <c r="N1137" s="18" t="s">
        <v>73</v>
      </c>
      <c r="O1137" s="18" t="s">
        <v>474</v>
      </c>
      <c r="P1137" s="18" t="s">
        <v>7041</v>
      </c>
      <c r="Q1137" s="20">
        <f>COUNTIF('Hedef Liste'!A:A,A1137)</f>
        <v>1</v>
      </c>
    </row>
    <row r="1138" ht="15.75" hidden="1" customHeight="1">
      <c r="A1138" s="18" t="s">
        <v>858</v>
      </c>
      <c r="B1138" s="18" t="s">
        <v>859</v>
      </c>
      <c r="C1138" s="358" t="s">
        <v>7040</v>
      </c>
      <c r="D1138" s="18" t="s">
        <v>80</v>
      </c>
      <c r="E1138" s="359">
        <v>502.0</v>
      </c>
      <c r="F1138" s="359">
        <v>21.0</v>
      </c>
      <c r="G1138" s="359">
        <v>0.0</v>
      </c>
      <c r="H1138" s="359">
        <v>9.0</v>
      </c>
      <c r="I1138" s="359">
        <v>9.0</v>
      </c>
      <c r="J1138" s="360">
        <v>0.0</v>
      </c>
      <c r="K1138" s="18" t="s">
        <v>860</v>
      </c>
      <c r="L1138" s="18">
        <v>5.524072874E9</v>
      </c>
      <c r="M1138" s="18" t="s">
        <v>215</v>
      </c>
      <c r="N1138" s="18" t="s">
        <v>861</v>
      </c>
      <c r="O1138" s="18" t="s">
        <v>862</v>
      </c>
      <c r="P1138" s="18" t="s">
        <v>7041</v>
      </c>
      <c r="Q1138" s="20">
        <f>COUNTIF('Hedef Liste'!A:A,A1138)</f>
        <v>1</v>
      </c>
    </row>
    <row r="1139" ht="15.75" hidden="1" customHeight="1">
      <c r="A1139" s="18" t="s">
        <v>1187</v>
      </c>
      <c r="B1139" s="18" t="s">
        <v>1188</v>
      </c>
      <c r="C1139" s="358" t="s">
        <v>7040</v>
      </c>
      <c r="D1139" s="18" t="s">
        <v>80</v>
      </c>
      <c r="E1139" s="359">
        <v>129.0</v>
      </c>
      <c r="F1139" s="18"/>
      <c r="G1139" s="359">
        <v>0.0</v>
      </c>
      <c r="H1139" s="359">
        <v>6.0</v>
      </c>
      <c r="I1139" s="359">
        <v>6.0</v>
      </c>
      <c r="J1139" s="360">
        <v>0.0</v>
      </c>
      <c r="K1139" s="18" t="s">
        <v>1189</v>
      </c>
      <c r="L1139" s="18">
        <v>5.306373362E9</v>
      </c>
      <c r="M1139" s="18" t="s">
        <v>215</v>
      </c>
      <c r="N1139" s="18" t="s">
        <v>1190</v>
      </c>
      <c r="O1139" s="18" t="s">
        <v>1191</v>
      </c>
      <c r="P1139" s="18" t="s">
        <v>7041</v>
      </c>
      <c r="Q1139" s="20">
        <f>COUNTIF('Hedef Liste'!A:A,A1139)</f>
        <v>1</v>
      </c>
    </row>
    <row r="1140" ht="15.75" hidden="1" customHeight="1">
      <c r="A1140" s="18" t="s">
        <v>1858</v>
      </c>
      <c r="B1140" s="18" t="s">
        <v>1859</v>
      </c>
      <c r="C1140" s="358" t="s">
        <v>7040</v>
      </c>
      <c r="D1140" s="18" t="s">
        <v>80</v>
      </c>
      <c r="E1140" s="359">
        <v>241.0</v>
      </c>
      <c r="F1140" s="359">
        <v>49.0</v>
      </c>
      <c r="G1140" s="359">
        <v>0.0</v>
      </c>
      <c r="H1140" s="359">
        <v>9.0</v>
      </c>
      <c r="I1140" s="359">
        <v>9.0</v>
      </c>
      <c r="J1140" s="360">
        <v>0.0</v>
      </c>
      <c r="K1140" s="18" t="s">
        <v>1860</v>
      </c>
      <c r="L1140" s="18">
        <v>5.305906686E9</v>
      </c>
      <c r="M1140" s="18" t="s">
        <v>156</v>
      </c>
      <c r="N1140" s="18" t="s">
        <v>306</v>
      </c>
      <c r="O1140" s="18" t="s">
        <v>1861</v>
      </c>
      <c r="P1140" s="18" t="s">
        <v>7041</v>
      </c>
      <c r="Q1140" s="20">
        <f>COUNTIF('Hedef Liste'!A:A,A1140)</f>
        <v>1</v>
      </c>
    </row>
    <row r="1141" ht="15.75" hidden="1" customHeight="1">
      <c r="A1141" s="18" t="s">
        <v>3355</v>
      </c>
      <c r="B1141" s="18" t="s">
        <v>3356</v>
      </c>
      <c r="C1141" s="358" t="s">
        <v>7040</v>
      </c>
      <c r="D1141" s="18" t="s">
        <v>80</v>
      </c>
      <c r="E1141" s="359">
        <v>3437.0</v>
      </c>
      <c r="F1141" s="359">
        <v>47.0</v>
      </c>
      <c r="G1141" s="359">
        <v>4.0</v>
      </c>
      <c r="H1141" s="359">
        <v>0.0</v>
      </c>
      <c r="I1141" s="359">
        <v>4.0</v>
      </c>
      <c r="J1141" s="360">
        <v>1.0</v>
      </c>
      <c r="K1141" s="18" t="s">
        <v>3357</v>
      </c>
      <c r="L1141" s="18">
        <v>5.370581815E9</v>
      </c>
      <c r="M1141" s="18" t="s">
        <v>63</v>
      </c>
      <c r="N1141" s="18" t="s">
        <v>566</v>
      </c>
      <c r="O1141" s="18" t="s">
        <v>3358</v>
      </c>
      <c r="P1141" s="18" t="s">
        <v>7041</v>
      </c>
      <c r="Q1141" s="20">
        <f>COUNTIF('Hedef Liste'!A:A,A1141)</f>
        <v>1</v>
      </c>
    </row>
    <row r="1142" ht="15.75" hidden="1" customHeight="1">
      <c r="A1142" s="18" t="s">
        <v>322</v>
      </c>
      <c r="B1142" s="18" t="s">
        <v>323</v>
      </c>
      <c r="C1142" s="358" t="s">
        <v>7040</v>
      </c>
      <c r="D1142" s="18" t="s">
        <v>167</v>
      </c>
      <c r="E1142" s="359">
        <v>188.0</v>
      </c>
      <c r="F1142" s="18"/>
      <c r="G1142" s="359">
        <v>0.0</v>
      </c>
      <c r="H1142" s="359">
        <v>8.0</v>
      </c>
      <c r="I1142" s="359">
        <v>8.0</v>
      </c>
      <c r="J1142" s="360">
        <v>0.0</v>
      </c>
      <c r="K1142" s="18" t="s">
        <v>324</v>
      </c>
      <c r="L1142" s="18">
        <v>5.531584E9</v>
      </c>
      <c r="M1142" s="18" t="s">
        <v>215</v>
      </c>
      <c r="N1142" s="18" t="s">
        <v>325</v>
      </c>
      <c r="O1142" s="18" t="s">
        <v>326</v>
      </c>
      <c r="P1142" s="18" t="s">
        <v>7041</v>
      </c>
      <c r="Q1142" s="20">
        <f>COUNTIF('Hedef Liste'!A:A,A1142)</f>
        <v>1</v>
      </c>
    </row>
    <row r="1143" ht="15.75" hidden="1" customHeight="1">
      <c r="A1143" s="18" t="s">
        <v>2162</v>
      </c>
      <c r="B1143" s="18" t="s">
        <v>7631</v>
      </c>
      <c r="C1143" s="358" t="s">
        <v>7040</v>
      </c>
      <c r="D1143" s="18" t="s">
        <v>70</v>
      </c>
      <c r="E1143" s="359">
        <v>95.0</v>
      </c>
      <c r="F1143" s="18"/>
      <c r="G1143" s="359">
        <v>4.0</v>
      </c>
      <c r="H1143" s="359">
        <v>1.0</v>
      </c>
      <c r="I1143" s="359">
        <v>5.0</v>
      </c>
      <c r="J1143" s="360">
        <v>0.8</v>
      </c>
      <c r="K1143" s="18" t="s">
        <v>2150</v>
      </c>
      <c r="L1143" s="18">
        <v>3.243315502E9</v>
      </c>
      <c r="M1143" s="18" t="s">
        <v>72</v>
      </c>
      <c r="N1143" s="18" t="s">
        <v>73</v>
      </c>
      <c r="O1143" s="18" t="s">
        <v>2164</v>
      </c>
      <c r="P1143" s="18" t="s">
        <v>7041</v>
      </c>
      <c r="Q1143" s="20">
        <f>COUNTIF('Hedef Liste'!A:A,A1143)</f>
        <v>1</v>
      </c>
    </row>
    <row r="1144" ht="15.75" hidden="1" customHeight="1">
      <c r="A1144" s="18" t="s">
        <v>2772</v>
      </c>
      <c r="B1144" s="18" t="s">
        <v>2773</v>
      </c>
      <c r="C1144" s="358" t="s">
        <v>7040</v>
      </c>
      <c r="D1144" s="18" t="s">
        <v>80</v>
      </c>
      <c r="E1144" s="359">
        <v>335.0</v>
      </c>
      <c r="F1144" s="359">
        <v>16.0</v>
      </c>
      <c r="G1144" s="359">
        <v>0.0</v>
      </c>
      <c r="H1144" s="359">
        <v>4.0</v>
      </c>
      <c r="I1144" s="359">
        <v>4.0</v>
      </c>
      <c r="J1144" s="360">
        <v>0.0</v>
      </c>
      <c r="K1144" s="18" t="s">
        <v>2774</v>
      </c>
      <c r="L1144" s="18">
        <v>5.366473839E9</v>
      </c>
      <c r="M1144" s="18" t="s">
        <v>72</v>
      </c>
      <c r="N1144" s="18" t="s">
        <v>1277</v>
      </c>
      <c r="O1144" s="18" t="s">
        <v>2775</v>
      </c>
      <c r="P1144" s="18" t="s">
        <v>7041</v>
      </c>
      <c r="Q1144" s="20">
        <f>COUNTIF('Hedef Liste'!A:A,A1144)</f>
        <v>1</v>
      </c>
    </row>
    <row r="1145" ht="15.75" hidden="1" customHeight="1">
      <c r="A1145" s="18" t="s">
        <v>3410</v>
      </c>
      <c r="B1145" s="18" t="s">
        <v>3411</v>
      </c>
      <c r="C1145" s="358" t="s">
        <v>7040</v>
      </c>
      <c r="D1145" s="18" t="s">
        <v>80</v>
      </c>
      <c r="E1145" s="359">
        <v>87.0</v>
      </c>
      <c r="F1145" s="359">
        <v>12.0</v>
      </c>
      <c r="G1145" s="359">
        <v>0.0</v>
      </c>
      <c r="H1145" s="359">
        <v>7.0</v>
      </c>
      <c r="I1145" s="359">
        <v>7.0</v>
      </c>
      <c r="J1145" s="360">
        <v>0.0</v>
      </c>
      <c r="K1145" s="18" t="s">
        <v>3412</v>
      </c>
      <c r="L1145" s="18">
        <v>5.436333233E9</v>
      </c>
      <c r="M1145" s="18" t="s">
        <v>215</v>
      </c>
      <c r="N1145" s="18" t="s">
        <v>2006</v>
      </c>
      <c r="O1145" s="18" t="s">
        <v>3413</v>
      </c>
      <c r="P1145" s="18" t="s">
        <v>7041</v>
      </c>
      <c r="Q1145" s="20">
        <f>COUNTIF('Hedef Liste'!A:A,A1145)</f>
        <v>1</v>
      </c>
    </row>
    <row r="1146" ht="15.75" hidden="1" customHeight="1">
      <c r="A1146" s="18" t="s">
        <v>159</v>
      </c>
      <c r="B1146" s="18" t="s">
        <v>160</v>
      </c>
      <c r="C1146" s="358" t="s">
        <v>7040</v>
      </c>
      <c r="D1146" s="18" t="s">
        <v>45</v>
      </c>
      <c r="E1146" s="359">
        <v>582.0</v>
      </c>
      <c r="F1146" s="18"/>
      <c r="G1146" s="359">
        <v>4.0</v>
      </c>
      <c r="H1146" s="359">
        <v>4.0</v>
      </c>
      <c r="I1146" s="359">
        <v>8.0</v>
      </c>
      <c r="J1146" s="360">
        <v>0.5</v>
      </c>
      <c r="K1146" s="18" t="s">
        <v>161</v>
      </c>
      <c r="L1146" s="18">
        <v>5.079527788E9</v>
      </c>
      <c r="M1146" s="18" t="s">
        <v>72</v>
      </c>
      <c r="N1146" s="18" t="s">
        <v>810</v>
      </c>
      <c r="O1146" s="18" t="s">
        <v>162</v>
      </c>
      <c r="P1146" s="18" t="s">
        <v>7041</v>
      </c>
      <c r="Q1146" s="20">
        <f>COUNTIF('Hedef Liste'!A:A,A1146)</f>
        <v>1</v>
      </c>
    </row>
    <row r="1147" ht="15.75" hidden="1" customHeight="1">
      <c r="A1147" s="18" t="s">
        <v>4269</v>
      </c>
      <c r="B1147" s="18" t="s">
        <v>4270</v>
      </c>
      <c r="C1147" s="358" t="s">
        <v>7040</v>
      </c>
      <c r="D1147" s="18" t="s">
        <v>80</v>
      </c>
      <c r="E1147" s="359">
        <v>315.0</v>
      </c>
      <c r="F1147" s="359">
        <v>74.0</v>
      </c>
      <c r="G1147" s="359">
        <v>0.0</v>
      </c>
      <c r="H1147" s="359">
        <v>4.0</v>
      </c>
      <c r="I1147" s="359">
        <v>4.0</v>
      </c>
      <c r="J1147" s="360">
        <v>0.0</v>
      </c>
      <c r="K1147" s="18" t="s">
        <v>4271</v>
      </c>
      <c r="L1147" s="18">
        <v>5.382797267E9</v>
      </c>
      <c r="M1147" s="18" t="s">
        <v>215</v>
      </c>
      <c r="N1147" s="18" t="s">
        <v>1053</v>
      </c>
      <c r="O1147" s="18" t="s">
        <v>4272</v>
      </c>
      <c r="P1147" s="18" t="s">
        <v>7041</v>
      </c>
      <c r="Q1147" s="20">
        <f>COUNTIF('Hedef Liste'!A:A,A1147)</f>
        <v>1</v>
      </c>
    </row>
    <row r="1148" ht="15.75" hidden="1" customHeight="1">
      <c r="A1148" s="18" t="s">
        <v>661</v>
      </c>
      <c r="B1148" s="18" t="s">
        <v>662</v>
      </c>
      <c r="C1148" s="358" t="s">
        <v>7040</v>
      </c>
      <c r="D1148" s="18" t="s">
        <v>363</v>
      </c>
      <c r="F1148" s="18"/>
      <c r="G1148" s="359">
        <v>0.0</v>
      </c>
      <c r="H1148" s="359">
        <v>9.0</v>
      </c>
      <c r="I1148" s="359">
        <v>9.0</v>
      </c>
      <c r="J1148" s="360">
        <v>0.0</v>
      </c>
      <c r="K1148" s="18" t="s">
        <v>663</v>
      </c>
      <c r="L1148" s="18">
        <v>5.496250161E9</v>
      </c>
      <c r="M1148" s="18" t="s">
        <v>156</v>
      </c>
      <c r="N1148" s="18" t="s">
        <v>204</v>
      </c>
      <c r="O1148" s="18" t="s">
        <v>664</v>
      </c>
      <c r="P1148" s="18" t="s">
        <v>7041</v>
      </c>
      <c r="Q1148" s="20">
        <f>COUNTIF('Hedef Liste'!A:A,A1148)</f>
        <v>1</v>
      </c>
    </row>
    <row r="1149" ht="15.75" hidden="1" customHeight="1">
      <c r="A1149" s="18" t="s">
        <v>4610</v>
      </c>
      <c r="B1149" s="18" t="s">
        <v>4611</v>
      </c>
      <c r="C1149" s="358" t="s">
        <v>7040</v>
      </c>
      <c r="D1149" s="18" t="s">
        <v>363</v>
      </c>
      <c r="E1149" s="359">
        <v>5.0</v>
      </c>
      <c r="F1149" s="359">
        <v>5.0</v>
      </c>
      <c r="G1149" s="359">
        <v>0.0</v>
      </c>
      <c r="H1149" s="359">
        <v>4.0</v>
      </c>
      <c r="I1149" s="359">
        <v>4.0</v>
      </c>
      <c r="J1149" s="360">
        <v>0.0</v>
      </c>
      <c r="K1149" s="18" t="s">
        <v>1317</v>
      </c>
      <c r="L1149" s="18">
        <v>3.243265737E9</v>
      </c>
      <c r="M1149" s="18" t="s">
        <v>72</v>
      </c>
      <c r="N1149" s="18" t="s">
        <v>73</v>
      </c>
      <c r="O1149" s="18" t="s">
        <v>1322</v>
      </c>
      <c r="P1149" s="18" t="s">
        <v>7041</v>
      </c>
      <c r="Q1149" s="20">
        <f>COUNTIF('Hedef Liste'!A:A,A1149)</f>
        <v>1</v>
      </c>
    </row>
    <row r="1150" ht="15.75" hidden="1" customHeight="1">
      <c r="A1150" s="18" t="s">
        <v>650</v>
      </c>
      <c r="B1150" s="18" t="s">
        <v>651</v>
      </c>
      <c r="C1150" s="358" t="s">
        <v>7040</v>
      </c>
      <c r="D1150" s="18" t="s">
        <v>70</v>
      </c>
      <c r="E1150" s="359">
        <v>567.0</v>
      </c>
      <c r="F1150" s="359">
        <v>58.0</v>
      </c>
      <c r="G1150" s="359">
        <v>2.0</v>
      </c>
      <c r="H1150" s="359">
        <v>3.0</v>
      </c>
      <c r="I1150" s="359">
        <v>5.0</v>
      </c>
      <c r="J1150" s="360">
        <v>0.4</v>
      </c>
      <c r="K1150" s="18" t="s">
        <v>652</v>
      </c>
      <c r="L1150" s="18">
        <v>3.242373317E9</v>
      </c>
      <c r="M1150" s="18" t="s">
        <v>137</v>
      </c>
      <c r="N1150" s="18" t="s">
        <v>138</v>
      </c>
      <c r="O1150" s="18" t="s">
        <v>653</v>
      </c>
      <c r="P1150" s="18" t="s">
        <v>7041</v>
      </c>
      <c r="Q1150" s="20">
        <f>COUNTIF('Hedef Liste'!A:A,A1150)</f>
        <v>1</v>
      </c>
    </row>
    <row r="1151" ht="15.75" hidden="1" customHeight="1">
      <c r="A1151" s="18" t="s">
        <v>2075</v>
      </c>
      <c r="B1151" s="18" t="s">
        <v>2076</v>
      </c>
      <c r="C1151" s="358" t="s">
        <v>7040</v>
      </c>
      <c r="D1151" s="18" t="s">
        <v>451</v>
      </c>
      <c r="E1151" s="359">
        <v>164.0</v>
      </c>
      <c r="F1151" s="359">
        <v>5.0</v>
      </c>
      <c r="G1151" s="359">
        <v>0.0</v>
      </c>
      <c r="H1151" s="359">
        <v>9.0</v>
      </c>
      <c r="I1151" s="359">
        <v>9.0</v>
      </c>
      <c r="J1151" s="360">
        <v>0.0</v>
      </c>
      <c r="K1151" s="18" t="s">
        <v>2077</v>
      </c>
      <c r="L1151" s="18">
        <v>5.541921243E9</v>
      </c>
      <c r="M1151" s="18" t="s">
        <v>72</v>
      </c>
      <c r="N1151" s="18" t="s">
        <v>73</v>
      </c>
      <c r="O1151" s="18" t="s">
        <v>2078</v>
      </c>
      <c r="P1151" s="18" t="s">
        <v>7041</v>
      </c>
      <c r="Q1151" s="20">
        <f>COUNTIF('Hedef Liste'!A:A,A1151)</f>
        <v>1</v>
      </c>
    </row>
    <row r="1152" ht="15.75" hidden="1" customHeight="1">
      <c r="A1152" s="18" t="s">
        <v>4330</v>
      </c>
      <c r="B1152" s="18" t="s">
        <v>7632</v>
      </c>
      <c r="C1152" s="358" t="s">
        <v>7062</v>
      </c>
      <c r="D1152" s="18" t="s">
        <v>61</v>
      </c>
      <c r="E1152" s="359">
        <v>257.0</v>
      </c>
      <c r="F1152" s="18"/>
      <c r="G1152" s="359">
        <v>0.0</v>
      </c>
      <c r="H1152" s="359">
        <v>4.0</v>
      </c>
      <c r="I1152" s="359">
        <v>4.0</v>
      </c>
      <c r="J1152" s="360">
        <v>0.0</v>
      </c>
      <c r="K1152" s="18" t="s">
        <v>4332</v>
      </c>
      <c r="L1152" s="18">
        <v>5.39633124E9</v>
      </c>
      <c r="M1152" s="18" t="s">
        <v>63</v>
      </c>
      <c r="N1152" s="18" t="s">
        <v>100</v>
      </c>
      <c r="O1152" s="18" t="s">
        <v>4333</v>
      </c>
      <c r="P1152" s="18" t="s">
        <v>7041</v>
      </c>
      <c r="Q1152" s="20">
        <f>COUNTIF('Hedef Liste'!A:A,A1152)</f>
        <v>1</v>
      </c>
    </row>
    <row r="1153" ht="15.75" hidden="1" customHeight="1">
      <c r="A1153" s="18" t="s">
        <v>418</v>
      </c>
      <c r="B1153" s="18" t="s">
        <v>419</v>
      </c>
      <c r="C1153" s="358" t="s">
        <v>7062</v>
      </c>
      <c r="D1153" s="18" t="s">
        <v>80</v>
      </c>
      <c r="E1153" s="359">
        <v>626.0</v>
      </c>
      <c r="F1153" s="18"/>
      <c r="G1153" s="359">
        <v>0.0</v>
      </c>
      <c r="H1153" s="359">
        <v>6.0</v>
      </c>
      <c r="I1153" s="359">
        <v>6.0</v>
      </c>
      <c r="J1153" s="360">
        <v>0.0</v>
      </c>
      <c r="K1153" s="18" t="s">
        <v>420</v>
      </c>
      <c r="L1153" s="18">
        <v>5.348133332E9</v>
      </c>
      <c r="M1153" s="18" t="s">
        <v>72</v>
      </c>
      <c r="N1153" s="18" t="s">
        <v>82</v>
      </c>
      <c r="O1153" s="18" t="s">
        <v>421</v>
      </c>
      <c r="P1153" s="18" t="s">
        <v>7041</v>
      </c>
      <c r="Q1153" s="20">
        <f>COUNTIF('Hedef Liste'!A:A,A1153)</f>
        <v>1</v>
      </c>
    </row>
    <row r="1154" ht="15.75" hidden="1" customHeight="1">
      <c r="A1154" s="18" t="s">
        <v>3664</v>
      </c>
      <c r="B1154" s="18" t="s">
        <v>3665</v>
      </c>
      <c r="C1154" s="358" t="s">
        <v>7062</v>
      </c>
      <c r="D1154" s="18" t="s">
        <v>451</v>
      </c>
      <c r="E1154" s="359">
        <v>36.0</v>
      </c>
      <c r="F1154" s="18"/>
      <c r="G1154" s="359">
        <v>0.0</v>
      </c>
      <c r="H1154" s="359">
        <v>8.0</v>
      </c>
      <c r="I1154" s="359">
        <v>8.0</v>
      </c>
      <c r="J1154" s="360">
        <v>0.0</v>
      </c>
      <c r="K1154" s="18" t="s">
        <v>3666</v>
      </c>
      <c r="L1154" s="18">
        <v>5.350449302E9</v>
      </c>
      <c r="M1154" s="18" t="s">
        <v>137</v>
      </c>
      <c r="N1154" s="18" t="s">
        <v>426</v>
      </c>
      <c r="O1154" s="18" t="s">
        <v>3667</v>
      </c>
      <c r="P1154" s="18" t="s">
        <v>7041</v>
      </c>
      <c r="Q1154" s="20">
        <f>COUNTIF('Hedef Liste'!A:A,A1154)</f>
        <v>1</v>
      </c>
    </row>
    <row r="1155" ht="15.75" hidden="1" customHeight="1">
      <c r="A1155" s="18" t="s">
        <v>1344</v>
      </c>
      <c r="B1155" s="18" t="s">
        <v>1345</v>
      </c>
      <c r="C1155" s="358" t="s">
        <v>7040</v>
      </c>
      <c r="D1155" s="18" t="s">
        <v>356</v>
      </c>
      <c r="E1155" s="359">
        <v>64.0</v>
      </c>
      <c r="F1155" s="359">
        <v>1.0</v>
      </c>
      <c r="G1155" s="359">
        <v>6.0</v>
      </c>
      <c r="H1155" s="359">
        <v>0.0</v>
      </c>
      <c r="I1155" s="359">
        <v>6.0</v>
      </c>
      <c r="J1155" s="360">
        <v>1.0</v>
      </c>
      <c r="K1155" s="18" t="s">
        <v>1346</v>
      </c>
      <c r="L1155" s="18">
        <v>5.066458224E9</v>
      </c>
      <c r="M1155" s="18" t="s">
        <v>72</v>
      </c>
      <c r="N1155" s="18" t="s">
        <v>1277</v>
      </c>
      <c r="O1155" s="18" t="s">
        <v>1347</v>
      </c>
      <c r="P1155" s="18" t="s">
        <v>7041</v>
      </c>
      <c r="Q1155" s="20">
        <f>COUNTIF('Hedef Liste'!A:A,A1155)</f>
        <v>1</v>
      </c>
    </row>
    <row r="1156" ht="15.75" hidden="1" customHeight="1">
      <c r="A1156" s="18" t="s">
        <v>7633</v>
      </c>
      <c r="B1156" s="18" t="s">
        <v>7634</v>
      </c>
      <c r="C1156" s="358" t="s">
        <v>7040</v>
      </c>
      <c r="D1156" s="18" t="s">
        <v>118</v>
      </c>
      <c r="E1156" s="359">
        <v>288.0</v>
      </c>
      <c r="F1156" s="359">
        <v>26.0</v>
      </c>
      <c r="G1156" s="359">
        <v>15.0</v>
      </c>
      <c r="H1156" s="359">
        <v>0.0</v>
      </c>
      <c r="I1156" s="359">
        <v>15.0</v>
      </c>
      <c r="J1156" s="360">
        <v>1.0</v>
      </c>
      <c r="K1156" s="18" t="s">
        <v>7564</v>
      </c>
      <c r="L1156" s="18">
        <v>5.0E8</v>
      </c>
      <c r="M1156" s="18" t="s">
        <v>72</v>
      </c>
      <c r="N1156" s="18" t="s">
        <v>73</v>
      </c>
      <c r="O1156" s="18" t="s">
        <v>7635</v>
      </c>
      <c r="P1156" s="18" t="s">
        <v>7047</v>
      </c>
      <c r="Q1156" s="20">
        <f>COUNTIF('Hedef Liste'!A:A,A1156)</f>
        <v>0</v>
      </c>
    </row>
    <row r="1157" ht="15.75" hidden="1" customHeight="1">
      <c r="A1157" s="18" t="s">
        <v>104</v>
      </c>
      <c r="B1157" s="18" t="s">
        <v>105</v>
      </c>
      <c r="C1157" s="358" t="s">
        <v>7040</v>
      </c>
      <c r="D1157" s="18" t="s">
        <v>106</v>
      </c>
      <c r="E1157" s="359">
        <v>7107.0</v>
      </c>
      <c r="F1157" s="359">
        <v>597.0</v>
      </c>
      <c r="G1157" s="359">
        <v>9.0</v>
      </c>
      <c r="H1157" s="359">
        <v>1.0</v>
      </c>
      <c r="I1157" s="359">
        <v>10.0</v>
      </c>
      <c r="J1157" s="360">
        <v>0.9</v>
      </c>
      <c r="K1157" s="18" t="s">
        <v>99</v>
      </c>
      <c r="L1157" s="18">
        <v>3.243585861E9</v>
      </c>
      <c r="M1157" s="18" t="s">
        <v>63</v>
      </c>
      <c r="N1157" s="18" t="s">
        <v>100</v>
      </c>
      <c r="O1157" s="18" t="s">
        <v>107</v>
      </c>
      <c r="P1157" s="18" t="s">
        <v>7041</v>
      </c>
      <c r="Q1157" s="20">
        <f>COUNTIF('Hedef Liste'!A:A,A1157)</f>
        <v>1</v>
      </c>
    </row>
    <row r="1158" ht="15.75" hidden="1" customHeight="1">
      <c r="A1158" s="18" t="s">
        <v>938</v>
      </c>
      <c r="B1158" s="18" t="s">
        <v>939</v>
      </c>
      <c r="C1158" s="358" t="s">
        <v>7040</v>
      </c>
      <c r="D1158" s="18" t="s">
        <v>80</v>
      </c>
      <c r="E1158" s="359">
        <v>2705.0</v>
      </c>
      <c r="F1158" s="359">
        <v>120.0</v>
      </c>
      <c r="G1158" s="359">
        <v>6.0</v>
      </c>
      <c r="H1158" s="359">
        <v>0.0</v>
      </c>
      <c r="I1158" s="359">
        <v>6.0</v>
      </c>
      <c r="J1158" s="360">
        <v>1.0</v>
      </c>
      <c r="K1158" s="18" t="s">
        <v>940</v>
      </c>
      <c r="L1158" s="18">
        <v>5.411623233E9</v>
      </c>
      <c r="M1158" s="18" t="s">
        <v>215</v>
      </c>
      <c r="N1158" s="18" t="s">
        <v>442</v>
      </c>
      <c r="O1158" s="18" t="s">
        <v>941</v>
      </c>
      <c r="P1158" s="18" t="s">
        <v>7041</v>
      </c>
      <c r="Q1158" s="20">
        <f>COUNTIF('Hedef Liste'!A:A,A1158)</f>
        <v>1</v>
      </c>
    </row>
    <row r="1159" ht="15.75" hidden="1" customHeight="1">
      <c r="A1159" s="18" t="s">
        <v>1713</v>
      </c>
      <c r="B1159" s="18" t="s">
        <v>1714</v>
      </c>
      <c r="C1159" s="358" t="s">
        <v>7040</v>
      </c>
      <c r="D1159" s="18" t="s">
        <v>70</v>
      </c>
      <c r="E1159" s="359">
        <v>190.0</v>
      </c>
      <c r="F1159" s="359">
        <v>23.0</v>
      </c>
      <c r="G1159" s="359">
        <v>0.0</v>
      </c>
      <c r="H1159" s="359">
        <v>3.0</v>
      </c>
      <c r="I1159" s="359">
        <v>3.0</v>
      </c>
      <c r="J1159" s="360">
        <v>0.0</v>
      </c>
      <c r="K1159" s="18" t="s">
        <v>1715</v>
      </c>
      <c r="L1159" s="18">
        <v>5.356970227E9</v>
      </c>
      <c r="M1159" s="18" t="s">
        <v>156</v>
      </c>
      <c r="N1159" s="18" t="s">
        <v>338</v>
      </c>
      <c r="O1159" s="18" t="s">
        <v>1716</v>
      </c>
      <c r="P1159" s="18" t="s">
        <v>7041</v>
      </c>
      <c r="Q1159" s="20">
        <f>COUNTIF('Hedef Liste'!A:A,A1159)</f>
        <v>1</v>
      </c>
    </row>
    <row r="1160" ht="15.75" hidden="1" customHeight="1">
      <c r="A1160" s="18" t="s">
        <v>2026</v>
      </c>
      <c r="B1160" s="18" t="s">
        <v>2027</v>
      </c>
      <c r="C1160" s="358" t="s">
        <v>7040</v>
      </c>
      <c r="D1160" s="18" t="s">
        <v>80</v>
      </c>
      <c r="E1160" s="359">
        <v>441.0</v>
      </c>
      <c r="F1160" s="359">
        <v>12.0</v>
      </c>
      <c r="G1160" s="359">
        <v>9.0</v>
      </c>
      <c r="H1160" s="359">
        <v>1.0</v>
      </c>
      <c r="I1160" s="359">
        <v>10.0</v>
      </c>
      <c r="J1160" s="360">
        <v>0.9</v>
      </c>
      <c r="K1160" s="18" t="s">
        <v>2028</v>
      </c>
      <c r="L1160" s="18">
        <v>3.246241717E9</v>
      </c>
      <c r="M1160" s="18" t="s">
        <v>156</v>
      </c>
      <c r="N1160" s="18" t="s">
        <v>596</v>
      </c>
      <c r="O1160" s="18" t="s">
        <v>2029</v>
      </c>
      <c r="P1160" s="18" t="s">
        <v>7041</v>
      </c>
      <c r="Q1160" s="20">
        <f>COUNTIF('Hedef Liste'!A:A,A1160)</f>
        <v>1</v>
      </c>
    </row>
    <row r="1161" ht="15.75" hidden="1" customHeight="1">
      <c r="A1161" s="18" t="s">
        <v>782</v>
      </c>
      <c r="B1161" s="18" t="s">
        <v>783</v>
      </c>
      <c r="C1161" s="358" t="s">
        <v>7040</v>
      </c>
      <c r="D1161" s="18" t="s">
        <v>80</v>
      </c>
      <c r="E1161" s="359">
        <v>926.0</v>
      </c>
      <c r="F1161" s="359">
        <v>48.0</v>
      </c>
      <c r="G1161" s="359">
        <v>6.0</v>
      </c>
      <c r="H1161" s="359">
        <v>2.0</v>
      </c>
      <c r="I1161" s="359">
        <v>8.0</v>
      </c>
      <c r="J1161" s="360">
        <v>0.75</v>
      </c>
      <c r="K1161" s="18" t="s">
        <v>784</v>
      </c>
      <c r="L1161" s="18">
        <v>5.525325112E9</v>
      </c>
      <c r="M1161" s="18" t="s">
        <v>137</v>
      </c>
      <c r="N1161" s="18" t="s">
        <v>426</v>
      </c>
      <c r="O1161" s="18" t="s">
        <v>785</v>
      </c>
      <c r="P1161" s="18" t="s">
        <v>7041</v>
      </c>
      <c r="Q1161" s="20">
        <f>COUNTIF('Hedef Liste'!A:A,A1161)</f>
        <v>1</v>
      </c>
    </row>
    <row r="1162" ht="15.75" hidden="1" customHeight="1">
      <c r="A1162" s="18" t="s">
        <v>4607</v>
      </c>
      <c r="B1162" s="18" t="s">
        <v>4608</v>
      </c>
      <c r="C1162" s="358" t="s">
        <v>7040</v>
      </c>
      <c r="D1162" s="18" t="s">
        <v>363</v>
      </c>
      <c r="E1162" s="359">
        <v>35.0</v>
      </c>
      <c r="F1162" s="359">
        <v>13.0</v>
      </c>
      <c r="G1162" s="359">
        <v>4.0</v>
      </c>
      <c r="H1162" s="359">
        <v>0.0</v>
      </c>
      <c r="I1162" s="359">
        <v>4.0</v>
      </c>
      <c r="J1162" s="360">
        <v>1.0</v>
      </c>
      <c r="K1162" s="18" t="s">
        <v>1317</v>
      </c>
      <c r="L1162" s="18">
        <v>5.342261505E9</v>
      </c>
      <c r="M1162" s="18" t="s">
        <v>63</v>
      </c>
      <c r="N1162" s="18" t="s">
        <v>93</v>
      </c>
      <c r="O1162" s="18" t="s">
        <v>4609</v>
      </c>
      <c r="P1162" s="18" t="s">
        <v>7041</v>
      </c>
      <c r="Q1162" s="20">
        <f>COUNTIF('Hedef Liste'!A:A,A1162)</f>
        <v>1</v>
      </c>
    </row>
    <row r="1163" ht="15.75" hidden="1" customHeight="1">
      <c r="A1163" s="18" t="s">
        <v>4039</v>
      </c>
      <c r="B1163" s="18" t="s">
        <v>4040</v>
      </c>
      <c r="C1163" s="358" t="s">
        <v>7040</v>
      </c>
      <c r="D1163" s="18" t="s">
        <v>70</v>
      </c>
      <c r="E1163" s="359">
        <v>39.0</v>
      </c>
      <c r="F1163" s="359">
        <v>18.0</v>
      </c>
      <c r="G1163" s="359">
        <v>0.0</v>
      </c>
      <c r="H1163" s="359">
        <v>2.0</v>
      </c>
      <c r="I1163" s="359">
        <v>2.0</v>
      </c>
      <c r="J1163" s="360">
        <v>0.0</v>
      </c>
      <c r="K1163" s="18" t="s">
        <v>4041</v>
      </c>
      <c r="L1163" s="18">
        <v>5.523339347E9</v>
      </c>
      <c r="M1163" s="18" t="s">
        <v>137</v>
      </c>
      <c r="N1163" s="18" t="s">
        <v>374</v>
      </c>
      <c r="O1163" s="18" t="s">
        <v>4042</v>
      </c>
      <c r="P1163" s="18" t="s">
        <v>7041</v>
      </c>
      <c r="Q1163" s="20">
        <f>COUNTIF('Hedef Liste'!A:A,A1163)</f>
        <v>1</v>
      </c>
    </row>
    <row r="1164" ht="15.75" hidden="1" customHeight="1">
      <c r="A1164" s="18" t="s">
        <v>3314</v>
      </c>
      <c r="B1164" s="18" t="s">
        <v>3315</v>
      </c>
      <c r="C1164" s="358" t="s">
        <v>7040</v>
      </c>
      <c r="D1164" s="18" t="s">
        <v>70</v>
      </c>
      <c r="E1164" s="359">
        <v>1.0</v>
      </c>
      <c r="F1164" s="359">
        <v>1.0</v>
      </c>
      <c r="G1164" s="359">
        <v>0.0</v>
      </c>
      <c r="H1164" s="359">
        <v>4.0</v>
      </c>
      <c r="I1164" s="359">
        <v>4.0</v>
      </c>
      <c r="J1164" s="360">
        <v>0.0</v>
      </c>
      <c r="K1164" s="18" t="s">
        <v>3316</v>
      </c>
      <c r="L1164" s="18">
        <v>5.539337725E9</v>
      </c>
      <c r="M1164" s="18" t="s">
        <v>72</v>
      </c>
      <c r="N1164" s="18" t="s">
        <v>150</v>
      </c>
      <c r="O1164" s="18" t="s">
        <v>3317</v>
      </c>
      <c r="P1164" s="18" t="s">
        <v>7041</v>
      </c>
      <c r="Q1164" s="20">
        <f>COUNTIF('Hedef Liste'!A:A,A1164)</f>
        <v>1</v>
      </c>
    </row>
    <row r="1165" ht="15.75" hidden="1" customHeight="1">
      <c r="A1165" s="18" t="s">
        <v>2192</v>
      </c>
      <c r="B1165" s="18" t="s">
        <v>2193</v>
      </c>
      <c r="C1165" s="358" t="s">
        <v>7040</v>
      </c>
      <c r="D1165" s="18" t="s">
        <v>167</v>
      </c>
      <c r="E1165" s="18"/>
      <c r="F1165" s="18"/>
      <c r="G1165" s="359">
        <v>0.0</v>
      </c>
      <c r="H1165" s="359">
        <v>9.0</v>
      </c>
      <c r="I1165" s="359">
        <v>9.0</v>
      </c>
      <c r="J1165" s="360">
        <v>0.0</v>
      </c>
      <c r="K1165" s="18" t="s">
        <v>2194</v>
      </c>
      <c r="L1165" s="18">
        <v>5.306015666E9</v>
      </c>
      <c r="M1165" s="18" t="s">
        <v>137</v>
      </c>
      <c r="N1165" s="18" t="s">
        <v>209</v>
      </c>
      <c r="O1165" s="18" t="s">
        <v>2195</v>
      </c>
      <c r="P1165" s="18" t="s">
        <v>7041</v>
      </c>
      <c r="Q1165" s="20">
        <f>COUNTIF('Hedef Liste'!A:A,A1165)</f>
        <v>1</v>
      </c>
    </row>
    <row r="1166" ht="15.75" hidden="1" customHeight="1">
      <c r="A1166" s="18" t="s">
        <v>3024</v>
      </c>
      <c r="B1166" s="18" t="s">
        <v>3025</v>
      </c>
      <c r="C1166" s="358" t="s">
        <v>7040</v>
      </c>
      <c r="D1166" s="18" t="s">
        <v>80</v>
      </c>
      <c r="F1166" s="18"/>
      <c r="G1166" s="359">
        <v>0.0</v>
      </c>
      <c r="H1166" s="359">
        <v>3.0</v>
      </c>
      <c r="I1166" s="359">
        <v>3.0</v>
      </c>
      <c r="J1166" s="360">
        <v>0.0</v>
      </c>
      <c r="K1166" s="18" t="s">
        <v>3026</v>
      </c>
      <c r="L1166" s="18">
        <v>5.434996533E9</v>
      </c>
      <c r="M1166" s="18" t="s">
        <v>63</v>
      </c>
      <c r="N1166" s="18" t="s">
        <v>137</v>
      </c>
      <c r="O1166" s="18" t="s">
        <v>3027</v>
      </c>
      <c r="P1166" s="18" t="s">
        <v>7041</v>
      </c>
      <c r="Q1166" s="20">
        <f>COUNTIF('Hedef Liste'!A:A,A1166)</f>
        <v>1</v>
      </c>
    </row>
    <row r="1167" ht="15.75" hidden="1" customHeight="1">
      <c r="A1167" s="18" t="s">
        <v>3132</v>
      </c>
      <c r="B1167" s="18" t="s">
        <v>3133</v>
      </c>
      <c r="C1167" s="358" t="s">
        <v>7040</v>
      </c>
      <c r="D1167" s="18" t="s">
        <v>80</v>
      </c>
      <c r="E1167" s="359">
        <v>163.0</v>
      </c>
      <c r="F1167" s="359">
        <v>13.0</v>
      </c>
      <c r="G1167" s="359">
        <v>0.0</v>
      </c>
      <c r="H1167" s="359">
        <v>1.0</v>
      </c>
      <c r="I1167" s="359">
        <v>1.0</v>
      </c>
      <c r="J1167" s="360">
        <v>0.0</v>
      </c>
      <c r="K1167" s="18" t="s">
        <v>3134</v>
      </c>
      <c r="L1167" s="18">
        <v>5.335947069E9</v>
      </c>
      <c r="M1167" s="18" t="s">
        <v>72</v>
      </c>
      <c r="N1167" s="18" t="s">
        <v>113</v>
      </c>
      <c r="O1167" s="18" t="s">
        <v>3135</v>
      </c>
      <c r="P1167" s="18" t="s">
        <v>7041</v>
      </c>
      <c r="Q1167" s="20">
        <f>COUNTIF('Hedef Liste'!A:A,A1167)</f>
        <v>1</v>
      </c>
    </row>
  </sheetData>
  <autoFilter ref="$A$1:$Q$1167">
    <filterColumn colId="9">
      <filters>
        <filter val="35%"/>
        <filter val="99%"/>
        <filter val="11%"/>
        <filter val="87%"/>
        <filter val="51%"/>
        <filter val="79.00%"/>
        <filter val="9%"/>
        <filter val="1%"/>
        <filter val="95.00%"/>
        <filter val="100.00%"/>
        <filter val="36%"/>
        <filter val="24%"/>
        <filter val="12%"/>
        <filter val="88%"/>
        <filter val="64%"/>
        <filter val="52%"/>
        <filter val="40%"/>
        <filter val="92%"/>
        <filter val="80%"/>
        <filter val="60.00%"/>
        <filter val="2%"/>
        <filter val="67.00%"/>
        <filter val="49%"/>
        <filter val="37%"/>
        <filter val="25%"/>
        <filter val="100%"/>
        <filter val="13%"/>
        <filter val="89%"/>
        <filter val="77%"/>
        <filter val="65%"/>
        <filter val="53%"/>
        <filter val="41%"/>
        <filter val="93%"/>
        <filter val="81%"/>
        <filter val="65.00%"/>
        <filter val="3%"/>
        <filter val="57.00%"/>
        <filter val="48.00%"/>
        <filter val="26%"/>
        <filter val="14%"/>
        <filter val="78%"/>
        <filter val="54%"/>
        <filter val="80.00%"/>
        <filter val="70%"/>
        <filter val="4%"/>
        <filter val="39%"/>
        <filter val="27%"/>
        <filter val="15%"/>
        <filter val="79%"/>
        <filter val="67%"/>
        <filter val="55%"/>
        <filter val="43%"/>
        <filter val="31%"/>
        <filter val="95%"/>
        <filter val="83%"/>
        <filter val="71%"/>
        <filter val="88.00%"/>
        <filter val="5%"/>
        <filter val="27.00%"/>
        <filter val="43.00%"/>
        <filter val="28%"/>
        <filter val="16%"/>
        <filter val="68%"/>
        <filter val="56%"/>
        <filter val="44%"/>
        <filter val="32%"/>
        <filter val="20%"/>
        <filter val="96%"/>
        <filter val="60%"/>
        <filter val="6%"/>
        <filter val="29%"/>
        <filter val="17%"/>
        <filter val="83.00%"/>
        <filter val="57%"/>
        <filter val="45%"/>
        <filter val="33%"/>
        <filter val="97%"/>
        <filter val="85%"/>
        <filter val="73%"/>
        <filter val="7%"/>
        <filter val="75.00%"/>
        <filter val="0.00%"/>
        <filter val="18%"/>
        <filter val="58%"/>
        <filter val="46%"/>
        <filter val="34%"/>
        <filter val="22%"/>
        <filter val="10%"/>
        <filter val="98%"/>
        <filter val="86%"/>
        <filter val="74%"/>
        <filter val="62%"/>
        <filter val="50%"/>
        <filter val="8%"/>
        <filter val="90%"/>
        <filter val="0%"/>
        <filter val="19%"/>
      </filters>
    </filterColumn>
    <filterColumn colId="2">
      <filters>
        <filter val="DOĞRU"/>
      </filters>
    </filterColumn>
    <filterColumn colId="15">
      <filters>
        <filter val="Geleneksel"/>
      </filters>
    </filterColumn>
    <filterColumn colId="16">
      <filters>
        <filter val="0"/>
      </filters>
    </filterColumn>
  </autoFilter>
  <customSheetViews>
    <customSheetView guid="{5D392BE3-16B8-4FF3-8B61-282795B4F764}" filter="1" showAutoFilter="1">
      <autoFilter ref="$A$1:$Q$1167">
        <filterColumn colId="16">
          <filters>
            <filter val="0"/>
          </filters>
        </filterColumn>
        <filterColumn colId="15">
          <filters>
            <filter val="Geleneksel"/>
          </filters>
        </filterColumn>
        <filterColumn colId="2">
          <filters>
            <filter val="DOĞRU"/>
          </filters>
        </filterColumn>
        <filterColumn colId="9">
          <filters>
            <filter val="47%"/>
            <filter val="35%"/>
            <filter val="23%"/>
            <filter val="99%"/>
            <filter val="11%"/>
            <filter val="87%"/>
            <filter val="51%"/>
            <filter val="79.00%"/>
            <filter val="9%"/>
            <filter val="1%"/>
            <filter val="95.00%"/>
            <filter val="100.00%"/>
            <filter val="36%"/>
            <filter val="24%"/>
            <filter val="12%"/>
            <filter val="88%"/>
            <filter val="76%"/>
            <filter val="64%"/>
            <filter val="52%"/>
            <filter val="40%"/>
            <filter val="92%"/>
            <filter val="80%"/>
            <filter val="60.00%"/>
            <filter val="2%"/>
            <filter val="67.00%"/>
            <filter val="49%"/>
            <filter val="37%"/>
            <filter val="25%"/>
            <filter val="100%"/>
            <filter val="13%"/>
            <filter val="89%"/>
            <filter val="65%"/>
            <filter val="53%"/>
            <filter val="41%"/>
            <filter val="93%"/>
            <filter val="81%"/>
            <filter val="65.00%"/>
            <filter val="3%"/>
            <filter val="57.00%"/>
            <filter val="48.00%"/>
            <filter val="26%"/>
            <filter val="14%"/>
            <filter val="78%"/>
            <filter val="54%"/>
            <filter val="80.00%"/>
            <filter val="70%"/>
            <filter val="4%"/>
            <filter val="39%"/>
            <filter val="27%"/>
            <filter val="15%"/>
            <filter val="79%"/>
            <filter val="55%"/>
            <filter val="43%"/>
            <filter val="31%"/>
            <filter val="95%"/>
            <filter val="83%"/>
            <filter val="88.00%"/>
            <filter val="5%"/>
            <filter val="27.00%"/>
            <filter val="43.00%"/>
            <filter val="28%"/>
            <filter val="16%"/>
            <filter val="68%"/>
            <filter val="56%"/>
            <filter val="44%"/>
            <filter val="32%"/>
            <filter val="20%"/>
            <filter val="96%"/>
            <filter val="84%"/>
            <filter val="72%"/>
            <filter val="60%"/>
            <filter val="6%"/>
            <filter val="29%"/>
            <filter val="17%"/>
            <filter val="83.00%"/>
            <filter val="57%"/>
            <filter val="45%"/>
            <filter val="33%"/>
            <filter val="21%"/>
            <filter val="97%"/>
            <filter val="85%"/>
            <filter val="73%"/>
            <filter val="61%"/>
            <filter val="7%"/>
            <filter val="75.00%"/>
            <filter val="0.00%"/>
            <filter val="18%"/>
            <filter val="58%"/>
            <filter val="46%"/>
            <filter val="34%"/>
            <filter val="22%"/>
            <filter val="10%"/>
            <filter val="98%"/>
            <filter val="86%"/>
            <filter val="74%"/>
            <filter val="62%"/>
            <filter val="8%"/>
            <filter val="90%"/>
            <filter val="0%"/>
            <filter val="19%"/>
          </filters>
        </filterColumn>
      </autoFilter>
      <extLst>
        <ext uri="GoogleSheetsCustomDataVersion1">
          <go:sheetsCustomData xmlns:go="http://customooxmlschemas.google.com/" filterViewId="1639929100"/>
        </ext>
      </extLst>
    </customSheetView>
    <customSheetView guid="{37AAE5D5-3FF0-444E-82AE-4054E5FC0B93}" filter="1" showAutoFilter="1">
      <autoFilter ref="$A$1:$Q$1111">
        <filterColumn colId="16">
          <filters>
            <filter val="0"/>
          </filters>
        </filterColumn>
        <filterColumn colId="15">
          <filters>
            <filter val="Geleneksel"/>
          </filters>
        </filterColumn>
        <filterColumn colId="9">
          <filters>
            <filter val="47%"/>
            <filter val="35%"/>
            <filter val="23%"/>
            <filter val="99%"/>
            <filter val="11%"/>
            <filter val="87%"/>
            <filter val="63%"/>
            <filter val="51%"/>
            <filter val="79.00%"/>
            <filter val="9%"/>
            <filter val="1%"/>
            <filter val="95.00%"/>
            <filter val="100.00%"/>
            <filter val="48%"/>
            <filter val="36%"/>
            <filter val="24%"/>
            <filter val="12%"/>
            <filter val="88%"/>
            <filter val="64%"/>
            <filter val="60.00%"/>
            <filter val="2%"/>
            <filter val="67.00%"/>
            <filter val="49%"/>
            <filter val="37%"/>
            <filter val="25%"/>
            <filter val="100%"/>
            <filter val="13%"/>
            <filter val="89%"/>
            <filter val="65%"/>
            <filter val="53%"/>
            <filter val="41%"/>
            <filter val="93%"/>
            <filter val="81%"/>
            <filter val="65.00%"/>
            <filter val="3%"/>
            <filter val="57.00%"/>
            <filter val="48.00%"/>
            <filter val="38%"/>
            <filter val="26%"/>
            <filter val="14%"/>
            <filter val="78%"/>
            <filter val="54%"/>
            <filter val="80.00%"/>
            <filter val="42%"/>
            <filter val="30%"/>
            <filter val="70%"/>
            <filter val="4%"/>
            <filter val="39%"/>
            <filter val="27%"/>
            <filter val="15%"/>
            <filter val="43%"/>
            <filter val="31%"/>
            <filter val="95%"/>
            <filter val="83%"/>
            <filter val="71%"/>
            <filter val="88.00%"/>
            <filter val="5%"/>
            <filter val="27.00%"/>
            <filter val="43.00%"/>
            <filter val="28%"/>
            <filter val="56%"/>
            <filter val="20%"/>
            <filter val="96%"/>
            <filter val="72%"/>
            <filter val="6%"/>
            <filter val="29%"/>
            <filter val="83.00%"/>
            <filter val="57%"/>
            <filter val="33%"/>
            <filter val="21%"/>
            <filter val="97%"/>
            <filter val="85%"/>
            <filter val="61%"/>
            <filter val="7%"/>
            <filter val="75.00%"/>
            <filter val="0.00%"/>
            <filter val="18%"/>
            <filter val="58%"/>
            <filter val="46%"/>
            <filter val="34%"/>
            <filter val="22%"/>
            <filter val="10%"/>
            <filter val="98%"/>
            <filter val="86%"/>
            <filter val="74%"/>
            <filter val="62%"/>
            <filter val="50%"/>
            <filter val="8%"/>
            <filter val="90%"/>
            <filter val="0%"/>
            <filter val="19%"/>
          </filters>
        </filterColumn>
      </autoFilter>
      <extLst>
        <ext uri="GoogleSheetsCustomDataVersion1">
          <go:sheetsCustomData xmlns:go="http://customooxmlschemas.google.com/" filterViewId="1730923973"/>
        </ext>
      </extLst>
    </customSheetView>
  </customSheetViews>
  <mergeCells count="14">
    <mergeCell ref="D1006:E1006"/>
    <mergeCell ref="D1007:E1007"/>
    <mergeCell ref="D1054:E1054"/>
    <mergeCell ref="D1125:E1125"/>
    <mergeCell ref="D1132:E1132"/>
    <mergeCell ref="D1148:E1148"/>
    <mergeCell ref="D1166:E1166"/>
    <mergeCell ref="D149:E149"/>
    <mergeCell ref="D374:E374"/>
    <mergeCell ref="D552:E552"/>
    <mergeCell ref="D611:E611"/>
    <mergeCell ref="D819:E819"/>
    <mergeCell ref="D881:E881"/>
    <mergeCell ref="D905:E90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6"/>
    </row>
    <row r="2" ht="15.75" customHeight="1">
      <c r="A2" s="16"/>
      <c r="C2" s="363" t="s">
        <v>140</v>
      </c>
      <c r="F2" s="20" t="s">
        <v>66</v>
      </c>
      <c r="H2" s="17" t="s">
        <v>5951</v>
      </c>
    </row>
    <row r="3" ht="15.75" customHeight="1">
      <c r="A3" s="16"/>
      <c r="C3" s="17" t="s">
        <v>521</v>
      </c>
      <c r="F3" s="20" t="s">
        <v>53</v>
      </c>
      <c r="H3" s="17" t="s">
        <v>654</v>
      </c>
    </row>
    <row r="4" ht="15.75" customHeight="1">
      <c r="A4" s="364">
        <v>44197.0</v>
      </c>
      <c r="C4" s="17" t="s">
        <v>199</v>
      </c>
      <c r="F4" s="17" t="s">
        <v>278</v>
      </c>
      <c r="H4" s="17" t="s">
        <v>1470</v>
      </c>
    </row>
    <row r="5" ht="15.75" customHeight="1">
      <c r="A5" s="364">
        <v>44198.0</v>
      </c>
      <c r="C5" s="17" t="s">
        <v>528</v>
      </c>
      <c r="H5" s="17" t="s">
        <v>52</v>
      </c>
    </row>
    <row r="6" ht="15.75" customHeight="1">
      <c r="A6" s="364">
        <v>44199.0</v>
      </c>
      <c r="C6" s="17" t="s">
        <v>265</v>
      </c>
      <c r="H6" s="17" t="s">
        <v>133</v>
      </c>
    </row>
    <row r="7" ht="15.75" customHeight="1">
      <c r="A7" s="364">
        <v>44200.0</v>
      </c>
      <c r="C7" s="31" t="s">
        <v>248</v>
      </c>
      <c r="H7" s="17" t="s">
        <v>76</v>
      </c>
    </row>
    <row r="8" ht="15.75" customHeight="1">
      <c r="A8" s="364">
        <v>44201.0</v>
      </c>
      <c r="C8" s="363" t="s">
        <v>130</v>
      </c>
      <c r="H8" s="17" t="s">
        <v>171</v>
      </c>
    </row>
    <row r="9" ht="15.75" customHeight="1">
      <c r="A9" s="364">
        <v>44202.0</v>
      </c>
      <c r="C9" s="31" t="s">
        <v>485</v>
      </c>
      <c r="H9" s="17" t="s">
        <v>321</v>
      </c>
    </row>
    <row r="10" ht="15.75" customHeight="1">
      <c r="A10" s="364">
        <v>44203.0</v>
      </c>
      <c r="C10" s="363" t="s">
        <v>7636</v>
      </c>
      <c r="F10" s="365" t="s">
        <v>267</v>
      </c>
      <c r="H10" s="17" t="s">
        <v>5566</v>
      </c>
    </row>
    <row r="11" ht="15.75" customHeight="1">
      <c r="A11" s="364">
        <v>44204.0</v>
      </c>
      <c r="C11" s="363" t="s">
        <v>4784</v>
      </c>
      <c r="F11" s="365" t="s">
        <v>89</v>
      </c>
      <c r="H11" s="17" t="s">
        <v>267</v>
      </c>
    </row>
    <row r="12" ht="15.75" customHeight="1">
      <c r="A12" s="364">
        <v>44205.0</v>
      </c>
      <c r="C12" s="17" t="s">
        <v>7637</v>
      </c>
      <c r="F12" s="366" t="s">
        <v>52</v>
      </c>
      <c r="H12" s="17" t="s">
        <v>7638</v>
      </c>
    </row>
    <row r="13" ht="15.75" customHeight="1">
      <c r="A13" s="364">
        <v>44206.0</v>
      </c>
      <c r="C13" s="17" t="s">
        <v>51</v>
      </c>
      <c r="F13" s="365" t="s">
        <v>87</v>
      </c>
      <c r="H13" s="17" t="s">
        <v>7639</v>
      </c>
    </row>
    <row r="14" ht="15.75" customHeight="1">
      <c r="A14" s="364">
        <v>44207.0</v>
      </c>
      <c r="C14" s="17" t="s">
        <v>272</v>
      </c>
      <c r="F14" s="365" t="s">
        <v>103</v>
      </c>
      <c r="H14" s="20" t="s">
        <v>7640</v>
      </c>
    </row>
    <row r="15" ht="15.75" customHeight="1">
      <c r="A15" s="364">
        <v>44208.0</v>
      </c>
      <c r="C15" s="31" t="s">
        <v>591</v>
      </c>
      <c r="F15" s="366" t="s">
        <v>321</v>
      </c>
      <c r="H15" s="20" t="s">
        <v>7641</v>
      </c>
    </row>
    <row r="16" ht="15.75" customHeight="1">
      <c r="A16" s="364">
        <v>44209.0</v>
      </c>
      <c r="C16" s="363" t="s">
        <v>327</v>
      </c>
      <c r="F16" s="365" t="s">
        <v>133</v>
      </c>
      <c r="H16" s="20" t="s">
        <v>108</v>
      </c>
    </row>
    <row r="17" ht="15.75" customHeight="1">
      <c r="A17" s="364">
        <v>44210.0</v>
      </c>
      <c r="C17" s="31" t="s">
        <v>931</v>
      </c>
      <c r="F17" s="365" t="s">
        <v>367</v>
      </c>
      <c r="H17" s="20" t="s">
        <v>437</v>
      </c>
    </row>
    <row r="18" ht="15.75" customHeight="1">
      <c r="A18" s="364">
        <v>44211.0</v>
      </c>
      <c r="C18" s="31" t="s">
        <v>55</v>
      </c>
      <c r="F18" s="365" t="s">
        <v>7642</v>
      </c>
      <c r="H18" s="20" t="s">
        <v>3146</v>
      </c>
    </row>
    <row r="19" ht="15.75" customHeight="1">
      <c r="A19" s="364">
        <v>44212.0</v>
      </c>
      <c r="C19" s="363" t="s">
        <v>3607</v>
      </c>
      <c r="F19" s="367" t="s">
        <v>329</v>
      </c>
      <c r="H19" s="20" t="s">
        <v>1043</v>
      </c>
    </row>
    <row r="20" ht="15.75" customHeight="1">
      <c r="A20" s="364">
        <v>44213.0</v>
      </c>
      <c r="F20" s="368"/>
      <c r="H20" s="20" t="s">
        <v>545</v>
      </c>
    </row>
    <row r="21" ht="15.75" customHeight="1">
      <c r="A21" s="364">
        <v>44214.0</v>
      </c>
      <c r="F21" s="368"/>
      <c r="H21" s="20" t="s">
        <v>376</v>
      </c>
    </row>
    <row r="22" ht="15.75" customHeight="1">
      <c r="A22" s="364">
        <v>44215.0</v>
      </c>
      <c r="F22" s="368"/>
      <c r="H22" s="20" t="s">
        <v>258</v>
      </c>
    </row>
    <row r="23" ht="15.75" customHeight="1">
      <c r="A23" s="364">
        <v>44216.0</v>
      </c>
      <c r="F23" s="369"/>
      <c r="H23" s="20" t="s">
        <v>1218</v>
      </c>
    </row>
    <row r="24" ht="15.75" customHeight="1">
      <c r="A24" s="364">
        <v>44217.0</v>
      </c>
      <c r="C24" s="17" t="s">
        <v>265</v>
      </c>
      <c r="F24" s="370"/>
      <c r="H24" s="20" t="s">
        <v>7643</v>
      </c>
    </row>
    <row r="25" ht="15.75" customHeight="1">
      <c r="A25" s="364">
        <v>44218.0</v>
      </c>
      <c r="C25" s="17" t="s">
        <v>56</v>
      </c>
      <c r="F25" s="369"/>
      <c r="H25" s="20" t="s">
        <v>7644</v>
      </c>
    </row>
    <row r="26" ht="15.75" customHeight="1">
      <c r="A26" s="364">
        <v>44219.0</v>
      </c>
      <c r="C26" s="17" t="s">
        <v>86</v>
      </c>
      <c r="F26" s="370"/>
      <c r="H26" s="20" t="s">
        <v>7645</v>
      </c>
    </row>
    <row r="27" ht="15.75" customHeight="1">
      <c r="A27" s="364">
        <v>44220.0</v>
      </c>
      <c r="C27" s="17" t="s">
        <v>55</v>
      </c>
      <c r="F27" s="371"/>
      <c r="H27" s="20" t="s">
        <v>7646</v>
      </c>
    </row>
    <row r="28" ht="15.75" customHeight="1">
      <c r="A28" s="364">
        <v>44221.0</v>
      </c>
      <c r="C28" s="17" t="s">
        <v>230</v>
      </c>
      <c r="F28" s="371"/>
      <c r="H28" s="20" t="s">
        <v>7647</v>
      </c>
    </row>
    <row r="29" ht="15.75" customHeight="1">
      <c r="A29" s="364">
        <v>44222.0</v>
      </c>
      <c r="F29" s="372"/>
      <c r="H29" s="20" t="s">
        <v>7648</v>
      </c>
    </row>
    <row r="30" ht="15.75" customHeight="1">
      <c r="A30" s="364">
        <v>44223.0</v>
      </c>
      <c r="C30" s="20" t="s">
        <v>616</v>
      </c>
      <c r="F30" s="373"/>
      <c r="H30" s="20" t="s">
        <v>7645</v>
      </c>
    </row>
    <row r="31" ht="15.75" customHeight="1">
      <c r="A31" s="364">
        <v>44224.0</v>
      </c>
      <c r="C31" s="20" t="s">
        <v>2328</v>
      </c>
      <c r="F31" s="372"/>
      <c r="H31" s="20" t="s">
        <v>7647</v>
      </c>
    </row>
    <row r="32" ht="15.75" customHeight="1">
      <c r="A32" s="364">
        <v>44225.0</v>
      </c>
      <c r="C32" s="20" t="s">
        <v>4575</v>
      </c>
      <c r="F32" s="373"/>
      <c r="H32" s="20" t="s">
        <v>7646</v>
      </c>
    </row>
    <row r="33" ht="15.75" customHeight="1">
      <c r="A33" s="364">
        <v>44226.0</v>
      </c>
      <c r="F33" s="371"/>
    </row>
    <row r="34" ht="15.75" customHeight="1">
      <c r="A34" s="364">
        <v>44227.0</v>
      </c>
      <c r="F34" s="371"/>
    </row>
    <row r="35" ht="15.75" customHeight="1">
      <c r="A35" s="364">
        <v>44228.0</v>
      </c>
      <c r="C35" s="363" t="s">
        <v>7649</v>
      </c>
      <c r="F35" s="371"/>
    </row>
    <row r="36" ht="15.75" customHeight="1">
      <c r="A36" s="364">
        <v>44229.0</v>
      </c>
      <c r="C36" s="31" t="s">
        <v>199</v>
      </c>
    </row>
    <row r="37" ht="15.75" customHeight="1">
      <c r="A37" s="364">
        <v>44230.0</v>
      </c>
      <c r="C37" s="363" t="s">
        <v>7650</v>
      </c>
    </row>
    <row r="38" ht="15.75" customHeight="1">
      <c r="A38" s="364">
        <v>44231.0</v>
      </c>
      <c r="C38" s="363" t="s">
        <v>7651</v>
      </c>
    </row>
    <row r="39" ht="15.75" customHeight="1">
      <c r="A39" s="364">
        <v>44232.0</v>
      </c>
    </row>
    <row r="40" ht="15.75" customHeight="1">
      <c r="A40" s="364">
        <v>44233.0</v>
      </c>
    </row>
    <row r="41" ht="15.75" customHeight="1">
      <c r="A41" s="364">
        <v>44234.0</v>
      </c>
    </row>
    <row r="42" ht="15.75" customHeight="1">
      <c r="A42" s="364">
        <v>44235.0</v>
      </c>
    </row>
    <row r="43" ht="15.75" customHeight="1">
      <c r="A43" s="364">
        <v>44236.0</v>
      </c>
    </row>
    <row r="44" ht="15.75" customHeight="1">
      <c r="A44" s="364">
        <v>44237.0</v>
      </c>
    </row>
    <row r="45" ht="15.75" customHeight="1">
      <c r="A45" s="364">
        <v>44238.0</v>
      </c>
    </row>
    <row r="46" ht="15.75" customHeight="1">
      <c r="A46" s="364">
        <v>44239.0</v>
      </c>
    </row>
    <row r="47" ht="15.75" customHeight="1">
      <c r="A47" s="364">
        <v>44240.0</v>
      </c>
    </row>
    <row r="48" ht="15.75" customHeight="1">
      <c r="A48" s="364">
        <v>44241.0</v>
      </c>
    </row>
    <row r="49" ht="15.75" customHeight="1">
      <c r="A49" s="364">
        <v>44242.0</v>
      </c>
    </row>
    <row r="50" ht="15.75" customHeight="1">
      <c r="A50" s="364">
        <v>44243.0</v>
      </c>
    </row>
    <row r="51" ht="15.75" customHeight="1">
      <c r="A51" s="364">
        <v>44244.0</v>
      </c>
    </row>
    <row r="52" ht="15.75" customHeight="1">
      <c r="A52" s="364">
        <v>44245.0</v>
      </c>
    </row>
    <row r="53" ht="15.75" customHeight="1">
      <c r="A53" s="364">
        <v>44246.0</v>
      </c>
    </row>
    <row r="54" ht="15.75" customHeight="1">
      <c r="A54" s="364">
        <v>44247.0</v>
      </c>
    </row>
    <row r="55" ht="15.75" customHeight="1">
      <c r="A55" s="364">
        <v>44248.0</v>
      </c>
    </row>
    <row r="56" ht="15.75" customHeight="1">
      <c r="A56" s="364">
        <v>44249.0</v>
      </c>
    </row>
    <row r="57" ht="15.75" customHeight="1">
      <c r="A57" s="364">
        <v>44250.0</v>
      </c>
    </row>
    <row r="58" ht="15.75" customHeight="1">
      <c r="A58" s="364">
        <v>44251.0</v>
      </c>
    </row>
    <row r="59" ht="15.75" customHeight="1">
      <c r="A59" s="364">
        <v>44252.0</v>
      </c>
    </row>
    <row r="60" ht="15.75" customHeight="1">
      <c r="A60" s="364">
        <v>44253.0</v>
      </c>
    </row>
    <row r="61" ht="15.75" customHeight="1">
      <c r="A61" s="364">
        <v>44254.0</v>
      </c>
    </row>
    <row r="62" ht="15.75" customHeight="1">
      <c r="A62" s="364">
        <v>44255.0</v>
      </c>
    </row>
    <row r="63" ht="15.75" customHeight="1">
      <c r="A63" s="364">
        <v>44256.0</v>
      </c>
    </row>
    <row r="64" ht="15.75" customHeight="1">
      <c r="A64" s="364">
        <v>44257.0</v>
      </c>
    </row>
    <row r="65" ht="15.75" customHeight="1">
      <c r="A65" s="364">
        <v>44258.0</v>
      </c>
    </row>
    <row r="66" ht="15.75" customHeight="1">
      <c r="A66" s="364">
        <v>44259.0</v>
      </c>
    </row>
    <row r="67" ht="15.75" customHeight="1">
      <c r="A67" s="364">
        <v>44260.0</v>
      </c>
    </row>
    <row r="68" ht="15.75" customHeight="1">
      <c r="A68" s="364">
        <v>44261.0</v>
      </c>
    </row>
    <row r="69" ht="15.75" customHeight="1">
      <c r="A69" s="364">
        <v>44262.0</v>
      </c>
    </row>
    <row r="70" ht="15.75" customHeight="1">
      <c r="A70" s="364">
        <v>44263.0</v>
      </c>
    </row>
    <row r="71" ht="15.75" customHeight="1">
      <c r="A71" s="364">
        <v>44264.0</v>
      </c>
    </row>
    <row r="72" ht="15.75" customHeight="1">
      <c r="A72" s="364">
        <v>44265.0</v>
      </c>
    </row>
    <row r="73" ht="15.75" customHeight="1">
      <c r="A73" s="364">
        <v>44266.0</v>
      </c>
    </row>
    <row r="74" ht="15.75" customHeight="1">
      <c r="A74" s="364">
        <v>44267.0</v>
      </c>
    </row>
    <row r="75" ht="15.75" customHeight="1">
      <c r="A75" s="364">
        <v>44268.0</v>
      </c>
    </row>
    <row r="76" ht="15.75" customHeight="1">
      <c r="A76" s="364">
        <v>44269.0</v>
      </c>
    </row>
    <row r="77" ht="15.75" customHeight="1">
      <c r="A77" s="364">
        <v>44270.0</v>
      </c>
    </row>
    <row r="78" ht="15.75" customHeight="1">
      <c r="A78" s="364">
        <v>44271.0</v>
      </c>
    </row>
    <row r="79" ht="15.75" customHeight="1">
      <c r="A79" s="364">
        <v>44272.0</v>
      </c>
    </row>
    <row r="80" ht="15.75" customHeight="1">
      <c r="A80" s="364">
        <v>44273.0</v>
      </c>
    </row>
    <row r="81" ht="15.75" customHeight="1">
      <c r="A81" s="364">
        <v>44274.0</v>
      </c>
    </row>
    <row r="82" ht="15.75" customHeight="1">
      <c r="A82" s="364">
        <v>44275.0</v>
      </c>
    </row>
    <row r="83" ht="15.75" customHeight="1">
      <c r="A83" s="364">
        <v>44276.0</v>
      </c>
    </row>
    <row r="84" ht="15.75" customHeight="1">
      <c r="A84" s="364">
        <v>44277.0</v>
      </c>
    </row>
    <row r="85" ht="15.75" customHeight="1">
      <c r="A85" s="364">
        <v>44278.0</v>
      </c>
    </row>
    <row r="86" ht="15.75" customHeight="1">
      <c r="A86" s="364">
        <v>44279.0</v>
      </c>
    </row>
    <row r="87" ht="15.75" customHeight="1">
      <c r="A87" s="364">
        <v>44280.0</v>
      </c>
    </row>
    <row r="88" ht="15.75" customHeight="1">
      <c r="A88" s="364">
        <v>44281.0</v>
      </c>
    </row>
    <row r="89" ht="15.75" customHeight="1">
      <c r="A89" s="364">
        <v>44282.0</v>
      </c>
    </row>
    <row r="90" ht="15.75" customHeight="1">
      <c r="A90" s="364">
        <v>44283.0</v>
      </c>
    </row>
    <row r="91" ht="15.75" customHeight="1">
      <c r="A91" s="364">
        <v>44284.0</v>
      </c>
    </row>
    <row r="92" ht="15.75" customHeight="1">
      <c r="A92" s="364">
        <v>44285.0</v>
      </c>
    </row>
    <row r="93" ht="15.75" customHeight="1">
      <c r="A93" s="364">
        <v>44286.0</v>
      </c>
    </row>
    <row r="94" ht="15.75" customHeight="1">
      <c r="A94" s="364">
        <v>44287.0</v>
      </c>
    </row>
    <row r="95" ht="15.75" customHeight="1">
      <c r="A95" s="364">
        <v>44288.0</v>
      </c>
    </row>
    <row r="96" ht="15.75" customHeight="1">
      <c r="A96" s="364">
        <v>44289.0</v>
      </c>
    </row>
    <row r="97" ht="15.75" customHeight="1">
      <c r="A97" s="364">
        <v>44290.0</v>
      </c>
    </row>
    <row r="98" ht="15.75" customHeight="1">
      <c r="A98" s="364">
        <v>44291.0</v>
      </c>
    </row>
    <row r="99" ht="15.75" customHeight="1">
      <c r="A99" s="364">
        <v>44292.0</v>
      </c>
    </row>
    <row r="100" ht="15.75" customHeight="1">
      <c r="A100" s="364">
        <v>44293.0</v>
      </c>
    </row>
    <row r="101" ht="15.75" customHeight="1">
      <c r="A101" s="364">
        <v>44294.0</v>
      </c>
    </row>
    <row r="102" ht="15.75" customHeight="1">
      <c r="A102" s="364">
        <v>44295.0</v>
      </c>
    </row>
    <row r="103" ht="15.75" customHeight="1">
      <c r="A103" s="364">
        <v>44296.0</v>
      </c>
    </row>
    <row r="104" ht="15.75" customHeight="1">
      <c r="A104" s="364">
        <v>44297.0</v>
      </c>
    </row>
    <row r="105" ht="15.75" customHeight="1">
      <c r="A105" s="364">
        <v>44298.0</v>
      </c>
    </row>
    <row r="106" ht="15.75" customHeight="1">
      <c r="A106" s="364">
        <v>44299.0</v>
      </c>
    </row>
    <row r="107" ht="15.75" customHeight="1">
      <c r="A107" s="364">
        <v>44300.0</v>
      </c>
    </row>
    <row r="108" ht="15.75" customHeight="1">
      <c r="A108" s="364">
        <v>44301.0</v>
      </c>
    </row>
    <row r="109" ht="15.75" customHeight="1">
      <c r="A109" s="364">
        <v>44302.0</v>
      </c>
    </row>
    <row r="110" ht="15.75" customHeight="1">
      <c r="A110" s="364">
        <v>44303.0</v>
      </c>
    </row>
    <row r="111" ht="15.75" customHeight="1">
      <c r="A111" s="364">
        <v>44304.0</v>
      </c>
    </row>
    <row r="112" ht="15.75" customHeight="1">
      <c r="A112" s="364">
        <v>44305.0</v>
      </c>
    </row>
    <row r="113" ht="15.75" customHeight="1">
      <c r="A113" s="364">
        <v>44306.0</v>
      </c>
    </row>
    <row r="114" ht="15.75" customHeight="1">
      <c r="A114" s="364">
        <v>44307.0</v>
      </c>
    </row>
    <row r="115" ht="15.75" customHeight="1">
      <c r="A115" s="364">
        <v>44308.0</v>
      </c>
    </row>
    <row r="116" ht="15.75" customHeight="1">
      <c r="A116" s="364">
        <v>44309.0</v>
      </c>
    </row>
    <row r="117" ht="15.75" customHeight="1">
      <c r="A117" s="364">
        <v>44310.0</v>
      </c>
    </row>
    <row r="118" ht="15.75" customHeight="1">
      <c r="A118" s="364">
        <v>44311.0</v>
      </c>
    </row>
    <row r="119" ht="15.75" customHeight="1">
      <c r="A119" s="364">
        <v>44312.0</v>
      </c>
    </row>
    <row r="120" ht="15.75" customHeight="1">
      <c r="A120" s="364">
        <v>44313.0</v>
      </c>
    </row>
    <row r="121" ht="15.75" customHeight="1">
      <c r="A121" s="364">
        <v>44314.0</v>
      </c>
    </row>
    <row r="122" ht="15.75" customHeight="1">
      <c r="A122" s="364">
        <v>44315.0</v>
      </c>
    </row>
    <row r="123" ht="15.75" customHeight="1">
      <c r="A123" s="364">
        <v>44316.0</v>
      </c>
    </row>
    <row r="124" ht="15.75" customHeight="1">
      <c r="A124" s="364">
        <v>44317.0</v>
      </c>
    </row>
    <row r="125" ht="15.75" customHeight="1">
      <c r="A125" s="364">
        <v>44318.0</v>
      </c>
    </row>
    <row r="126" ht="15.75" customHeight="1">
      <c r="A126" s="364">
        <v>44319.0</v>
      </c>
    </row>
    <row r="127" ht="15.75" customHeight="1">
      <c r="A127" s="364">
        <v>44320.0</v>
      </c>
    </row>
    <row r="128" ht="15.75" customHeight="1">
      <c r="A128" s="364">
        <v>44321.0</v>
      </c>
    </row>
    <row r="129" ht="15.75" customHeight="1">
      <c r="A129" s="364">
        <v>44322.0</v>
      </c>
    </row>
    <row r="130" ht="15.75" customHeight="1">
      <c r="A130" s="364">
        <v>44323.0</v>
      </c>
    </row>
    <row r="131" ht="15.75" customHeight="1">
      <c r="A131" s="364">
        <v>44324.0</v>
      </c>
    </row>
    <row r="132" ht="15.75" customHeight="1">
      <c r="A132" s="364">
        <v>44325.0</v>
      </c>
    </row>
    <row r="133" ht="15.75" customHeight="1">
      <c r="A133" s="364">
        <v>44326.0</v>
      </c>
    </row>
    <row r="134" ht="15.75" customHeight="1">
      <c r="A134" s="364">
        <v>44327.0</v>
      </c>
    </row>
    <row r="135" ht="15.75" customHeight="1">
      <c r="A135" s="364">
        <v>44328.0</v>
      </c>
    </row>
    <row r="136" ht="15.75" customHeight="1">
      <c r="A136" s="364">
        <v>44329.0</v>
      </c>
    </row>
    <row r="137" ht="15.75" customHeight="1">
      <c r="A137" s="364">
        <v>44330.0</v>
      </c>
    </row>
    <row r="138" ht="15.75" customHeight="1">
      <c r="A138" s="364">
        <v>44331.0</v>
      </c>
    </row>
    <row r="139" ht="15.75" customHeight="1">
      <c r="A139" s="364">
        <v>44332.0</v>
      </c>
    </row>
    <row r="140" ht="15.75" customHeight="1">
      <c r="A140" s="364">
        <v>44333.0</v>
      </c>
    </row>
    <row r="141" ht="15.75" customHeight="1">
      <c r="A141" s="364">
        <v>44334.0</v>
      </c>
    </row>
    <row r="142" ht="15.75" customHeight="1">
      <c r="A142" s="364">
        <v>44335.0</v>
      </c>
    </row>
    <row r="143" ht="15.75" customHeight="1">
      <c r="A143" s="364">
        <v>44336.0</v>
      </c>
    </row>
    <row r="144" ht="15.75" customHeight="1">
      <c r="A144" s="364">
        <v>44337.0</v>
      </c>
    </row>
    <row r="145" ht="15.75" customHeight="1">
      <c r="A145" s="364">
        <v>44338.0</v>
      </c>
    </row>
    <row r="146" ht="15.75" customHeight="1">
      <c r="A146" s="364">
        <v>44339.0</v>
      </c>
    </row>
    <row r="147" ht="15.75" customHeight="1">
      <c r="A147" s="364">
        <v>44340.0</v>
      </c>
    </row>
    <row r="148" ht="15.75" customHeight="1">
      <c r="A148" s="364">
        <v>44341.0</v>
      </c>
    </row>
    <row r="149" ht="15.75" customHeight="1">
      <c r="A149" s="364">
        <v>44342.0</v>
      </c>
    </row>
    <row r="150" ht="15.75" customHeight="1">
      <c r="A150" s="364">
        <v>44343.0</v>
      </c>
    </row>
    <row r="151" ht="15.75" customHeight="1">
      <c r="A151" s="364">
        <v>44344.0</v>
      </c>
    </row>
    <row r="152" ht="15.75" customHeight="1">
      <c r="A152" s="364">
        <v>44345.0</v>
      </c>
    </row>
    <row r="153" ht="15.75" customHeight="1">
      <c r="A153" s="364">
        <v>44346.0</v>
      </c>
    </row>
    <row r="154" ht="15.75" customHeight="1">
      <c r="A154" s="364">
        <v>44347.0</v>
      </c>
    </row>
    <row r="155" ht="15.75" customHeight="1">
      <c r="A155" s="364">
        <v>44348.0</v>
      </c>
    </row>
    <row r="156" ht="15.75" customHeight="1">
      <c r="A156" s="364">
        <v>44349.0</v>
      </c>
    </row>
    <row r="157" ht="15.75" customHeight="1">
      <c r="A157" s="364">
        <v>44350.0</v>
      </c>
    </row>
    <row r="158" ht="15.75" customHeight="1">
      <c r="A158" s="364">
        <v>44351.0</v>
      </c>
    </row>
    <row r="159" ht="15.75" customHeight="1">
      <c r="A159" s="364">
        <v>44352.0</v>
      </c>
    </row>
    <row r="160" ht="15.75" customHeight="1">
      <c r="A160" s="364">
        <v>44353.0</v>
      </c>
    </row>
    <row r="161" ht="15.75" customHeight="1">
      <c r="A161" s="364">
        <v>44354.0</v>
      </c>
    </row>
    <row r="162" ht="15.75" customHeight="1">
      <c r="A162" s="364">
        <v>44355.0</v>
      </c>
    </row>
    <row r="163" ht="15.75" customHeight="1">
      <c r="A163" s="364">
        <v>44356.0</v>
      </c>
    </row>
    <row r="164" ht="15.75" customHeight="1">
      <c r="A164" s="364">
        <v>44357.0</v>
      </c>
    </row>
    <row r="165" ht="15.75" customHeight="1">
      <c r="A165" s="364">
        <v>44358.0</v>
      </c>
    </row>
    <row r="166" ht="15.75" customHeight="1">
      <c r="A166" s="364">
        <v>44359.0</v>
      </c>
    </row>
    <row r="167" ht="15.75" customHeight="1">
      <c r="A167" s="364">
        <v>44360.0</v>
      </c>
    </row>
    <row r="168" ht="15.75" customHeight="1">
      <c r="A168" s="364">
        <v>44361.0</v>
      </c>
    </row>
    <row r="169" ht="15.75" customHeight="1">
      <c r="A169" s="364">
        <v>44362.0</v>
      </c>
    </row>
    <row r="170" ht="15.75" customHeight="1">
      <c r="A170" s="364">
        <v>44363.0</v>
      </c>
    </row>
    <row r="171" ht="15.75" customHeight="1">
      <c r="A171" s="364">
        <v>44364.0</v>
      </c>
    </row>
    <row r="172" ht="15.75" customHeight="1">
      <c r="A172" s="364">
        <v>44365.0</v>
      </c>
    </row>
    <row r="173" ht="15.75" customHeight="1">
      <c r="A173" s="364">
        <v>44366.0</v>
      </c>
    </row>
    <row r="174" ht="15.75" customHeight="1">
      <c r="A174" s="364">
        <v>44367.0</v>
      </c>
    </row>
    <row r="175" ht="15.75" customHeight="1">
      <c r="A175" s="364">
        <v>44368.0</v>
      </c>
    </row>
    <row r="176" ht="15.75" customHeight="1">
      <c r="A176" s="364">
        <v>44369.0</v>
      </c>
    </row>
    <row r="177" ht="15.75" customHeight="1">
      <c r="A177" s="364">
        <v>44370.0</v>
      </c>
    </row>
    <row r="178" ht="15.75" customHeight="1">
      <c r="A178" s="364">
        <v>44371.0</v>
      </c>
    </row>
    <row r="179" ht="15.75" customHeight="1">
      <c r="A179" s="364">
        <v>44372.0</v>
      </c>
    </row>
    <row r="180" ht="15.75" customHeight="1">
      <c r="A180" s="364">
        <v>44373.0</v>
      </c>
    </row>
    <row r="181" ht="15.75" customHeight="1">
      <c r="A181" s="364">
        <v>44374.0</v>
      </c>
    </row>
    <row r="182" ht="15.75" customHeight="1">
      <c r="A182" s="364">
        <v>44375.0</v>
      </c>
    </row>
    <row r="183" ht="15.75" customHeight="1">
      <c r="A183" s="364">
        <v>44376.0</v>
      </c>
    </row>
    <row r="184" ht="15.75" customHeight="1">
      <c r="A184" s="364">
        <v>44377.0</v>
      </c>
    </row>
    <row r="185" ht="15.75" customHeight="1">
      <c r="A185" s="364">
        <v>44378.0</v>
      </c>
    </row>
    <row r="186" ht="15.75" customHeight="1">
      <c r="A186" s="364">
        <v>44379.0</v>
      </c>
    </row>
    <row r="187" ht="15.75" customHeight="1">
      <c r="A187" s="364">
        <v>44380.0</v>
      </c>
    </row>
    <row r="188" ht="15.75" customHeight="1">
      <c r="A188" s="364">
        <v>44381.0</v>
      </c>
    </row>
    <row r="189" ht="15.75" customHeight="1">
      <c r="A189" s="364">
        <v>44382.0</v>
      </c>
    </row>
    <row r="190" ht="15.75" customHeight="1">
      <c r="A190" s="364">
        <v>44383.0</v>
      </c>
    </row>
    <row r="191" ht="15.75" customHeight="1">
      <c r="A191" s="364">
        <v>44384.0</v>
      </c>
    </row>
    <row r="192" ht="15.75" customHeight="1">
      <c r="A192" s="364">
        <v>44385.0</v>
      </c>
    </row>
    <row r="193" ht="15.75" customHeight="1">
      <c r="A193" s="364">
        <v>44386.0</v>
      </c>
    </row>
    <row r="194" ht="15.75" customHeight="1">
      <c r="A194" s="364">
        <v>44387.0</v>
      </c>
    </row>
    <row r="195" ht="15.75" customHeight="1">
      <c r="A195" s="364">
        <v>44388.0</v>
      </c>
    </row>
    <row r="196" ht="15.75" customHeight="1">
      <c r="A196" s="364">
        <v>44389.0</v>
      </c>
    </row>
    <row r="197" ht="15.75" customHeight="1">
      <c r="A197" s="364">
        <v>44390.0</v>
      </c>
    </row>
    <row r="198" ht="15.75" customHeight="1">
      <c r="A198" s="364">
        <v>44391.0</v>
      </c>
    </row>
    <row r="199" ht="15.75" customHeight="1">
      <c r="A199" s="364">
        <v>44392.0</v>
      </c>
    </row>
    <row r="200" ht="15.75" customHeight="1">
      <c r="A200" s="364">
        <v>44393.0</v>
      </c>
    </row>
    <row r="201" ht="15.75" customHeight="1">
      <c r="A201" s="364">
        <v>44394.0</v>
      </c>
    </row>
    <row r="202" ht="15.75" customHeight="1">
      <c r="A202" s="364">
        <v>44395.0</v>
      </c>
    </row>
    <row r="203" ht="15.75" customHeight="1">
      <c r="A203" s="364">
        <v>44396.0</v>
      </c>
    </row>
    <row r="204" ht="15.75" customHeight="1">
      <c r="A204" s="364">
        <v>44397.0</v>
      </c>
    </row>
    <row r="205" ht="15.75" customHeight="1">
      <c r="A205" s="364">
        <v>44398.0</v>
      </c>
    </row>
    <row r="206" ht="15.75" customHeight="1">
      <c r="A206" s="364">
        <v>44399.0</v>
      </c>
    </row>
    <row r="207" ht="15.75" customHeight="1">
      <c r="A207" s="364">
        <v>44400.0</v>
      </c>
    </row>
    <row r="208" ht="15.75" customHeight="1">
      <c r="A208" s="364">
        <v>44401.0</v>
      </c>
    </row>
    <row r="209" ht="15.75" customHeight="1">
      <c r="A209" s="364">
        <v>44402.0</v>
      </c>
    </row>
    <row r="210" ht="15.75" customHeight="1">
      <c r="A210" s="364">
        <v>44403.0</v>
      </c>
    </row>
    <row r="211" ht="15.75" customHeight="1">
      <c r="A211" s="364">
        <v>44404.0</v>
      </c>
    </row>
    <row r="212" ht="15.75" customHeight="1">
      <c r="A212" s="364">
        <v>44405.0</v>
      </c>
    </row>
    <row r="213" ht="15.75" customHeight="1">
      <c r="A213" s="364">
        <v>44406.0</v>
      </c>
    </row>
    <row r="214" ht="15.75" customHeight="1">
      <c r="A214" s="364">
        <v>44407.0</v>
      </c>
    </row>
    <row r="215" ht="15.75" customHeight="1">
      <c r="A215" s="364">
        <v>44408.0</v>
      </c>
    </row>
    <row r="216" ht="15.75" customHeight="1">
      <c r="A216" s="364">
        <v>44409.0</v>
      </c>
    </row>
    <row r="217" ht="15.75" customHeight="1">
      <c r="A217" s="364">
        <v>44410.0</v>
      </c>
    </row>
    <row r="218" ht="15.75" customHeight="1">
      <c r="A218" s="364">
        <v>44411.0</v>
      </c>
    </row>
    <row r="219" ht="15.75" customHeight="1">
      <c r="A219" s="364">
        <v>44412.0</v>
      </c>
    </row>
    <row r="220" ht="15.75" customHeight="1">
      <c r="A220" s="364">
        <v>44413.0</v>
      </c>
    </row>
    <row r="221" ht="15.75" customHeight="1">
      <c r="A221" s="364">
        <v>44414.0</v>
      </c>
    </row>
    <row r="222" ht="15.75" customHeight="1">
      <c r="A222" s="364">
        <v>44415.0</v>
      </c>
    </row>
    <row r="223" ht="15.75" customHeight="1">
      <c r="A223" s="364">
        <v>44416.0</v>
      </c>
    </row>
    <row r="224" ht="15.75" customHeight="1">
      <c r="A224" s="364">
        <v>44417.0</v>
      </c>
    </row>
    <row r="225" ht="15.75" customHeight="1">
      <c r="A225" s="364">
        <v>44418.0</v>
      </c>
    </row>
    <row r="226" ht="15.75" customHeight="1">
      <c r="A226" s="364">
        <v>44419.0</v>
      </c>
    </row>
    <row r="227" ht="15.75" customHeight="1">
      <c r="A227" s="364">
        <v>44420.0</v>
      </c>
    </row>
    <row r="228" ht="15.75" customHeight="1">
      <c r="A228" s="364">
        <v>44421.0</v>
      </c>
    </row>
    <row r="229" ht="15.75" customHeight="1">
      <c r="A229" s="364">
        <v>44422.0</v>
      </c>
    </row>
    <row r="230" ht="15.75" customHeight="1">
      <c r="A230" s="364">
        <v>44423.0</v>
      </c>
    </row>
    <row r="231" ht="15.75" customHeight="1">
      <c r="A231" s="364">
        <v>44424.0</v>
      </c>
    </row>
    <row r="232" ht="15.75" customHeight="1">
      <c r="A232" s="364">
        <v>44425.0</v>
      </c>
    </row>
    <row r="233" ht="15.75" customHeight="1">
      <c r="A233" s="364">
        <v>44426.0</v>
      </c>
    </row>
    <row r="234" ht="15.75" customHeight="1">
      <c r="A234" s="364">
        <v>44427.0</v>
      </c>
    </row>
    <row r="235" ht="15.75" customHeight="1">
      <c r="A235" s="364">
        <v>44428.0</v>
      </c>
    </row>
    <row r="236" ht="15.75" customHeight="1">
      <c r="A236" s="364">
        <v>44429.0</v>
      </c>
    </row>
    <row r="237" ht="15.75" customHeight="1">
      <c r="A237" s="364">
        <v>44430.0</v>
      </c>
    </row>
    <row r="238" ht="15.75" customHeight="1">
      <c r="A238" s="364">
        <v>44431.0</v>
      </c>
    </row>
    <row r="239" ht="15.75" customHeight="1">
      <c r="A239" s="364">
        <v>44432.0</v>
      </c>
    </row>
    <row r="240" ht="15.75" customHeight="1">
      <c r="A240" s="364">
        <v>44433.0</v>
      </c>
    </row>
    <row r="241" ht="15.75" customHeight="1">
      <c r="A241" s="364">
        <v>44434.0</v>
      </c>
    </row>
    <row r="242" ht="15.75" customHeight="1">
      <c r="A242" s="364">
        <v>44435.0</v>
      </c>
    </row>
    <row r="243" ht="15.75" customHeight="1">
      <c r="A243" s="364">
        <v>44436.0</v>
      </c>
    </row>
    <row r="244" ht="15.75" customHeight="1">
      <c r="A244" s="364">
        <v>44437.0</v>
      </c>
    </row>
    <row r="245" ht="15.75" customHeight="1">
      <c r="A245" s="364">
        <v>44438.0</v>
      </c>
    </row>
    <row r="246" ht="15.75" customHeight="1">
      <c r="A246" s="364">
        <v>44439.0</v>
      </c>
    </row>
    <row r="247" ht="15.75" customHeight="1">
      <c r="A247" s="364">
        <v>44440.0</v>
      </c>
    </row>
    <row r="248" ht="15.75" customHeight="1">
      <c r="A248" s="364">
        <v>44441.0</v>
      </c>
    </row>
    <row r="249" ht="15.75" customHeight="1">
      <c r="A249" s="364">
        <v>44442.0</v>
      </c>
    </row>
    <row r="250" ht="15.75" customHeight="1">
      <c r="A250" s="364">
        <v>44443.0</v>
      </c>
    </row>
    <row r="251" ht="15.75" customHeight="1">
      <c r="A251" s="364">
        <v>44444.0</v>
      </c>
    </row>
    <row r="252" ht="15.75" customHeight="1">
      <c r="A252" s="364">
        <v>44445.0</v>
      </c>
    </row>
    <row r="253" ht="15.75" customHeight="1">
      <c r="A253" s="364">
        <v>44446.0</v>
      </c>
    </row>
    <row r="254" ht="15.75" customHeight="1">
      <c r="A254" s="364">
        <v>44447.0</v>
      </c>
    </row>
    <row r="255" ht="15.75" customHeight="1">
      <c r="A255" s="364">
        <v>44448.0</v>
      </c>
    </row>
    <row r="256" ht="15.75" customHeight="1">
      <c r="A256" s="364">
        <v>44449.0</v>
      </c>
    </row>
    <row r="257" ht="15.75" customHeight="1">
      <c r="A257" s="364">
        <v>44450.0</v>
      </c>
    </row>
    <row r="258" ht="15.75" customHeight="1">
      <c r="A258" s="364">
        <v>44451.0</v>
      </c>
    </row>
    <row r="259" ht="15.75" customHeight="1">
      <c r="A259" s="364">
        <v>44452.0</v>
      </c>
    </row>
    <row r="260" ht="15.75" customHeight="1">
      <c r="A260" s="364">
        <v>44453.0</v>
      </c>
    </row>
    <row r="261" ht="15.75" customHeight="1">
      <c r="A261" s="364">
        <v>44454.0</v>
      </c>
    </row>
    <row r="262" ht="15.75" customHeight="1">
      <c r="A262" s="364">
        <v>44455.0</v>
      </c>
    </row>
    <row r="263" ht="15.75" customHeight="1">
      <c r="A263" s="364">
        <v>44456.0</v>
      </c>
    </row>
    <row r="264" ht="15.75" customHeight="1">
      <c r="A264" s="364">
        <v>44457.0</v>
      </c>
    </row>
    <row r="265" ht="15.75" customHeight="1">
      <c r="A265" s="364">
        <v>44458.0</v>
      </c>
    </row>
    <row r="266" ht="15.75" customHeight="1">
      <c r="A266" s="364">
        <v>44459.0</v>
      </c>
    </row>
    <row r="267" ht="15.75" customHeight="1">
      <c r="A267" s="364">
        <v>44460.0</v>
      </c>
    </row>
    <row r="268" ht="15.75" customHeight="1">
      <c r="A268" s="364">
        <v>44461.0</v>
      </c>
    </row>
    <row r="269" ht="15.75" customHeight="1">
      <c r="A269" s="364">
        <v>44462.0</v>
      </c>
    </row>
    <row r="270" ht="15.75" customHeight="1">
      <c r="A270" s="364">
        <v>44463.0</v>
      </c>
    </row>
    <row r="271" ht="15.75" customHeight="1">
      <c r="A271" s="364">
        <v>44464.0</v>
      </c>
    </row>
    <row r="272" ht="15.75" customHeight="1">
      <c r="A272" s="364">
        <v>44465.0</v>
      </c>
    </row>
    <row r="273" ht="15.75" customHeight="1">
      <c r="A273" s="364">
        <v>44466.0</v>
      </c>
    </row>
    <row r="274" ht="15.75" customHeight="1">
      <c r="A274" s="364">
        <v>44467.0</v>
      </c>
    </row>
    <row r="275" ht="15.75" customHeight="1">
      <c r="A275" s="364">
        <v>44468.0</v>
      </c>
    </row>
    <row r="276" ht="15.75" customHeight="1">
      <c r="A276" s="364">
        <v>44469.0</v>
      </c>
    </row>
    <row r="277" ht="15.75" customHeight="1">
      <c r="A277" s="364">
        <v>44470.0</v>
      </c>
    </row>
    <row r="278" ht="15.75" customHeight="1">
      <c r="A278" s="364">
        <v>44471.0</v>
      </c>
    </row>
    <row r="279" ht="15.75" customHeight="1">
      <c r="A279" s="364">
        <v>44472.0</v>
      </c>
    </row>
    <row r="280" ht="15.75" customHeight="1">
      <c r="A280" s="364">
        <v>44473.0</v>
      </c>
    </row>
    <row r="281" ht="15.75" customHeight="1">
      <c r="A281" s="364">
        <v>44474.0</v>
      </c>
    </row>
    <row r="282" ht="15.75" customHeight="1">
      <c r="A282" s="364">
        <v>44475.0</v>
      </c>
    </row>
    <row r="283" ht="15.75" customHeight="1">
      <c r="A283" s="364">
        <v>44476.0</v>
      </c>
    </row>
    <row r="284" ht="15.75" customHeight="1">
      <c r="A284" s="364">
        <v>44477.0</v>
      </c>
    </row>
    <row r="285" ht="15.75" customHeight="1">
      <c r="A285" s="364">
        <v>44478.0</v>
      </c>
    </row>
    <row r="286" ht="15.75" customHeight="1">
      <c r="A286" s="364">
        <v>44479.0</v>
      </c>
    </row>
    <row r="287" ht="15.75" customHeight="1">
      <c r="A287" s="364">
        <v>44480.0</v>
      </c>
    </row>
    <row r="288" ht="15.75" customHeight="1">
      <c r="A288" s="364">
        <v>44481.0</v>
      </c>
    </row>
    <row r="289" ht="15.75" customHeight="1">
      <c r="A289" s="364">
        <v>44482.0</v>
      </c>
    </row>
    <row r="290" ht="15.75" customHeight="1">
      <c r="A290" s="364">
        <v>44483.0</v>
      </c>
    </row>
    <row r="291" ht="15.75" customHeight="1">
      <c r="A291" s="364">
        <v>44484.0</v>
      </c>
    </row>
    <row r="292" ht="15.75" customHeight="1">
      <c r="A292" s="364">
        <v>44485.0</v>
      </c>
    </row>
    <row r="293" ht="15.75" customHeight="1">
      <c r="A293" s="364">
        <v>44486.0</v>
      </c>
    </row>
    <row r="294" ht="15.75" customHeight="1">
      <c r="A294" s="364">
        <v>44487.0</v>
      </c>
    </row>
    <row r="295" ht="15.75" customHeight="1">
      <c r="A295" s="364">
        <v>44488.0</v>
      </c>
    </row>
    <row r="296" ht="15.75" customHeight="1">
      <c r="A296" s="364">
        <v>44489.0</v>
      </c>
    </row>
    <row r="297" ht="15.75" customHeight="1">
      <c r="A297" s="364">
        <v>44490.0</v>
      </c>
    </row>
    <row r="298" ht="15.75" customHeight="1">
      <c r="A298" s="364">
        <v>44491.0</v>
      </c>
    </row>
    <row r="299" ht="15.75" customHeight="1">
      <c r="A299" s="364">
        <v>44492.0</v>
      </c>
    </row>
    <row r="300" ht="15.75" customHeight="1">
      <c r="A300" s="364">
        <v>44493.0</v>
      </c>
    </row>
    <row r="301" ht="15.75" customHeight="1">
      <c r="A301" s="364">
        <v>44494.0</v>
      </c>
    </row>
    <row r="302" ht="15.75" customHeight="1">
      <c r="A302" s="364">
        <v>44495.0</v>
      </c>
    </row>
    <row r="303" ht="15.75" customHeight="1">
      <c r="A303" s="364">
        <v>44496.0</v>
      </c>
    </row>
    <row r="304" ht="15.75" customHeight="1">
      <c r="A304" s="364">
        <v>44497.0</v>
      </c>
    </row>
    <row r="305" ht="15.75" customHeight="1">
      <c r="A305" s="364">
        <v>44498.0</v>
      </c>
    </row>
    <row r="306" ht="15.75" customHeight="1">
      <c r="A306" s="364">
        <v>44499.0</v>
      </c>
    </row>
    <row r="307" ht="15.75" customHeight="1">
      <c r="A307" s="364">
        <v>44500.0</v>
      </c>
    </row>
    <row r="308" ht="15.75" customHeight="1">
      <c r="A308" s="364">
        <v>44501.0</v>
      </c>
    </row>
    <row r="309" ht="15.75" customHeight="1">
      <c r="A309" s="364">
        <v>44502.0</v>
      </c>
    </row>
    <row r="310" ht="15.75" customHeight="1">
      <c r="A310" s="364">
        <v>44503.0</v>
      </c>
    </row>
    <row r="311" ht="15.75" customHeight="1">
      <c r="A311" s="364">
        <v>44504.0</v>
      </c>
    </row>
    <row r="312" ht="15.75" customHeight="1">
      <c r="A312" s="364">
        <v>44505.0</v>
      </c>
    </row>
    <row r="313" ht="15.75" customHeight="1">
      <c r="A313" s="364">
        <v>44506.0</v>
      </c>
    </row>
    <row r="314" ht="15.75" customHeight="1">
      <c r="A314" s="364">
        <v>44507.0</v>
      </c>
    </row>
    <row r="315" ht="15.75" customHeight="1">
      <c r="A315" s="364">
        <v>44508.0</v>
      </c>
    </row>
    <row r="316" ht="15.75" customHeight="1">
      <c r="A316" s="364">
        <v>44509.0</v>
      </c>
    </row>
    <row r="317" ht="15.75" customHeight="1">
      <c r="A317" s="364">
        <v>44510.0</v>
      </c>
    </row>
    <row r="318" ht="15.75" customHeight="1">
      <c r="A318" s="364">
        <v>44511.0</v>
      </c>
    </row>
    <row r="319" ht="15.75" customHeight="1">
      <c r="A319" s="364">
        <v>44512.0</v>
      </c>
    </row>
    <row r="320" ht="15.75" customHeight="1">
      <c r="A320" s="364">
        <v>44513.0</v>
      </c>
    </row>
    <row r="321" ht="15.75" customHeight="1">
      <c r="A321" s="364">
        <v>44514.0</v>
      </c>
    </row>
    <row r="322" ht="15.75" customHeight="1">
      <c r="A322" s="364">
        <v>44515.0</v>
      </c>
    </row>
    <row r="323" ht="15.75" customHeight="1">
      <c r="A323" s="364">
        <v>44516.0</v>
      </c>
    </row>
    <row r="324" ht="15.75" customHeight="1">
      <c r="A324" s="364">
        <v>44517.0</v>
      </c>
    </row>
    <row r="325" ht="15.75" customHeight="1">
      <c r="A325" s="364">
        <v>44518.0</v>
      </c>
    </row>
    <row r="326" ht="15.75" customHeight="1">
      <c r="A326" s="364">
        <v>44519.0</v>
      </c>
    </row>
    <row r="327" ht="15.75" customHeight="1">
      <c r="A327" s="364">
        <v>44520.0</v>
      </c>
    </row>
    <row r="328" ht="15.75" customHeight="1">
      <c r="A328" s="364">
        <v>44521.0</v>
      </c>
    </row>
    <row r="329" ht="15.75" customHeight="1">
      <c r="A329" s="364">
        <v>44522.0</v>
      </c>
    </row>
    <row r="330" ht="15.75" customHeight="1">
      <c r="A330" s="364">
        <v>44523.0</v>
      </c>
    </row>
    <row r="331" ht="15.75" customHeight="1">
      <c r="A331" s="364">
        <v>44524.0</v>
      </c>
    </row>
    <row r="332" ht="15.75" customHeight="1">
      <c r="A332" s="364">
        <v>44525.0</v>
      </c>
    </row>
    <row r="333" ht="15.75" customHeight="1">
      <c r="A333" s="364">
        <v>44526.0</v>
      </c>
    </row>
    <row r="334" ht="15.75" customHeight="1">
      <c r="A334" s="364">
        <v>44527.0</v>
      </c>
    </row>
    <row r="335" ht="15.75" customHeight="1">
      <c r="A335" s="364">
        <v>44528.0</v>
      </c>
    </row>
    <row r="336" ht="15.75" customHeight="1">
      <c r="A336" s="364">
        <v>44529.0</v>
      </c>
    </row>
    <row r="337" ht="15.75" customHeight="1">
      <c r="A337" s="364">
        <v>44530.0</v>
      </c>
    </row>
    <row r="338" ht="15.75" customHeight="1">
      <c r="A338" s="364">
        <v>44531.0</v>
      </c>
    </row>
    <row r="339" ht="15.75" customHeight="1">
      <c r="A339" s="364">
        <v>44532.0</v>
      </c>
    </row>
    <row r="340" ht="15.75" customHeight="1">
      <c r="A340" s="364">
        <v>44533.0</v>
      </c>
    </row>
    <row r="341" ht="15.75" customHeight="1">
      <c r="A341" s="364">
        <v>44534.0</v>
      </c>
    </row>
    <row r="342" ht="15.75" customHeight="1">
      <c r="A342" s="364">
        <v>44535.0</v>
      </c>
    </row>
    <row r="343" ht="15.75" customHeight="1">
      <c r="A343" s="364">
        <v>44536.0</v>
      </c>
    </row>
    <row r="344" ht="15.75" customHeight="1">
      <c r="A344" s="364">
        <v>44537.0</v>
      </c>
    </row>
    <row r="345" ht="15.75" customHeight="1">
      <c r="A345" s="364">
        <v>44538.0</v>
      </c>
    </row>
    <row r="346" ht="15.75" customHeight="1">
      <c r="A346" s="364">
        <v>44539.0</v>
      </c>
    </row>
    <row r="347" ht="15.75" customHeight="1">
      <c r="A347" s="364">
        <v>44540.0</v>
      </c>
    </row>
    <row r="348" ht="15.75" customHeight="1">
      <c r="A348" s="364">
        <v>44541.0</v>
      </c>
    </row>
    <row r="349" ht="15.75" customHeight="1">
      <c r="A349" s="364">
        <v>44542.0</v>
      </c>
    </row>
    <row r="350" ht="15.75" customHeight="1">
      <c r="A350" s="364">
        <v>44543.0</v>
      </c>
    </row>
    <row r="351" ht="15.75" customHeight="1">
      <c r="A351" s="364">
        <v>44544.0</v>
      </c>
    </row>
    <row r="352" ht="15.75" customHeight="1">
      <c r="A352" s="364">
        <v>44545.0</v>
      </c>
    </row>
    <row r="353" ht="15.75" customHeight="1">
      <c r="A353" s="364">
        <v>44546.0</v>
      </c>
    </row>
    <row r="354" ht="15.75" customHeight="1">
      <c r="A354" s="364">
        <v>44547.0</v>
      </c>
    </row>
    <row r="355" ht="15.75" customHeight="1">
      <c r="A355" s="364">
        <v>44548.0</v>
      </c>
    </row>
    <row r="356" ht="15.75" customHeight="1">
      <c r="A356" s="364">
        <v>44549.0</v>
      </c>
    </row>
    <row r="357" ht="15.75" customHeight="1">
      <c r="A357" s="364">
        <v>44550.0</v>
      </c>
    </row>
    <row r="358" ht="15.75" customHeight="1">
      <c r="A358" s="364">
        <v>44551.0</v>
      </c>
    </row>
    <row r="359" ht="15.75" customHeight="1">
      <c r="A359" s="364">
        <v>44552.0</v>
      </c>
    </row>
    <row r="360" ht="15.75" customHeight="1">
      <c r="A360" s="364">
        <v>44553.0</v>
      </c>
    </row>
    <row r="361" ht="15.75" customHeight="1">
      <c r="A361" s="364">
        <v>44554.0</v>
      </c>
    </row>
    <row r="362" ht="15.75" customHeight="1">
      <c r="A362" s="364">
        <v>44555.0</v>
      </c>
    </row>
    <row r="363" ht="15.75" customHeight="1">
      <c r="A363" s="364">
        <v>44556.0</v>
      </c>
    </row>
    <row r="364" ht="15.75" customHeight="1">
      <c r="A364" s="364">
        <v>44557.0</v>
      </c>
    </row>
    <row r="365" ht="15.75" customHeight="1">
      <c r="A365" s="364">
        <v>44558.0</v>
      </c>
    </row>
    <row r="366" ht="15.75" customHeight="1">
      <c r="A366" s="364">
        <v>44559.0</v>
      </c>
    </row>
    <row r="367" ht="15.75" customHeight="1">
      <c r="A367" s="364">
        <v>44560.0</v>
      </c>
    </row>
    <row r="368" ht="15.75" customHeight="1">
      <c r="A368" s="364">
        <v>44561.0</v>
      </c>
    </row>
    <row r="369" ht="15.75" customHeight="1">
      <c r="A369" s="364">
        <v>44562.0</v>
      </c>
    </row>
    <row r="370" ht="15.75" customHeight="1">
      <c r="A370" s="364">
        <v>44563.0</v>
      </c>
    </row>
    <row r="371" ht="15.75" customHeight="1">
      <c r="A371" s="364">
        <v>44564.0</v>
      </c>
    </row>
    <row r="372" ht="15.75" customHeight="1">
      <c r="A372" s="364">
        <v>44565.0</v>
      </c>
    </row>
    <row r="373" ht="15.75" customHeight="1">
      <c r="A373" s="364">
        <v>44566.0</v>
      </c>
    </row>
    <row r="374" ht="15.75" customHeight="1">
      <c r="A374" s="364">
        <v>44567.0</v>
      </c>
    </row>
    <row r="375" ht="15.75" customHeight="1">
      <c r="A375" s="364">
        <v>44568.0</v>
      </c>
    </row>
    <row r="376" ht="15.75" customHeight="1">
      <c r="A376" s="364">
        <v>44569.0</v>
      </c>
    </row>
    <row r="377" ht="15.75" customHeight="1">
      <c r="A377" s="364">
        <v>44570.0</v>
      </c>
    </row>
    <row r="378" ht="15.75" customHeight="1">
      <c r="A378" s="364">
        <v>44571.0</v>
      </c>
    </row>
    <row r="379" ht="15.75" customHeight="1">
      <c r="A379" s="364">
        <v>44572.0</v>
      </c>
    </row>
    <row r="380" ht="15.75" customHeight="1">
      <c r="A380" s="364">
        <v>44573.0</v>
      </c>
    </row>
    <row r="381" ht="15.75" customHeight="1">
      <c r="A381" s="364">
        <v>44574.0</v>
      </c>
    </row>
    <row r="382" ht="15.75" customHeight="1">
      <c r="A382" s="364">
        <v>44575.0</v>
      </c>
    </row>
    <row r="383" ht="15.75" customHeight="1">
      <c r="A383" s="364">
        <v>44576.0</v>
      </c>
    </row>
    <row r="384" ht="15.75" customHeight="1">
      <c r="A384" s="364">
        <v>44577.0</v>
      </c>
    </row>
    <row r="385" ht="15.75" customHeight="1">
      <c r="A385" s="364">
        <v>44578.0</v>
      </c>
    </row>
    <row r="386" ht="15.75" customHeight="1">
      <c r="A386" s="364">
        <v>44579.0</v>
      </c>
    </row>
    <row r="387" ht="15.75" customHeight="1">
      <c r="A387" s="364">
        <v>44580.0</v>
      </c>
    </row>
    <row r="388" ht="15.75" customHeight="1">
      <c r="A388" s="364">
        <v>44581.0</v>
      </c>
    </row>
    <row r="389" ht="15.75" customHeight="1">
      <c r="A389" s="364">
        <v>44582.0</v>
      </c>
    </row>
    <row r="390" ht="15.75" customHeight="1">
      <c r="A390" s="364">
        <v>44583.0</v>
      </c>
    </row>
    <row r="391" ht="15.75" customHeight="1">
      <c r="A391" s="364">
        <v>44584.0</v>
      </c>
    </row>
    <row r="392" ht="15.75" customHeight="1">
      <c r="A392" s="364">
        <v>44585.0</v>
      </c>
    </row>
    <row r="393" ht="15.75" customHeight="1">
      <c r="A393" s="364">
        <v>44586.0</v>
      </c>
    </row>
    <row r="394" ht="15.75" customHeight="1">
      <c r="A394" s="364">
        <v>44587.0</v>
      </c>
    </row>
    <row r="395" ht="15.75" customHeight="1">
      <c r="A395" s="364">
        <v>44588.0</v>
      </c>
    </row>
    <row r="396" ht="15.75" customHeight="1">
      <c r="A396" s="364">
        <v>44589.0</v>
      </c>
    </row>
    <row r="397" ht="15.75" customHeight="1">
      <c r="A397" s="364">
        <v>44590.0</v>
      </c>
    </row>
    <row r="398" ht="15.75" customHeight="1">
      <c r="A398" s="364">
        <v>44591.0</v>
      </c>
    </row>
    <row r="399" ht="15.75" customHeight="1">
      <c r="A399" s="364">
        <v>44592.0</v>
      </c>
    </row>
    <row r="400" ht="15.75" customHeight="1">
      <c r="A400" s="364">
        <v>44593.0</v>
      </c>
    </row>
    <row r="401" ht="15.75" customHeight="1">
      <c r="A401" s="364">
        <v>44594.0</v>
      </c>
    </row>
    <row r="402" ht="15.75" customHeight="1">
      <c r="A402" s="364">
        <v>44595.0</v>
      </c>
    </row>
    <row r="403" ht="15.75" customHeight="1">
      <c r="A403" s="364">
        <v>44596.0</v>
      </c>
    </row>
    <row r="404" ht="15.75" customHeight="1">
      <c r="A404" s="364">
        <v>44597.0</v>
      </c>
    </row>
    <row r="405" ht="15.75" customHeight="1">
      <c r="A405" s="364">
        <v>44598.0</v>
      </c>
    </row>
    <row r="406" ht="15.75" customHeight="1">
      <c r="A406" s="364">
        <v>44599.0</v>
      </c>
    </row>
    <row r="407" ht="15.75" customHeight="1">
      <c r="A407" s="364">
        <v>44600.0</v>
      </c>
    </row>
    <row r="408" ht="15.75" customHeight="1">
      <c r="A408" s="364">
        <v>44601.0</v>
      </c>
    </row>
    <row r="409" ht="15.75" customHeight="1">
      <c r="A409" s="364">
        <v>44602.0</v>
      </c>
    </row>
    <row r="410" ht="15.75" customHeight="1">
      <c r="A410" s="364">
        <v>44603.0</v>
      </c>
    </row>
    <row r="411" ht="15.75" customHeight="1">
      <c r="A411" s="364">
        <v>44604.0</v>
      </c>
    </row>
    <row r="412" ht="15.75" customHeight="1">
      <c r="A412" s="364">
        <v>44605.0</v>
      </c>
    </row>
    <row r="413" ht="15.75" customHeight="1">
      <c r="A413" s="364">
        <v>44606.0</v>
      </c>
    </row>
    <row r="414" ht="15.75" customHeight="1">
      <c r="A414" s="364">
        <v>44607.0</v>
      </c>
    </row>
    <row r="415" ht="15.75" customHeight="1">
      <c r="A415" s="364">
        <v>44608.0</v>
      </c>
    </row>
    <row r="416" ht="15.75" customHeight="1">
      <c r="A416" s="364">
        <v>44609.0</v>
      </c>
    </row>
    <row r="417" ht="15.75" customHeight="1">
      <c r="A417" s="364">
        <v>44610.0</v>
      </c>
    </row>
    <row r="418" ht="15.75" customHeight="1">
      <c r="A418" s="364">
        <v>44611.0</v>
      </c>
    </row>
    <row r="419" ht="15.75" customHeight="1">
      <c r="A419" s="364">
        <v>44612.0</v>
      </c>
    </row>
    <row r="420" ht="15.75" customHeight="1">
      <c r="A420" s="364">
        <v>44613.0</v>
      </c>
    </row>
    <row r="421" ht="15.75" customHeight="1">
      <c r="A421" s="364">
        <v>44614.0</v>
      </c>
    </row>
    <row r="422" ht="15.75" customHeight="1">
      <c r="A422" s="364">
        <v>44615.0</v>
      </c>
    </row>
    <row r="423" ht="15.75" customHeight="1">
      <c r="A423" s="364">
        <v>44616.0</v>
      </c>
    </row>
    <row r="424" ht="15.75" customHeight="1">
      <c r="A424" s="364">
        <v>44617.0</v>
      </c>
    </row>
    <row r="425" ht="15.75" customHeight="1">
      <c r="A425" s="364">
        <v>44618.0</v>
      </c>
    </row>
    <row r="426" ht="15.75" customHeight="1">
      <c r="A426" s="364">
        <v>44619.0</v>
      </c>
    </row>
    <row r="427" ht="15.75" customHeight="1">
      <c r="A427" s="364">
        <v>44620.0</v>
      </c>
    </row>
    <row r="428" ht="15.75" customHeight="1">
      <c r="A428" s="364">
        <v>44621.0</v>
      </c>
    </row>
    <row r="429" ht="15.75" customHeight="1">
      <c r="A429" s="364">
        <v>44622.0</v>
      </c>
    </row>
    <row r="430" ht="15.75" customHeight="1">
      <c r="A430" s="364">
        <v>44623.0</v>
      </c>
    </row>
    <row r="431" ht="15.75" customHeight="1">
      <c r="A431" s="364">
        <v>44624.0</v>
      </c>
    </row>
    <row r="432" ht="15.75" customHeight="1">
      <c r="A432" s="364">
        <v>44625.0</v>
      </c>
    </row>
    <row r="433" ht="15.75" customHeight="1">
      <c r="A433" s="364">
        <v>44626.0</v>
      </c>
    </row>
    <row r="434" ht="15.75" customHeight="1">
      <c r="A434" s="364">
        <v>44627.0</v>
      </c>
    </row>
    <row r="435" ht="15.75" customHeight="1">
      <c r="A435" s="364">
        <v>44628.0</v>
      </c>
    </row>
    <row r="436" ht="15.75" customHeight="1">
      <c r="A436" s="364">
        <v>44629.0</v>
      </c>
    </row>
    <row r="437" ht="15.75" customHeight="1">
      <c r="A437" s="364">
        <v>44630.0</v>
      </c>
    </row>
    <row r="438" ht="15.75" customHeight="1">
      <c r="A438" s="364">
        <v>44631.0</v>
      </c>
    </row>
    <row r="439" ht="15.75" customHeight="1">
      <c r="A439" s="364">
        <v>44632.0</v>
      </c>
    </row>
    <row r="440" ht="15.75" customHeight="1">
      <c r="A440" s="364">
        <v>44633.0</v>
      </c>
    </row>
    <row r="441" ht="15.75" customHeight="1">
      <c r="A441" s="364">
        <v>44634.0</v>
      </c>
    </row>
    <row r="442" ht="15.75" customHeight="1">
      <c r="A442" s="364">
        <v>44635.0</v>
      </c>
    </row>
    <row r="443" ht="15.75" customHeight="1">
      <c r="A443" s="364">
        <v>44636.0</v>
      </c>
    </row>
    <row r="444" ht="15.75" customHeight="1">
      <c r="A444" s="364">
        <v>44637.0</v>
      </c>
    </row>
    <row r="445" ht="15.75" customHeight="1">
      <c r="A445" s="364">
        <v>44638.0</v>
      </c>
    </row>
    <row r="446" ht="15.75" customHeight="1">
      <c r="A446" s="364">
        <v>44639.0</v>
      </c>
    </row>
    <row r="447" ht="15.75" customHeight="1">
      <c r="A447" s="364">
        <v>44640.0</v>
      </c>
    </row>
    <row r="448" ht="15.75" customHeight="1">
      <c r="A448" s="364">
        <v>44641.0</v>
      </c>
    </row>
    <row r="449" ht="15.75" customHeight="1">
      <c r="A449" s="364">
        <v>44642.0</v>
      </c>
    </row>
    <row r="450" ht="15.75" customHeight="1">
      <c r="A450" s="364">
        <v>44643.0</v>
      </c>
    </row>
    <row r="451" ht="15.75" customHeight="1">
      <c r="A451" s="364">
        <v>44644.0</v>
      </c>
    </row>
    <row r="452" ht="15.75" customHeight="1">
      <c r="A452" s="364">
        <v>44645.0</v>
      </c>
    </row>
    <row r="453" ht="15.75" customHeight="1">
      <c r="A453" s="364">
        <v>44646.0</v>
      </c>
    </row>
    <row r="454" ht="15.75" customHeight="1">
      <c r="A454" s="364">
        <v>44647.0</v>
      </c>
    </row>
    <row r="455" ht="15.75" customHeight="1">
      <c r="A455" s="364">
        <v>44648.0</v>
      </c>
    </row>
    <row r="456" ht="15.75" customHeight="1">
      <c r="A456" s="364">
        <v>44649.0</v>
      </c>
    </row>
    <row r="457" ht="15.75" customHeight="1">
      <c r="A457" s="364">
        <v>44650.0</v>
      </c>
    </row>
    <row r="458" ht="15.75" customHeight="1">
      <c r="A458" s="364">
        <v>44651.0</v>
      </c>
    </row>
    <row r="459" ht="15.75" customHeight="1">
      <c r="A459" s="364">
        <v>44652.0</v>
      </c>
    </row>
    <row r="460" ht="15.75" customHeight="1">
      <c r="A460" s="364">
        <v>44653.0</v>
      </c>
    </row>
    <row r="461" ht="15.75" customHeight="1">
      <c r="A461" s="364">
        <v>44654.0</v>
      </c>
    </row>
    <row r="462" ht="15.75" customHeight="1">
      <c r="A462" s="364">
        <v>44655.0</v>
      </c>
    </row>
    <row r="463" ht="15.75" customHeight="1">
      <c r="A463" s="364">
        <v>44656.0</v>
      </c>
    </row>
    <row r="464" ht="15.75" customHeight="1">
      <c r="A464" s="364">
        <v>44657.0</v>
      </c>
    </row>
    <row r="465" ht="15.75" customHeight="1">
      <c r="A465" s="364">
        <v>44658.0</v>
      </c>
    </row>
    <row r="466" ht="15.75" customHeight="1">
      <c r="A466" s="364">
        <v>44659.0</v>
      </c>
    </row>
    <row r="467" ht="15.75" customHeight="1">
      <c r="A467" s="364">
        <v>44660.0</v>
      </c>
    </row>
    <row r="468" ht="15.75" customHeight="1">
      <c r="A468" s="364">
        <v>44661.0</v>
      </c>
    </row>
    <row r="469" ht="15.75" customHeight="1">
      <c r="A469" s="364">
        <v>44662.0</v>
      </c>
    </row>
    <row r="470" ht="15.75" customHeight="1">
      <c r="A470" s="364">
        <v>44663.0</v>
      </c>
    </row>
    <row r="471" ht="15.75" customHeight="1">
      <c r="A471" s="364">
        <v>44664.0</v>
      </c>
    </row>
    <row r="472" ht="15.75" customHeight="1">
      <c r="A472" s="364">
        <v>44665.0</v>
      </c>
    </row>
    <row r="473" ht="15.75" customHeight="1">
      <c r="A473" s="364">
        <v>44666.0</v>
      </c>
    </row>
    <row r="474" ht="15.75" customHeight="1">
      <c r="A474" s="364">
        <v>44667.0</v>
      </c>
    </row>
    <row r="475" ht="15.75" customHeight="1">
      <c r="A475" s="364">
        <v>44668.0</v>
      </c>
    </row>
    <row r="476" ht="15.75" customHeight="1">
      <c r="A476" s="364">
        <v>44669.0</v>
      </c>
    </row>
    <row r="477" ht="15.75" customHeight="1">
      <c r="A477" s="364">
        <v>44670.0</v>
      </c>
    </row>
    <row r="478" ht="15.75" customHeight="1">
      <c r="A478" s="364">
        <v>44671.0</v>
      </c>
    </row>
    <row r="479" ht="15.75" customHeight="1">
      <c r="A479" s="364">
        <v>44672.0</v>
      </c>
    </row>
    <row r="480" ht="15.75" customHeight="1">
      <c r="A480" s="364">
        <v>44673.0</v>
      </c>
    </row>
    <row r="481" ht="15.75" customHeight="1">
      <c r="A481" s="364">
        <v>44674.0</v>
      </c>
    </row>
    <row r="482" ht="15.75" customHeight="1">
      <c r="A482" s="364">
        <v>44675.0</v>
      </c>
    </row>
    <row r="483" ht="15.75" customHeight="1">
      <c r="A483" s="364">
        <v>44676.0</v>
      </c>
    </row>
    <row r="484" ht="15.75" customHeight="1">
      <c r="A484" s="364">
        <v>44677.0</v>
      </c>
    </row>
    <row r="485" ht="15.75" customHeight="1">
      <c r="A485" s="364">
        <v>44678.0</v>
      </c>
    </row>
    <row r="486" ht="15.75" customHeight="1">
      <c r="A486" s="364">
        <v>44679.0</v>
      </c>
    </row>
    <row r="487" ht="15.75" customHeight="1">
      <c r="A487" s="364">
        <v>44680.0</v>
      </c>
    </row>
    <row r="488" ht="15.75" customHeight="1">
      <c r="A488" s="364">
        <v>44681.0</v>
      </c>
    </row>
    <row r="489" ht="15.75" customHeight="1">
      <c r="A489" s="364">
        <v>44682.0</v>
      </c>
    </row>
    <row r="490" ht="15.75" customHeight="1">
      <c r="A490" s="364">
        <v>44683.0</v>
      </c>
    </row>
    <row r="491" ht="15.75" customHeight="1">
      <c r="A491" s="364">
        <v>44684.0</v>
      </c>
    </row>
    <row r="492" ht="15.75" customHeight="1">
      <c r="A492" s="364">
        <v>44685.0</v>
      </c>
    </row>
    <row r="493" ht="15.75" customHeight="1">
      <c r="A493" s="364">
        <v>44686.0</v>
      </c>
    </row>
    <row r="494" ht="15.75" customHeight="1">
      <c r="A494" s="364">
        <v>44687.0</v>
      </c>
    </row>
    <row r="495" ht="15.75" customHeight="1">
      <c r="A495" s="364">
        <v>44688.0</v>
      </c>
    </row>
    <row r="496" ht="15.75" customHeight="1">
      <c r="A496" s="364">
        <v>44689.0</v>
      </c>
    </row>
    <row r="497" ht="15.75" customHeight="1">
      <c r="A497" s="364">
        <v>44690.0</v>
      </c>
    </row>
    <row r="498" ht="15.75" customHeight="1">
      <c r="A498" s="364">
        <v>44691.0</v>
      </c>
    </row>
    <row r="499" ht="15.75" customHeight="1">
      <c r="A499" s="364">
        <v>44692.0</v>
      </c>
    </row>
    <row r="500" ht="15.75" customHeight="1">
      <c r="A500" s="364">
        <v>44693.0</v>
      </c>
    </row>
    <row r="501" ht="15.75" customHeight="1">
      <c r="A501" s="364">
        <v>44694.0</v>
      </c>
    </row>
    <row r="502" ht="15.75" customHeight="1">
      <c r="A502" s="364">
        <v>44695.0</v>
      </c>
    </row>
    <row r="503" ht="15.75" customHeight="1">
      <c r="A503" s="364">
        <v>44696.0</v>
      </c>
    </row>
    <row r="504" ht="15.75" customHeight="1">
      <c r="A504" s="364">
        <v>44697.0</v>
      </c>
    </row>
    <row r="505" ht="15.75" customHeight="1">
      <c r="A505" s="364">
        <v>44698.0</v>
      </c>
    </row>
    <row r="506" ht="15.75" customHeight="1">
      <c r="A506" s="364">
        <v>44699.0</v>
      </c>
    </row>
    <row r="507" ht="15.75" customHeight="1">
      <c r="A507" s="364">
        <v>44700.0</v>
      </c>
    </row>
    <row r="508" ht="15.75" customHeight="1">
      <c r="A508" s="364">
        <v>44701.0</v>
      </c>
    </row>
    <row r="509" ht="15.75" customHeight="1">
      <c r="A509" s="364">
        <v>44702.0</v>
      </c>
    </row>
    <row r="510" ht="15.75" customHeight="1">
      <c r="A510" s="364">
        <v>44703.0</v>
      </c>
    </row>
    <row r="511" ht="15.75" customHeight="1">
      <c r="A511" s="364">
        <v>44704.0</v>
      </c>
    </row>
    <row r="512" ht="15.75" customHeight="1">
      <c r="A512" s="364">
        <v>44705.0</v>
      </c>
    </row>
    <row r="513" ht="15.75" customHeight="1">
      <c r="A513" s="364">
        <v>44706.0</v>
      </c>
    </row>
    <row r="514" ht="15.75" customHeight="1">
      <c r="A514" s="364">
        <v>44707.0</v>
      </c>
    </row>
    <row r="515" ht="15.75" customHeight="1">
      <c r="A515" s="364">
        <v>44708.0</v>
      </c>
    </row>
    <row r="516" ht="15.75" customHeight="1">
      <c r="A516" s="364">
        <v>44709.0</v>
      </c>
    </row>
    <row r="517" ht="15.75" customHeight="1">
      <c r="A517" s="364">
        <v>44710.0</v>
      </c>
    </row>
    <row r="518" ht="15.75" customHeight="1">
      <c r="A518" s="364">
        <v>44711.0</v>
      </c>
    </row>
    <row r="519" ht="15.75" customHeight="1">
      <c r="A519" s="364">
        <v>44712.0</v>
      </c>
    </row>
    <row r="520" ht="15.75" customHeight="1">
      <c r="A520" s="364">
        <v>44713.0</v>
      </c>
    </row>
    <row r="521" ht="15.75" customHeight="1">
      <c r="A521" s="364">
        <v>44714.0</v>
      </c>
    </row>
    <row r="522" ht="15.75" customHeight="1">
      <c r="A522" s="364">
        <v>44715.0</v>
      </c>
    </row>
    <row r="523" ht="15.75" customHeight="1">
      <c r="A523" s="364">
        <v>44716.0</v>
      </c>
    </row>
    <row r="524" ht="15.75" customHeight="1">
      <c r="A524" s="364">
        <v>44717.0</v>
      </c>
    </row>
    <row r="525" ht="15.75" customHeight="1">
      <c r="A525" s="364">
        <v>44718.0</v>
      </c>
    </row>
    <row r="526" ht="15.75" customHeight="1">
      <c r="A526" s="364">
        <v>44719.0</v>
      </c>
    </row>
    <row r="527" ht="15.75" customHeight="1">
      <c r="A527" s="364">
        <v>44720.0</v>
      </c>
    </row>
    <row r="528" ht="15.75" customHeight="1">
      <c r="A528" s="364">
        <v>44721.0</v>
      </c>
    </row>
    <row r="529" ht="15.75" customHeight="1">
      <c r="A529" s="364">
        <v>44722.0</v>
      </c>
    </row>
    <row r="530" ht="15.75" customHeight="1">
      <c r="A530" s="364">
        <v>44723.0</v>
      </c>
    </row>
    <row r="531" ht="15.75" customHeight="1">
      <c r="A531" s="364">
        <v>44724.0</v>
      </c>
    </row>
    <row r="532" ht="15.75" customHeight="1">
      <c r="A532" s="364">
        <v>44725.0</v>
      </c>
    </row>
    <row r="533" ht="15.75" customHeight="1">
      <c r="A533" s="364">
        <v>44726.0</v>
      </c>
    </row>
    <row r="534" ht="15.75" customHeight="1">
      <c r="A534" s="364">
        <v>44727.0</v>
      </c>
    </row>
    <row r="535" ht="15.75" customHeight="1">
      <c r="A535" s="364">
        <v>44728.0</v>
      </c>
    </row>
    <row r="536" ht="15.75" customHeight="1">
      <c r="A536" s="364">
        <v>44729.0</v>
      </c>
    </row>
    <row r="537" ht="15.75" customHeight="1">
      <c r="A537" s="364">
        <v>44730.0</v>
      </c>
    </row>
    <row r="538" ht="15.75" customHeight="1">
      <c r="A538" s="364">
        <v>44731.0</v>
      </c>
    </row>
    <row r="539" ht="15.75" customHeight="1">
      <c r="A539" s="364">
        <v>44732.0</v>
      </c>
    </row>
    <row r="540" ht="15.75" customHeight="1">
      <c r="A540" s="364">
        <v>44733.0</v>
      </c>
    </row>
    <row r="541" ht="15.75" customHeight="1">
      <c r="A541" s="364">
        <v>44734.0</v>
      </c>
    </row>
    <row r="542" ht="15.75" customHeight="1">
      <c r="A542" s="364">
        <v>44735.0</v>
      </c>
    </row>
    <row r="543" ht="15.75" customHeight="1">
      <c r="A543" s="364">
        <v>44736.0</v>
      </c>
    </row>
    <row r="544" ht="15.75" customHeight="1">
      <c r="A544" s="364">
        <v>44737.0</v>
      </c>
    </row>
    <row r="545" ht="15.75" customHeight="1">
      <c r="A545" s="364">
        <v>44738.0</v>
      </c>
    </row>
    <row r="546" ht="15.75" customHeight="1">
      <c r="A546" s="364">
        <v>44739.0</v>
      </c>
    </row>
    <row r="547" ht="15.75" customHeight="1">
      <c r="A547" s="364">
        <v>44740.0</v>
      </c>
    </row>
    <row r="548" ht="15.75" customHeight="1">
      <c r="A548" s="364">
        <v>44741.0</v>
      </c>
    </row>
    <row r="549" ht="15.75" customHeight="1">
      <c r="A549" s="364">
        <v>44742.0</v>
      </c>
    </row>
    <row r="550" ht="15.75" customHeight="1">
      <c r="A550" s="364">
        <v>44743.0</v>
      </c>
    </row>
    <row r="551" ht="15.75" customHeight="1">
      <c r="A551" s="364">
        <v>44744.0</v>
      </c>
    </row>
    <row r="552" ht="15.75" customHeight="1">
      <c r="A552" s="364">
        <v>44745.0</v>
      </c>
    </row>
    <row r="553" ht="15.75" customHeight="1">
      <c r="A553" s="364">
        <v>44746.0</v>
      </c>
    </row>
    <row r="554" ht="15.75" customHeight="1">
      <c r="A554" s="364">
        <v>44747.0</v>
      </c>
    </row>
    <row r="555" ht="15.75" customHeight="1">
      <c r="A555" s="364">
        <v>44748.0</v>
      </c>
    </row>
    <row r="556" ht="15.75" customHeight="1">
      <c r="A556" s="364">
        <v>44749.0</v>
      </c>
    </row>
    <row r="557" ht="15.75" customHeight="1">
      <c r="A557" s="364">
        <v>44750.0</v>
      </c>
    </row>
    <row r="558" ht="15.75" customHeight="1">
      <c r="A558" s="364">
        <v>44751.0</v>
      </c>
    </row>
    <row r="559" ht="15.75" customHeight="1">
      <c r="A559" s="364">
        <v>44752.0</v>
      </c>
    </row>
    <row r="560" ht="15.75" customHeight="1">
      <c r="A560" s="364">
        <v>44753.0</v>
      </c>
    </row>
    <row r="561" ht="15.75" customHeight="1">
      <c r="A561" s="364">
        <v>44754.0</v>
      </c>
    </row>
    <row r="562" ht="15.75" customHeight="1">
      <c r="A562" s="364">
        <v>44755.0</v>
      </c>
    </row>
    <row r="563" ht="15.75" customHeight="1">
      <c r="A563" s="364">
        <v>44756.0</v>
      </c>
    </row>
    <row r="564" ht="15.75" customHeight="1">
      <c r="A564" s="364">
        <v>44757.0</v>
      </c>
    </row>
    <row r="565" ht="15.75" customHeight="1">
      <c r="A565" s="364">
        <v>44758.0</v>
      </c>
    </row>
    <row r="566" ht="15.75" customHeight="1">
      <c r="A566" s="364">
        <v>44759.0</v>
      </c>
    </row>
    <row r="567" ht="15.75" customHeight="1">
      <c r="A567" s="364">
        <v>44760.0</v>
      </c>
    </row>
    <row r="568" ht="15.75" customHeight="1">
      <c r="A568" s="364">
        <v>44761.0</v>
      </c>
    </row>
    <row r="569" ht="15.75" customHeight="1">
      <c r="A569" s="364">
        <v>44762.0</v>
      </c>
    </row>
    <row r="570" ht="15.75" customHeight="1">
      <c r="A570" s="364">
        <v>44763.0</v>
      </c>
    </row>
    <row r="571" ht="15.75" customHeight="1">
      <c r="A571" s="364">
        <v>44764.0</v>
      </c>
    </row>
    <row r="572" ht="15.75" customHeight="1">
      <c r="A572" s="364">
        <v>44765.0</v>
      </c>
    </row>
    <row r="573" ht="15.75" customHeight="1">
      <c r="A573" s="364">
        <v>44766.0</v>
      </c>
    </row>
    <row r="574" ht="15.75" customHeight="1">
      <c r="A574" s="364">
        <v>44767.0</v>
      </c>
    </row>
    <row r="575" ht="15.75" customHeight="1">
      <c r="A575" s="364">
        <v>44768.0</v>
      </c>
    </row>
    <row r="576" ht="15.75" customHeight="1">
      <c r="A576" s="364">
        <v>44769.0</v>
      </c>
    </row>
    <row r="577" ht="15.75" customHeight="1">
      <c r="A577" s="364">
        <v>44770.0</v>
      </c>
    </row>
    <row r="578" ht="15.75" customHeight="1">
      <c r="A578" s="364">
        <v>44771.0</v>
      </c>
    </row>
    <row r="579" ht="15.75" customHeight="1">
      <c r="A579" s="364">
        <v>44772.0</v>
      </c>
    </row>
    <row r="580" ht="15.75" customHeight="1">
      <c r="A580" s="364">
        <v>44773.0</v>
      </c>
    </row>
    <row r="581" ht="15.75" customHeight="1">
      <c r="A581" s="364">
        <v>44774.0</v>
      </c>
    </row>
    <row r="582" ht="15.75" customHeight="1">
      <c r="A582" s="364">
        <v>44775.0</v>
      </c>
    </row>
    <row r="583" ht="15.75" customHeight="1">
      <c r="A583" s="364">
        <v>44776.0</v>
      </c>
    </row>
    <row r="584" ht="15.75" customHeight="1">
      <c r="A584" s="364">
        <v>44777.0</v>
      </c>
    </row>
    <row r="585" ht="15.75" customHeight="1">
      <c r="A585" s="364">
        <v>44778.0</v>
      </c>
    </row>
    <row r="586" ht="15.75" customHeight="1">
      <c r="A586" s="364">
        <v>44779.0</v>
      </c>
    </row>
    <row r="587" ht="15.75" customHeight="1">
      <c r="A587" s="364">
        <v>44780.0</v>
      </c>
    </row>
    <row r="588" ht="15.75" customHeight="1">
      <c r="A588" s="364">
        <v>44781.0</v>
      </c>
    </row>
    <row r="589" ht="15.75" customHeight="1">
      <c r="A589" s="364">
        <v>44782.0</v>
      </c>
    </row>
    <row r="590" ht="15.75" customHeight="1">
      <c r="A590" s="364">
        <v>44783.0</v>
      </c>
    </row>
    <row r="591" ht="15.75" customHeight="1">
      <c r="A591" s="364">
        <v>44784.0</v>
      </c>
    </row>
    <row r="592" ht="15.75" customHeight="1">
      <c r="A592" s="364">
        <v>44785.0</v>
      </c>
    </row>
    <row r="593" ht="15.75" customHeight="1">
      <c r="A593" s="364">
        <v>44786.0</v>
      </c>
    </row>
    <row r="594" ht="15.75" customHeight="1">
      <c r="A594" s="364">
        <v>44787.0</v>
      </c>
    </row>
    <row r="595" ht="15.75" customHeight="1">
      <c r="A595" s="364">
        <v>44788.0</v>
      </c>
    </row>
    <row r="596" ht="15.75" customHeight="1">
      <c r="A596" s="364">
        <v>44789.0</v>
      </c>
    </row>
    <row r="597" ht="15.75" customHeight="1">
      <c r="A597" s="364">
        <v>44790.0</v>
      </c>
    </row>
    <row r="598" ht="15.75" customHeight="1">
      <c r="A598" s="364">
        <v>44791.0</v>
      </c>
    </row>
    <row r="599" ht="15.75" customHeight="1">
      <c r="A599" s="364">
        <v>44792.0</v>
      </c>
    </row>
    <row r="600" ht="15.75" customHeight="1">
      <c r="A600" s="364">
        <v>44793.0</v>
      </c>
    </row>
    <row r="601" ht="15.75" customHeight="1">
      <c r="A601" s="364">
        <v>44794.0</v>
      </c>
    </row>
    <row r="602" ht="15.75" customHeight="1">
      <c r="A602" s="364">
        <v>44795.0</v>
      </c>
    </row>
    <row r="603" ht="15.75" customHeight="1">
      <c r="A603" s="364">
        <v>44796.0</v>
      </c>
    </row>
    <row r="604" ht="15.75" customHeight="1">
      <c r="A604" s="364">
        <v>44797.0</v>
      </c>
    </row>
    <row r="605" ht="15.75" customHeight="1">
      <c r="A605" s="364">
        <v>44798.0</v>
      </c>
    </row>
    <row r="606" ht="15.75" customHeight="1">
      <c r="A606" s="364">
        <v>44799.0</v>
      </c>
    </row>
    <row r="607" ht="15.75" customHeight="1">
      <c r="A607" s="364">
        <v>44800.0</v>
      </c>
    </row>
    <row r="608" ht="15.75" customHeight="1">
      <c r="A608" s="364">
        <v>44801.0</v>
      </c>
    </row>
    <row r="609" ht="15.75" customHeight="1">
      <c r="A609" s="364">
        <v>44802.0</v>
      </c>
    </row>
    <row r="610" ht="15.75" customHeight="1">
      <c r="A610" s="364">
        <v>44803.0</v>
      </c>
    </row>
    <row r="611" ht="15.75" customHeight="1">
      <c r="A611" s="364">
        <v>44804.0</v>
      </c>
    </row>
    <row r="612" ht="15.75" customHeight="1">
      <c r="A612" s="364">
        <v>44805.0</v>
      </c>
    </row>
    <row r="613" ht="15.75" customHeight="1">
      <c r="A613" s="364">
        <v>44806.0</v>
      </c>
    </row>
    <row r="614" ht="15.75" customHeight="1">
      <c r="A614" s="364">
        <v>44807.0</v>
      </c>
    </row>
    <row r="615" ht="15.75" customHeight="1">
      <c r="A615" s="364">
        <v>44808.0</v>
      </c>
    </row>
    <row r="616" ht="15.75" customHeight="1">
      <c r="A616" s="364">
        <v>44809.0</v>
      </c>
    </row>
    <row r="617" ht="15.75" customHeight="1">
      <c r="A617" s="364">
        <v>44810.0</v>
      </c>
    </row>
    <row r="618" ht="15.75" customHeight="1">
      <c r="A618" s="364">
        <v>44811.0</v>
      </c>
    </row>
    <row r="619" ht="15.75" customHeight="1">
      <c r="A619" s="364">
        <v>44812.0</v>
      </c>
    </row>
    <row r="620" ht="15.75" customHeight="1">
      <c r="A620" s="364">
        <v>44813.0</v>
      </c>
    </row>
    <row r="621" ht="15.75" customHeight="1">
      <c r="A621" s="364">
        <v>44814.0</v>
      </c>
    </row>
    <row r="622" ht="15.75" customHeight="1">
      <c r="A622" s="364">
        <v>44815.0</v>
      </c>
    </row>
    <row r="623" ht="15.75" customHeight="1">
      <c r="A623" s="364">
        <v>44816.0</v>
      </c>
    </row>
    <row r="624" ht="15.75" customHeight="1">
      <c r="A624" s="364">
        <v>44817.0</v>
      </c>
    </row>
    <row r="625" ht="15.75" customHeight="1">
      <c r="A625" s="364">
        <v>44818.0</v>
      </c>
    </row>
    <row r="626" ht="15.75" customHeight="1">
      <c r="A626" s="364">
        <v>44819.0</v>
      </c>
    </row>
    <row r="627" ht="15.75" customHeight="1">
      <c r="A627" s="364">
        <v>44820.0</v>
      </c>
    </row>
    <row r="628" ht="15.75" customHeight="1">
      <c r="A628" s="364">
        <v>44821.0</v>
      </c>
    </row>
    <row r="629" ht="15.75" customHeight="1">
      <c r="A629" s="364">
        <v>44822.0</v>
      </c>
    </row>
    <row r="630" ht="15.75" customHeight="1">
      <c r="A630" s="364">
        <v>44823.0</v>
      </c>
    </row>
    <row r="631" ht="15.75" customHeight="1">
      <c r="A631" s="364">
        <v>44824.0</v>
      </c>
    </row>
    <row r="632" ht="15.75" customHeight="1">
      <c r="A632" s="364">
        <v>44825.0</v>
      </c>
    </row>
    <row r="633" ht="15.75" customHeight="1">
      <c r="A633" s="364">
        <v>44826.0</v>
      </c>
    </row>
    <row r="634" ht="15.75" customHeight="1">
      <c r="A634" s="364">
        <v>44827.0</v>
      </c>
    </row>
    <row r="635" ht="15.75" customHeight="1">
      <c r="A635" s="364">
        <v>44828.0</v>
      </c>
    </row>
    <row r="636" ht="15.75" customHeight="1">
      <c r="A636" s="364">
        <v>44829.0</v>
      </c>
    </row>
    <row r="637" ht="15.75" customHeight="1">
      <c r="A637" s="364">
        <v>44830.0</v>
      </c>
    </row>
    <row r="638" ht="15.75" customHeight="1">
      <c r="A638" s="364">
        <v>44831.0</v>
      </c>
    </row>
    <row r="639" ht="15.75" customHeight="1">
      <c r="A639" s="364">
        <v>44832.0</v>
      </c>
    </row>
    <row r="640" ht="15.75" customHeight="1">
      <c r="A640" s="364">
        <v>44833.0</v>
      </c>
    </row>
    <row r="641" ht="15.75" customHeight="1">
      <c r="A641" s="364">
        <v>44834.0</v>
      </c>
    </row>
    <row r="642" ht="15.75" customHeight="1">
      <c r="A642" s="364">
        <v>44835.0</v>
      </c>
    </row>
    <row r="643" ht="15.75" customHeight="1">
      <c r="A643" s="364">
        <v>44836.0</v>
      </c>
    </row>
    <row r="644" ht="15.75" customHeight="1">
      <c r="A644" s="364">
        <v>44837.0</v>
      </c>
    </row>
    <row r="645" ht="15.75" customHeight="1">
      <c r="A645" s="364">
        <v>44838.0</v>
      </c>
    </row>
    <row r="646" ht="15.75" customHeight="1">
      <c r="A646" s="364">
        <v>44839.0</v>
      </c>
    </row>
    <row r="647" ht="15.75" customHeight="1">
      <c r="A647" s="364">
        <v>44840.0</v>
      </c>
    </row>
    <row r="648" ht="15.75" customHeight="1">
      <c r="A648" s="364">
        <v>44841.0</v>
      </c>
    </row>
    <row r="649" ht="15.75" customHeight="1">
      <c r="A649" s="364">
        <v>44842.0</v>
      </c>
    </row>
    <row r="650" ht="15.75" customHeight="1">
      <c r="A650" s="364">
        <v>44843.0</v>
      </c>
    </row>
    <row r="651" ht="15.75" customHeight="1">
      <c r="A651" s="364">
        <v>44844.0</v>
      </c>
    </row>
    <row r="652" ht="15.75" customHeight="1">
      <c r="A652" s="364">
        <v>44845.0</v>
      </c>
    </row>
    <row r="653" ht="15.75" customHeight="1">
      <c r="A653" s="364">
        <v>44846.0</v>
      </c>
    </row>
    <row r="654" ht="15.75" customHeight="1">
      <c r="A654" s="364">
        <v>44847.0</v>
      </c>
    </row>
    <row r="655" ht="15.75" customHeight="1">
      <c r="A655" s="364">
        <v>44848.0</v>
      </c>
    </row>
    <row r="656" ht="15.75" customHeight="1">
      <c r="A656" s="364">
        <v>44849.0</v>
      </c>
    </row>
    <row r="657" ht="15.75" customHeight="1">
      <c r="A657" s="364">
        <v>44850.0</v>
      </c>
    </row>
    <row r="658" ht="15.75" customHeight="1">
      <c r="A658" s="364">
        <v>44851.0</v>
      </c>
    </row>
    <row r="659" ht="15.75" customHeight="1">
      <c r="A659" s="364">
        <v>44852.0</v>
      </c>
    </row>
    <row r="660" ht="15.75" customHeight="1">
      <c r="A660" s="364">
        <v>44853.0</v>
      </c>
    </row>
    <row r="661" ht="15.75" customHeight="1">
      <c r="A661" s="364">
        <v>44854.0</v>
      </c>
    </row>
    <row r="662" ht="15.75" customHeight="1">
      <c r="A662" s="364">
        <v>44855.0</v>
      </c>
    </row>
    <row r="663" ht="15.75" customHeight="1">
      <c r="A663" s="364">
        <v>44856.0</v>
      </c>
    </row>
    <row r="664" ht="15.75" customHeight="1">
      <c r="A664" s="364">
        <v>44857.0</v>
      </c>
    </row>
    <row r="665" ht="15.75" customHeight="1">
      <c r="A665" s="364">
        <v>44858.0</v>
      </c>
    </row>
    <row r="666" ht="15.75" customHeight="1">
      <c r="A666" s="364">
        <v>44859.0</v>
      </c>
    </row>
    <row r="667" ht="15.75" customHeight="1">
      <c r="A667" s="364">
        <v>44860.0</v>
      </c>
    </row>
    <row r="668" ht="15.75" customHeight="1">
      <c r="A668" s="364">
        <v>44861.0</v>
      </c>
    </row>
    <row r="669" ht="15.75" customHeight="1">
      <c r="A669" s="364">
        <v>44862.0</v>
      </c>
    </row>
    <row r="670" ht="15.75" customHeight="1">
      <c r="A670" s="364">
        <v>44863.0</v>
      </c>
    </row>
    <row r="671" ht="15.75" customHeight="1">
      <c r="A671" s="364">
        <v>44864.0</v>
      </c>
    </row>
    <row r="672" ht="15.75" customHeight="1">
      <c r="A672" s="364">
        <v>44865.0</v>
      </c>
    </row>
    <row r="673" ht="15.75" customHeight="1">
      <c r="A673" s="364">
        <v>44866.0</v>
      </c>
    </row>
    <row r="674" ht="15.75" customHeight="1">
      <c r="A674" s="364">
        <v>44867.0</v>
      </c>
    </row>
    <row r="675" ht="15.75" customHeight="1">
      <c r="A675" s="364">
        <v>44868.0</v>
      </c>
    </row>
    <row r="676" ht="15.75" customHeight="1">
      <c r="A676" s="364">
        <v>44869.0</v>
      </c>
    </row>
    <row r="677" ht="15.75" customHeight="1">
      <c r="A677" s="364">
        <v>44870.0</v>
      </c>
    </row>
    <row r="678" ht="15.75" customHeight="1">
      <c r="A678" s="364">
        <v>44871.0</v>
      </c>
    </row>
    <row r="679" ht="15.75" customHeight="1">
      <c r="A679" s="364">
        <v>44872.0</v>
      </c>
    </row>
    <row r="680" ht="15.75" customHeight="1">
      <c r="A680" s="364">
        <v>44873.0</v>
      </c>
    </row>
    <row r="681" ht="15.75" customHeight="1">
      <c r="A681" s="364">
        <v>44874.0</v>
      </c>
    </row>
    <row r="682" ht="15.75" customHeight="1">
      <c r="A682" s="364">
        <v>44875.0</v>
      </c>
    </row>
    <row r="683" ht="15.75" customHeight="1">
      <c r="A683" s="364">
        <v>44876.0</v>
      </c>
    </row>
    <row r="684" ht="15.75" customHeight="1">
      <c r="A684" s="364">
        <v>44877.0</v>
      </c>
    </row>
    <row r="685" ht="15.75" customHeight="1">
      <c r="A685" s="364">
        <v>44878.0</v>
      </c>
    </row>
    <row r="686" ht="15.75" customHeight="1">
      <c r="A686" s="364">
        <v>44879.0</v>
      </c>
    </row>
    <row r="687" ht="15.75" customHeight="1">
      <c r="A687" s="364">
        <v>44880.0</v>
      </c>
    </row>
    <row r="688" ht="15.75" customHeight="1">
      <c r="A688" s="364">
        <v>44881.0</v>
      </c>
    </row>
    <row r="689" ht="15.75" customHeight="1">
      <c r="A689" s="364">
        <v>44882.0</v>
      </c>
    </row>
    <row r="690" ht="15.75" customHeight="1">
      <c r="A690" s="364">
        <v>44883.0</v>
      </c>
    </row>
    <row r="691" ht="15.75" customHeight="1">
      <c r="A691" s="364">
        <v>44884.0</v>
      </c>
    </row>
    <row r="692" ht="15.75" customHeight="1">
      <c r="A692" s="364">
        <v>44885.0</v>
      </c>
    </row>
    <row r="693" ht="15.75" customHeight="1">
      <c r="A693" s="364">
        <v>44886.0</v>
      </c>
    </row>
    <row r="694" ht="15.75" customHeight="1">
      <c r="A694" s="364">
        <v>44887.0</v>
      </c>
    </row>
    <row r="695" ht="15.75" customHeight="1">
      <c r="A695" s="364">
        <v>44888.0</v>
      </c>
    </row>
    <row r="696" ht="15.75" customHeight="1">
      <c r="A696" s="364">
        <v>44889.0</v>
      </c>
    </row>
    <row r="697" ht="15.75" customHeight="1">
      <c r="A697" s="364">
        <v>44890.0</v>
      </c>
    </row>
    <row r="698" ht="15.75" customHeight="1">
      <c r="A698" s="364">
        <v>44891.0</v>
      </c>
    </row>
    <row r="699" ht="15.75" customHeight="1">
      <c r="A699" s="364">
        <v>44892.0</v>
      </c>
    </row>
    <row r="700" ht="15.75" customHeight="1">
      <c r="A700" s="364">
        <v>44893.0</v>
      </c>
    </row>
    <row r="701" ht="15.75" customHeight="1">
      <c r="A701" s="364">
        <v>44894.0</v>
      </c>
    </row>
    <row r="702" ht="15.75" customHeight="1">
      <c r="A702" s="364">
        <v>44895.0</v>
      </c>
    </row>
    <row r="703" ht="15.75" customHeight="1">
      <c r="A703" s="364">
        <v>44896.0</v>
      </c>
    </row>
    <row r="704" ht="15.75" customHeight="1">
      <c r="A704" s="364">
        <v>44897.0</v>
      </c>
    </row>
    <row r="705" ht="15.75" customHeight="1">
      <c r="A705" s="364">
        <v>44898.0</v>
      </c>
    </row>
    <row r="706" ht="15.75" customHeight="1">
      <c r="A706" s="364">
        <v>44899.0</v>
      </c>
    </row>
    <row r="707" ht="15.75" customHeight="1">
      <c r="A707" s="364">
        <v>44900.0</v>
      </c>
    </row>
    <row r="708" ht="15.75" customHeight="1">
      <c r="A708" s="364">
        <v>44901.0</v>
      </c>
    </row>
    <row r="709" ht="15.75" customHeight="1">
      <c r="A709" s="364">
        <v>44902.0</v>
      </c>
    </row>
    <row r="710" ht="15.75" customHeight="1">
      <c r="A710" s="364">
        <v>44903.0</v>
      </c>
    </row>
    <row r="711" ht="15.75" customHeight="1">
      <c r="A711" s="364">
        <v>44904.0</v>
      </c>
    </row>
    <row r="712" ht="15.75" customHeight="1">
      <c r="A712" s="364">
        <v>44905.0</v>
      </c>
    </row>
    <row r="713" ht="15.75" customHeight="1">
      <c r="A713" s="364">
        <v>44906.0</v>
      </c>
    </row>
    <row r="714" ht="15.75" customHeight="1">
      <c r="A714" s="364">
        <v>44907.0</v>
      </c>
    </row>
    <row r="715" ht="15.75" customHeight="1">
      <c r="A715" s="364">
        <v>44908.0</v>
      </c>
    </row>
    <row r="716" ht="15.75" customHeight="1">
      <c r="A716" s="364">
        <v>44909.0</v>
      </c>
    </row>
    <row r="717" ht="15.75" customHeight="1">
      <c r="A717" s="364">
        <v>44910.0</v>
      </c>
    </row>
    <row r="718" ht="15.75" customHeight="1">
      <c r="A718" s="364">
        <v>44911.0</v>
      </c>
    </row>
    <row r="719" ht="15.75" customHeight="1">
      <c r="A719" s="364">
        <v>44912.0</v>
      </c>
    </row>
    <row r="720" ht="15.75" customHeight="1">
      <c r="A720" s="364">
        <v>44913.0</v>
      </c>
    </row>
    <row r="721" ht="15.75" customHeight="1">
      <c r="A721" s="364">
        <v>44914.0</v>
      </c>
    </row>
    <row r="722" ht="15.75" customHeight="1">
      <c r="A722" s="364">
        <v>44915.0</v>
      </c>
    </row>
    <row r="723" ht="15.75" customHeight="1">
      <c r="A723" s="364">
        <v>44916.0</v>
      </c>
    </row>
    <row r="724" ht="15.75" customHeight="1">
      <c r="A724" s="364">
        <v>44917.0</v>
      </c>
    </row>
    <row r="725" ht="15.75" customHeight="1">
      <c r="A725" s="364">
        <v>44918.0</v>
      </c>
    </row>
    <row r="726" ht="15.75" customHeight="1">
      <c r="A726" s="364">
        <v>44919.0</v>
      </c>
    </row>
    <row r="727" ht="15.75" customHeight="1">
      <c r="A727" s="364">
        <v>44920.0</v>
      </c>
    </row>
    <row r="728" ht="15.75" customHeight="1">
      <c r="A728" s="364">
        <v>44921.0</v>
      </c>
    </row>
    <row r="729" ht="15.75" customHeight="1">
      <c r="A729" s="364">
        <v>44922.0</v>
      </c>
    </row>
    <row r="730" ht="15.75" customHeight="1">
      <c r="A730" s="364">
        <v>44923.0</v>
      </c>
    </row>
    <row r="731" ht="15.75" customHeight="1">
      <c r="A731" s="364">
        <v>44924.0</v>
      </c>
    </row>
    <row r="732" ht="15.75" customHeight="1">
      <c r="A732" s="364">
        <v>44925.0</v>
      </c>
    </row>
    <row r="733" ht="15.75" customHeight="1">
      <c r="A733" s="364">
        <v>44926.0</v>
      </c>
    </row>
    <row r="734" ht="15.75" customHeight="1">
      <c r="A734" s="364">
        <v>44927.0</v>
      </c>
    </row>
    <row r="735" ht="15.75" customHeight="1">
      <c r="A735" s="364">
        <v>44928.0</v>
      </c>
    </row>
    <row r="736" ht="15.75" customHeight="1">
      <c r="A736" s="364">
        <v>44929.0</v>
      </c>
    </row>
    <row r="737" ht="15.75" customHeight="1">
      <c r="A737" s="364">
        <v>44930.0</v>
      </c>
    </row>
    <row r="738" ht="15.75" customHeight="1">
      <c r="A738" s="364">
        <v>44931.0</v>
      </c>
    </row>
    <row r="739" ht="15.75" customHeight="1">
      <c r="A739" s="364">
        <v>44932.0</v>
      </c>
    </row>
    <row r="740" ht="15.75" customHeight="1">
      <c r="A740" s="364">
        <v>44933.0</v>
      </c>
    </row>
    <row r="741" ht="15.75" customHeight="1">
      <c r="A741" s="364">
        <v>44934.0</v>
      </c>
    </row>
    <row r="742" ht="15.75" customHeight="1">
      <c r="A742" s="364">
        <v>44935.0</v>
      </c>
    </row>
    <row r="743" ht="15.75" customHeight="1">
      <c r="A743" s="364">
        <v>44936.0</v>
      </c>
    </row>
    <row r="744" ht="15.75" customHeight="1">
      <c r="A744" s="364">
        <v>44937.0</v>
      </c>
    </row>
    <row r="745" ht="15.75" customHeight="1">
      <c r="A745" s="364">
        <v>44938.0</v>
      </c>
    </row>
    <row r="746" ht="15.75" customHeight="1">
      <c r="A746" s="364">
        <v>44939.0</v>
      </c>
    </row>
    <row r="747" ht="15.75" customHeight="1">
      <c r="A747" s="364">
        <v>44940.0</v>
      </c>
    </row>
    <row r="748" ht="15.75" customHeight="1">
      <c r="A748" s="364">
        <v>44941.0</v>
      </c>
    </row>
    <row r="749" ht="15.75" customHeight="1">
      <c r="A749" s="364">
        <v>44942.0</v>
      </c>
    </row>
    <row r="750" ht="15.75" customHeight="1">
      <c r="A750" s="364">
        <v>44943.0</v>
      </c>
    </row>
    <row r="751" ht="15.75" customHeight="1">
      <c r="A751" s="364">
        <v>44944.0</v>
      </c>
    </row>
    <row r="752" ht="15.75" customHeight="1">
      <c r="A752" s="364">
        <v>44945.0</v>
      </c>
    </row>
    <row r="753" ht="15.75" customHeight="1">
      <c r="A753" s="364">
        <v>44946.0</v>
      </c>
    </row>
    <row r="754" ht="15.75" customHeight="1">
      <c r="A754" s="364">
        <v>44947.0</v>
      </c>
    </row>
    <row r="755" ht="15.75" customHeight="1">
      <c r="A755" s="364">
        <v>44948.0</v>
      </c>
    </row>
    <row r="756" ht="15.75" customHeight="1">
      <c r="A756" s="364">
        <v>44949.0</v>
      </c>
    </row>
    <row r="757" ht="15.75" customHeight="1">
      <c r="A757" s="364">
        <v>44950.0</v>
      </c>
    </row>
    <row r="758" ht="15.75" customHeight="1">
      <c r="A758" s="364">
        <v>44951.0</v>
      </c>
    </row>
    <row r="759" ht="15.75" customHeight="1">
      <c r="A759" s="364">
        <v>44952.0</v>
      </c>
    </row>
    <row r="760" ht="15.75" customHeight="1">
      <c r="A760" s="364">
        <v>44953.0</v>
      </c>
    </row>
    <row r="761" ht="15.75" customHeight="1">
      <c r="A761" s="364">
        <v>44954.0</v>
      </c>
    </row>
    <row r="762" ht="15.75" customHeight="1">
      <c r="A762" s="364">
        <v>44955.0</v>
      </c>
    </row>
    <row r="763" ht="15.75" customHeight="1">
      <c r="A763" s="364">
        <v>44956.0</v>
      </c>
    </row>
    <row r="764" ht="15.75" customHeight="1">
      <c r="A764" s="364">
        <v>44957.0</v>
      </c>
    </row>
    <row r="765" ht="15.75" customHeight="1">
      <c r="A765" s="364">
        <v>44958.0</v>
      </c>
    </row>
    <row r="766" ht="15.75" customHeight="1">
      <c r="A766" s="364">
        <v>44959.0</v>
      </c>
    </row>
    <row r="767" ht="15.75" customHeight="1">
      <c r="A767" s="364">
        <v>44960.0</v>
      </c>
    </row>
    <row r="768" ht="15.75" customHeight="1">
      <c r="A768" s="364">
        <v>44961.0</v>
      </c>
    </row>
    <row r="769" ht="15.75" customHeight="1">
      <c r="A769" s="364">
        <v>44962.0</v>
      </c>
    </row>
    <row r="770" ht="15.75" customHeight="1">
      <c r="A770" s="364">
        <v>44963.0</v>
      </c>
    </row>
    <row r="771" ht="15.75" customHeight="1">
      <c r="A771" s="364">
        <v>44964.0</v>
      </c>
    </row>
    <row r="772" ht="15.75" customHeight="1">
      <c r="A772" s="364">
        <v>44965.0</v>
      </c>
    </row>
    <row r="773" ht="15.75" customHeight="1">
      <c r="A773" s="364">
        <v>44966.0</v>
      </c>
    </row>
    <row r="774" ht="15.75" customHeight="1">
      <c r="A774" s="364">
        <v>44967.0</v>
      </c>
    </row>
    <row r="775" ht="15.75" customHeight="1">
      <c r="A775" s="364">
        <v>44968.0</v>
      </c>
    </row>
    <row r="776" ht="15.75" customHeight="1">
      <c r="A776" s="364">
        <v>44969.0</v>
      </c>
    </row>
    <row r="777" ht="15.75" customHeight="1">
      <c r="A777" s="364">
        <v>44970.0</v>
      </c>
    </row>
    <row r="778" ht="15.75" customHeight="1">
      <c r="A778" s="364">
        <v>44971.0</v>
      </c>
    </row>
    <row r="779" ht="15.75" customHeight="1">
      <c r="A779" s="364">
        <v>44972.0</v>
      </c>
    </row>
    <row r="780" ht="15.75" customHeight="1">
      <c r="A780" s="364">
        <v>44973.0</v>
      </c>
    </row>
    <row r="781" ht="15.75" customHeight="1">
      <c r="A781" s="364">
        <v>44974.0</v>
      </c>
    </row>
    <row r="782" ht="15.75" customHeight="1">
      <c r="A782" s="364">
        <v>44975.0</v>
      </c>
    </row>
    <row r="783" ht="15.75" customHeight="1">
      <c r="A783" s="364">
        <v>44976.0</v>
      </c>
    </row>
    <row r="784" ht="15.75" customHeight="1">
      <c r="A784" s="364">
        <v>44977.0</v>
      </c>
    </row>
    <row r="785" ht="15.75" customHeight="1">
      <c r="A785" s="364">
        <v>44978.0</v>
      </c>
    </row>
    <row r="786" ht="15.75" customHeight="1">
      <c r="A786" s="364">
        <v>44979.0</v>
      </c>
    </row>
    <row r="787" ht="15.75" customHeight="1">
      <c r="A787" s="364">
        <v>44980.0</v>
      </c>
    </row>
    <row r="788" ht="15.75" customHeight="1">
      <c r="A788" s="364">
        <v>44981.0</v>
      </c>
    </row>
    <row r="789" ht="15.75" customHeight="1">
      <c r="A789" s="364">
        <v>44982.0</v>
      </c>
    </row>
    <row r="790" ht="15.75" customHeight="1">
      <c r="A790" s="364">
        <v>44983.0</v>
      </c>
    </row>
    <row r="791" ht="15.75" customHeight="1">
      <c r="A791" s="364">
        <v>44984.0</v>
      </c>
    </row>
    <row r="792" ht="15.75" customHeight="1">
      <c r="A792" s="364">
        <v>44985.0</v>
      </c>
    </row>
    <row r="793" ht="15.75" customHeight="1">
      <c r="A793" s="364">
        <v>44986.0</v>
      </c>
    </row>
    <row r="794" ht="15.75" customHeight="1">
      <c r="A794" s="364">
        <v>44987.0</v>
      </c>
    </row>
    <row r="795" ht="15.75" customHeight="1">
      <c r="A795" s="364">
        <v>44988.0</v>
      </c>
    </row>
    <row r="796" ht="15.75" customHeight="1">
      <c r="A796" s="364">
        <v>44989.0</v>
      </c>
    </row>
    <row r="797" ht="15.75" customHeight="1">
      <c r="A797" s="364">
        <v>44990.0</v>
      </c>
    </row>
    <row r="798" ht="15.75" customHeight="1">
      <c r="A798" s="364">
        <v>44991.0</v>
      </c>
    </row>
    <row r="799" ht="15.75" customHeight="1">
      <c r="A799" s="364">
        <v>44992.0</v>
      </c>
    </row>
    <row r="800" ht="15.75" customHeight="1">
      <c r="A800" s="364">
        <v>44993.0</v>
      </c>
    </row>
    <row r="801" ht="15.75" customHeight="1">
      <c r="A801" s="364">
        <v>44994.0</v>
      </c>
    </row>
    <row r="802" ht="15.75" customHeight="1">
      <c r="A802" s="364">
        <v>44995.0</v>
      </c>
    </row>
    <row r="803" ht="15.75" customHeight="1">
      <c r="A803" s="364">
        <v>44996.0</v>
      </c>
    </row>
    <row r="804" ht="15.75" customHeight="1">
      <c r="A804" s="364">
        <v>44997.0</v>
      </c>
    </row>
    <row r="805" ht="15.75" customHeight="1">
      <c r="A805" s="364">
        <v>44998.0</v>
      </c>
    </row>
    <row r="806" ht="15.75" customHeight="1">
      <c r="A806" s="364">
        <v>44999.0</v>
      </c>
    </row>
    <row r="807" ht="15.75" customHeight="1">
      <c r="A807" s="364">
        <v>45000.0</v>
      </c>
    </row>
    <row r="808" ht="15.75" customHeight="1">
      <c r="A808" s="364">
        <v>45001.0</v>
      </c>
    </row>
    <row r="809" ht="15.75" customHeight="1">
      <c r="A809" s="364">
        <v>45002.0</v>
      </c>
    </row>
    <row r="810" ht="15.75" customHeight="1">
      <c r="A810" s="364">
        <v>45003.0</v>
      </c>
    </row>
    <row r="811" ht="15.75" customHeight="1">
      <c r="A811" s="364">
        <v>45004.0</v>
      </c>
    </row>
    <row r="812" ht="15.75" customHeight="1">
      <c r="A812" s="364">
        <v>45005.0</v>
      </c>
    </row>
    <row r="813" ht="15.75" customHeight="1">
      <c r="A813" s="364">
        <v>45006.0</v>
      </c>
    </row>
    <row r="814" ht="15.75" customHeight="1">
      <c r="A814" s="364">
        <v>45007.0</v>
      </c>
    </row>
    <row r="815" ht="15.75" customHeight="1">
      <c r="A815" s="364">
        <v>45008.0</v>
      </c>
    </row>
    <row r="816" ht="15.75" customHeight="1">
      <c r="A816" s="364">
        <v>45009.0</v>
      </c>
    </row>
    <row r="817" ht="15.75" customHeight="1">
      <c r="A817" s="364">
        <v>45010.0</v>
      </c>
    </row>
    <row r="818" ht="15.75" customHeight="1">
      <c r="A818" s="364">
        <v>45011.0</v>
      </c>
    </row>
    <row r="819" ht="15.75" customHeight="1">
      <c r="A819" s="364">
        <v>45012.0</v>
      </c>
    </row>
    <row r="820" ht="15.75" customHeight="1">
      <c r="A820" s="364">
        <v>45013.0</v>
      </c>
    </row>
    <row r="821" ht="15.75" customHeight="1">
      <c r="A821" s="16"/>
    </row>
    <row r="822" ht="15.75" customHeight="1">
      <c r="A822" s="16"/>
    </row>
    <row r="823" ht="15.75" customHeight="1">
      <c r="A823" s="16"/>
    </row>
    <row r="824" ht="15.75" customHeight="1">
      <c r="A824" s="16"/>
    </row>
    <row r="825" ht="15.75" customHeight="1">
      <c r="A825" s="16"/>
    </row>
    <row r="826" ht="15.75" customHeight="1">
      <c r="A826" s="16"/>
    </row>
    <row r="827" ht="15.75" customHeight="1">
      <c r="A827" s="16"/>
    </row>
    <row r="828" ht="15.75" customHeight="1">
      <c r="A828" s="16"/>
    </row>
    <row r="829" ht="15.75" customHeight="1">
      <c r="A829" s="16"/>
    </row>
    <row r="830" ht="15.75" customHeight="1">
      <c r="A830" s="16"/>
    </row>
    <row r="831" ht="15.75" customHeight="1">
      <c r="A831" s="16"/>
    </row>
    <row r="832" ht="15.75" customHeight="1">
      <c r="A832" s="16"/>
    </row>
    <row r="833" ht="15.75" customHeight="1">
      <c r="A833" s="16"/>
    </row>
    <row r="834" ht="15.75" customHeight="1">
      <c r="A834" s="16"/>
    </row>
    <row r="835" ht="15.75" customHeight="1">
      <c r="A835" s="16"/>
    </row>
    <row r="836" ht="15.75" customHeight="1">
      <c r="A836" s="16"/>
    </row>
    <row r="837" ht="15.75" customHeight="1">
      <c r="A837" s="16"/>
    </row>
    <row r="838" ht="15.75" customHeight="1">
      <c r="A838" s="16"/>
    </row>
    <row r="839" ht="15.75" customHeight="1">
      <c r="A839" s="16"/>
    </row>
    <row r="840" ht="15.75" customHeight="1">
      <c r="A840" s="16"/>
    </row>
    <row r="841" ht="15.75" customHeight="1">
      <c r="A841" s="16"/>
    </row>
    <row r="842" ht="15.75" customHeight="1">
      <c r="A842" s="16"/>
    </row>
    <row r="843" ht="15.75" customHeight="1">
      <c r="A843" s="16"/>
    </row>
    <row r="844" ht="15.75" customHeight="1">
      <c r="A844" s="16"/>
    </row>
    <row r="845" ht="15.75" customHeight="1">
      <c r="A845" s="16"/>
    </row>
    <row r="846" ht="15.75" customHeight="1">
      <c r="A846" s="16"/>
    </row>
    <row r="847" ht="15.75" customHeight="1">
      <c r="A847" s="16"/>
    </row>
    <row r="848" ht="15.75" customHeight="1">
      <c r="A848" s="16"/>
    </row>
    <row r="849" ht="15.75" customHeight="1">
      <c r="A849" s="16"/>
    </row>
    <row r="850" ht="15.75" customHeight="1">
      <c r="A850" s="16"/>
    </row>
    <row r="851" ht="15.75" customHeight="1">
      <c r="A851" s="16"/>
    </row>
    <row r="852" ht="15.75" customHeight="1">
      <c r="A852" s="16"/>
    </row>
    <row r="853" ht="15.75" customHeight="1">
      <c r="A853" s="16"/>
    </row>
    <row r="854" ht="15.75" customHeight="1">
      <c r="A854" s="16"/>
    </row>
    <row r="855" ht="15.75" customHeight="1">
      <c r="A855" s="16"/>
    </row>
    <row r="856" ht="15.75" customHeight="1">
      <c r="A856" s="16"/>
    </row>
    <row r="857" ht="15.75" customHeight="1">
      <c r="A857" s="16"/>
    </row>
    <row r="858" ht="15.75" customHeight="1">
      <c r="A858" s="16"/>
    </row>
    <row r="859" ht="15.75" customHeight="1">
      <c r="A859" s="16"/>
    </row>
    <row r="860" ht="15.75" customHeight="1">
      <c r="A860" s="16"/>
    </row>
    <row r="861" ht="15.75" customHeight="1">
      <c r="A861" s="16"/>
    </row>
    <row r="862" ht="15.75" customHeight="1">
      <c r="A862" s="16"/>
    </row>
    <row r="863" ht="15.75" customHeight="1">
      <c r="A863" s="16"/>
    </row>
    <row r="864" ht="15.75" customHeight="1">
      <c r="A864" s="16"/>
    </row>
    <row r="865" ht="15.75" customHeight="1">
      <c r="A865" s="16"/>
    </row>
    <row r="866" ht="15.75" customHeight="1">
      <c r="A866" s="16"/>
    </row>
    <row r="867" ht="15.75" customHeight="1">
      <c r="A867" s="16"/>
    </row>
    <row r="868" ht="15.75" customHeight="1">
      <c r="A868" s="16"/>
    </row>
    <row r="869" ht="15.75" customHeight="1">
      <c r="A869" s="16"/>
    </row>
    <row r="870" ht="15.75" customHeight="1">
      <c r="A870" s="16"/>
    </row>
    <row r="871" ht="15.75" customHeight="1">
      <c r="A871" s="16"/>
    </row>
    <row r="872" ht="15.75" customHeight="1">
      <c r="A872" s="16"/>
    </row>
    <row r="873" ht="15.75" customHeight="1">
      <c r="A873" s="16"/>
    </row>
    <row r="874" ht="15.75" customHeight="1">
      <c r="A874" s="16"/>
    </row>
    <row r="875" ht="15.75" customHeight="1">
      <c r="A875" s="16"/>
    </row>
    <row r="876" ht="15.75" customHeight="1">
      <c r="A876" s="16"/>
    </row>
    <row r="877" ht="15.75" customHeight="1">
      <c r="A877" s="16"/>
    </row>
    <row r="878" ht="15.75" customHeight="1">
      <c r="A878" s="16"/>
    </row>
    <row r="879" ht="15.75" customHeight="1">
      <c r="A879" s="16"/>
    </row>
    <row r="880" ht="15.75" customHeight="1">
      <c r="A880" s="16"/>
    </row>
    <row r="881" ht="15.75" customHeight="1">
      <c r="A881" s="16"/>
    </row>
    <row r="882" ht="15.75" customHeight="1">
      <c r="A882" s="16"/>
    </row>
    <row r="883" ht="15.75" customHeight="1">
      <c r="A883" s="16"/>
    </row>
    <row r="884" ht="15.75" customHeight="1">
      <c r="A884" s="16"/>
    </row>
    <row r="885" ht="15.75" customHeight="1">
      <c r="A885" s="16"/>
    </row>
    <row r="886" ht="15.75" customHeight="1">
      <c r="A886" s="16"/>
    </row>
    <row r="887" ht="15.75" customHeight="1">
      <c r="A887" s="16"/>
    </row>
    <row r="888" ht="15.75" customHeight="1">
      <c r="A888" s="16"/>
    </row>
    <row r="889" ht="15.75" customHeight="1">
      <c r="A889" s="16"/>
    </row>
    <row r="890" ht="15.75" customHeight="1">
      <c r="A890" s="16"/>
    </row>
    <row r="891" ht="15.75" customHeight="1">
      <c r="A891" s="16"/>
    </row>
    <row r="892" ht="15.75" customHeight="1">
      <c r="A892" s="16"/>
    </row>
    <row r="893" ht="15.75" customHeight="1">
      <c r="A893" s="16"/>
    </row>
    <row r="894" ht="15.75" customHeight="1">
      <c r="A894" s="16"/>
    </row>
    <row r="895" ht="15.75" customHeight="1">
      <c r="A895" s="16"/>
    </row>
    <row r="896" ht="15.75" customHeight="1">
      <c r="A896" s="16"/>
    </row>
    <row r="897" ht="15.75" customHeight="1">
      <c r="A897" s="16"/>
    </row>
    <row r="898" ht="15.75" customHeight="1">
      <c r="A898" s="16"/>
    </row>
    <row r="899" ht="15.75" customHeight="1">
      <c r="A899" s="16"/>
    </row>
    <row r="900" ht="15.75" customHeight="1">
      <c r="A900" s="16"/>
    </row>
    <row r="901" ht="15.75" customHeight="1">
      <c r="A901" s="16"/>
    </row>
    <row r="902" ht="15.75" customHeight="1">
      <c r="A902" s="16"/>
    </row>
    <row r="903" ht="15.75" customHeight="1">
      <c r="A903" s="16"/>
    </row>
    <row r="904" ht="15.75" customHeight="1">
      <c r="A904" s="16"/>
    </row>
    <row r="905" ht="15.75" customHeight="1">
      <c r="A905" s="16"/>
    </row>
    <row r="906" ht="15.75" customHeight="1">
      <c r="A906" s="16"/>
    </row>
    <row r="907" ht="15.75" customHeight="1">
      <c r="A907" s="16"/>
    </row>
    <row r="908" ht="15.75" customHeight="1">
      <c r="A908" s="16"/>
    </row>
    <row r="909" ht="15.75" customHeight="1">
      <c r="A909" s="16"/>
    </row>
    <row r="910" ht="15.75" customHeight="1">
      <c r="A910" s="16"/>
    </row>
    <row r="911" ht="15.75" customHeight="1">
      <c r="A911" s="16"/>
    </row>
    <row r="912" ht="15.75" customHeight="1">
      <c r="A912" s="16"/>
    </row>
    <row r="913" ht="15.75" customHeight="1">
      <c r="A913" s="16"/>
    </row>
    <row r="914" ht="15.75" customHeight="1">
      <c r="A914" s="16"/>
    </row>
    <row r="915" ht="15.75" customHeight="1">
      <c r="A915" s="16"/>
    </row>
    <row r="916" ht="15.75" customHeight="1">
      <c r="A916" s="16"/>
    </row>
    <row r="917" ht="15.75" customHeight="1">
      <c r="A917" s="16"/>
    </row>
    <row r="918" ht="15.75" customHeight="1">
      <c r="A918" s="16"/>
    </row>
    <row r="919" ht="15.75" customHeight="1">
      <c r="A919" s="16"/>
    </row>
    <row r="920" ht="15.75" customHeight="1">
      <c r="A920" s="16"/>
    </row>
    <row r="921" ht="15.75" customHeight="1">
      <c r="A921" s="16"/>
    </row>
    <row r="922" ht="15.75" customHeight="1">
      <c r="A922" s="16"/>
    </row>
    <row r="923" ht="15.75" customHeight="1">
      <c r="A923" s="16"/>
    </row>
    <row r="924" ht="15.75" customHeight="1">
      <c r="A924" s="16"/>
    </row>
    <row r="925" ht="15.75" customHeight="1">
      <c r="A925" s="16"/>
    </row>
    <row r="926" ht="15.75" customHeight="1">
      <c r="A926" s="16"/>
    </row>
    <row r="927" ht="15.75" customHeight="1">
      <c r="A927" s="16"/>
    </row>
    <row r="928" ht="15.75" customHeight="1">
      <c r="A928" s="16"/>
    </row>
    <row r="929" ht="15.75" customHeight="1">
      <c r="A929" s="16"/>
    </row>
    <row r="930" ht="15.75" customHeight="1">
      <c r="A930" s="16"/>
    </row>
    <row r="931" ht="15.75" customHeight="1">
      <c r="A931" s="16"/>
    </row>
    <row r="932" ht="15.75" customHeight="1">
      <c r="A932" s="16"/>
    </row>
    <row r="933" ht="15.75" customHeight="1">
      <c r="A933" s="16"/>
    </row>
    <row r="934" ht="15.75" customHeight="1">
      <c r="A934" s="16"/>
    </row>
    <row r="935" ht="15.75" customHeight="1">
      <c r="A935" s="16"/>
    </row>
    <row r="936" ht="15.75" customHeight="1">
      <c r="A936" s="16"/>
    </row>
    <row r="937" ht="15.75" customHeight="1">
      <c r="A937" s="16"/>
    </row>
    <row r="938" ht="15.75" customHeight="1">
      <c r="A938" s="16"/>
    </row>
    <row r="939" ht="15.75" customHeight="1">
      <c r="A939" s="16"/>
    </row>
    <row r="940" ht="15.75" customHeight="1">
      <c r="A940" s="16"/>
    </row>
    <row r="941" ht="15.75" customHeight="1">
      <c r="A941" s="16"/>
    </row>
    <row r="942" ht="15.75" customHeight="1">
      <c r="A942" s="16"/>
    </row>
    <row r="943" ht="15.75" customHeight="1">
      <c r="A943" s="16"/>
    </row>
    <row r="944" ht="15.75" customHeight="1">
      <c r="A944" s="16"/>
    </row>
    <row r="945" ht="15.75" customHeight="1">
      <c r="A945" s="16"/>
    </row>
    <row r="946" ht="15.75" customHeight="1">
      <c r="A946" s="16"/>
    </row>
    <row r="947" ht="15.75" customHeight="1">
      <c r="A947" s="16"/>
    </row>
    <row r="948" ht="15.75" customHeight="1">
      <c r="A948" s="16"/>
    </row>
    <row r="949" ht="15.75" customHeight="1">
      <c r="A949" s="16"/>
    </row>
    <row r="950" ht="15.75" customHeight="1">
      <c r="A950" s="16"/>
    </row>
    <row r="951" ht="15.75" customHeight="1">
      <c r="A951" s="16"/>
    </row>
    <row r="952" ht="15.75" customHeight="1">
      <c r="A952" s="16"/>
    </row>
    <row r="953" ht="15.75" customHeight="1">
      <c r="A953" s="16"/>
    </row>
    <row r="954" ht="15.75" customHeight="1">
      <c r="A954" s="16"/>
    </row>
    <row r="955" ht="15.75" customHeight="1">
      <c r="A955" s="16"/>
    </row>
    <row r="956" ht="15.75" customHeight="1">
      <c r="A956" s="16"/>
    </row>
    <row r="957" ht="15.75" customHeight="1">
      <c r="A957" s="16"/>
    </row>
    <row r="958" ht="15.75" customHeight="1">
      <c r="A958" s="16"/>
    </row>
    <row r="959" ht="15.75" customHeight="1">
      <c r="A959" s="16"/>
    </row>
    <row r="960" ht="15.75" customHeight="1">
      <c r="A960" s="16"/>
    </row>
    <row r="961" ht="15.75" customHeight="1">
      <c r="A961" s="16"/>
    </row>
    <row r="962" ht="15.75" customHeight="1">
      <c r="A962" s="16"/>
    </row>
    <row r="963" ht="15.75" customHeight="1">
      <c r="A963" s="16"/>
    </row>
    <row r="964" ht="15.75" customHeight="1">
      <c r="A964" s="16"/>
    </row>
    <row r="965" ht="15.75" customHeight="1">
      <c r="A965" s="16"/>
    </row>
    <row r="966" ht="15.75" customHeight="1">
      <c r="A966" s="16"/>
    </row>
    <row r="967" ht="15.75" customHeight="1">
      <c r="A967" s="16"/>
    </row>
    <row r="968" ht="15.75" customHeight="1">
      <c r="A968" s="16"/>
    </row>
    <row r="969" ht="15.75" customHeight="1">
      <c r="A969" s="16"/>
    </row>
    <row r="970" ht="15.75" customHeight="1">
      <c r="A970" s="16"/>
    </row>
    <row r="971" ht="15.75" customHeight="1">
      <c r="A971" s="16"/>
    </row>
    <row r="972" ht="15.75" customHeight="1">
      <c r="A972" s="16"/>
    </row>
    <row r="973" ht="15.75" customHeight="1">
      <c r="A973" s="16"/>
    </row>
    <row r="974" ht="15.75" customHeight="1">
      <c r="A974" s="16"/>
    </row>
    <row r="975" ht="15.75" customHeight="1">
      <c r="A975" s="16"/>
    </row>
    <row r="976" ht="15.75" customHeight="1">
      <c r="A976" s="16"/>
    </row>
    <row r="977" ht="15.75" customHeight="1">
      <c r="A977" s="16"/>
    </row>
    <row r="978" ht="15.75" customHeight="1">
      <c r="A978" s="16"/>
    </row>
    <row r="979" ht="15.75" customHeight="1">
      <c r="A979" s="16"/>
    </row>
    <row r="980" ht="15.75" customHeight="1">
      <c r="A980" s="16"/>
    </row>
    <row r="981" ht="15.75" customHeight="1">
      <c r="A981" s="16"/>
    </row>
    <row r="982" ht="15.75" customHeight="1">
      <c r="A982" s="16"/>
    </row>
    <row r="983" ht="15.75" customHeight="1">
      <c r="A983" s="16"/>
    </row>
    <row r="984" ht="15.75" customHeight="1">
      <c r="A984" s="16"/>
    </row>
    <row r="985" ht="15.75" customHeight="1">
      <c r="A985" s="16"/>
    </row>
    <row r="986" ht="15.75" customHeight="1">
      <c r="A986" s="16"/>
    </row>
    <row r="987" ht="15.75" customHeight="1">
      <c r="A987" s="16"/>
    </row>
    <row r="988" ht="15.75" customHeight="1">
      <c r="A988" s="16"/>
    </row>
    <row r="989" ht="15.75" customHeight="1">
      <c r="A989" s="16"/>
    </row>
    <row r="990" ht="15.75" customHeight="1">
      <c r="A990" s="16"/>
    </row>
    <row r="991" ht="15.75" customHeight="1">
      <c r="A991" s="16"/>
    </row>
    <row r="992" ht="15.75" customHeight="1">
      <c r="A992" s="16"/>
    </row>
    <row r="993" ht="15.75" customHeight="1">
      <c r="A993" s="16"/>
    </row>
    <row r="994" ht="15.75" customHeight="1">
      <c r="A994" s="16"/>
    </row>
    <row r="995" ht="15.75" customHeight="1">
      <c r="A995" s="16"/>
    </row>
    <row r="996" ht="15.75" customHeight="1">
      <c r="A996" s="16"/>
    </row>
    <row r="997" ht="15.75" customHeight="1">
      <c r="A997" s="16"/>
    </row>
    <row r="998" ht="15.75" customHeight="1">
      <c r="A998" s="16"/>
    </row>
    <row r="999" ht="15.75" customHeight="1">
      <c r="A999" s="16"/>
    </row>
    <row r="1000" ht="15.75" customHeight="1">
      <c r="A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27.88"/>
    <col customWidth="1" min="3" max="6" width="12.63"/>
  </cols>
  <sheetData>
    <row r="1" ht="15.75" customHeight="1"/>
    <row r="2" ht="15.75" customHeight="1"/>
    <row r="3" ht="15.75" customHeight="1"/>
    <row r="4" ht="15.75" customHeight="1">
      <c r="G4" s="376" t="s">
        <v>7654</v>
      </c>
      <c r="H4" s="376" t="s">
        <v>7655</v>
      </c>
      <c r="I4" s="376" t="s">
        <v>7656</v>
      </c>
      <c r="J4" s="377" t="s">
        <v>7657</v>
      </c>
      <c r="K4" s="378">
        <f>COUNTIFS(import!$C:$C,"true",import!$P:$P,"Geleneksel")</f>
        <v>0</v>
      </c>
      <c r="O4" s="379" t="s">
        <v>7656</v>
      </c>
      <c r="P4" s="380" t="s">
        <v>7658</v>
      </c>
      <c r="Q4" s="380" t="s">
        <v>7659</v>
      </c>
    </row>
    <row r="5" ht="15.75" customHeight="1">
      <c r="B5" s="381" t="s">
        <v>140</v>
      </c>
      <c r="C5" s="382">
        <f>COUNTIFS('Hedef Liste'!T:T,B5,'Hedef Liste'!C:C,"doğru",'Hedef Liste'!J:J,"=0%",'Hedef Liste'!P:P,"Geleneksel")</f>
        <v>6</v>
      </c>
      <c r="D5" s="20" t="s">
        <v>7660</v>
      </c>
      <c r="E5" s="20">
        <f>COUNTIFS(import!C:C,"doğru",import!P:P,"Geleneksel")</f>
        <v>952</v>
      </c>
      <c r="G5" s="383">
        <v>44250.0</v>
      </c>
      <c r="J5" s="377" t="s">
        <v>7661</v>
      </c>
      <c r="K5" s="384">
        <f>COUNTIFS(import!$C:$C,"true",import!$P:$P,"Geleneksel",import!$J:$J,"&gt;0%")</f>
        <v>0</v>
      </c>
      <c r="M5" s="385" t="str">
        <f>$K$5/$K$4</f>
        <v>#DIV/0!</v>
      </c>
      <c r="O5" s="386"/>
      <c r="P5" s="386"/>
      <c r="Q5" s="387"/>
    </row>
    <row r="6" ht="15.75" customHeight="1">
      <c r="B6" s="381" t="s">
        <v>521</v>
      </c>
      <c r="C6" s="382">
        <f>COUNTIFS('Hedef Liste'!T:T,B6,'Hedef Liste'!C:C,"doğru",'Hedef Liste'!J:J,"=0%",'Hedef Liste'!P:P,"Geleneksel")</f>
        <v>4</v>
      </c>
      <c r="D6" s="20" t="s">
        <v>7661</v>
      </c>
      <c r="E6" s="20">
        <f>COUNTIFS(import!C:C,"doğru",import!P:P,"Geleneksel",import!J:J,"&gt;0%")</f>
        <v>547</v>
      </c>
      <c r="G6" s="383">
        <v>44251.0</v>
      </c>
      <c r="J6" s="17"/>
      <c r="K6" s="388"/>
      <c r="L6" s="17"/>
      <c r="M6" s="389"/>
      <c r="N6" s="17"/>
      <c r="O6" s="386"/>
      <c r="P6" s="386"/>
      <c r="Q6" s="387"/>
    </row>
    <row r="7" ht="15.75" customHeight="1">
      <c r="B7" s="381" t="s">
        <v>199</v>
      </c>
      <c r="C7" s="382">
        <f>COUNTIFS('Hedef Liste'!T:T,B7,'Hedef Liste'!C:C,"doğru",'Hedef Liste'!J:J,"=0%",'Hedef Liste'!P:P,"Geleneksel")</f>
        <v>68</v>
      </c>
      <c r="D7" s="20" t="s">
        <v>7662</v>
      </c>
      <c r="E7" s="390">
        <f>E6/E5</f>
        <v>0.5745798319</v>
      </c>
      <c r="G7" s="383">
        <v>44252.0</v>
      </c>
      <c r="J7" s="377" t="s">
        <v>7663</v>
      </c>
      <c r="K7" s="391" t="s">
        <v>7664</v>
      </c>
      <c r="M7" s="391" t="s">
        <v>7665</v>
      </c>
      <c r="O7" s="386"/>
      <c r="P7" s="386"/>
      <c r="Q7" s="387"/>
      <c r="S7" s="392" t="s">
        <v>7666</v>
      </c>
    </row>
    <row r="8" ht="15.75" customHeight="1">
      <c r="B8" s="381" t="s">
        <v>528</v>
      </c>
      <c r="C8" s="382">
        <f>COUNTIFS('Hedef Liste'!T:T,B8,'Hedef Liste'!C:C,"doğru",'Hedef Liste'!J:J,"=0%",'Hedef Liste'!P:P,"Geleneksel")</f>
        <v>1</v>
      </c>
      <c r="G8" s="393">
        <v>44253.0</v>
      </c>
      <c r="J8" s="394" t="s">
        <v>7661</v>
      </c>
      <c r="K8" s="395">
        <f>COUNTIFS(import!$C:$C,"true",import!$J:$J,"&gt;0%",import!$P:$P,"Geleneksel",import!$I:$I,"&lt;=25")</f>
        <v>0</v>
      </c>
      <c r="L8" s="385" t="str">
        <f>K8/K5</f>
        <v>#DIV/0!</v>
      </c>
      <c r="M8" s="395">
        <f>COUNTIFS(import!C:C,"true",import!J:J,"&gt;0%",import!P:P,"Geleneksel",import!I:I,"&gt;25")</f>
        <v>0</v>
      </c>
      <c r="N8" s="385" t="str">
        <f>M8/K5</f>
        <v>#DIV/0!</v>
      </c>
      <c r="O8" s="386"/>
      <c r="P8" s="386"/>
      <c r="Q8" s="387"/>
      <c r="S8" s="396" t="str">
        <f>O14/N14</f>
        <v>#DIV/0!</v>
      </c>
    </row>
    <row r="9" ht="15.75" customHeight="1">
      <c r="B9" s="381" t="s">
        <v>265</v>
      </c>
      <c r="C9" s="382">
        <f>COUNTIFS('Hedef Liste'!T:T,B9,'Hedef Liste'!C:C,"doğru",'Hedef Liste'!J:J,"=0%",'Hedef Liste'!P:P,"Geleneksel")</f>
        <v>14</v>
      </c>
      <c r="G9" s="383"/>
      <c r="J9" s="394" t="s">
        <v>7667</v>
      </c>
      <c r="K9" s="397">
        <f>COUNTIFS(import!C:C,"true",import!J:J,"&gt;0%",import!J:J,"&lt;=20%",import!P:P,"Geleneksel",import!I:I,"&lt;=25")</f>
        <v>0</v>
      </c>
      <c r="L9" s="398" t="str">
        <f>K9/K8</f>
        <v>#DIV/0!</v>
      </c>
      <c r="M9" s="397">
        <f>COUNTIFS(import!C:C,"true",import!J:J,"&gt;0%",import!J:J,"&lt;=20%",import!P:P,"Geleneksel",import!I:I,"&gt;25")</f>
        <v>0</v>
      </c>
      <c r="N9" s="398" t="str">
        <f>M9/M8</f>
        <v>#DIV/0!</v>
      </c>
      <c r="O9" s="386"/>
      <c r="P9" s="386"/>
      <c r="Q9" s="387"/>
    </row>
    <row r="10" ht="15.75" customHeight="1">
      <c r="B10" s="381" t="s">
        <v>248</v>
      </c>
      <c r="C10" s="382">
        <f>COUNTIFS('Hedef Liste'!T:T,B10,'Hedef Liste'!C:C,"doğru",'Hedef Liste'!J:J,"=0%",'Hedef Liste'!P:P,"Geleneksel")</f>
        <v>4</v>
      </c>
      <c r="G10" s="383"/>
      <c r="J10" s="394" t="s">
        <v>7668</v>
      </c>
      <c r="K10" s="395">
        <f>COUNTIFS(import!C:C,"true",import!J:J,"&gt;20%",import!J:J,"&lt;=50%",import!P:P,"Geleneksel",import!I:I,"&lt;=25")</f>
        <v>0</v>
      </c>
      <c r="L10" s="399" t="str">
        <f>K10/K8</f>
        <v>#DIV/0!</v>
      </c>
      <c r="M10" s="395">
        <f>COUNTIFS(import!C:C,"true",import!J:J,"&gt;20%",import!J:J,"&lt;=50%",import!P:P,"Geleneksel",import!I:I,"&gt;25")</f>
        <v>0</v>
      </c>
      <c r="N10" s="399" t="str">
        <f>M10/M8</f>
        <v>#DIV/0!</v>
      </c>
      <c r="O10" s="386"/>
      <c r="P10" s="386"/>
      <c r="Q10" s="387"/>
    </row>
    <row r="11" ht="15.75" customHeight="1">
      <c r="B11" s="381" t="s">
        <v>130</v>
      </c>
      <c r="C11" s="382">
        <f>COUNTIFS('Hedef Liste'!T:T,B11,'Hedef Liste'!C:C,"doğru",'Hedef Liste'!J:J,"=0%",'Hedef Liste'!P:P,"Geleneksel")</f>
        <v>28</v>
      </c>
      <c r="G11" s="383"/>
      <c r="J11" s="394" t="s">
        <v>7669</v>
      </c>
      <c r="K11" s="397">
        <f>COUNTIFS(import!C:C,"true",import!J:J,"&gt;50%",import!J:J,"&lt;=80%",import!P:P,"Geleneksel",import!I:I,"&lt;=25")</f>
        <v>0</v>
      </c>
      <c r="L11" s="398" t="str">
        <f>K11/K8</f>
        <v>#DIV/0!</v>
      </c>
      <c r="M11" s="397">
        <f>COUNTIFS(import!C:C,"true",import!J:J,"&gt;50%",import!J:J,"&lt;=80%",import!P:P,"Geleneksel",import!I:I,"&gt;25")</f>
        <v>0</v>
      </c>
      <c r="N11" s="398" t="str">
        <f>M11/M8</f>
        <v>#DIV/0!</v>
      </c>
      <c r="O11" s="386"/>
      <c r="P11" s="386"/>
      <c r="Q11" s="387"/>
    </row>
    <row r="12" ht="15.75" customHeight="1">
      <c r="B12" s="381" t="s">
        <v>485</v>
      </c>
      <c r="C12" s="382">
        <f>COUNTIFS('Hedef Liste'!T:T,B12,'Hedef Liste'!C:C,"doğru",'Hedef Liste'!J:J,"=0%",'Hedef Liste'!P:P,"Geleneksel")</f>
        <v>37</v>
      </c>
      <c r="G12" s="383"/>
      <c r="J12" s="394" t="s">
        <v>7670</v>
      </c>
      <c r="K12" s="395">
        <f>COUNTIFS(import!C:C,"true",import!J:J,"&gt;80%",import!P:P,"Geleneksel",import!I:I,"&lt;=25")</f>
        <v>0</v>
      </c>
      <c r="L12" s="399" t="str">
        <f>K12/K8</f>
        <v>#DIV/0!</v>
      </c>
      <c r="M12" s="395">
        <f>COUNTIFS(import!C:C,"true",import!J:J,"&gt;80%",import!P:P,"Geleneksel",import!I:I,"&gt;25")</f>
        <v>0</v>
      </c>
      <c r="N12" s="399" t="str">
        <f>M12/M8</f>
        <v>#DIV/0!</v>
      </c>
      <c r="O12" s="386"/>
      <c r="P12" s="386"/>
      <c r="Q12" s="387"/>
    </row>
    <row r="13" ht="15.75" customHeight="1">
      <c r="B13" s="381" t="s">
        <v>7636</v>
      </c>
      <c r="C13" s="382">
        <f>COUNTIFS('Hedef Liste'!T:T,B13,'Hedef Liste'!C:C,"doğru",'Hedef Liste'!J:J,"=0%",'Hedef Liste'!P:P,"Geleneksel")</f>
        <v>0</v>
      </c>
      <c r="G13" s="383"/>
      <c r="K13" s="400"/>
      <c r="M13" s="392"/>
      <c r="N13" s="401"/>
      <c r="O13" s="401"/>
      <c r="P13" s="401"/>
      <c r="Q13" s="402"/>
    </row>
    <row r="14" ht="15.75" customHeight="1">
      <c r="B14" s="381" t="s">
        <v>4784</v>
      </c>
      <c r="C14" s="382">
        <f>COUNTIFS('Hedef Liste'!T:T,B14,'Hedef Liste'!C:C,"doğru",'Hedef Liste'!J:J,"=0%",'Hedef Liste'!P:P,"Geleneksel")</f>
        <v>1</v>
      </c>
      <c r="G14" s="383"/>
      <c r="K14" s="400"/>
      <c r="M14" s="392"/>
      <c r="N14" s="401"/>
      <c r="O14" s="401"/>
      <c r="P14" s="401"/>
      <c r="Q14" s="402"/>
    </row>
    <row r="15" ht="15.75" customHeight="1">
      <c r="B15" s="381" t="s">
        <v>7637</v>
      </c>
      <c r="C15" s="382">
        <f>COUNTIFS('Hedef Liste'!T:T,B15,'Hedef Liste'!C:C,"doğru",'Hedef Liste'!J:J,"=0%",'Hedef Liste'!P:P,"Geleneksel")</f>
        <v>0</v>
      </c>
      <c r="G15" s="383"/>
    </row>
    <row r="16" ht="15.75" customHeight="1">
      <c r="B16" s="381" t="s">
        <v>51</v>
      </c>
      <c r="C16" s="382">
        <f>COUNTIFS('Hedef Liste'!T:T,B16,'Hedef Liste'!C:C,"doğru",'Hedef Liste'!J:J,"=0%",'Hedef Liste'!P:P,"Geleneksel")</f>
        <v>28</v>
      </c>
      <c r="G16" s="383"/>
    </row>
    <row r="17" ht="15.75" customHeight="1">
      <c r="B17" s="381" t="s">
        <v>272</v>
      </c>
      <c r="C17" s="382">
        <f>COUNTIFS('Hedef Liste'!T:T,B17,'Hedef Liste'!C:C,"doğru",'Hedef Liste'!J:J,"=0%",'Hedef Liste'!P:P,"Geleneksel")</f>
        <v>7</v>
      </c>
    </row>
    <row r="18" ht="15.75" customHeight="1">
      <c r="B18" s="381" t="s">
        <v>591</v>
      </c>
      <c r="C18" s="382">
        <f>COUNTIFS('Hedef Liste'!T:T,B18,'Hedef Liste'!C:C,"doğru",'Hedef Liste'!J:J,"=0%",'Hedef Liste'!P:P,"Geleneksel")</f>
        <v>3</v>
      </c>
    </row>
    <row r="19" ht="15.75" customHeight="1">
      <c r="B19" s="381" t="s">
        <v>327</v>
      </c>
      <c r="C19" s="382">
        <f>COUNTIFS('Hedef Liste'!T:T,B19,'Hedef Liste'!C:C,"doğru",'Hedef Liste'!J:J,"=0%",'Hedef Liste'!P:P,"Geleneksel")</f>
        <v>3</v>
      </c>
    </row>
    <row r="20" ht="15.75" customHeight="1">
      <c r="B20" s="381" t="s">
        <v>931</v>
      </c>
      <c r="C20" s="382">
        <f>COUNTIFS('Hedef Liste'!T:T,B20,'Hedef Liste'!C:C,"doğru",'Hedef Liste'!J:J,"=0%",'Hedef Liste'!P:P,"Geleneksel")</f>
        <v>3</v>
      </c>
    </row>
    <row r="21" ht="15.75" customHeight="1">
      <c r="B21" s="381" t="s">
        <v>55</v>
      </c>
      <c r="C21" s="382">
        <f>COUNTIFS('Hedef Liste'!T:T,B21,'Hedef Liste'!C:C,"doğru",'Hedef Liste'!J:J,"=0%",'Hedef Liste'!P:P,"Geleneksel")</f>
        <v>13</v>
      </c>
    </row>
    <row r="22" ht="15.75" customHeight="1">
      <c r="B22" s="381" t="s">
        <v>7671</v>
      </c>
      <c r="C22" s="382">
        <f>COUNTIFS('Hedef Liste'!T:T,B22,'Hedef Liste'!C:C,"doğru",'Hedef Liste'!J:J,"=0%",'Hedef Liste'!P:P,"Geleneksel")</f>
        <v>0</v>
      </c>
    </row>
    <row r="23" ht="15.75" customHeight="1">
      <c r="B23" s="381" t="s">
        <v>7672</v>
      </c>
      <c r="C23" s="20">
        <f>COUNTIFS('Hedef Liste'!C:C,"true",'Hedef Liste'!S:S,"doğru",'Hedef Liste'!P:P,"Geleneksel",'Hedef Liste'!J:J,"=0%",'Hedef Liste'!T:T,"")</f>
        <v>0</v>
      </c>
    </row>
    <row r="24" ht="15.75" customHeight="1">
      <c r="B24" s="403" t="s">
        <v>7673</v>
      </c>
      <c r="C24" s="20">
        <f>SUM(C5:C23)</f>
        <v>220</v>
      </c>
      <c r="D24" s="20">
        <f>COUNTIFS('Hedef Liste'!C:C,"true",'Hedef Liste'!P:P,"Geleneksel")</f>
        <v>0</v>
      </c>
    </row>
    <row r="25" ht="15.75" customHeight="1">
      <c r="D25" s="20">
        <f>COUNTIFS('Hedef Liste'!C:C,"true",'Hedef Liste'!P:P,"Geleneksel",'Hedef Liste'!J:J,"&gt;0%")</f>
        <v>0</v>
      </c>
    </row>
    <row r="26" ht="15.75" customHeight="1">
      <c r="B26" s="404" t="s">
        <v>7674</v>
      </c>
      <c r="D26" s="390" t="str">
        <f>D25/D24</f>
        <v>#DIV/0!</v>
      </c>
    </row>
    <row r="27" ht="15.75" customHeight="1">
      <c r="B27" s="405" t="str">
        <f>C16/COUNTIFS('Hedef Liste'!R:R,"true",'Hedef Liste'!C:C,"true")</f>
        <v>#DIV/0!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K4:N4"/>
    <mergeCell ref="K5:L5"/>
    <mergeCell ref="M5:N5"/>
    <mergeCell ref="K7:L7"/>
    <mergeCell ref="M7:N7"/>
  </mergeCells>
  <drawing r:id="rId3"/>
</worksheet>
</file>